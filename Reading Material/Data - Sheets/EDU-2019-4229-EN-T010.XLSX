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29-EN - PISA 2018 Results (Volume II)\"/>
    </mc:Choice>
  </mc:AlternateContent>
  <bookViews>
    <workbookView xWindow="0" yWindow="0" windowWidth="28800" windowHeight="10308" tabRatio="661"/>
  </bookViews>
  <sheets>
    <sheet name="TOC" sheetId="7" r:id="rId1"/>
    <sheet name="Table II.B1.5.1" sheetId="30" r:id="rId2"/>
    <sheet name="Table II.B1.5.2" sheetId="36" r:id="rId3"/>
    <sheet name="Table II.B1.5.3" sheetId="35" r:id="rId4"/>
    <sheet name="Table II.B1.5.4" sheetId="37" r:id="rId5"/>
    <sheet name="Table II.B1.5.5" sheetId="33" r:id="rId6"/>
    <sheet name="Table II.B1.5.6" sheetId="38" r:id="rId7"/>
    <sheet name="Table II.B1.5.7" sheetId="20" r:id="rId8"/>
    <sheet name="Table II.B1.5.8" sheetId="39" r:id="rId9"/>
    <sheet name="Table II.B1.5.9" sheetId="40" r:id="rId10"/>
    <sheet name="Table II.B1.5.10" sheetId="42" r:id="rId11"/>
    <sheet name="Table II.B1.5.11" sheetId="41" r:id="rId12"/>
    <sheet name="Table II.B1.5.12" sheetId="43" r:id="rId13"/>
    <sheet name="Table II.B1.5.13" sheetId="31" r:id="rId14"/>
    <sheet name="Table II.B1.5.14" sheetId="32" r:id="rId15"/>
    <sheet name="Table II.B1.5.15" sheetId="14" r:id="rId16"/>
    <sheet name="Table II.B1.5.16" sheetId="10" r:id="rId17"/>
    <sheet name="Table II.B1.5.17" sheetId="18" r:id="rId18"/>
    <sheet name="Table II.B1.5.18" sheetId="16" r:id="rId19"/>
    <sheet name="Table II.B1.5.19" sheetId="11" r:id="rId20"/>
    <sheet name="Table II.B1.5.20" sheetId="12" r:id="rId21"/>
    <sheet name="Table II.B1.5.21" sheetId="13" r:id="rId22"/>
    <sheet name="Table II.B1.5.22" sheetId="19" r:id="rId23"/>
    <sheet name="Table II.B1.5.23" sheetId="21" r:id="rId24"/>
    <sheet name="Table II.B1.5.24" sheetId="34" r:id="rId25"/>
    <sheet name="Table II.B1.5.25" sheetId="44"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 localSheetId="25">[1]EAT12_1!#REF!,[1]EAT12_1!#REF!,[1]EAT12_1!#REF!,[1]EAT12_1!#REF!,[1]EAT12_1!#REF!,[1]EAT12_1!#REF!,[1]EAT12_1!#REF!,[1]EAT12_1!#REF!,[1]EAT12_1!#REF!,[1]EAT12_1!#REF!</definedName>
    <definedName name="_">[1]EAT12_1!#REF!,[1]EAT12_1!#REF!,[1]EAT12_1!#REF!,[1]EAT12_1!#REF!,[1]EAT12_1!#REF!,[1]EAT12_1!#REF!,[1]EAT12_1!#REF!,[1]EAT12_1!#REF!,[1]EAT12_1!#REF!,[1]EAT12_1!#REF!</definedName>
    <definedName name="_______ISC3">[2]ISC01!$B:$B+[3]Q_ISC3!$1:$23</definedName>
    <definedName name="______ISC3">[2]ISC01!$B:$B+[3]Q_ISC3!$1:$23</definedName>
    <definedName name="_____ISC3">[2]ISC01!$B:$B+[3]Q_ISC3!$1:$23</definedName>
    <definedName name="____ISC3">[2]ISC01!$B:$B+[3]Q_ISC3!$1:$23</definedName>
    <definedName name="___ISC3">[2]ISC01!$B:$B+[3]Q_ISC3!$1:$23</definedName>
    <definedName name="__123Graph_ABERLGRAP" localSheetId="25" hidden="1">'[4]Time series'!#REF!</definedName>
    <definedName name="__123Graph_ABERLGRAP" hidden="1">'[4]Time series'!#REF!</definedName>
    <definedName name="__123Graph_ACATCH1" localSheetId="25" hidden="1">'[4]Time series'!#REF!</definedName>
    <definedName name="__123Graph_ACATCH1" hidden="1">'[4]Time series'!#REF!</definedName>
    <definedName name="__123Graph_ACONVERG1" localSheetId="25" hidden="1">'[4]Time series'!#REF!</definedName>
    <definedName name="__123Graph_ACONVERG1" hidden="1">'[4]Time series'!#REF!</definedName>
    <definedName name="__123Graph_AGRAPH2" localSheetId="25" hidden="1">'[4]Time series'!#REF!</definedName>
    <definedName name="__123Graph_AGRAPH2" hidden="1">'[4]Time series'!#REF!</definedName>
    <definedName name="__123Graph_AGRAPH41" localSheetId="25" hidden="1">'[4]Time series'!#REF!</definedName>
    <definedName name="__123Graph_AGRAPH41" hidden="1">'[4]Time series'!#REF!</definedName>
    <definedName name="__123Graph_AGRAPH42" localSheetId="25" hidden="1">'[4]Time series'!#REF!</definedName>
    <definedName name="__123Graph_AGRAPH42" hidden="1">'[4]Time series'!#REF!</definedName>
    <definedName name="__123Graph_AGRAPH44" localSheetId="25" hidden="1">'[4]Time series'!#REF!</definedName>
    <definedName name="__123Graph_AGRAPH44" hidden="1">'[4]Time series'!#REF!</definedName>
    <definedName name="__123Graph_APERIB" localSheetId="25" hidden="1">'[4]Time series'!#REF!</definedName>
    <definedName name="__123Graph_APERIB" hidden="1">'[4]Time series'!#REF!</definedName>
    <definedName name="__123Graph_APRODABSC" localSheetId="25" hidden="1">'[4]Time series'!#REF!</definedName>
    <definedName name="__123Graph_APRODABSC" hidden="1">'[4]Time series'!#REF!</definedName>
    <definedName name="__123Graph_APRODABSD" localSheetId="25" hidden="1">'[4]Time series'!#REF!</definedName>
    <definedName name="__123Graph_APRODABSD" hidden="1">'[4]Time series'!#REF!</definedName>
    <definedName name="__123Graph_APRODTRE2" localSheetId="25" hidden="1">'[4]Time series'!#REF!</definedName>
    <definedName name="__123Graph_APRODTRE2" hidden="1">'[4]Time series'!#REF!</definedName>
    <definedName name="__123Graph_APRODTRE3" localSheetId="25" hidden="1">'[4]Time series'!#REF!</definedName>
    <definedName name="__123Graph_APRODTRE3" hidden="1">'[4]Time series'!#REF!</definedName>
    <definedName name="__123Graph_APRODTRE4" localSheetId="25" hidden="1">'[4]Time series'!#REF!</definedName>
    <definedName name="__123Graph_APRODTRE4" hidden="1">'[4]Time series'!#REF!</definedName>
    <definedName name="__123Graph_APRODTREND" localSheetId="25" hidden="1">'[4]Time series'!#REF!</definedName>
    <definedName name="__123Graph_APRODTREND" hidden="1">'[4]Time series'!#REF!</definedName>
    <definedName name="__123Graph_AUTRECHT" localSheetId="25" hidden="1">'[4]Time series'!#REF!</definedName>
    <definedName name="__123Graph_AUTRECHT" hidden="1">'[4]Time series'!#REF!</definedName>
    <definedName name="__123Graph_BBERLGRAP" localSheetId="25" hidden="1">'[4]Time series'!#REF!</definedName>
    <definedName name="__123Graph_BBERLGRAP" hidden="1">'[4]Time series'!#REF!</definedName>
    <definedName name="__123Graph_BCATCH1" localSheetId="25" hidden="1">'[4]Time series'!#REF!</definedName>
    <definedName name="__123Graph_BCATCH1" hidden="1">'[4]Time series'!#REF!</definedName>
    <definedName name="__123Graph_BCONVERG1" localSheetId="25" hidden="1">'[4]Time series'!#REF!</definedName>
    <definedName name="__123Graph_BCONVERG1" hidden="1">'[4]Time series'!#REF!</definedName>
    <definedName name="__123Graph_BGRAPH2" localSheetId="25" hidden="1">'[4]Time series'!#REF!</definedName>
    <definedName name="__123Graph_BGRAPH2" hidden="1">'[4]Time series'!#REF!</definedName>
    <definedName name="__123Graph_BGRAPH41" localSheetId="25" hidden="1">'[4]Time series'!#REF!</definedName>
    <definedName name="__123Graph_BGRAPH41" hidden="1">'[4]Time series'!#REF!</definedName>
    <definedName name="__123Graph_BPERIB" localSheetId="25" hidden="1">'[4]Time series'!#REF!</definedName>
    <definedName name="__123Graph_BPERIB" hidden="1">'[4]Time series'!#REF!</definedName>
    <definedName name="__123Graph_BPRODABSC" localSheetId="25" hidden="1">'[4]Time series'!#REF!</definedName>
    <definedName name="__123Graph_BPRODABSC" hidden="1">'[4]Time series'!#REF!</definedName>
    <definedName name="__123Graph_BPRODABSD" localSheetId="25" hidden="1">'[4]Time series'!#REF!</definedName>
    <definedName name="__123Graph_BPRODABSD" hidden="1">'[4]Time series'!#REF!</definedName>
    <definedName name="__123Graph_CBERLGRAP" localSheetId="25" hidden="1">'[4]Time series'!#REF!</definedName>
    <definedName name="__123Graph_CBERLGRAP" hidden="1">'[4]Time series'!#REF!</definedName>
    <definedName name="__123Graph_CCATCH1" localSheetId="25" hidden="1">'[4]Time series'!#REF!</definedName>
    <definedName name="__123Graph_CCATCH1" hidden="1">'[4]Time series'!#REF!</definedName>
    <definedName name="__123Graph_CGRAPH41" localSheetId="25" hidden="1">'[4]Time series'!#REF!</definedName>
    <definedName name="__123Graph_CGRAPH41" hidden="1">'[4]Time series'!#REF!</definedName>
    <definedName name="__123Graph_CGRAPH44" localSheetId="25" hidden="1">'[4]Time series'!#REF!</definedName>
    <definedName name="__123Graph_CGRAPH44" hidden="1">'[4]Time series'!#REF!</definedName>
    <definedName name="__123Graph_CPERIA" localSheetId="25" hidden="1">'[4]Time series'!#REF!</definedName>
    <definedName name="__123Graph_CPERIA" hidden="1">'[4]Time series'!#REF!</definedName>
    <definedName name="__123Graph_CPERIB" localSheetId="25" hidden="1">'[4]Time series'!#REF!</definedName>
    <definedName name="__123Graph_CPERIB" hidden="1">'[4]Time series'!#REF!</definedName>
    <definedName name="__123Graph_CPRODABSC" localSheetId="25" hidden="1">'[4]Time series'!#REF!</definedName>
    <definedName name="__123Graph_CPRODABSC" hidden="1">'[4]Time series'!#REF!</definedName>
    <definedName name="__123Graph_CPRODTRE2" localSheetId="25" hidden="1">'[4]Time series'!#REF!</definedName>
    <definedName name="__123Graph_CPRODTRE2" hidden="1">'[4]Time series'!#REF!</definedName>
    <definedName name="__123Graph_CPRODTREND" localSheetId="25" hidden="1">'[4]Time series'!#REF!</definedName>
    <definedName name="__123Graph_CPRODTREND" hidden="1">'[4]Time series'!#REF!</definedName>
    <definedName name="__123Graph_CUTRECHT" localSheetId="25" hidden="1">'[4]Time series'!#REF!</definedName>
    <definedName name="__123Graph_CUTRECHT" hidden="1">'[4]Time series'!#REF!</definedName>
    <definedName name="__123Graph_DBERLGRAP" localSheetId="25" hidden="1">'[4]Time series'!#REF!</definedName>
    <definedName name="__123Graph_DBERLGRAP" hidden="1">'[4]Time series'!#REF!</definedName>
    <definedName name="__123Graph_DCATCH1" localSheetId="25" hidden="1">'[4]Time series'!#REF!</definedName>
    <definedName name="__123Graph_DCATCH1" hidden="1">'[4]Time series'!#REF!</definedName>
    <definedName name="__123Graph_DCONVERG1" localSheetId="25" hidden="1">'[4]Time series'!#REF!</definedName>
    <definedName name="__123Graph_DCONVERG1" hidden="1">'[4]Time series'!#REF!</definedName>
    <definedName name="__123Graph_DGRAPH41" localSheetId="25" hidden="1">'[4]Time series'!#REF!</definedName>
    <definedName name="__123Graph_DGRAPH41" hidden="1">'[4]Time series'!#REF!</definedName>
    <definedName name="__123Graph_DPERIA" localSheetId="25" hidden="1">'[4]Time series'!#REF!</definedName>
    <definedName name="__123Graph_DPERIA" hidden="1">'[4]Time series'!#REF!</definedName>
    <definedName name="__123Graph_DPERIB" localSheetId="25" hidden="1">'[4]Time series'!#REF!</definedName>
    <definedName name="__123Graph_DPERIB" hidden="1">'[4]Time series'!#REF!</definedName>
    <definedName name="__123Graph_DPRODABSC" localSheetId="25" hidden="1">'[4]Time series'!#REF!</definedName>
    <definedName name="__123Graph_DPRODABSC" hidden="1">'[4]Time series'!#REF!</definedName>
    <definedName name="__123Graph_DUTRECHT" localSheetId="25" hidden="1">'[4]Time series'!#REF!</definedName>
    <definedName name="__123Graph_DUTRECHT" hidden="1">'[4]Time series'!#REF!</definedName>
    <definedName name="__123Graph_EBERLGRAP" localSheetId="25" hidden="1">'[4]Time series'!#REF!</definedName>
    <definedName name="__123Graph_EBERLGRAP" hidden="1">'[4]Time series'!#REF!</definedName>
    <definedName name="__123Graph_ECONVERG1" localSheetId="25" hidden="1">'[4]Time series'!#REF!</definedName>
    <definedName name="__123Graph_ECONVERG1" hidden="1">'[4]Time series'!#REF!</definedName>
    <definedName name="__123Graph_EGRAPH41" localSheetId="25" hidden="1">'[4]Time series'!#REF!</definedName>
    <definedName name="__123Graph_EGRAPH41" hidden="1">'[4]Time series'!#REF!</definedName>
    <definedName name="__123Graph_EPERIA" localSheetId="25" hidden="1">'[4]Time series'!#REF!</definedName>
    <definedName name="__123Graph_EPERIA" hidden="1">'[4]Time series'!#REF!</definedName>
    <definedName name="__123Graph_EPRODABSC" localSheetId="25" hidden="1">'[4]Time series'!#REF!</definedName>
    <definedName name="__123Graph_EPRODABSC" hidden="1">'[4]Time series'!#REF!</definedName>
    <definedName name="__123Graph_FBERLGRAP" localSheetId="25" hidden="1">'[4]Time series'!#REF!</definedName>
    <definedName name="__123Graph_FBERLGRAP" hidden="1">'[4]Time series'!#REF!</definedName>
    <definedName name="__123Graph_FGRAPH41" localSheetId="25" hidden="1">'[4]Time series'!#REF!</definedName>
    <definedName name="__123Graph_FGRAPH41" hidden="1">'[4]Time series'!#REF!</definedName>
    <definedName name="__123Graph_FPRODABSC" localSheetId="25" hidden="1">'[4]Time series'!#REF!</definedName>
    <definedName name="__123Graph_FPRODABSC" hidden="1">'[4]Time series'!#REF!</definedName>
    <definedName name="__ISC3">[2]ISC01!$B:$B+[3]Q_ISC3!$1:$23</definedName>
    <definedName name="_1__123Graph_AChart_1" localSheetId="25" hidden="1">'[5]Table 1'!#REF!</definedName>
    <definedName name="_1__123Graph_AChart_1" hidden="1">'[5]Table 1'!#REF!</definedName>
    <definedName name="_2__123Graph_ADEV_EMPL" localSheetId="25" hidden="1">'[4]Time series'!#REF!</definedName>
    <definedName name="_2__123Graph_ADEV_EMPL" hidden="1">'[4]Time series'!#REF!</definedName>
    <definedName name="_3__123Graph_BDEV_EMPL" localSheetId="25" hidden="1">'[4]Time series'!#REF!</definedName>
    <definedName name="_3__123Graph_BDEV_EMPL" hidden="1">'[4]Time series'!#REF!</definedName>
    <definedName name="_4__123Graph_CDEV_EMPL" localSheetId="25" hidden="1">'[4]Time series'!#REF!</definedName>
    <definedName name="_4__123Graph_CDEV_EMPL" hidden="1">'[4]Time series'!#REF!</definedName>
    <definedName name="_5__123Graph_CSWE_EMPL" localSheetId="25" hidden="1">'[4]Time series'!#REF!</definedName>
    <definedName name="_5__123Graph_CSWE_EMPL" hidden="1">'[4]Time series'!#REF!</definedName>
    <definedName name="_6Y" localSheetId="25">[1]EAT12_1!#REF!,[1]EAT12_1!#REF!,[1]EAT12_1!#REF!,[1]EAT12_1!#REF!,[1]EAT12_1!#REF!,[1]EAT12_1!#REF!,[1]EAT12_1!#REF!,[1]EAT12_1!#REF!,[1]EAT12_1!#REF!,[1]EAT12_1!#REF!</definedName>
    <definedName name="_6Y">[1]EAT12_1!#REF!,[1]EAT12_1!#REF!,[1]EAT12_1!#REF!,[1]EAT12_1!#REF!,[1]EAT12_1!#REF!,[1]EAT12_1!#REF!,[1]EAT12_1!#REF!,[1]EAT12_1!#REF!,[1]EAT12_1!#REF!,[1]EAT12_1!#REF!</definedName>
    <definedName name="_a" localSheetId="25" hidden="1">'[4]Time series'!#REF!</definedName>
    <definedName name="_a" hidden="1">'[4]Time series'!#REF!</definedName>
    <definedName name="_d" localSheetId="25" hidden="1">'[4]Time series'!#REF!</definedName>
    <definedName name="_d" hidden="1">'[4]Time series'!#REF!</definedName>
    <definedName name="_xlnm._FilterDatabase" localSheetId="1" hidden="1">'Table II.B1.5.1'!$A$15:$AF$15</definedName>
    <definedName name="_xlnm._FilterDatabase" localSheetId="10" hidden="1">'Table II.B1.5.10'!$A$15:$AF$15</definedName>
    <definedName name="_xlnm._FilterDatabase" localSheetId="11" hidden="1">'Table II.B1.5.11'!$A$15:$AF$15</definedName>
    <definedName name="_xlnm._FilterDatabase" localSheetId="12" hidden="1">'Table II.B1.5.12'!$A$15:$AF$15</definedName>
    <definedName name="_xlnm._FilterDatabase" localSheetId="13" hidden="1">'Table II.B1.5.13'!$A$15:$AF$15</definedName>
    <definedName name="_xlnm._FilterDatabase" localSheetId="14" hidden="1">'Table II.B1.5.14'!$A$15:$AF$15</definedName>
    <definedName name="_xlnm._FilterDatabase" localSheetId="15" hidden="1">'Table II.B1.5.15'!$A$15:$AE$15</definedName>
    <definedName name="_xlnm._FilterDatabase" localSheetId="16" hidden="1">'Table II.B1.5.16'!$A$15:$AE$15</definedName>
    <definedName name="_xlnm._FilterDatabase" localSheetId="17" hidden="1">'Table II.B1.5.17'!$A$15:$AE$15</definedName>
    <definedName name="_xlnm._FilterDatabase" localSheetId="18" hidden="1">'Table II.B1.5.18'!$A$15:$AE$15</definedName>
    <definedName name="_xlnm._FilterDatabase" localSheetId="19" hidden="1">'Table II.B1.5.19'!$A$15:$AE$15</definedName>
    <definedName name="_xlnm._FilterDatabase" localSheetId="2" hidden="1">'Table II.B1.5.2'!$A$15:$AE$15</definedName>
    <definedName name="_xlnm._FilterDatabase" localSheetId="20" hidden="1">'Table II.B1.5.20'!$A$15:$AE$15</definedName>
    <definedName name="_xlnm._FilterDatabase" localSheetId="21" hidden="1">'Table II.B1.5.21'!$A$15:$AE$15</definedName>
    <definedName name="_xlnm._FilterDatabase" localSheetId="22" hidden="1">'Table II.B1.5.22'!$A$15:$AE$15</definedName>
    <definedName name="_xlnm._FilterDatabase" localSheetId="23" hidden="1">'Table II.B1.5.23'!$A$15:$AE$15</definedName>
    <definedName name="_xlnm._FilterDatabase" localSheetId="24" hidden="1">'Table II.B1.5.24'!$A$15:$AE$15</definedName>
    <definedName name="_xlnm._FilterDatabase" localSheetId="25" hidden="1">'Table II.B1.5.25'!$A$15:$AK$15</definedName>
    <definedName name="_xlnm._FilterDatabase" localSheetId="3" hidden="1">'Table II.B1.5.3'!$A$15:$AE$15</definedName>
    <definedName name="_xlnm._FilterDatabase" localSheetId="4" hidden="1">'Table II.B1.5.4'!$A$15:$AE$15</definedName>
    <definedName name="_xlnm._FilterDatabase" localSheetId="5" hidden="1">'Table II.B1.5.5'!$A$15:$AE$15</definedName>
    <definedName name="_xlnm._FilterDatabase" localSheetId="6" hidden="1">'Table II.B1.5.6'!$A$15:$AE$15</definedName>
    <definedName name="_xlnm._FilterDatabase" localSheetId="7" hidden="1">'Table II.B1.5.7'!$A$15:$AE$15</definedName>
    <definedName name="_xlnm._FilterDatabase" localSheetId="8" hidden="1">'Table II.B1.5.8'!$A$15:$AF$15</definedName>
    <definedName name="_xlnm._FilterDatabase" localSheetId="9" hidden="1">'Table II.B1.5.9'!$A$15:$AG$15</definedName>
    <definedName name="_ISC3">[2]ISC01!$B:$B+[3]Q_ISC3!$1:$23</definedName>
    <definedName name="_Order1" hidden="1">0</definedName>
    <definedName name="calcul">'[6]Calcul_B1.1'!$A$1:$L$37</definedName>
    <definedName name="de" localSheetId="25" hidden="1">'[4]Time series'!#REF!</definedName>
    <definedName name="de" hidden="1">'[4]Time series'!#REF!</definedName>
    <definedName name="dpogjr" localSheetId="25" hidden="1">'[4]Time series'!#REF!</definedName>
    <definedName name="dpogjr" hidden="1">'[4]Time series'!#REF!</definedName>
    <definedName name="ffff" localSheetId="25" hidden="1">'[7]Time series'!#REF!</definedName>
    <definedName name="ffff" hidden="1">'[7]Time series'!#REF!</definedName>
    <definedName name="fgfgfgf" localSheetId="25" hidden="1">'[7]Time series'!#REF!</definedName>
    <definedName name="fgfgfgf" hidden="1">'[7]Time series'!#REF!</definedName>
    <definedName name="ghfgf" localSheetId="25" hidden="1">'[4]Time series'!#REF!</definedName>
    <definedName name="ghfgf" hidden="1">'[4]Time series'!#REF!</definedName>
    <definedName name="gjgfgk" localSheetId="25" hidden="1">'[4]Time series'!#REF!</definedName>
    <definedName name="gjgfgk" hidden="1">'[4]Time series'!#REF!</definedName>
    <definedName name="help" localSheetId="25" hidden="1">'[4]Time series'!#REF!</definedName>
    <definedName name="help" hidden="1">'[4]Time series'!#REF!</definedName>
    <definedName name="hjjh" localSheetId="25" hidden="1">'[4]Time series'!#REF!</definedName>
    <definedName name="hjjh" hidden="1">'[4]Time series'!#REF!</definedName>
    <definedName name="jhhhg" localSheetId="25" hidden="1">'[4]Time series'!#REF!</definedName>
    <definedName name="jhhhg" hidden="1">'[4]Time series'!#REF!</definedName>
    <definedName name="POpula">[8]POpula!$A$1:$I$1559</definedName>
    <definedName name="sdakjkjsad" localSheetId="25" hidden="1">'[4]Time series'!#REF!</definedName>
    <definedName name="sdakjkjsad" hidden="1">'[4]Time series'!#REF!</definedName>
    <definedName name="SPSS">[9]Figure5.6!$B$2:$X$30</definedName>
    <definedName name="Table_I" localSheetId="25" hidden="1">'[4]Time series'!#REF!</definedName>
    <definedName name="Table_I" hidden="1">'[4]Time series'!#REF!</definedName>
    <definedName name="tabx" localSheetId="25"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test1" hidden="1">'[4]Time series'!#REF!</definedName>
    <definedName name="toto">[10]Data5.11a!$B$3:$C$34</definedName>
    <definedName name="wrn.Graf95_96." localSheetId="25"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25"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25" hidden="1">{"Page1",#N/A,FALSE,"ARA M&amp;F&amp;T";"Page2",#N/A,FALSE,"ARA M&amp;F&amp;T";"Page3",#N/A,FALSE,"ARA M&amp;F&amp;T"}</definedName>
    <definedName name="wrn.TabARA." hidden="1">{"Page1",#N/A,FALSE,"ARA M&amp;F&amp;T";"Page2",#N/A,FALSE,"ARA M&amp;F&amp;T";"Page3",#N/A,FALSE,"ARA M&amp;F&amp;T"}</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5" i="7" l="1"/>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alcChain>
</file>

<file path=xl/sharedStrings.xml><?xml version="1.0" encoding="utf-8"?>
<sst xmlns="http://schemas.openxmlformats.org/spreadsheetml/2006/main" count="8077" uniqueCount="310">
  <si>
    <t>TOC</t>
  </si>
  <si>
    <t>Volume II</t>
  </si>
  <si>
    <t>Chapter 5</t>
  </si>
  <si>
    <t>How do schools compensate for socio-economic disadvantage?</t>
  </si>
  <si>
    <t>Tables</t>
  </si>
  <si>
    <t>Table II.B1.5.1</t>
  </si>
  <si>
    <t>Results based on school principals' reports about the average size of language-of-instruction classes in the modal grade for 15-year-olds</t>
  </si>
  <si>
    <r>
      <t>All schools</t>
    </r>
    <r>
      <rPr>
        <b/>
        <vertAlign val="superscript"/>
        <sz val="10"/>
        <rFont val="Arial"/>
        <family val="2"/>
      </rPr>
      <t>1</t>
    </r>
  </si>
  <si>
    <r>
      <t>Average class size, by schools' socio-economic profile</t>
    </r>
    <r>
      <rPr>
        <b/>
        <vertAlign val="superscript"/>
        <sz val="10"/>
        <rFont val="Arial"/>
        <family val="2"/>
      </rPr>
      <t>3</t>
    </r>
  </si>
  <si>
    <t>Average class size, by type of school</t>
  </si>
  <si>
    <t>Sample size</t>
  </si>
  <si>
    <r>
      <t>Coverage</t>
    </r>
    <r>
      <rPr>
        <b/>
        <vertAlign val="superscript"/>
        <sz val="10"/>
        <rFont val="Arial"/>
        <family val="2"/>
      </rPr>
      <t>2</t>
    </r>
  </si>
  <si>
    <t>Average class size</t>
  </si>
  <si>
    <t>Percentiles of class size</t>
  </si>
  <si>
    <t>Variability in class size across schools</t>
  </si>
  <si>
    <t>Inter-decile range</t>
  </si>
  <si>
    <t>Bottom quarter</t>
  </si>
  <si>
    <t>Second quarter</t>
  </si>
  <si>
    <t>Third quarter</t>
  </si>
  <si>
    <t>Top  quarter</t>
  </si>
  <si>
    <t>Top - bottom quarter</t>
  </si>
  <si>
    <t>Public</t>
  </si>
  <si>
    <t>Private government-dependent</t>
  </si>
  <si>
    <t>Private independent</t>
  </si>
  <si>
    <r>
      <t>Private-Public</t>
    </r>
    <r>
      <rPr>
        <b/>
        <vertAlign val="superscript"/>
        <sz val="10"/>
        <rFont val="Arial"/>
        <family val="2"/>
      </rPr>
      <t>4</t>
    </r>
  </si>
  <si>
    <t>Number of schools</t>
  </si>
  <si>
    <t>%</t>
  </si>
  <si>
    <t>Mean</t>
  </si>
  <si>
    <t>S.E.</t>
  </si>
  <si>
    <t>10th</t>
  </si>
  <si>
    <t>Median (50th)</t>
  </si>
  <si>
    <t>90th</t>
  </si>
  <si>
    <t>I.D.R.</t>
  </si>
  <si>
    <t>Dif.</t>
  </si>
  <si>
    <t>m</t>
  </si>
  <si>
    <t>c</t>
  </si>
  <si>
    <t>w</t>
  </si>
  <si>
    <t xml:space="preserve">Information on data for Cyprus: https://oe.cd/cyprus-disclaimer                                 </t>
  </si>
  <si>
    <t>1. This analysis is limited to schools with information that includes the modal ISCED level for 15-year-old students.</t>
  </si>
  <si>
    <t>2. Coverage refers to the weighted share of students in the PISA sample who attend modal grade schools (see Table in Annex C1). It is equal to 100% if all schools in the PISA sample are included in the analysis and no student has a missing response. For countries with a low value in the coverage index, comparisons should be interpreted with caution.</t>
  </si>
  <si>
    <t>3. The socio-economic profile is measured by the school's average PISA index of economic, social and cultural status (ESCS).</t>
  </si>
  <si>
    <t>4. The calculation "Private-Public" is the difference between private government-dependent and independent schools combined, and public schools.</t>
  </si>
  <si>
    <t>Note: Values that are statistically significant are indicated in bold (see Annex A3).</t>
  </si>
  <si>
    <t>Private schools refer to schools managed directly or indirectly by a non-governmental organisation, such as a church, trade union, business or other private institution. Privately managed schools are classified as independent when at least 50% of the funding comes from private sources; they are classified as government-dependent when at least 50% of the funding comes from the government (including departments, local, regional, state and national). The classification is based on the school principal’s report.</t>
  </si>
  <si>
    <t>Table II.B1.5.2</t>
  </si>
  <si>
    <t>Student-teacher ratio, by school characteristics</t>
  </si>
  <si>
    <t>Results based on principals' reports</t>
  </si>
  <si>
    <r>
      <t>Number of students per teacher, by schools' socio-economic profile</t>
    </r>
    <r>
      <rPr>
        <b/>
        <vertAlign val="superscript"/>
        <sz val="10"/>
        <rFont val="Arial"/>
        <family val="2"/>
      </rPr>
      <t>4</t>
    </r>
  </si>
  <si>
    <t>Number of students per teacher, by type of school</t>
  </si>
  <si>
    <r>
      <t>Overall number of students per teacher</t>
    </r>
    <r>
      <rPr>
        <b/>
        <vertAlign val="superscript"/>
        <sz val="10"/>
        <rFont val="Arial"/>
        <family val="2"/>
      </rPr>
      <t>3</t>
    </r>
  </si>
  <si>
    <t>Third  quarter</t>
  </si>
  <si>
    <t>Number of teachers</t>
  </si>
  <si>
    <t>Ratio</t>
  </si>
  <si>
    <t>1. In this chapter, all analyses are restricted to schools with the modal ISCED level for 15-year-old students. Results may thus differ from those estimated on the entire sample of 15-year-old students.</t>
  </si>
  <si>
    <t>3. The overall number is computed as the sum of all students in the school divided by the sum of all teachers, across all schools included in this analysis.</t>
  </si>
  <si>
    <t>4. The socio-economic profile is measured by the school's average PISA index of economic, social and cultural status (ESCS).</t>
  </si>
  <si>
    <t>5. The calculation "Private-Public" is the difference between private government-dependent and independent schools combined, and public schools.</t>
  </si>
  <si>
    <t>Table II.B1.5.3</t>
  </si>
  <si>
    <t>Fully certified teachers, by school characteristics</t>
  </si>
  <si>
    <t>Fully certified by the appropriate authority; results based on principals' reports</t>
  </si>
  <si>
    <r>
      <t>Proportion of fully certified teachers, by schools' socio-economic profile</t>
    </r>
    <r>
      <rPr>
        <b/>
        <vertAlign val="superscript"/>
        <sz val="10"/>
        <rFont val="Arial"/>
        <family val="2"/>
      </rPr>
      <t>4</t>
    </r>
  </si>
  <si>
    <t>Proportion of fully certified teachers, by type of school</t>
  </si>
  <si>
    <r>
      <t>Overall proportion of fully certified teachers</t>
    </r>
    <r>
      <rPr>
        <b/>
        <vertAlign val="superscript"/>
        <sz val="10"/>
        <rFont val="Arial"/>
        <family val="2"/>
      </rPr>
      <t>3</t>
    </r>
  </si>
  <si>
    <t>% dif.</t>
  </si>
  <si>
    <t>3. The overall proportion is computed as the sum of fully certified teachers divided by the sum of all teachers, across all schools included in this analysis.</t>
  </si>
  <si>
    <t>Table II.B1.5.4</t>
  </si>
  <si>
    <t>Teachers with at least a master's degree, by school characteristics</t>
  </si>
  <si>
    <r>
      <t>Proportion of teachers with at least a master's degree, by schools' socio-economic profile</t>
    </r>
    <r>
      <rPr>
        <b/>
        <vertAlign val="superscript"/>
        <sz val="10"/>
        <rFont val="Arial"/>
        <family val="2"/>
      </rPr>
      <t>4</t>
    </r>
  </si>
  <si>
    <r>
      <t>Proportion of teachers with at least a master's degree,</t>
    </r>
    <r>
      <rPr>
        <b/>
        <vertAlign val="superscript"/>
        <sz val="10"/>
        <rFont val="Arial"/>
        <family val="2"/>
      </rPr>
      <t>6</t>
    </r>
    <r>
      <rPr>
        <b/>
        <sz val="10"/>
        <rFont val="Arial"/>
        <family val="2"/>
      </rPr>
      <t xml:space="preserve"> by type of school</t>
    </r>
  </si>
  <si>
    <r>
      <t>Overall proportion of teachers with at least a master's degree</t>
    </r>
    <r>
      <rPr>
        <b/>
        <vertAlign val="superscript"/>
        <sz val="10"/>
        <rFont val="Arial"/>
        <family val="2"/>
      </rPr>
      <t>3</t>
    </r>
  </si>
  <si>
    <r>
      <t>Private-Public</t>
    </r>
    <r>
      <rPr>
        <b/>
        <vertAlign val="superscript"/>
        <sz val="10"/>
        <rFont val="Arial"/>
        <family val="2"/>
      </rPr>
      <t>5</t>
    </r>
  </si>
  <si>
    <t>3. The overall proportion is computed as the sum of teachers with a &lt;ISCED Level 6&gt; qualification divided by the sum of all teachers, across all schools included in this analysis.</t>
  </si>
  <si>
    <t>5. The calculation "Private-Public" is the difference between private government-dependent and independent schools combined, and public schoold.</t>
  </si>
  <si>
    <t>6. Education levels corresponds to level 5A master’s degree and level 6 of the International Standard Classification of Education (ISCED-1997).</t>
  </si>
  <si>
    <t>Table II.B1.5.5</t>
  </si>
  <si>
    <t>Novice teachers, by school characteristics</t>
  </si>
  <si>
    <t>Teachers with less than five years of experience; results based on teachers' reports</t>
  </si>
  <si>
    <r>
      <t>Proportion of novice teachers, by schools' socio-economic profile</t>
    </r>
    <r>
      <rPr>
        <b/>
        <vertAlign val="superscript"/>
        <sz val="10"/>
        <rFont val="Arial"/>
        <family val="2"/>
      </rPr>
      <t>4</t>
    </r>
  </si>
  <si>
    <t>Proportion of novice teachers, by type of school</t>
  </si>
  <si>
    <r>
      <t>Average proportion of novice  teachers</t>
    </r>
    <r>
      <rPr>
        <b/>
        <vertAlign val="superscript"/>
        <sz val="10"/>
        <rFont val="Arial"/>
        <family val="2"/>
      </rPr>
      <t>3</t>
    </r>
  </si>
  <si>
    <t xml:space="preserve">% </t>
  </si>
  <si>
    <t>% dif</t>
  </si>
  <si>
    <t>3. The average proportion is computed as the proportion of novice teachers amongst all teachers in the school, averaged across all schools included in this analysis.</t>
  </si>
  <si>
    <t>Table II.B1.5.6</t>
  </si>
  <si>
    <t>Teachers and professional development activities, by school characteristics</t>
  </si>
  <si>
    <t>Teachers who attended a programme of professional development during the previous three months; results based on principals' reports</t>
  </si>
  <si>
    <t>Proportion of teachers who had attended a programme of professional development during the previous three months, by type of school</t>
  </si>
  <si>
    <t>Average proportion of teachers who had attended a programme of professional development during the previous three months</t>
  </si>
  <si>
    <t>Table II.B1.5.7</t>
  </si>
  <si>
    <t>Teacher absenteeism, by school characteristics</t>
  </si>
  <si>
    <t>Results based on school principals’ reports</t>
  </si>
  <si>
    <r>
      <t>Percentage of students in schools whose principal reported that the school's capacity to provide instruction is hindered at least to some extent by teacher absenteeism, by schools' socio-economic profile</t>
    </r>
    <r>
      <rPr>
        <b/>
        <vertAlign val="superscript"/>
        <sz val="10"/>
        <rFont val="Arial"/>
        <family val="2"/>
      </rPr>
      <t>3</t>
    </r>
  </si>
  <si>
    <t>Percentage of students in schools whose principal reported that the school's capacity to provide instruction is hindered at least to some extent by teacher absenteeism, by type of school</t>
  </si>
  <si>
    <t xml:space="preserve">Percentage of students in schools whose principal reported that the school's capacity to provide instruction is hindered at least to some extent by teacher absenteeism </t>
  </si>
  <si>
    <t>Table II.B1.5.8</t>
  </si>
  <si>
    <t>Teachers' satisfaction with their current job environment, by school characteristics</t>
  </si>
  <si>
    <t>Results based on teachers' reports</t>
  </si>
  <si>
    <r>
      <t>Average index of teachers' satisfaction with their current job environment, by schools' socio-economic profile</t>
    </r>
    <r>
      <rPr>
        <b/>
        <vertAlign val="superscript"/>
        <sz val="10"/>
        <rFont val="Arial"/>
        <family val="2"/>
      </rPr>
      <t>3</t>
    </r>
  </si>
  <si>
    <t>Average index of teachers' satisfaction with their current job environment, by type of school</t>
  </si>
  <si>
    <t>Average index of teachers' satisfaction with their current job environment</t>
  </si>
  <si>
    <t>Percentiles of index of teachers' satisfaction with their current job environment</t>
  </si>
  <si>
    <t>Variability in c index of teachers' satisfaction with their current job environment across schools</t>
  </si>
  <si>
    <t>Mean index</t>
  </si>
  <si>
    <t>Table II.B1.5.9</t>
  </si>
  <si>
    <t>Teachers' satisfaction with teaching profession, by school characteristics</t>
  </si>
  <si>
    <r>
      <t>Average index of teachers' satisfaction with teaching profession, by schools' socio-economic profile</t>
    </r>
    <r>
      <rPr>
        <b/>
        <vertAlign val="superscript"/>
        <sz val="10"/>
        <rFont val="Arial"/>
        <family val="2"/>
      </rPr>
      <t>3</t>
    </r>
  </si>
  <si>
    <t>Average index of teachers' satisfaction with teaching profession, by type of school</t>
  </si>
  <si>
    <t>Average index of teachers' satisfaction with teaching profession</t>
  </si>
  <si>
    <t>Percentiles of index of teachers' satisfaction with teaching profession</t>
  </si>
  <si>
    <t>Variability in c index of teachers' satisfaction with teaching profession across schools</t>
  </si>
  <si>
    <t>Table II.B1.5.10</t>
  </si>
  <si>
    <t>Teachers' self-efficacy in maintaining positive relations with students, by school characteristics</t>
  </si>
  <si>
    <r>
      <t>Average index of teachers' self-efficacy in maintaining positive relations with students, by schools' socio-economic profile</t>
    </r>
    <r>
      <rPr>
        <b/>
        <vertAlign val="superscript"/>
        <sz val="10"/>
        <rFont val="Arial"/>
        <family val="2"/>
      </rPr>
      <t>3</t>
    </r>
  </si>
  <si>
    <t>Average index of teachers' self-efficacy in maintaining positive relations with students, by type of school</t>
  </si>
  <si>
    <t>Average index of teachers' self-efficacy in maintaining positive relations with students</t>
  </si>
  <si>
    <t>Percentiles of index of teachers' self-efficacy in maintaining positive relations with students</t>
  </si>
  <si>
    <t>Variability in c index of teachers' self-efficacy in maintaining positive relations with students across schools</t>
  </si>
  <si>
    <t>Table II.B1.5.11</t>
  </si>
  <si>
    <t>Teachers' self-efficacy in classroom management, by school characteristics</t>
  </si>
  <si>
    <r>
      <t>Average index of teachers' self-efficacy in classroom management, by schools' socio-economic profile</t>
    </r>
    <r>
      <rPr>
        <b/>
        <vertAlign val="superscript"/>
        <sz val="10"/>
        <rFont val="Arial"/>
        <family val="2"/>
      </rPr>
      <t>3</t>
    </r>
  </si>
  <si>
    <t>Average index of teachers' self-efficacy in classroom management, by type of school</t>
  </si>
  <si>
    <t>Average index of teachers' self-efficacy in classroom management</t>
  </si>
  <si>
    <t>Percentiles of index of teachers' self-efficacy in classroom management</t>
  </si>
  <si>
    <t>Variability in c index of teachers' self-efficacy in classroom management across schools</t>
  </si>
  <si>
    <t>Table II.B1.5.12</t>
  </si>
  <si>
    <t>Teachers' self-efficacy in instructional settings, by school characteristics</t>
  </si>
  <si>
    <r>
      <t>Average index of teachers' self-efficacy in instructional settings, by schools' socio-economic profile</t>
    </r>
    <r>
      <rPr>
        <b/>
        <vertAlign val="superscript"/>
        <sz val="10"/>
        <rFont val="Arial"/>
        <family val="2"/>
      </rPr>
      <t>3</t>
    </r>
  </si>
  <si>
    <t>Average index of teachers' self-efficacy in instructional settings, by type of school</t>
  </si>
  <si>
    <t>Average index of teachers' self-efficacy in instructional settings</t>
  </si>
  <si>
    <t>Percentiles of index of teachers' self-efficacy in instructional settings</t>
  </si>
  <si>
    <t>Variability in c index of teachers' self-efficacy in instructional settings across schools</t>
  </si>
  <si>
    <t>Table II.B1.5.13</t>
  </si>
  <si>
    <t>Results based on school principals' reports</t>
  </si>
  <si>
    <r>
      <t>Average index of principals' views on staff shortage, by schools' socio-economic profile</t>
    </r>
    <r>
      <rPr>
        <b/>
        <vertAlign val="superscript"/>
        <sz val="10"/>
        <rFont val="Arial"/>
        <family val="2"/>
      </rPr>
      <t>3</t>
    </r>
  </si>
  <si>
    <t>Average index of principals' views on staff shortage, by type of school</t>
  </si>
  <si>
    <t>Average index of principals' views on staff shortage</t>
  </si>
  <si>
    <t>Percentiles of index of principals' views on staff shortage</t>
  </si>
  <si>
    <t>Variability in index of principals' views on staff shortage across schools</t>
  </si>
  <si>
    <t>Mean Index</t>
  </si>
  <si>
    <t>Table II.B1.5.14</t>
  </si>
  <si>
    <r>
      <t>Average index of principals' views on material shortage, by schools' socio-economic profile</t>
    </r>
    <r>
      <rPr>
        <b/>
        <vertAlign val="superscript"/>
        <sz val="10"/>
        <rFont val="Arial"/>
        <family val="2"/>
      </rPr>
      <t>3</t>
    </r>
  </si>
  <si>
    <t>Average index of principals' views on material shortage, by type of school</t>
  </si>
  <si>
    <t>Average index of principals' views on material shortage</t>
  </si>
  <si>
    <t>Percentiles of index of principals' views on material shortage</t>
  </si>
  <si>
    <t>Variability in index of principals' views on material shortage across schools</t>
  </si>
  <si>
    <t>Table II.B1.5.15</t>
  </si>
  <si>
    <t>Principals' views on lack of educational material, by school characteristics</t>
  </si>
  <si>
    <r>
      <t>Percentage of students in schools whose principal reported that the school's capacity to provide instruction is hindered at least to some extent by a lack of educational material, by schools' socio-economic profile</t>
    </r>
    <r>
      <rPr>
        <b/>
        <vertAlign val="superscript"/>
        <sz val="10"/>
        <rFont val="Arial"/>
        <family val="2"/>
      </rPr>
      <t>3</t>
    </r>
  </si>
  <si>
    <t>Percentage of students in schools whose principal reported that the school's capacity to provide instruction is hindered at least to some extent by a lack of educational material, by type of school</t>
  </si>
  <si>
    <t xml:space="preserve">Percentage of students in schools whose principal reported that the school's capacity to provide instruction is hindered at least to some extent by a lack of educational material </t>
  </si>
  <si>
    <t>Table II.B1.5.16</t>
  </si>
  <si>
    <t>Principals' views on lack of teaching staff, by school characteristics</t>
  </si>
  <si>
    <r>
      <t>Percentage of students in schools whose principal reported that the school's capacity to provide instruction is hindered at least to some extent by a lack of teaching staff, by schools' socio-economic profile</t>
    </r>
    <r>
      <rPr>
        <b/>
        <vertAlign val="superscript"/>
        <sz val="10"/>
        <rFont val="Arial"/>
        <family val="2"/>
      </rPr>
      <t>3</t>
    </r>
  </si>
  <si>
    <t>Percentage of students in schools whose principal reported that the school's capacity to provide instruction is hindered at least to some extent by a lack of teaching staff, by type of school</t>
  </si>
  <si>
    <t>Percentage of students in schools whose principal reported that the school's capacity to provide instruction is hindered by a lack of teaching staff at least to some extent</t>
  </si>
  <si>
    <t>Table II.B1.5.17</t>
  </si>
  <si>
    <t>Principals' negative views on educational material, by school characteristics</t>
  </si>
  <si>
    <t>Table II.B1.5.18</t>
  </si>
  <si>
    <t>Principals' views on lack of physical infrastructure, by school characteristics</t>
  </si>
  <si>
    <r>
      <t>Percentage of students in schools whose principal reported that the school's capacity to provide instruction is hindered at least to some extent by a lack of physical infrastructure, by schools' socio-economic profile</t>
    </r>
    <r>
      <rPr>
        <b/>
        <vertAlign val="superscript"/>
        <sz val="10"/>
        <rFont val="Arial"/>
        <family val="2"/>
      </rPr>
      <t>3</t>
    </r>
  </si>
  <si>
    <t>Percentage of students in schools whose principal reported that the school's capacity to provide instruction is hindered at least to some extent by a lack of physical infrastructure, by type of school</t>
  </si>
  <si>
    <t xml:space="preserve">Percentage of students in schools whose principal reported that the school's capacity to provide instruction is hindered at least to some extent by a lack of physical infrastructure </t>
  </si>
  <si>
    <t>Table II.B1.5.19</t>
  </si>
  <si>
    <t>Principals' negative views on teaching staff, by school characteristics</t>
  </si>
  <si>
    <r>
      <t>Percentage of students in schools whose principal reported that the school's capacity to provide instruction is hindered at least to some extent by an inadequate or poorly qualified teaching staff, by schools' socio-economic profile</t>
    </r>
    <r>
      <rPr>
        <b/>
        <vertAlign val="superscript"/>
        <sz val="10"/>
        <rFont val="Arial"/>
        <family val="2"/>
      </rPr>
      <t>3</t>
    </r>
  </si>
  <si>
    <t>Percentage of students in schools whose principal reported that the school's capacity to provide instruction is hindered at least to some extent by an inadequate or poorly qualified teaching staff, by type of school</t>
  </si>
  <si>
    <t xml:space="preserve">Percentage of students in schools whose principal reported that the school's capacity to provide instruction is hindered at least to some extent by an inadequate or poorly qualified teaching staff </t>
  </si>
  <si>
    <t>Table II.B1.5.20</t>
  </si>
  <si>
    <t>Principals' views on lack of assisting staff, by school characteristics</t>
  </si>
  <si>
    <r>
      <t>Percentage of students in schools whose principal reported that the school's capacity to provide instruction is hindered at least to some extent by a lack of assisting staff, by schools' socio-economic profile</t>
    </r>
    <r>
      <rPr>
        <b/>
        <vertAlign val="superscript"/>
        <sz val="10"/>
        <rFont val="Arial"/>
        <family val="2"/>
      </rPr>
      <t>3</t>
    </r>
  </si>
  <si>
    <t>Percentage of students in schools whose principal reported that the school's capacity to provide instruction is hindered at least to some extent by a lack of assisting staff, by type of school</t>
  </si>
  <si>
    <t xml:space="preserve">Percentage of students in schools whose principal reported that the school's capacity to provide instruction is hindered at least to some extent by a lack of assisting staff </t>
  </si>
  <si>
    <t>Table II.B1.5.21</t>
  </si>
  <si>
    <t>Principals' negative views on assisting staff, by school characteristics</t>
  </si>
  <si>
    <t>Results based on school principals’ self-reports</t>
  </si>
  <si>
    <r>
      <t>Percentage of students in schools whose principal reported that the school's capacity to provide instruction is hindered at least to some extent by an inadequate or poorly qualified assisting staff, by schools' socio-economic profile</t>
    </r>
    <r>
      <rPr>
        <b/>
        <vertAlign val="superscript"/>
        <sz val="10"/>
        <rFont val="Arial"/>
        <family val="2"/>
      </rPr>
      <t>3</t>
    </r>
  </si>
  <si>
    <t>Percentage of students in schools whose principal reported that the school's capacity to provide instruction is hindered at least to some extent by an inadequate or poorly qualified assisting staff, by type of school</t>
  </si>
  <si>
    <t xml:space="preserve">Percentage of students in schools whose principal reported that the school's capacity to provide instruction is hindered at least to some extent by an inadequate or poorly qualified assisting staff </t>
  </si>
  <si>
    <t>Table II.B1.5.22</t>
  </si>
  <si>
    <t>Principals' negative views on physical infrastructure, by school characteristics</t>
  </si>
  <si>
    <t>Table II.B1.5.23</t>
  </si>
  <si>
    <t>Teachers not being well prepared for classes, by school characteristics</t>
  </si>
  <si>
    <r>
      <t>Percentage of students in schools whose principal reported that the school's capacity to provide instruction is hindered at least to some extent by teachers not being well prepared, by schools' socio-economic profile</t>
    </r>
    <r>
      <rPr>
        <b/>
        <vertAlign val="superscript"/>
        <sz val="10"/>
        <rFont val="Arial"/>
        <family val="2"/>
      </rPr>
      <t>3</t>
    </r>
  </si>
  <si>
    <t>Percentage of students in schools whose principal reported that the school's capacity to provide instruction is hindered at least to some extent by teachers not being well prepared, by type of school</t>
  </si>
  <si>
    <t xml:space="preserve">Percentage of students in schools whose principal reported that the school's capacity to provide instruction is hindered at least to some extent by teachers not being well prepared </t>
  </si>
  <si>
    <t>Table II.B1.5.24</t>
  </si>
  <si>
    <t>Teacher training, by school characteristics</t>
  </si>
  <si>
    <t>Teachers who originally trained to become teachers; results based on teachers' reports</t>
  </si>
  <si>
    <r>
      <t>Proportion of teachers who originally trained to become teachers, by schools' socio-economic profile</t>
    </r>
    <r>
      <rPr>
        <b/>
        <vertAlign val="superscript"/>
        <sz val="10"/>
        <rFont val="Arial"/>
        <family val="2"/>
      </rPr>
      <t>4</t>
    </r>
  </si>
  <si>
    <t>Proportion of teachers who originally trained to become teachers, by type of school</t>
  </si>
  <si>
    <r>
      <t>Average proportion of teachers who originally trained to become teachers</t>
    </r>
    <r>
      <rPr>
        <b/>
        <vertAlign val="superscript"/>
        <sz val="10"/>
        <rFont val="Arial"/>
        <family val="2"/>
      </rPr>
      <t>3</t>
    </r>
  </si>
  <si>
    <t>3. The average proportion is computed as the proportion of teachers who originally trained to become teachers amongst all teachers in the school, averaged across all schools included in this analysis.</t>
  </si>
  <si>
    <t>Table II.B1.5.25</t>
  </si>
  <si>
    <t>Teachers who participated in selected professional development activities, by school characteristics</t>
  </si>
  <si>
    <r>
      <t>Average proportion of teachers</t>
    </r>
    <r>
      <rPr>
        <b/>
        <vertAlign val="superscript"/>
        <sz val="10"/>
        <rFont val="Arial"/>
        <family val="2"/>
      </rPr>
      <t>1</t>
    </r>
    <r>
      <rPr>
        <b/>
        <sz val="10"/>
        <rFont val="Arial"/>
        <family val="2"/>
      </rPr>
      <t xml:space="preserve"> who participated in the following professional development activities during the previous 12 months:</t>
    </r>
  </si>
  <si>
    <t>Courses/workshops (e.g. on subject matter or methods
and/or other education-related topics)</t>
  </si>
  <si>
    <t>Education conferences or seminars (where teachers
and/or researchers present their research results and
discuss educational issues)</t>
  </si>
  <si>
    <t>Observation visits to other schools</t>
  </si>
  <si>
    <t>Observation visits to business premises, public
organisations, non-governmental organisations</t>
  </si>
  <si>
    <t>In-service training courses in business premises, public
organisations, non-governmental organisations</t>
  </si>
  <si>
    <t>At least one of the professional activities</t>
  </si>
  <si>
    <t>Note: This analysis is limited to schools with information that includes the modal ISCED level for 15-year-old students.</t>
  </si>
  <si>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</si>
  <si>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</si>
  <si>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</si>
  <si>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</si>
  <si>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</si>
  <si>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</si>
  <si>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</si>
  <si>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</si>
  <si>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</si>
  <si>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</si>
  <si>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</si>
  <si>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</si>
  <si>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</si>
  <si>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</si>
  <si>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</si>
  <si>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</si>
  <si>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</si>
  <si>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</si>
  <si>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</si>
  <si>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</si>
  <si>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</si>
  <si>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</si>
  <si>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</si>
  <si>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</si>
  <si>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</si>
  <si>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</si>
  <si>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</si>
  <si>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</si>
  <si>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</si>
  <si>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</si>
  <si>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</si>
  <si>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</si>
  <si>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</si>
  <si>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</si>
  <si>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</si>
  <si>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</si>
  <si>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</si>
  <si>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</si>
  <si>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</si>
  <si>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</si>
  <si>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</si>
  <si>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</si>
  <si>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</si>
  <si>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</si>
  <si>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</si>
  <si>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</si>
  <si>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</si>
  <si>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</si>
  <si>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</si>
  <si>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</si>
  <si>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</si>
  <si>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</si>
  <si>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</si>
  <si>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</si>
  <si>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</si>
  <si>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</si>
  <si>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</si>
  <si>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</si>
  <si>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</si>
  <si>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</si>
  <si>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</si>
  <si>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</si>
  <si>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</si>
  <si>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</si>
  <si>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</si>
  <si>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</si>
  <si>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</si>
  <si>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</si>
  <si>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</si>
  <si>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</si>
  <si>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</si>
  <si>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</si>
  <si>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</si>
  <si>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</si>
  <si>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</si>
  <si>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</si>
  <si>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</si>
  <si>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</si>
  <si>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Symbols for missing data</t>
  </si>
  <si>
    <t>c: There were too few observations to provide reliable estimates (i.e. there were fewer than 30 students or fewer than 5 schools with valid data).</t>
  </si>
  <si>
    <t>m: Data are not available. There was no observation in the sample; these data were not collected by the country; or these data were collected but subsequently removed from the publication for technical reasons.</t>
  </si>
  <si>
    <t>w: Results were withdrawn at the request of the country concerned.</t>
  </si>
  <si>
    <t>OECD averages</t>
  </si>
  <si>
    <t>Arithmetic mean across all OECD countries.</t>
  </si>
  <si>
    <t>Information on data for Cyprus: https://oe.cd/cyprus-disclaimer</t>
  </si>
  <si>
    <t>Note</t>
  </si>
  <si>
    <t>Variation in class size, by school characteristics</t>
  </si>
  <si>
    <t>Variation in principals' views on staff shortage, by school characteristics</t>
  </si>
  <si>
    <t>Variation in principals' views on material shortage, by school characteristics</t>
  </si>
  <si>
    <t xml:space="preserve">Percentage of students in schools whose principal reported that the school's capacity to provide instruction is hindered at least to some extent by an inadequate or poorly educational material </t>
  </si>
  <si>
    <t>Percentage of students in schools whose principal reported that the school's capacity to provide instruction is hindered at least to some extentby an inadequate or poorly educational material, by type of school</t>
  </si>
  <si>
    <t xml:space="preserve">Percentage of students in schools whose principal reported that the school's capacity to provide instruction is hindered at least to some extent by an inadequate or poorly physical infrastructure </t>
  </si>
  <si>
    <t>Percentage of students in schools whose principal reported that the school's capacity to provide instruction is hindered at least to some extent by an inadequate or poorly physical infrastructure, by type of school</t>
  </si>
  <si>
    <r>
      <t>Percentage of students in schools whose principal reported that the school's capacity to provide instruction is hindered at least to some extent by an inadequate or poorly physical infrastructure, by schools' socio-economic profile</t>
    </r>
    <r>
      <rPr>
        <b/>
        <vertAlign val="superscript"/>
        <sz val="10"/>
        <rFont val="Arial"/>
        <family val="2"/>
      </rPr>
      <t>3</t>
    </r>
  </si>
  <si>
    <r>
      <t>Percentage of students in schools whose principal reported that the school's capacity to provide instruction is hindered at least to some extent by an inadequate or poorly educational material, by schools' socio-economic profile</t>
    </r>
    <r>
      <rPr>
        <b/>
        <vertAlign val="superscript"/>
        <sz val="10"/>
        <rFont val="Arial"/>
        <family val="2"/>
      </rPr>
      <t>3</t>
    </r>
  </si>
  <si>
    <t>Scotland (United Kingdom)</t>
  </si>
  <si>
    <t>OECD average-37</t>
  </si>
  <si>
    <t>*Honk Kong (China), Netherlands, Portugal and United States: Data did not meet the PISA technical standards but were accepted as largely comparable (see Annexes A2 and A4).</t>
  </si>
  <si>
    <t>Netherlands*</t>
  </si>
  <si>
    <t>Portugal*</t>
  </si>
  <si>
    <t>United States*</t>
  </si>
  <si>
    <t>Hong Kong (China)*</t>
  </si>
  <si>
    <r>
      <t>Proportion of teachers who had attended a programme of professional development during the previous three months, by schools' socio-economic profile</t>
    </r>
    <r>
      <rPr>
        <b/>
        <vertAlign val="superscript"/>
        <sz val="10"/>
        <rFont val="Arial"/>
        <family val="2"/>
      </rPr>
      <t>3</t>
    </r>
  </si>
  <si>
    <t>PISA 2018 Results (Volume II) - © OECD 2019</t>
  </si>
  <si>
    <t>Annex B1</t>
  </si>
  <si>
    <t>Annex B1.5 Results (tables): How do schools compensate for socio-economic disadvantage?</t>
  </si>
  <si>
    <t>Version 2 - Last updated: 02-Dec-2019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</si>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</sst>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00"/>
    <numFmt numFmtId="167" formatCode="\(0.000\)"/>
  </numFmts>
  <fonts count="11" x14ac:knownFonts="1">
    <font>
      <sz val="10"/>
      <color theme="1"/>
      <name val="Arial"/>
      <family val="2"/>
    </font>
    <font>
      <b/>
      <sz val="10"/>
      <name val="Arial"/>
      <family val="2"/>
    </font>
    <font>
      <sz val="10"/>
      <name val="Arial"/>
      <family val="2"/>
    </font>
    <font>
      <i/>
      <sz val="10"/>
      <name val="Arial"/>
      <family val="2"/>
    </font>
    <font>
      <b/>
      <vertAlign val="superscript"/>
      <sz val="10"/>
      <name val="Arial"/>
      <family val="2"/>
    </font>
    <font>
      <u/>
      <sz val="10"/>
      <color theme="10"/>
      <name val="Arial"/>
      <family val="2"/>
    </font>
    <font>
      <sz val="10"/>
      <color theme="1"/>
      <name val="Arial"/>
      <family val="2"/>
    </font>
    <font>
      <b/>
      <i/>
      <sz val="10"/>
      <name val="Arial"/>
      <family val="2"/>
    </font>
    <font>
      <sz val="10"/>
      <color rgb="FFFF0000"/>
      <name val="Arial"/>
      <family val="2"/>
    </font>
    <font>
      <b/>
      <sz val="10"/>
      <color theme="1"/>
      <name val="Arial"/>
      <family val="2"/>
    </font>
    <font>
      <sz val="10"/>
      <color rgb="FF010000"/>
      <name val="Arial"/>
      <family val="2"/>
    </font>
  </fonts>
  <fills count="5">
    <fill>
      <patternFill patternType="none"/>
    </fill>
    <fill>
      <patternFill patternType="gray125"/>
    </fill>
    <fill>
      <patternFill patternType="solid">
        <fgColor theme="0"/>
        <bgColor indexed="64"/>
      </patternFill>
    </fill>
    <fill>
      <patternFill patternType="solid">
        <fgColor rgb="FFFFFF99"/>
        <bgColor indexed="64"/>
      </patternFill>
    </fill>
    <fill>
      <patternFill patternType="solid">
        <fgColor indexed="9"/>
        <bgColor indexed="64"/>
      </patternFill>
    </fill>
  </fills>
  <borders count="61">
    <border>
      <left/>
      <right/>
      <top/>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77111117893"/>
      </left>
      <right/>
      <top style="thin">
        <color indexed="64"/>
      </top>
      <bottom style="thin">
        <color indexed="64"/>
      </bottom>
      <diagonal/>
    </border>
    <border>
      <left/>
      <right style="thin">
        <color indexed="22"/>
      </right>
      <top style="thin">
        <color indexed="64"/>
      </top>
      <bottom style="thin">
        <color indexed="64"/>
      </bottom>
      <diagonal/>
    </border>
    <border>
      <left style="thin">
        <color indexed="22"/>
      </left>
      <right/>
      <top style="thin">
        <color indexed="64"/>
      </top>
      <bottom style="thin">
        <color indexed="64"/>
      </bottom>
      <diagonal/>
    </border>
    <border>
      <left style="thin">
        <color theme="0" tint="-0.24994659260841701"/>
      </left>
      <right/>
      <top style="thin">
        <color indexed="64"/>
      </top>
      <bottom style="thin">
        <color indexed="64"/>
      </bottom>
      <diagonal/>
    </border>
    <border>
      <left style="thin">
        <color indexed="22"/>
      </left>
      <right/>
      <top style="thin">
        <color indexed="64"/>
      </top>
      <bottom/>
      <diagonal/>
    </border>
    <border>
      <left/>
      <right style="thin">
        <color indexed="22"/>
      </right>
      <top style="thin">
        <color indexed="64"/>
      </top>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theme="0" tint="-0.14996795556505021"/>
      </left>
      <right/>
      <top style="thin">
        <color indexed="64"/>
      </top>
      <bottom style="thin">
        <color indexed="64"/>
      </bottom>
      <diagonal/>
    </border>
    <border>
      <left/>
      <right style="thin">
        <color theme="0" tint="-0.14996795556505021"/>
      </right>
      <top style="thin">
        <color indexed="64"/>
      </top>
      <bottom style="thin">
        <color indexed="64"/>
      </bottom>
      <diagonal/>
    </border>
    <border>
      <left/>
      <right style="thin">
        <color theme="0" tint="-0.14993743705557422"/>
      </right>
      <top style="thin">
        <color indexed="64"/>
      </top>
      <bottom style="thin">
        <color indexed="64"/>
      </bottom>
      <diagonal/>
    </border>
    <border>
      <left style="medium">
        <color indexed="64"/>
      </left>
      <right/>
      <top style="thin">
        <color indexed="64"/>
      </top>
      <bottom/>
      <diagonal/>
    </border>
    <border>
      <left style="thin">
        <color theme="0" tint="-0.14996795556505021"/>
      </left>
      <right/>
      <top style="thin">
        <color indexed="64"/>
      </top>
      <bottom/>
      <diagonal/>
    </border>
    <border>
      <left/>
      <right style="thin">
        <color theme="0" tint="-0.14996795556505021"/>
      </right>
      <top style="thin">
        <color indexed="64"/>
      </top>
      <bottom/>
      <diagonal/>
    </border>
    <border>
      <left/>
      <right style="thin">
        <color theme="0" tint="-0.14993743705557422"/>
      </right>
      <top style="thin">
        <color indexed="64"/>
      </top>
      <bottom/>
      <diagonal/>
    </border>
    <border>
      <left/>
      <right style="medium">
        <color indexed="64"/>
      </right>
      <top style="thin">
        <color indexed="64"/>
      </top>
      <bottom/>
      <diagonal/>
    </border>
    <border>
      <left style="medium">
        <color indexed="64"/>
      </left>
      <right/>
      <top/>
      <bottom/>
      <diagonal/>
    </border>
    <border>
      <left style="thin">
        <color indexed="64"/>
      </left>
      <right/>
      <top/>
      <bottom/>
      <diagonal/>
    </border>
    <border>
      <left/>
      <right style="thin">
        <color indexed="64"/>
      </right>
      <top/>
      <bottom/>
      <diagonal/>
    </border>
    <border>
      <left style="thin">
        <color theme="0" tint="-0.14996795556505021"/>
      </left>
      <right/>
      <top/>
      <bottom/>
      <diagonal/>
    </border>
    <border>
      <left/>
      <right style="thin">
        <color theme="0" tint="-0.14996795556505021"/>
      </right>
      <top/>
      <bottom/>
      <diagonal/>
    </border>
    <border>
      <left/>
      <right style="thin">
        <color theme="0" tint="-0.14993743705557422"/>
      </right>
      <top/>
      <bottom/>
      <diagonal/>
    </border>
    <border>
      <left/>
      <right style="medium">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theme="0" tint="-0.14996795556505021"/>
      </left>
      <right/>
      <top/>
      <bottom style="medium">
        <color indexed="64"/>
      </bottom>
      <diagonal/>
    </border>
    <border>
      <left/>
      <right style="thin">
        <color theme="0" tint="-0.14996795556505021"/>
      </right>
      <top/>
      <bottom style="medium">
        <color indexed="64"/>
      </bottom>
      <diagonal/>
    </border>
    <border>
      <left/>
      <right style="thin">
        <color theme="0" tint="-0.14993743705557422"/>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theme="0" tint="-0.14996795556505021"/>
      </left>
      <right style="thin">
        <color indexed="64"/>
      </right>
      <top style="thin">
        <color indexed="64"/>
      </top>
      <bottom style="thin">
        <color indexed="64"/>
      </bottom>
      <diagonal/>
    </border>
    <border>
      <left style="thin">
        <color theme="0" tint="-0.14996795556505021"/>
      </left>
      <right style="thin">
        <color indexed="64"/>
      </right>
      <top/>
      <bottom/>
      <diagonal/>
    </border>
    <border>
      <left style="thin">
        <color theme="0" tint="-0.14996795556505021"/>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style="thin">
        <color theme="0" tint="-0.14996795556505021"/>
      </left>
      <right style="thin">
        <color indexed="64"/>
      </right>
      <top style="thin">
        <color indexed="64"/>
      </top>
      <bottom/>
      <diagonal/>
    </border>
  </borders>
  <cellStyleXfs count="11">
    <xf numFmtId="0" fontId="0" fillId="0" borderId="0"/>
    <xf numFmtId="0" fontId="2" fillId="0" borderId="0"/>
    <xf numFmtId="0" fontId="2" fillId="0" borderId="0"/>
    <xf numFmtId="0" fontId="5" fillId="0" borderId="0" applyNumberFormat="0" applyFill="0" applyBorder="0" applyAlignment="0" applyProtection="0"/>
    <xf numFmtId="0" fontId="2" fillId="0" borderId="0"/>
    <xf numFmtId="0" fontId="2" fillId="0" borderId="0"/>
    <xf numFmtId="0" fontId="2" fillId="0" borderId="0"/>
    <xf numFmtId="0" fontId="6" fillId="0" borderId="0"/>
    <xf numFmtId="0" fontId="6" fillId="0" borderId="0"/>
    <xf numFmtId="0" fontId="2" fillId="0" borderId="0" applyNumberFormat="0" applyFill="0" applyBorder="0" applyAlignment="0" applyProtection="0"/>
    <xf numFmtId="0" fontId="2" fillId="0" borderId="0"/>
  </cellStyleXfs>
  <cellXfs count="242">
    <xf numFmtId="0" fontId="0" fillId="0" borderId="0" xfId="0"/>
    <xf numFmtId="0" fontId="1" fillId="0" borderId="0" xfId="0" applyFont="1" applyAlignment="1"/>
    <xf numFmtId="164" fontId="2" fillId="0" borderId="0" xfId="1" applyNumberFormat="1" applyFont="1" applyFill="1" applyBorder="1" applyAlignment="1">
      <alignment horizontal="center"/>
    </xf>
    <xf numFmtId="165" fontId="2" fillId="0" borderId="0" xfId="1" applyNumberFormat="1" applyFont="1" applyFill="1" applyBorder="1" applyAlignment="1">
      <alignment horizontal="center"/>
    </xf>
    <xf numFmtId="0" fontId="2" fillId="0" borderId="0" xfId="0" applyFont="1"/>
    <xf numFmtId="0" fontId="1" fillId="0" borderId="0" xfId="1" applyFont="1" applyAlignment="1"/>
    <xf numFmtId="0" fontId="3" fillId="2" borderId="0" xfId="0" applyFont="1" applyFill="1" applyAlignment="1"/>
    <xf numFmtId="0" fontId="1" fillId="0" borderId="0" xfId="1" applyFont="1" applyBorder="1" applyAlignment="1"/>
    <xf numFmtId="164" fontId="1" fillId="0" borderId="0" xfId="1" applyNumberFormat="1" applyFont="1" applyAlignment="1">
      <alignment horizontal="center"/>
    </xf>
    <xf numFmtId="165" fontId="1" fillId="0" borderId="0" xfId="1" applyNumberFormat="1" applyFont="1" applyAlignment="1">
      <alignment horizontal="center"/>
    </xf>
    <xf numFmtId="0" fontId="2" fillId="0" borderId="0" xfId="0" applyFont="1" applyAlignment="1">
      <alignment horizontal="left"/>
    </xf>
    <xf numFmtId="164" fontId="2" fillId="0" borderId="0" xfId="0" applyNumberFormat="1" applyFont="1" applyBorder="1"/>
    <xf numFmtId="165" fontId="2" fillId="0" borderId="0" xfId="0" applyNumberFormat="1" applyFont="1" applyBorder="1"/>
    <xf numFmtId="165" fontId="2" fillId="0" borderId="39" xfId="0" applyNumberFormat="1" applyFont="1" applyBorder="1"/>
    <xf numFmtId="165" fontId="2" fillId="0" borderId="37" xfId="0" applyNumberFormat="1" applyFont="1" applyBorder="1"/>
    <xf numFmtId="164" fontId="2" fillId="0" borderId="38" xfId="0" applyNumberFormat="1" applyFont="1" applyBorder="1"/>
    <xf numFmtId="164" fontId="2" fillId="0" borderId="36" xfId="0" applyNumberFormat="1" applyFont="1" applyBorder="1"/>
    <xf numFmtId="165" fontId="2" fillId="0" borderId="41" xfId="0" applyNumberFormat="1" applyFont="1" applyBorder="1"/>
    <xf numFmtId="2" fontId="2" fillId="0" borderId="35" xfId="2" applyNumberFormat="1" applyFont="1" applyFill="1" applyBorder="1" applyAlignment="1">
      <alignment horizontal="left" vertical="center" wrapText="1"/>
    </xf>
    <xf numFmtId="164" fontId="2" fillId="0" borderId="37" xfId="2" applyNumberFormat="1" applyFont="1" applyFill="1" applyBorder="1" applyAlignment="1">
      <alignment horizontal="right" vertical="center" wrapText="1"/>
    </xf>
    <xf numFmtId="164" fontId="2" fillId="0" borderId="0" xfId="2" applyNumberFormat="1" applyFont="1" applyFill="1" applyBorder="1" applyAlignment="1">
      <alignment horizontal="right" vertical="center" wrapText="1"/>
    </xf>
    <xf numFmtId="165" fontId="2" fillId="0" borderId="0" xfId="2" applyNumberFormat="1" applyFont="1" applyFill="1" applyBorder="1" applyAlignment="1">
      <alignment horizontal="right" vertical="center" wrapText="1"/>
    </xf>
    <xf numFmtId="165" fontId="2" fillId="0" borderId="39" xfId="2" applyNumberFormat="1" applyFont="1" applyFill="1" applyBorder="1" applyAlignment="1">
      <alignment horizontal="right" vertical="center" wrapText="1"/>
    </xf>
    <xf numFmtId="165" fontId="2" fillId="0" borderId="37" xfId="2" applyNumberFormat="1" applyFont="1" applyFill="1" applyBorder="1" applyAlignment="1">
      <alignment horizontal="right" vertical="center" wrapText="1"/>
    </xf>
    <xf numFmtId="164" fontId="2" fillId="0" borderId="38" xfId="2" applyNumberFormat="1" applyFont="1" applyFill="1" applyBorder="1" applyAlignment="1">
      <alignment horizontal="right" vertical="center" wrapText="1"/>
    </xf>
    <xf numFmtId="165" fontId="2" fillId="0" borderId="40" xfId="2" applyNumberFormat="1" applyFont="1" applyFill="1" applyBorder="1" applyAlignment="1">
      <alignment horizontal="right" vertical="center" wrapText="1"/>
    </xf>
    <xf numFmtId="165" fontId="2" fillId="0" borderId="41" xfId="2" applyNumberFormat="1" applyFont="1" applyFill="1" applyBorder="1" applyAlignment="1">
      <alignment horizontal="right" vertical="center" wrapText="1"/>
    </xf>
    <xf numFmtId="0" fontId="2" fillId="2" borderId="0" xfId="2" applyFont="1" applyFill="1" applyAlignment="1">
      <alignment horizontal="left"/>
    </xf>
    <xf numFmtId="2" fontId="2" fillId="3" borderId="1" xfId="2" applyNumberFormat="1" applyFont="1" applyFill="1" applyBorder="1" applyAlignment="1">
      <alignment horizontal="left" vertical="center"/>
    </xf>
    <xf numFmtId="0" fontId="1" fillId="3" borderId="3" xfId="2" applyFont="1" applyFill="1" applyBorder="1" applyAlignment="1">
      <alignment vertical="center" wrapText="1"/>
    </xf>
    <xf numFmtId="0" fontId="1" fillId="3" borderId="4" xfId="2" applyFont="1" applyFill="1" applyBorder="1" applyAlignment="1">
      <alignment vertical="center" wrapText="1"/>
    </xf>
    <xf numFmtId="2" fontId="2" fillId="3" borderId="8" xfId="2" applyNumberFormat="1" applyFont="1" applyFill="1" applyBorder="1" applyAlignment="1">
      <alignment horizontal="left" vertical="center"/>
    </xf>
    <xf numFmtId="2" fontId="2" fillId="3" borderId="8" xfId="2" applyNumberFormat="1" applyFont="1" applyFill="1" applyBorder="1" applyAlignment="1">
      <alignment horizontal="left" vertical="center" wrapText="1"/>
    </xf>
    <xf numFmtId="2" fontId="2" fillId="3" borderId="26" xfId="2" applyNumberFormat="1" applyFont="1" applyFill="1" applyBorder="1" applyAlignment="1">
      <alignment horizontal="center" wrapText="1"/>
    </xf>
    <xf numFmtId="0" fontId="2" fillId="3" borderId="18" xfId="2" applyFont="1" applyFill="1" applyBorder="1" applyAlignment="1">
      <alignment horizontal="center" wrapText="1"/>
    </xf>
    <xf numFmtId="0" fontId="2" fillId="3" borderId="17" xfId="2" applyFont="1" applyFill="1" applyBorder="1" applyAlignment="1">
      <alignment horizontal="center" wrapText="1"/>
    </xf>
    <xf numFmtId="0" fontId="2" fillId="3" borderId="12" xfId="2" applyFont="1" applyFill="1" applyBorder="1" applyAlignment="1">
      <alignment horizontal="center" wrapText="1"/>
    </xf>
    <xf numFmtId="165" fontId="2" fillId="3" borderId="18" xfId="2" applyNumberFormat="1" applyFont="1" applyFill="1" applyBorder="1" applyAlignment="1">
      <alignment horizontal="center" wrapText="1"/>
    </xf>
    <xf numFmtId="165" fontId="2" fillId="3" borderId="27" xfId="2" applyNumberFormat="1" applyFont="1" applyFill="1" applyBorder="1" applyAlignment="1">
      <alignment horizontal="center" wrapText="1"/>
    </xf>
    <xf numFmtId="0" fontId="2" fillId="3" borderId="28" xfId="2" applyFont="1" applyFill="1" applyBorder="1" applyAlignment="1">
      <alignment horizontal="center" wrapText="1"/>
    </xf>
    <xf numFmtId="165" fontId="2" fillId="3" borderId="12" xfId="2" applyNumberFormat="1" applyFont="1" applyFill="1" applyBorder="1" applyAlignment="1">
      <alignment horizontal="center" wrapText="1"/>
    </xf>
    <xf numFmtId="2" fontId="2" fillId="3" borderId="19" xfId="2" applyNumberFormat="1" applyFont="1" applyFill="1" applyBorder="1" applyAlignment="1">
      <alignment horizontal="center" wrapText="1"/>
    </xf>
    <xf numFmtId="2" fontId="2" fillId="3" borderId="17" xfId="2" applyNumberFormat="1" applyFont="1" applyFill="1" applyBorder="1" applyAlignment="1">
      <alignment horizontal="center" wrapText="1"/>
    </xf>
    <xf numFmtId="0" fontId="2" fillId="3" borderId="20" xfId="2" applyFont="1" applyFill="1" applyBorder="1" applyAlignment="1">
      <alignment horizontal="center" wrapText="1"/>
    </xf>
    <xf numFmtId="0" fontId="2" fillId="3" borderId="27" xfId="2" applyFont="1" applyFill="1" applyBorder="1" applyAlignment="1">
      <alignment horizontal="center" wrapText="1"/>
    </xf>
    <xf numFmtId="0" fontId="2" fillId="3" borderId="29" xfId="2" applyFont="1" applyFill="1" applyBorder="1" applyAlignment="1">
      <alignment horizontal="center" wrapText="1"/>
    </xf>
    <xf numFmtId="0" fontId="2" fillId="3" borderId="25" xfId="2" applyFont="1" applyFill="1" applyBorder="1" applyAlignment="1">
      <alignment horizontal="center" wrapText="1"/>
    </xf>
    <xf numFmtId="0" fontId="2" fillId="3" borderId="51" xfId="2" applyFont="1" applyFill="1" applyBorder="1" applyAlignment="1">
      <alignment horizontal="center" wrapText="1"/>
    </xf>
    <xf numFmtId="164" fontId="2" fillId="3" borderId="27" xfId="2" applyNumberFormat="1" applyFont="1" applyFill="1" applyBorder="1" applyAlignment="1">
      <alignment horizontal="center" wrapText="1"/>
    </xf>
    <xf numFmtId="0" fontId="2" fillId="3" borderId="22" xfId="2" applyFont="1" applyFill="1" applyBorder="1" applyAlignment="1">
      <alignment horizontal="center" wrapText="1"/>
    </xf>
    <xf numFmtId="164" fontId="2" fillId="0" borderId="36" xfId="2" applyNumberFormat="1" applyFont="1" applyFill="1" applyBorder="1" applyAlignment="1">
      <alignment horizontal="right" vertical="center" wrapText="1"/>
    </xf>
    <xf numFmtId="0" fontId="1" fillId="0" borderId="0" xfId="0" applyFont="1"/>
    <xf numFmtId="0" fontId="3" fillId="0" borderId="0" xfId="0" applyFont="1"/>
    <xf numFmtId="164" fontId="2" fillId="0" borderId="0" xfId="0" applyNumberFormat="1" applyFont="1"/>
    <xf numFmtId="2" fontId="2" fillId="3" borderId="35" xfId="2" applyNumberFormat="1" applyFont="1" applyFill="1" applyBorder="1" applyAlignment="1">
      <alignment horizontal="left" vertical="center" wrapText="1"/>
    </xf>
    <xf numFmtId="0" fontId="1" fillId="3" borderId="55" xfId="2" applyFont="1" applyFill="1" applyBorder="1" applyAlignment="1">
      <alignment horizontal="center" vertical="center" wrapText="1"/>
    </xf>
    <xf numFmtId="0" fontId="2" fillId="3" borderId="55" xfId="2" applyFont="1" applyFill="1" applyBorder="1" applyAlignment="1">
      <alignment horizontal="center" wrapText="1"/>
    </xf>
    <xf numFmtId="0" fontId="2" fillId="0" borderId="57" xfId="2" applyFont="1" applyFill="1" applyBorder="1" applyAlignment="1">
      <alignment horizontal="right" vertical="center" wrapText="1"/>
    </xf>
    <xf numFmtId="164" fontId="2" fillId="0" borderId="57" xfId="0" applyNumberFormat="1" applyFont="1" applyBorder="1" applyAlignment="1">
      <alignment horizontal="center"/>
    </xf>
    <xf numFmtId="0" fontId="7" fillId="2" borderId="0" xfId="0" applyFont="1" applyFill="1" applyAlignment="1"/>
    <xf numFmtId="0" fontId="7" fillId="0" borderId="0" xfId="0" applyFont="1"/>
    <xf numFmtId="0" fontId="2" fillId="0" borderId="50" xfId="2" applyFont="1" applyFill="1" applyBorder="1" applyAlignment="1">
      <alignment horizontal="right"/>
    </xf>
    <xf numFmtId="164" fontId="2" fillId="0" borderId="10" xfId="2" applyNumberFormat="1" applyFont="1" applyFill="1" applyBorder="1" applyAlignment="1">
      <alignment horizontal="right"/>
    </xf>
    <xf numFmtId="0" fontId="2" fillId="0" borderId="11" xfId="2" applyFont="1" applyFill="1" applyBorder="1" applyAlignment="1">
      <alignment horizontal="right"/>
    </xf>
    <xf numFmtId="165" fontId="2" fillId="0" borderId="9" xfId="2" applyNumberFormat="1" applyFont="1" applyFill="1" applyBorder="1" applyAlignment="1">
      <alignment horizontal="right"/>
    </xf>
    <xf numFmtId="165" fontId="2" fillId="0" borderId="31" xfId="2" applyNumberFormat="1" applyFont="1" applyFill="1" applyBorder="1" applyAlignment="1">
      <alignment horizontal="right"/>
    </xf>
    <xf numFmtId="0" fontId="2" fillId="0" borderId="32" xfId="2" applyFont="1" applyFill="1" applyBorder="1" applyAlignment="1">
      <alignment horizontal="right"/>
    </xf>
    <xf numFmtId="165" fontId="2" fillId="0" borderId="11" xfId="2" applyNumberFormat="1" applyFont="1" applyFill="1" applyBorder="1" applyAlignment="1">
      <alignment horizontal="right"/>
    </xf>
    <xf numFmtId="0" fontId="2" fillId="0" borderId="10" xfId="2" applyFont="1" applyFill="1" applyBorder="1" applyAlignment="1">
      <alignment horizontal="right"/>
    </xf>
    <xf numFmtId="2" fontId="2" fillId="0" borderId="11" xfId="2" applyNumberFormat="1" applyFont="1" applyFill="1" applyBorder="1" applyAlignment="1">
      <alignment horizontal="right"/>
    </xf>
    <xf numFmtId="2" fontId="2" fillId="0" borderId="10" xfId="2" applyNumberFormat="1" applyFont="1" applyFill="1" applyBorder="1" applyAlignment="1">
      <alignment horizontal="right"/>
    </xf>
    <xf numFmtId="0" fontId="2" fillId="0" borderId="9" xfId="2" applyFont="1" applyFill="1" applyBorder="1" applyAlignment="1">
      <alignment horizontal="right"/>
    </xf>
    <xf numFmtId="0" fontId="2" fillId="0" borderId="31" xfId="2" applyFont="1" applyFill="1" applyBorder="1" applyAlignment="1">
      <alignment horizontal="right"/>
    </xf>
    <xf numFmtId="0" fontId="2" fillId="0" borderId="33" xfId="2" applyFont="1" applyFill="1" applyBorder="1" applyAlignment="1">
      <alignment horizontal="right"/>
    </xf>
    <xf numFmtId="0" fontId="2" fillId="0" borderId="34" xfId="2" applyFont="1" applyFill="1" applyBorder="1" applyAlignment="1">
      <alignment horizontal="right"/>
    </xf>
    <xf numFmtId="0" fontId="2" fillId="0" borderId="0" xfId="0" applyFont="1" applyAlignment="1"/>
    <xf numFmtId="166" fontId="2" fillId="0" borderId="0" xfId="2" applyNumberFormat="1" applyFont="1" applyFill="1" applyBorder="1" applyAlignment="1">
      <alignment horizontal="right" vertical="center" wrapText="1"/>
    </xf>
    <xf numFmtId="166" fontId="2" fillId="0" borderId="36" xfId="2" applyNumberFormat="1" applyFont="1" applyFill="1" applyBorder="1" applyAlignment="1">
      <alignment horizontal="right" vertical="center" wrapText="1"/>
    </xf>
    <xf numFmtId="166" fontId="2" fillId="0" borderId="38" xfId="2" applyNumberFormat="1" applyFont="1" applyFill="1" applyBorder="1" applyAlignment="1">
      <alignment horizontal="right" vertical="center" wrapText="1"/>
    </xf>
    <xf numFmtId="167" fontId="2" fillId="0" borderId="0" xfId="2" applyNumberFormat="1" applyFont="1" applyFill="1" applyBorder="1" applyAlignment="1">
      <alignment horizontal="right" vertical="center" wrapText="1"/>
    </xf>
    <xf numFmtId="167" fontId="2" fillId="0" borderId="39" xfId="2" applyNumberFormat="1" applyFont="1" applyFill="1" applyBorder="1" applyAlignment="1">
      <alignment horizontal="right" vertical="center" wrapText="1"/>
    </xf>
    <xf numFmtId="167" fontId="2" fillId="0" borderId="37" xfId="2" applyNumberFormat="1" applyFont="1" applyFill="1" applyBorder="1" applyAlignment="1">
      <alignment horizontal="right" vertical="center" wrapText="1"/>
    </xf>
    <xf numFmtId="167" fontId="2" fillId="0" borderId="40" xfId="2" applyNumberFormat="1" applyFont="1" applyFill="1" applyBorder="1" applyAlignment="1">
      <alignment horizontal="right" vertical="center" wrapText="1"/>
    </xf>
    <xf numFmtId="167" fontId="2" fillId="0" borderId="41" xfId="2" applyNumberFormat="1" applyFont="1" applyFill="1" applyBorder="1" applyAlignment="1">
      <alignment horizontal="right" vertical="center" wrapText="1"/>
    </xf>
    <xf numFmtId="0" fontId="5" fillId="0" borderId="0" xfId="3"/>
    <xf numFmtId="165" fontId="8" fillId="0" borderId="0" xfId="1" applyNumberFormat="1" applyFont="1" applyFill="1" applyBorder="1" applyAlignment="1">
      <alignment horizontal="left"/>
    </xf>
    <xf numFmtId="0" fontId="8" fillId="0" borderId="0" xfId="0" applyFont="1"/>
    <xf numFmtId="0" fontId="9" fillId="0" borderId="0" xfId="0" applyFont="1" applyAlignment="1">
      <alignment vertical="center"/>
    </xf>
    <xf numFmtId="0" fontId="0" fillId="0" borderId="0" xfId="0" applyAlignment="1">
      <alignment vertical="center"/>
    </xf>
    <xf numFmtId="0" fontId="0" fillId="0" borderId="0" xfId="0" applyAlignment="1">
      <alignment vertical="top"/>
    </xf>
    <xf numFmtId="0" fontId="0" fillId="0" borderId="0" xfId="0" applyAlignment="1">
      <alignment vertical="top" wrapText="1"/>
    </xf>
    <xf numFmtId="164" fontId="2" fillId="3" borderId="12" xfId="2" applyNumberFormat="1" applyFont="1" applyFill="1" applyBorder="1" applyAlignment="1">
      <alignment horizontal="center" wrapText="1"/>
    </xf>
    <xf numFmtId="0" fontId="1" fillId="3" borderId="50" xfId="2" applyFont="1" applyFill="1" applyBorder="1" applyAlignment="1">
      <alignment horizontal="center" vertical="center" wrapText="1"/>
    </xf>
    <xf numFmtId="0" fontId="1" fillId="3" borderId="10" xfId="2" applyFont="1" applyFill="1" applyBorder="1" applyAlignment="1">
      <alignment horizontal="center" vertical="center" wrapText="1"/>
    </xf>
    <xf numFmtId="0" fontId="2" fillId="0" borderId="35" xfId="0" applyFont="1" applyFill="1" applyBorder="1" applyAlignment="1">
      <alignment horizontal="left"/>
    </xf>
    <xf numFmtId="0" fontId="2" fillId="0" borderId="57" xfId="0" applyFont="1" applyFill="1" applyBorder="1" applyAlignment="1">
      <alignment horizontal="right"/>
    </xf>
    <xf numFmtId="164" fontId="2" fillId="0" borderId="37" xfId="0" applyNumberFormat="1" applyFont="1" applyFill="1" applyBorder="1" applyAlignment="1">
      <alignment horizontal="right"/>
    </xf>
    <xf numFmtId="164" fontId="2" fillId="0" borderId="0" xfId="0" applyNumberFormat="1" applyFont="1" applyFill="1" applyBorder="1" applyAlignment="1">
      <alignment horizontal="right"/>
    </xf>
    <xf numFmtId="165" fontId="2" fillId="0" borderId="0" xfId="0" applyNumberFormat="1" applyFont="1" applyFill="1" applyBorder="1" applyAlignment="1">
      <alignment horizontal="right"/>
    </xf>
    <xf numFmtId="164" fontId="2" fillId="0" borderId="36" xfId="0" applyNumberFormat="1" applyFont="1" applyFill="1" applyBorder="1" applyAlignment="1">
      <alignment horizontal="right"/>
    </xf>
    <xf numFmtId="164" fontId="2" fillId="0" borderId="38" xfId="0" applyNumberFormat="1" applyFont="1" applyFill="1" applyBorder="1" applyAlignment="1">
      <alignment horizontal="right"/>
    </xf>
    <xf numFmtId="165" fontId="2" fillId="0" borderId="39" xfId="0" applyNumberFormat="1" applyFont="1" applyFill="1" applyBorder="1" applyAlignment="1">
      <alignment horizontal="right"/>
    </xf>
    <xf numFmtId="165" fontId="2" fillId="0" borderId="37" xfId="0" applyNumberFormat="1" applyFont="1" applyFill="1" applyBorder="1" applyAlignment="1">
      <alignment horizontal="right"/>
    </xf>
    <xf numFmtId="165" fontId="2" fillId="0" borderId="40" xfId="0" applyNumberFormat="1" applyFont="1" applyFill="1" applyBorder="1" applyAlignment="1">
      <alignment horizontal="right"/>
    </xf>
    <xf numFmtId="165" fontId="2" fillId="0" borderId="41" xfId="0" applyNumberFormat="1" applyFont="1" applyFill="1" applyBorder="1" applyAlignment="1">
      <alignment horizontal="right"/>
    </xf>
    <xf numFmtId="0" fontId="2" fillId="0" borderId="0" xfId="0" applyFont="1" applyFill="1"/>
    <xf numFmtId="0" fontId="2" fillId="0" borderId="0" xfId="0" applyFont="1" applyFill="1" applyAlignment="1">
      <alignment horizontal="right" vertical="center"/>
    </xf>
    <xf numFmtId="0" fontId="2" fillId="0" borderId="42" xfId="0" applyFont="1" applyFill="1" applyBorder="1" applyAlignment="1">
      <alignment horizontal="left"/>
    </xf>
    <xf numFmtId="0" fontId="2" fillId="0" borderId="58" xfId="0" applyFont="1" applyFill="1" applyBorder="1" applyAlignment="1">
      <alignment horizontal="right"/>
    </xf>
    <xf numFmtId="164" fontId="2" fillId="0" borderId="44" xfId="0" applyNumberFormat="1" applyFont="1" applyFill="1" applyBorder="1" applyAlignment="1">
      <alignment horizontal="right"/>
    </xf>
    <xf numFmtId="164" fontId="2" fillId="0" borderId="45" xfId="0" applyNumberFormat="1" applyFont="1" applyFill="1" applyBorder="1" applyAlignment="1">
      <alignment horizontal="right"/>
    </xf>
    <xf numFmtId="165" fontId="2" fillId="0" borderId="45" xfId="0" applyNumberFormat="1" applyFont="1" applyFill="1" applyBorder="1" applyAlignment="1">
      <alignment horizontal="right"/>
    </xf>
    <xf numFmtId="164" fontId="2" fillId="0" borderId="43" xfId="0" applyNumberFormat="1" applyFont="1" applyFill="1" applyBorder="1" applyAlignment="1">
      <alignment horizontal="right"/>
    </xf>
    <xf numFmtId="164" fontId="2" fillId="0" borderId="46" xfId="0" applyNumberFormat="1" applyFont="1" applyFill="1" applyBorder="1" applyAlignment="1">
      <alignment horizontal="right"/>
    </xf>
    <xf numFmtId="165" fontId="2" fillId="0" borderId="47" xfId="0" applyNumberFormat="1" applyFont="1" applyFill="1" applyBorder="1" applyAlignment="1">
      <alignment horizontal="right"/>
    </xf>
    <xf numFmtId="165" fontId="2" fillId="0" borderId="44" xfId="0" applyNumberFormat="1" applyFont="1" applyFill="1" applyBorder="1" applyAlignment="1">
      <alignment horizontal="right"/>
    </xf>
    <xf numFmtId="165" fontId="2" fillId="0" borderId="48" xfId="0" applyNumberFormat="1" applyFont="1" applyFill="1" applyBorder="1" applyAlignment="1">
      <alignment horizontal="right"/>
    </xf>
    <xf numFmtId="165" fontId="2" fillId="0" borderId="49" xfId="0" applyNumberFormat="1" applyFont="1" applyFill="1" applyBorder="1" applyAlignment="1">
      <alignment horizontal="right"/>
    </xf>
    <xf numFmtId="0" fontId="2" fillId="0" borderId="35" xfId="0" applyFont="1" applyFill="1" applyBorder="1"/>
    <xf numFmtId="164" fontId="0" fillId="0" borderId="36" xfId="0" applyNumberFormat="1" applyFill="1" applyBorder="1" applyAlignment="1">
      <alignment horizontal="right"/>
    </xf>
    <xf numFmtId="165" fontId="0" fillId="0" borderId="37" xfId="0" applyNumberFormat="1" applyFill="1" applyBorder="1" applyAlignment="1">
      <alignment horizontal="right"/>
    </xf>
    <xf numFmtId="164" fontId="0" fillId="0" borderId="0" xfId="0" applyNumberFormat="1" applyFill="1" applyBorder="1" applyAlignment="1">
      <alignment horizontal="right"/>
    </xf>
    <xf numFmtId="165" fontId="0" fillId="0" borderId="0" xfId="0" applyNumberFormat="1" applyFill="1" applyBorder="1" applyAlignment="1">
      <alignment horizontal="right"/>
    </xf>
    <xf numFmtId="165" fontId="0" fillId="0" borderId="41" xfId="0" applyNumberFormat="1" applyFill="1" applyBorder="1" applyAlignment="1">
      <alignment horizontal="right"/>
    </xf>
    <xf numFmtId="0" fontId="2" fillId="0" borderId="0" xfId="0" applyFont="1" applyFill="1" applyAlignment="1">
      <alignment horizontal="right"/>
    </xf>
    <xf numFmtId="0" fontId="2" fillId="0" borderId="42" xfId="0" applyFont="1" applyFill="1" applyBorder="1"/>
    <xf numFmtId="164" fontId="0" fillId="0" borderId="43" xfId="0" applyNumberFormat="1" applyFill="1" applyBorder="1" applyAlignment="1">
      <alignment horizontal="right"/>
    </xf>
    <xf numFmtId="165" fontId="0" fillId="0" borderId="44" xfId="0" applyNumberFormat="1" applyFill="1" applyBorder="1" applyAlignment="1">
      <alignment horizontal="right"/>
    </xf>
    <xf numFmtId="164" fontId="0" fillId="0" borderId="45" xfId="0" applyNumberFormat="1" applyFill="1" applyBorder="1" applyAlignment="1">
      <alignment horizontal="right"/>
    </xf>
    <xf numFmtId="165" fontId="0" fillId="0" borderId="45" xfId="0" applyNumberFormat="1" applyFill="1" applyBorder="1" applyAlignment="1">
      <alignment horizontal="right"/>
    </xf>
    <xf numFmtId="165" fontId="0" fillId="0" borderId="49" xfId="0" applyNumberFormat="1" applyFill="1" applyBorder="1" applyAlignment="1">
      <alignment horizontal="right"/>
    </xf>
    <xf numFmtId="0" fontId="2" fillId="0" borderId="0" xfId="2" applyFont="1" applyFill="1" applyAlignment="1">
      <alignment horizontal="left"/>
    </xf>
    <xf numFmtId="0" fontId="2" fillId="0" borderId="36" xfId="0" applyFont="1" applyFill="1" applyBorder="1" applyAlignment="1">
      <alignment horizontal="right"/>
    </xf>
    <xf numFmtId="0" fontId="2" fillId="0" borderId="52" xfId="0" applyFont="1" applyFill="1" applyBorder="1" applyAlignment="1">
      <alignment horizontal="right"/>
    </xf>
    <xf numFmtId="0" fontId="2" fillId="0" borderId="36" xfId="2" applyFont="1" applyFill="1" applyBorder="1" applyAlignment="1">
      <alignment horizontal="right"/>
    </xf>
    <xf numFmtId="0" fontId="2" fillId="0" borderId="52" xfId="2" applyFont="1" applyFill="1" applyBorder="1" applyAlignment="1">
      <alignment horizontal="right"/>
    </xf>
    <xf numFmtId="164" fontId="2" fillId="0" borderId="0" xfId="2" applyNumberFormat="1" applyFont="1" applyFill="1" applyBorder="1" applyAlignment="1">
      <alignment horizontal="right"/>
    </xf>
    <xf numFmtId="164" fontId="2" fillId="0" borderId="36" xfId="2" applyNumberFormat="1" applyFont="1" applyFill="1" applyBorder="1" applyAlignment="1">
      <alignment horizontal="right"/>
    </xf>
    <xf numFmtId="165" fontId="2" fillId="0" borderId="37" xfId="2" applyNumberFormat="1" applyFont="1" applyFill="1" applyBorder="1" applyAlignment="1">
      <alignment horizontal="right"/>
    </xf>
    <xf numFmtId="165" fontId="2" fillId="0" borderId="0" xfId="2" applyNumberFormat="1" applyFont="1" applyFill="1" applyBorder="1" applyAlignment="1">
      <alignment horizontal="right"/>
    </xf>
    <xf numFmtId="164" fontId="2" fillId="0" borderId="38" xfId="2" applyNumberFormat="1" applyFont="1" applyFill="1" applyBorder="1" applyAlignment="1">
      <alignment horizontal="right"/>
    </xf>
    <xf numFmtId="165" fontId="2" fillId="0" borderId="41" xfId="2" applyNumberFormat="1" applyFont="1" applyFill="1" applyBorder="1" applyAlignment="1">
      <alignment horizontal="right"/>
    </xf>
    <xf numFmtId="0" fontId="2" fillId="0" borderId="0" xfId="2" applyFont="1" applyFill="1" applyAlignment="1">
      <alignment horizontal="right"/>
    </xf>
    <xf numFmtId="0" fontId="2" fillId="0" borderId="43" xfId="0" applyFont="1" applyFill="1" applyBorder="1" applyAlignment="1">
      <alignment horizontal="right"/>
    </xf>
    <xf numFmtId="0" fontId="2" fillId="0" borderId="53" xfId="0" applyFont="1" applyFill="1" applyBorder="1" applyAlignment="1">
      <alignment horizontal="right"/>
    </xf>
    <xf numFmtId="0" fontId="2" fillId="0" borderId="45" xfId="0" applyFont="1" applyFill="1" applyBorder="1" applyAlignment="1">
      <alignment horizontal="right"/>
    </xf>
    <xf numFmtId="0" fontId="2" fillId="0" borderId="46" xfId="0" applyFont="1" applyFill="1" applyBorder="1" applyAlignment="1">
      <alignment horizontal="right"/>
    </xf>
    <xf numFmtId="0" fontId="2" fillId="0" borderId="43" xfId="0" applyNumberFormat="1" applyFont="1" applyFill="1" applyBorder="1" applyAlignment="1">
      <alignment horizontal="right"/>
    </xf>
    <xf numFmtId="164" fontId="2" fillId="0" borderId="0" xfId="0" applyNumberFormat="1" applyFont="1" applyFill="1"/>
    <xf numFmtId="166" fontId="2" fillId="0" borderId="0" xfId="0" applyNumberFormat="1" applyFont="1" applyFill="1" applyBorder="1" applyAlignment="1">
      <alignment horizontal="right"/>
    </xf>
    <xf numFmtId="167" fontId="2" fillId="0" borderId="0" xfId="0" applyNumberFormat="1" applyFont="1" applyFill="1" applyBorder="1" applyAlignment="1">
      <alignment horizontal="right"/>
    </xf>
    <xf numFmtId="166" fontId="2" fillId="0" borderId="36" xfId="0" applyNumberFormat="1" applyFont="1" applyFill="1" applyBorder="1" applyAlignment="1">
      <alignment horizontal="right"/>
    </xf>
    <xf numFmtId="166" fontId="2" fillId="0" borderId="38" xfId="0" applyNumberFormat="1" applyFont="1" applyFill="1" applyBorder="1" applyAlignment="1">
      <alignment horizontal="right"/>
    </xf>
    <xf numFmtId="167" fontId="2" fillId="0" borderId="39" xfId="0" applyNumberFormat="1" applyFont="1" applyFill="1" applyBorder="1" applyAlignment="1">
      <alignment horizontal="right"/>
    </xf>
    <xf numFmtId="167" fontId="2" fillId="0" borderId="37" xfId="0" applyNumberFormat="1" applyFont="1" applyFill="1" applyBorder="1" applyAlignment="1">
      <alignment horizontal="right"/>
    </xf>
    <xf numFmtId="167" fontId="2" fillId="0" borderId="40" xfId="0" applyNumberFormat="1" applyFont="1" applyFill="1" applyBorder="1" applyAlignment="1">
      <alignment horizontal="right"/>
    </xf>
    <xf numFmtId="167" fontId="2" fillId="0" borderId="41" xfId="0" applyNumberFormat="1" applyFont="1" applyFill="1" applyBorder="1" applyAlignment="1">
      <alignment horizontal="right"/>
    </xf>
    <xf numFmtId="166" fontId="2" fillId="0" borderId="45" xfId="0" applyNumberFormat="1" applyFont="1" applyFill="1" applyBorder="1" applyAlignment="1">
      <alignment horizontal="right"/>
    </xf>
    <xf numFmtId="167" fontId="2" fillId="0" borderId="45" xfId="0" applyNumberFormat="1" applyFont="1" applyFill="1" applyBorder="1" applyAlignment="1">
      <alignment horizontal="right"/>
    </xf>
    <xf numFmtId="166" fontId="2" fillId="0" borderId="43" xfId="0" applyNumberFormat="1" applyFont="1" applyFill="1" applyBorder="1" applyAlignment="1">
      <alignment horizontal="right"/>
    </xf>
    <xf numFmtId="166" fontId="2" fillId="0" borderId="46" xfId="0" applyNumberFormat="1" applyFont="1" applyFill="1" applyBorder="1" applyAlignment="1">
      <alignment horizontal="right"/>
    </xf>
    <xf numFmtId="167" fontId="2" fillId="0" borderId="47" xfId="0" applyNumberFormat="1" applyFont="1" applyFill="1" applyBorder="1" applyAlignment="1">
      <alignment horizontal="right"/>
    </xf>
    <xf numFmtId="167" fontId="2" fillId="0" borderId="44" xfId="0" applyNumberFormat="1" applyFont="1" applyFill="1" applyBorder="1" applyAlignment="1">
      <alignment horizontal="right"/>
    </xf>
    <xf numFmtId="167" fontId="2" fillId="0" borderId="48" xfId="0" applyNumberFormat="1" applyFont="1" applyFill="1" applyBorder="1" applyAlignment="1">
      <alignment horizontal="right"/>
    </xf>
    <xf numFmtId="167" fontId="2" fillId="0" borderId="49" xfId="0" applyNumberFormat="1" applyFont="1" applyFill="1" applyBorder="1" applyAlignment="1">
      <alignment horizontal="right"/>
    </xf>
    <xf numFmtId="164" fontId="2" fillId="0" borderId="57" xfId="0" applyNumberFormat="1" applyFont="1" applyFill="1" applyBorder="1" applyAlignment="1">
      <alignment horizontal="right"/>
    </xf>
    <xf numFmtId="164" fontId="2" fillId="0" borderId="57" xfId="2" applyNumberFormat="1" applyFont="1" applyFill="1" applyBorder="1" applyAlignment="1">
      <alignment horizontal="right"/>
    </xf>
    <xf numFmtId="1" fontId="2" fillId="0" borderId="36" xfId="0" applyNumberFormat="1" applyFont="1" applyFill="1" applyBorder="1" applyAlignment="1">
      <alignment horizontal="right"/>
    </xf>
    <xf numFmtId="1" fontId="2" fillId="0" borderId="43" xfId="0" applyNumberFormat="1" applyFont="1" applyFill="1" applyBorder="1" applyAlignment="1">
      <alignment horizontal="right"/>
    </xf>
    <xf numFmtId="0" fontId="2" fillId="0" borderId="0" xfId="2" applyFont="1" applyFill="1" applyBorder="1" applyAlignment="1">
      <alignment horizontal="right"/>
    </xf>
    <xf numFmtId="165" fontId="2" fillId="0" borderId="36" xfId="2" applyNumberFormat="1" applyFont="1" applyFill="1" applyBorder="1" applyAlignment="1">
      <alignment horizontal="right"/>
    </xf>
    <xf numFmtId="165" fontId="2" fillId="0" borderId="38" xfId="2" applyNumberFormat="1" applyFont="1" applyFill="1" applyBorder="1" applyAlignment="1">
      <alignment horizontal="right"/>
    </xf>
    <xf numFmtId="0" fontId="2" fillId="0" borderId="39" xfId="2" applyFont="1" applyFill="1" applyBorder="1" applyAlignment="1">
      <alignment horizontal="right"/>
    </xf>
    <xf numFmtId="0" fontId="2" fillId="0" borderId="37" xfId="2" applyFont="1" applyFill="1" applyBorder="1" applyAlignment="1">
      <alignment horizontal="right"/>
    </xf>
    <xf numFmtId="2" fontId="2" fillId="0" borderId="0" xfId="2" applyNumberFormat="1" applyFont="1" applyFill="1" applyBorder="1" applyAlignment="1">
      <alignment horizontal="right"/>
    </xf>
    <xf numFmtId="2" fontId="2" fillId="0" borderId="37" xfId="2" applyNumberFormat="1" applyFont="1" applyFill="1" applyBorder="1" applyAlignment="1">
      <alignment horizontal="right"/>
    </xf>
    <xf numFmtId="0" fontId="2" fillId="0" borderId="38" xfId="2" applyFont="1" applyFill="1" applyBorder="1" applyAlignment="1">
      <alignment horizontal="right"/>
    </xf>
    <xf numFmtId="0" fontId="2" fillId="0" borderId="40" xfId="2" applyFont="1" applyFill="1" applyBorder="1" applyAlignment="1">
      <alignment horizontal="right"/>
    </xf>
    <xf numFmtId="0" fontId="2" fillId="0" borderId="41" xfId="2" applyFont="1" applyFill="1" applyBorder="1" applyAlignment="1">
      <alignment horizontal="right"/>
    </xf>
    <xf numFmtId="2" fontId="1" fillId="0" borderId="30" xfId="2" applyNumberFormat="1" applyFont="1" applyFill="1" applyBorder="1" applyAlignment="1">
      <alignment horizontal="left"/>
    </xf>
    <xf numFmtId="0" fontId="1" fillId="0" borderId="35" xfId="0" applyFont="1" applyFill="1" applyBorder="1" applyAlignment="1">
      <alignment horizontal="left"/>
    </xf>
    <xf numFmtId="0" fontId="1" fillId="0" borderId="35" xfId="0" applyFont="1" applyFill="1" applyBorder="1"/>
    <xf numFmtId="0" fontId="1" fillId="0" borderId="30" xfId="0" applyFont="1" applyFill="1" applyBorder="1"/>
    <xf numFmtId="1" fontId="2" fillId="0" borderId="9" xfId="0" applyNumberFormat="1" applyFont="1" applyFill="1" applyBorder="1"/>
    <xf numFmtId="0" fontId="2" fillId="0" borderId="60" xfId="0" applyFont="1" applyFill="1" applyBorder="1"/>
    <xf numFmtId="164" fontId="2" fillId="0" borderId="11" xfId="0" applyNumberFormat="1" applyFont="1" applyFill="1" applyBorder="1" applyAlignment="1">
      <alignment horizontal="center"/>
    </xf>
    <xf numFmtId="164" fontId="2" fillId="0" borderId="9" xfId="0" applyNumberFormat="1" applyFont="1" applyFill="1" applyBorder="1" applyAlignment="1">
      <alignment horizontal="center"/>
    </xf>
    <xf numFmtId="165" fontId="2" fillId="0" borderId="10" xfId="0" applyNumberFormat="1" applyFont="1" applyFill="1" applyBorder="1"/>
    <xf numFmtId="164" fontId="2" fillId="0" borderId="9" xfId="0" applyNumberFormat="1" applyFont="1" applyFill="1" applyBorder="1"/>
    <xf numFmtId="165" fontId="2" fillId="0" borderId="11" xfId="0" applyNumberFormat="1" applyFont="1" applyFill="1" applyBorder="1"/>
    <xf numFmtId="164" fontId="2" fillId="0" borderId="31" xfId="0" applyNumberFormat="1" applyFont="1" applyFill="1" applyBorder="1"/>
    <xf numFmtId="165" fontId="2" fillId="0" borderId="34" xfId="0" applyNumberFormat="1" applyFont="1" applyFill="1" applyBorder="1"/>
    <xf numFmtId="0" fontId="2" fillId="0" borderId="9" xfId="0" applyFont="1" applyFill="1" applyBorder="1"/>
    <xf numFmtId="0" fontId="2" fillId="0" borderId="50" xfId="0" applyFont="1" applyFill="1" applyBorder="1"/>
    <xf numFmtId="164" fontId="2" fillId="0" borderId="10" xfId="0" applyNumberFormat="1" applyFont="1" applyFill="1" applyBorder="1"/>
    <xf numFmtId="164" fontId="2" fillId="0" borderId="11" xfId="0" applyNumberFormat="1" applyFont="1" applyFill="1" applyBorder="1"/>
    <xf numFmtId="165" fontId="2" fillId="0" borderId="32" xfId="0" applyNumberFormat="1" applyFont="1" applyFill="1" applyBorder="1"/>
    <xf numFmtId="0" fontId="2" fillId="0" borderId="50" xfId="0" applyFont="1" applyFill="1" applyBorder="1" applyAlignment="1"/>
    <xf numFmtId="0" fontId="2" fillId="0" borderId="9" xfId="0" applyFont="1" applyFill="1" applyBorder="1" applyAlignment="1"/>
    <xf numFmtId="164" fontId="2" fillId="0" borderId="50" xfId="0" applyNumberFormat="1" applyFont="1" applyFill="1" applyBorder="1" applyAlignment="1">
      <alignment horizontal="center"/>
    </xf>
    <xf numFmtId="165" fontId="2" fillId="0" borderId="9" xfId="0" applyNumberFormat="1" applyFont="1" applyFill="1" applyBorder="1"/>
    <xf numFmtId="0" fontId="1" fillId="3" borderId="5" xfId="2" applyFont="1" applyFill="1" applyBorder="1" applyAlignment="1">
      <alignment horizontal="center" vertical="center" wrapText="1"/>
    </xf>
    <xf numFmtId="0" fontId="1" fillId="3" borderId="6" xfId="2" applyFont="1" applyFill="1" applyBorder="1" applyAlignment="1">
      <alignment horizontal="center" vertical="center" wrapText="1"/>
    </xf>
    <xf numFmtId="0" fontId="1" fillId="3" borderId="7" xfId="2" applyFont="1" applyFill="1" applyBorder="1" applyAlignment="1">
      <alignment horizontal="center" vertical="center" wrapText="1"/>
    </xf>
    <xf numFmtId="0" fontId="1" fillId="3" borderId="13" xfId="2" applyFont="1" applyFill="1" applyBorder="1" applyAlignment="1">
      <alignment horizontal="center" vertical="center" wrapText="1"/>
    </xf>
    <xf numFmtId="0" fontId="1" fillId="3" borderId="14" xfId="2" applyFont="1" applyFill="1" applyBorder="1" applyAlignment="1">
      <alignment horizontal="center" vertical="center" wrapText="1"/>
    </xf>
    <xf numFmtId="0" fontId="1" fillId="3" borderId="16" xfId="2" applyFont="1" applyFill="1" applyBorder="1" applyAlignment="1">
      <alignment horizontal="center" vertical="center" wrapText="1"/>
    </xf>
    <xf numFmtId="0" fontId="1" fillId="3" borderId="21" xfId="2" applyFont="1" applyFill="1" applyBorder="1" applyAlignment="1">
      <alignment horizontal="center" vertical="center" wrapText="1"/>
    </xf>
    <xf numFmtId="0" fontId="1" fillId="3" borderId="25" xfId="2" applyFont="1" applyFill="1" applyBorder="1" applyAlignment="1">
      <alignment horizontal="center" vertical="center" wrapText="1"/>
    </xf>
    <xf numFmtId="0" fontId="1" fillId="3" borderId="18" xfId="2" applyFont="1" applyFill="1" applyBorder="1" applyAlignment="1">
      <alignment horizontal="center" vertical="center" wrapText="1"/>
    </xf>
    <xf numFmtId="0" fontId="1" fillId="3" borderId="20" xfId="2" applyFont="1" applyFill="1" applyBorder="1" applyAlignment="1">
      <alignment horizontal="center" vertical="center" wrapText="1"/>
    </xf>
    <xf numFmtId="0" fontId="1" fillId="3" borderId="2" xfId="2" applyFont="1" applyFill="1" applyBorder="1" applyAlignment="1">
      <alignment horizontal="center" vertical="center" wrapText="1"/>
    </xf>
    <xf numFmtId="0" fontId="1" fillId="3" borderId="3" xfId="2" applyFont="1" applyFill="1" applyBorder="1" applyAlignment="1">
      <alignment horizontal="center" vertical="center" wrapText="1"/>
    </xf>
    <xf numFmtId="0" fontId="1" fillId="3" borderId="54" xfId="2" applyFont="1" applyFill="1" applyBorder="1" applyAlignment="1">
      <alignment horizontal="center" vertical="center" wrapText="1"/>
    </xf>
    <xf numFmtId="0" fontId="1" fillId="3" borderId="15" xfId="2" applyFont="1" applyFill="1" applyBorder="1" applyAlignment="1">
      <alignment horizontal="center" vertical="center" wrapText="1"/>
    </xf>
    <xf numFmtId="0" fontId="1" fillId="3" borderId="50" xfId="2" applyFont="1" applyFill="1" applyBorder="1" applyAlignment="1">
      <alignment horizontal="center" vertical="center" wrapText="1"/>
    </xf>
    <xf numFmtId="0" fontId="1" fillId="3" borderId="56" xfId="2" applyFont="1" applyFill="1" applyBorder="1" applyAlignment="1">
      <alignment horizontal="center" vertical="center" wrapText="1"/>
    </xf>
    <xf numFmtId="0" fontId="1" fillId="3" borderId="11" xfId="2" applyFont="1" applyFill="1" applyBorder="1" applyAlignment="1">
      <alignment horizontal="center" vertical="center" wrapText="1"/>
    </xf>
    <xf numFmtId="0" fontId="1" fillId="3" borderId="9" xfId="2" applyFont="1" applyFill="1" applyBorder="1" applyAlignment="1">
      <alignment horizontal="center" vertical="center" wrapText="1"/>
    </xf>
    <xf numFmtId="0" fontId="1" fillId="3" borderId="10" xfId="2" applyFont="1" applyFill="1" applyBorder="1" applyAlignment="1">
      <alignment horizontal="center" vertical="center" wrapText="1"/>
    </xf>
    <xf numFmtId="0" fontId="1" fillId="3" borderId="9" xfId="2" applyFont="1" applyFill="1" applyBorder="1" applyAlignment="1">
      <alignment horizontal="center" vertical="center"/>
    </xf>
    <xf numFmtId="0" fontId="1" fillId="3" borderId="11" xfId="2" applyFont="1" applyFill="1" applyBorder="1" applyAlignment="1">
      <alignment horizontal="center" vertical="center"/>
    </xf>
    <xf numFmtId="0" fontId="1" fillId="3" borderId="10" xfId="2" applyFont="1" applyFill="1" applyBorder="1" applyAlignment="1">
      <alignment horizontal="center" vertical="center"/>
    </xf>
    <xf numFmtId="0" fontId="1" fillId="3" borderId="13" xfId="2" applyFont="1" applyFill="1" applyBorder="1" applyAlignment="1">
      <alignment horizontal="center" vertical="center"/>
    </xf>
    <xf numFmtId="0" fontId="1" fillId="3" borderId="14" xfId="2" applyFont="1" applyFill="1" applyBorder="1" applyAlignment="1">
      <alignment horizontal="center" vertical="center"/>
    </xf>
    <xf numFmtId="0" fontId="1" fillId="3" borderId="15" xfId="2" applyFont="1" applyFill="1" applyBorder="1" applyAlignment="1">
      <alignment horizontal="center" vertical="center"/>
    </xf>
    <xf numFmtId="2" fontId="1" fillId="3" borderId="12" xfId="2" applyNumberFormat="1" applyFont="1" applyFill="1" applyBorder="1" applyAlignment="1">
      <alignment horizontal="center" vertical="center" wrapText="1"/>
    </xf>
    <xf numFmtId="2" fontId="1" fillId="3" borderId="17" xfId="2" applyNumberFormat="1" applyFont="1" applyFill="1" applyBorder="1" applyAlignment="1">
      <alignment horizontal="center" vertical="center" wrapText="1"/>
    </xf>
    <xf numFmtId="2" fontId="1" fillId="3" borderId="19" xfId="2" applyNumberFormat="1" applyFont="1" applyFill="1" applyBorder="1" applyAlignment="1">
      <alignment horizontal="center" vertical="center" wrapText="1"/>
    </xf>
    <xf numFmtId="0" fontId="1" fillId="3" borderId="18" xfId="2" applyFont="1" applyFill="1" applyBorder="1" applyAlignment="1">
      <alignment horizontal="center" vertical="center"/>
    </xf>
    <xf numFmtId="0" fontId="1" fillId="3" borderId="20" xfId="2" applyFont="1" applyFill="1" applyBorder="1" applyAlignment="1">
      <alignment horizontal="center" vertical="center"/>
    </xf>
    <xf numFmtId="0" fontId="1" fillId="3" borderId="21" xfId="2" applyFont="1" applyFill="1" applyBorder="1" applyAlignment="1">
      <alignment horizontal="center" vertical="center"/>
    </xf>
    <xf numFmtId="0" fontId="1" fillId="3" borderId="12" xfId="2" applyFont="1" applyFill="1" applyBorder="1" applyAlignment="1">
      <alignment horizontal="center" vertical="center"/>
    </xf>
    <xf numFmtId="0" fontId="1" fillId="3" borderId="22" xfId="2" applyFont="1" applyFill="1" applyBorder="1" applyAlignment="1">
      <alignment horizontal="center" vertical="center"/>
    </xf>
    <xf numFmtId="0" fontId="1" fillId="3" borderId="23" xfId="2" applyFont="1" applyFill="1" applyBorder="1" applyAlignment="1">
      <alignment horizontal="center" vertical="center"/>
    </xf>
    <xf numFmtId="0" fontId="1" fillId="3" borderId="24" xfId="2" applyFont="1" applyFill="1" applyBorder="1" applyAlignment="1">
      <alignment horizontal="center" vertical="center"/>
    </xf>
    <xf numFmtId="0" fontId="1" fillId="3" borderId="17" xfId="2" applyFont="1" applyFill="1" applyBorder="1" applyAlignment="1">
      <alignment horizontal="center" vertical="center" wrapText="1"/>
    </xf>
    <xf numFmtId="0" fontId="1" fillId="3" borderId="4" xfId="2" applyFont="1" applyFill="1" applyBorder="1" applyAlignment="1">
      <alignment horizontal="center" vertical="center" wrapText="1"/>
    </xf>
    <xf numFmtId="0" fontId="1" fillId="3" borderId="59" xfId="2" applyFont="1" applyFill="1" applyBorder="1" applyAlignment="1">
      <alignment horizontal="center" vertical="center" wrapText="1"/>
    </xf>
    <xf numFmtId="0" fontId="1" fillId="3" borderId="34" xfId="2" applyFont="1" applyFill="1" applyBorder="1" applyAlignment="1">
      <alignment horizontal="center" vertical="center" wrapText="1"/>
    </xf>
    <xf numFmtId="0" fontId="10" fillId="4" borderId="0" xfId="0" applyFont="1" applyFill="1" applyAlignment="1"/>
    <xf numFmtId="0" fontId="5" fillId="4" borderId="0" xfId="3" applyFill="1" applyAlignment="1"/>
  </cellXfs>
  <cellStyles count="11">
    <cellStyle name="Hyperlink" xfId="3" builtinId="8"/>
    <cellStyle name="Normal" xfId="0" builtinId="0"/>
    <cellStyle name="Normal 14" xfId="1"/>
    <cellStyle name="Normal 14 2 4" xfId="6"/>
    <cellStyle name="Normal 14 3" xfId="4"/>
    <cellStyle name="Normal 2" xfId="2"/>
    <cellStyle name="Normal 2 2" xfId="9"/>
    <cellStyle name="Normal 2 2 2" xfId="8"/>
    <cellStyle name="Normal 2 3" xfId="5"/>
    <cellStyle name="Normal 2 8" xfId="10"/>
    <cellStyle name="Normal 3 2 2 3 3" xfId="7"/>
  </cellStyles>
  <dxfs count="27">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EAT12_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S5\sdataELS\TEMP\SUBSNEU.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S5\sdataELS\Q_ISC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pplic/uoe/ind2002/calcul_B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NWB/POpula.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at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oecdemeamicrosoftonlinecom-1.sharepoint.emea.microsoftonline.com/AS/CD%20Australia/PISA%20Plus/PISA%20Plus%20Final%20Charts/IRPISAPlus_Chap5_ChartCorrec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T12_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C01"/>
    </sheetNames>
    <sheetDataSet>
      <sheetData sheetId="0" refreshError="1">
        <row r="3">
          <cell r="B3">
            <v>1</v>
          </cell>
        </row>
        <row r="4">
          <cell r="B4" t="str">
            <v>Scholarships/grants from public sources</v>
          </cell>
        </row>
        <row r="5">
          <cell r="B5" t="str">
            <v>Sc./gr. undivided</v>
          </cell>
        </row>
        <row r="6">
          <cell r="B6" t="str">
            <v>n</v>
          </cell>
        </row>
        <row r="7">
          <cell r="B7">
            <v>253.5</v>
          </cell>
        </row>
        <row r="14">
          <cell r="B14" t="str">
            <v>x:ISC3</v>
          </cell>
        </row>
        <row r="16">
          <cell r="B16" t="str">
            <v>n</v>
          </cell>
        </row>
        <row r="17">
          <cell r="B17">
            <v>50.1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ISC3"/>
    </sheetNames>
    <sheetDataSet>
      <sheetData sheetId="0" refreshError="1">
        <row r="1">
          <cell r="A1" t="str">
            <v>LCNTRY</v>
          </cell>
          <cell r="B1" t="str">
            <v>100</v>
          </cell>
          <cell r="C1" t="str">
            <v>110</v>
          </cell>
          <cell r="D1" t="str">
            <v>120</v>
          </cell>
          <cell r="E1" t="str">
            <v>210</v>
          </cell>
          <cell r="F1" t="str">
            <v>220</v>
          </cell>
          <cell r="G1" t="str">
            <v>300</v>
          </cell>
          <cell r="H1" t="str">
            <v>410</v>
          </cell>
          <cell r="I1" t="str">
            <v>420</v>
          </cell>
          <cell r="J1" t="str">
            <v>510</v>
          </cell>
          <cell r="K1" t="str">
            <v>520</v>
          </cell>
          <cell r="L1" t="str">
            <v>530</v>
          </cell>
          <cell r="M1" t="str">
            <v>540</v>
          </cell>
          <cell r="N1" t="str">
            <v>550</v>
          </cell>
          <cell r="O1" t="str">
            <v>800</v>
          </cell>
        </row>
        <row r="2">
          <cell r="A2" t="str">
            <v>Australia</v>
          </cell>
          <cell r="B2" t="str">
            <v/>
          </cell>
          <cell r="C2" t="str">
            <v/>
          </cell>
          <cell r="D2" t="str">
            <v/>
          </cell>
          <cell r="E2" t="str">
            <v/>
          </cell>
          <cell r="F2" t="str">
            <v/>
          </cell>
          <cell r="G2">
            <v>2.6</v>
          </cell>
          <cell r="H2" t="str">
            <v/>
          </cell>
          <cell r="I2" t="str">
            <v/>
          </cell>
          <cell r="J2" t="str">
            <v/>
          </cell>
          <cell r="K2" t="str">
            <v/>
          </cell>
          <cell r="L2">
            <v>60</v>
          </cell>
          <cell r="M2" t="str">
            <v/>
          </cell>
          <cell r="N2" t="str">
            <v/>
          </cell>
          <cell r="O2" t="str">
            <v/>
          </cell>
        </row>
        <row r="3">
          <cell r="A3" t="str">
            <v>Austria</v>
          </cell>
          <cell r="B3">
            <v>283</v>
          </cell>
          <cell r="C3" t="str">
            <v/>
          </cell>
          <cell r="D3" t="str">
            <v/>
          </cell>
          <cell r="E3" t="str">
            <v/>
          </cell>
          <cell r="F3" t="str">
            <v/>
          </cell>
          <cell r="G3" t="str">
            <v/>
          </cell>
          <cell r="H3" t="str">
            <v/>
          </cell>
          <cell r="I3" t="str">
            <v/>
          </cell>
          <cell r="J3" t="str">
            <v/>
          </cell>
          <cell r="K3" t="str">
            <v/>
          </cell>
          <cell r="L3">
            <v>648.5</v>
          </cell>
          <cell r="M3" t="str">
            <v/>
          </cell>
          <cell r="N3">
            <v>201.1</v>
          </cell>
          <cell r="O3" t="str">
            <v/>
          </cell>
        </row>
        <row r="4">
          <cell r="A4" t="str">
            <v>Canada</v>
          </cell>
          <cell r="B4" t="str">
            <v/>
          </cell>
          <cell r="C4" t="str">
            <v/>
          </cell>
          <cell r="D4" t="str">
            <v/>
          </cell>
          <cell r="E4" t="str">
            <v/>
          </cell>
          <cell r="F4" t="str">
            <v/>
          </cell>
          <cell r="G4" t="str">
            <v/>
          </cell>
          <cell r="H4" t="str">
            <v/>
          </cell>
          <cell r="I4" t="str">
            <v/>
          </cell>
          <cell r="J4" t="str">
            <v/>
          </cell>
          <cell r="K4" t="str">
            <v/>
          </cell>
          <cell r="L4" t="str">
            <v/>
          </cell>
          <cell r="M4" t="str">
            <v/>
          </cell>
          <cell r="N4" t="str">
            <v/>
          </cell>
          <cell r="O4" t="str">
            <v/>
          </cell>
        </row>
        <row r="5">
          <cell r="A5" t="str">
            <v>Czech Republic</v>
          </cell>
          <cell r="B5" t="str">
            <v/>
          </cell>
          <cell r="C5" t="str">
            <v/>
          </cell>
          <cell r="D5">
            <v>5</v>
          </cell>
          <cell r="E5" t="str">
            <v/>
          </cell>
          <cell r="F5" t="str">
            <v/>
          </cell>
          <cell r="G5">
            <v>3280</v>
          </cell>
          <cell r="H5" t="str">
            <v/>
          </cell>
          <cell r="I5">
            <v>1204</v>
          </cell>
          <cell r="J5">
            <v>903</v>
          </cell>
          <cell r="K5">
            <v>467</v>
          </cell>
          <cell r="L5">
            <v>51</v>
          </cell>
          <cell r="M5">
            <v>135</v>
          </cell>
          <cell r="N5">
            <v>1000</v>
          </cell>
          <cell r="O5" t="str">
            <v/>
          </cell>
        </row>
        <row r="6">
          <cell r="A6" t="str">
            <v>Denmark</v>
          </cell>
          <cell r="B6" t="str">
            <v/>
          </cell>
          <cell r="C6" t="str">
            <v/>
          </cell>
          <cell r="D6">
            <v>2299</v>
          </cell>
          <cell r="E6">
            <v>120.2</v>
          </cell>
          <cell r="F6" t="str">
            <v/>
          </cell>
          <cell r="G6" t="str">
            <v/>
          </cell>
          <cell r="H6" t="str">
            <v/>
          </cell>
          <cell r="I6" t="str">
            <v/>
          </cell>
          <cell r="J6" t="str">
            <v/>
          </cell>
          <cell r="K6" t="str">
            <v/>
          </cell>
          <cell r="L6" t="str">
            <v/>
          </cell>
          <cell r="M6" t="str">
            <v/>
          </cell>
          <cell r="N6" t="str">
            <v/>
          </cell>
          <cell r="O6" t="str">
            <v/>
          </cell>
        </row>
        <row r="7">
          <cell r="A7" t="str">
            <v>Finland</v>
          </cell>
          <cell r="B7" t="str">
            <v/>
          </cell>
          <cell r="C7" t="str">
            <v/>
          </cell>
          <cell r="D7">
            <v>1046</v>
          </cell>
          <cell r="E7" t="str">
            <v/>
          </cell>
          <cell r="F7">
            <v>172</v>
          </cell>
          <cell r="G7" t="str">
            <v/>
          </cell>
          <cell r="H7" t="str">
            <v/>
          </cell>
          <cell r="I7" t="str">
            <v/>
          </cell>
          <cell r="J7">
            <v>221</v>
          </cell>
          <cell r="K7" t="str">
            <v/>
          </cell>
          <cell r="L7" t="str">
            <v/>
          </cell>
          <cell r="M7" t="str">
            <v/>
          </cell>
          <cell r="N7" t="str">
            <v/>
          </cell>
          <cell r="O7" t="str">
            <v/>
          </cell>
        </row>
        <row r="8">
          <cell r="A8" t="str">
            <v>France</v>
          </cell>
          <cell r="B8" t="str">
            <v/>
          </cell>
          <cell r="C8" t="str">
            <v/>
          </cell>
          <cell r="D8">
            <v>3179</v>
          </cell>
          <cell r="E8" t="str">
            <v/>
          </cell>
          <cell r="F8" t="str">
            <v/>
          </cell>
          <cell r="G8">
            <v>1155</v>
          </cell>
          <cell r="H8" t="str">
            <v/>
          </cell>
          <cell r="I8">
            <v>1216</v>
          </cell>
          <cell r="J8">
            <v>5824</v>
          </cell>
          <cell r="K8" t="str">
            <v/>
          </cell>
          <cell r="L8">
            <v>3421</v>
          </cell>
          <cell r="M8">
            <v>996</v>
          </cell>
          <cell r="N8">
            <v>69</v>
          </cell>
          <cell r="O8" t="str">
            <v/>
          </cell>
        </row>
        <row r="9">
          <cell r="A9" t="str">
            <v>Greece</v>
          </cell>
          <cell r="B9" t="str">
            <v/>
          </cell>
          <cell r="C9" t="str">
            <v/>
          </cell>
          <cell r="D9">
            <v>161.517809</v>
          </cell>
          <cell r="E9" t="str">
            <v/>
          </cell>
          <cell r="F9" t="str">
            <v/>
          </cell>
          <cell r="G9" t="str">
            <v/>
          </cell>
          <cell r="H9" t="str">
            <v/>
          </cell>
          <cell r="I9" t="str">
            <v/>
          </cell>
          <cell r="J9" t="str">
            <v/>
          </cell>
          <cell r="K9" t="str">
            <v/>
          </cell>
          <cell r="L9" t="str">
            <v/>
          </cell>
          <cell r="M9" t="str">
            <v/>
          </cell>
          <cell r="N9" t="str">
            <v/>
          </cell>
          <cell r="O9" t="str">
            <v/>
          </cell>
        </row>
        <row r="10">
          <cell r="A10" t="str">
            <v>Ireland</v>
          </cell>
          <cell r="B10" t="str">
            <v/>
          </cell>
          <cell r="C10" t="str">
            <v/>
          </cell>
          <cell r="D10" t="str">
            <v/>
          </cell>
          <cell r="E10" t="str">
            <v/>
          </cell>
          <cell r="F10" t="str">
            <v/>
          </cell>
          <cell r="G10">
            <v>22</v>
          </cell>
          <cell r="H10" t="str">
            <v/>
          </cell>
          <cell r="I10" t="str">
            <v/>
          </cell>
          <cell r="J10" t="str">
            <v/>
          </cell>
          <cell r="K10" t="str">
            <v/>
          </cell>
          <cell r="L10">
            <v>7.4</v>
          </cell>
          <cell r="M10" t="str">
            <v/>
          </cell>
          <cell r="N10">
            <v>1.4</v>
          </cell>
          <cell r="O10" t="str">
            <v/>
          </cell>
        </row>
        <row r="11">
          <cell r="A11" t="str">
            <v>New Zealand</v>
          </cell>
          <cell r="B11" t="str">
            <v/>
          </cell>
          <cell r="C11" t="str">
            <v/>
          </cell>
          <cell r="D11">
            <v>2.2639999999999998</v>
          </cell>
          <cell r="E11">
            <v>68.296000000000006</v>
          </cell>
          <cell r="F11" t="str">
            <v/>
          </cell>
          <cell r="G11">
            <v>130.87899999999999</v>
          </cell>
          <cell r="H11" t="str">
            <v/>
          </cell>
          <cell r="I11" t="str">
            <v/>
          </cell>
          <cell r="J11">
            <v>2.1139999999999999</v>
          </cell>
          <cell r="K11" t="str">
            <v/>
          </cell>
          <cell r="L11" t="str">
            <v/>
          </cell>
          <cell r="M11" t="str">
            <v/>
          </cell>
          <cell r="N11" t="str">
            <v/>
          </cell>
          <cell r="O11" t="str">
            <v/>
          </cell>
        </row>
        <row r="12">
          <cell r="A12" t="str">
            <v>Spain</v>
          </cell>
          <cell r="B12" t="str">
            <v/>
          </cell>
          <cell r="C12">
            <v>0</v>
          </cell>
          <cell r="D12">
            <v>28973.3</v>
          </cell>
          <cell r="E12" t="str">
            <v/>
          </cell>
          <cell r="F12" t="str">
            <v/>
          </cell>
          <cell r="G12" t="str">
            <v/>
          </cell>
          <cell r="H12" t="str">
            <v/>
          </cell>
          <cell r="I12" t="str">
            <v/>
          </cell>
          <cell r="J12" t="str">
            <v/>
          </cell>
          <cell r="K12" t="str">
            <v/>
          </cell>
          <cell r="L12" t="str">
            <v/>
          </cell>
          <cell r="M12" t="str">
            <v/>
          </cell>
          <cell r="N12" t="str">
            <v/>
          </cell>
          <cell r="O12" t="str">
            <v/>
          </cell>
        </row>
        <row r="13">
          <cell r="A13" t="str">
            <v>Sweden</v>
          </cell>
          <cell r="B13" t="str">
            <v/>
          </cell>
          <cell r="C13" t="str">
            <v/>
          </cell>
          <cell r="D13">
            <v>5212</v>
          </cell>
          <cell r="E13">
            <v>7512</v>
          </cell>
          <cell r="F13" t="str">
            <v/>
          </cell>
          <cell r="G13">
            <v>2290</v>
          </cell>
          <cell r="H13" t="str">
            <v/>
          </cell>
          <cell r="I13" t="str">
            <v/>
          </cell>
          <cell r="J13" t="str">
            <v/>
          </cell>
          <cell r="K13">
            <v>906</v>
          </cell>
          <cell r="L13">
            <v>670</v>
          </cell>
          <cell r="M13">
            <v>230</v>
          </cell>
          <cell r="N13">
            <v>500</v>
          </cell>
          <cell r="O13">
            <v>700</v>
          </cell>
        </row>
        <row r="14">
          <cell r="A14" t="str">
            <v>Switzerland</v>
          </cell>
          <cell r="B14" t="str">
            <v/>
          </cell>
          <cell r="C14" t="str">
            <v/>
          </cell>
          <cell r="D14">
            <v>191.2</v>
          </cell>
          <cell r="E14">
            <v>6.2</v>
          </cell>
          <cell r="F14" t="str">
            <v/>
          </cell>
          <cell r="G14" t="str">
            <v/>
          </cell>
          <cell r="H14" t="str">
            <v/>
          </cell>
          <cell r="I14" t="str">
            <v/>
          </cell>
          <cell r="J14" t="str">
            <v/>
          </cell>
          <cell r="K14" t="str">
            <v/>
          </cell>
          <cell r="L14" t="str">
            <v/>
          </cell>
          <cell r="M14" t="str">
            <v/>
          </cell>
          <cell r="N14" t="str">
            <v/>
          </cell>
          <cell r="O14" t="str">
            <v/>
          </cell>
        </row>
        <row r="15">
          <cell r="A15" t="str">
            <v>United Kingdom</v>
          </cell>
          <cell r="B15" t="str">
            <v/>
          </cell>
          <cell r="C15">
            <v>193.4</v>
          </cell>
          <cell r="D15">
            <v>232.2</v>
          </cell>
          <cell r="E15" t="str">
            <v/>
          </cell>
          <cell r="F15">
            <v>11.6</v>
          </cell>
          <cell r="G15" t="str">
            <v/>
          </cell>
          <cell r="H15" t="str">
            <v/>
          </cell>
          <cell r="I15" t="str">
            <v/>
          </cell>
          <cell r="J15" t="str">
            <v/>
          </cell>
          <cell r="K15" t="str">
            <v/>
          </cell>
          <cell r="L15" t="str">
            <v/>
          </cell>
          <cell r="M15" t="str">
            <v/>
          </cell>
          <cell r="N15" t="str">
            <v/>
          </cell>
          <cell r="O15" t="str">
            <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_B1.1"/>
      <sheetName val="Calcul_B1.1a"/>
      <sheetName val="calcul_B1.1b"/>
      <sheetName val="calcul_B1.1c"/>
      <sheetName val="calcul_B1.1d"/>
      <sheetName val="Calcul_B1.3"/>
    </sheetNames>
    <sheetDataSet>
      <sheetData sheetId="0" refreshError="1">
        <row r="1">
          <cell r="A1" t="str">
            <v>Table B1.1</v>
          </cell>
        </row>
        <row r="2">
          <cell r="A2" t="str">
            <v>Expenditure on educational institutions as a percentage of GDP</v>
          </cell>
          <cell r="J2" t="str">
            <v>(</v>
          </cell>
          <cell r="K2">
            <v>1998</v>
          </cell>
          <cell r="L2" t="str">
            <v>)</v>
          </cell>
        </row>
        <row r="5">
          <cell r="A5" t="str">
            <v>B1.1a: All level of education</v>
          </cell>
          <cell r="D5" t="str">
            <v>(</v>
          </cell>
          <cell r="E5">
            <v>900000</v>
          </cell>
          <cell r="F5" t="str">
            <v>)</v>
          </cell>
        </row>
        <row r="6">
          <cell r="A6" t="str">
            <v>Column 1:</v>
          </cell>
          <cell r="B6" t="str">
            <v>Public funds for educational institutions (including international sources, public subsidies to the private sector attributable for institutions)</v>
          </cell>
        </row>
        <row r="7">
          <cell r="B7" t="str">
            <v>((</v>
          </cell>
          <cell r="C7" t="str">
            <v>G5</v>
          </cell>
          <cell r="D7" t="str">
            <v>+</v>
          </cell>
          <cell r="E7" t="str">
            <v>G13</v>
          </cell>
          <cell r="F7" t="str">
            <v>+</v>
          </cell>
          <cell r="G7" t="str">
            <v>G12a</v>
          </cell>
          <cell r="H7" t="str">
            <v>+</v>
          </cell>
          <cell r="I7" t="str">
            <v>F1</v>
          </cell>
          <cell r="J7" t="str">
            <v>+</v>
          </cell>
          <cell r="K7" t="str">
            <v>F2</v>
          </cell>
          <cell r="L7" t="str">
            <v>+</v>
          </cell>
        </row>
        <row r="8">
          <cell r="B8" t="str">
            <v>((</v>
          </cell>
          <cell r="C8">
            <v>1199963.5273689399</v>
          </cell>
          <cell r="D8" t="str">
            <v>+</v>
          </cell>
          <cell r="E8" t="str">
            <v>a</v>
          </cell>
          <cell r="F8" t="str">
            <v>+</v>
          </cell>
          <cell r="G8">
            <v>43612.081200000001</v>
          </cell>
          <cell r="H8" t="str">
            <v>+</v>
          </cell>
          <cell r="I8" t="str">
            <v>a</v>
          </cell>
          <cell r="J8" t="str">
            <v>+</v>
          </cell>
          <cell r="K8" t="str">
            <v>a</v>
          </cell>
          <cell r="L8" t="str">
            <v>+</v>
          </cell>
        </row>
        <row r="10">
          <cell r="A10" t="str">
            <v>Column 2:</v>
          </cell>
          <cell r="B10" t="str">
            <v>Private funds for educational institutions excluding public subsidies to households and other private entities</v>
          </cell>
        </row>
        <row r="11">
          <cell r="B11" t="str">
            <v>((</v>
          </cell>
          <cell r="C11" t="str">
            <v>H5</v>
          </cell>
          <cell r="D11" t="str">
            <v>+</v>
          </cell>
          <cell r="E11" t="str">
            <v>E5</v>
          </cell>
          <cell r="F11" t="str">
            <v>-(</v>
          </cell>
          <cell r="G11" t="str">
            <v>G12a</v>
          </cell>
          <cell r="H11" t="str">
            <v>+</v>
          </cell>
          <cell r="I11" t="str">
            <v>G13</v>
          </cell>
          <cell r="J11" t="str">
            <v>))/</v>
          </cell>
          <cell r="K11" t="str">
            <v>GDP</v>
          </cell>
          <cell r="L11" t="str">
            <v>)*</v>
          </cell>
        </row>
        <row r="12">
          <cell r="B12" t="str">
            <v>((</v>
          </cell>
          <cell r="C12">
            <v>940876.74185999995</v>
          </cell>
          <cell r="D12" t="str">
            <v>+</v>
          </cell>
          <cell r="E12">
            <v>21777.158343999999</v>
          </cell>
          <cell r="F12" t="str">
            <v>-(</v>
          </cell>
          <cell r="G12">
            <v>43612.081200000001</v>
          </cell>
          <cell r="H12" t="str">
            <v>+</v>
          </cell>
          <cell r="I12" t="str">
            <v>a</v>
          </cell>
          <cell r="J12" t="str">
            <v>))/</v>
          </cell>
          <cell r="K12">
            <v>35130299</v>
          </cell>
          <cell r="L12" t="str">
            <v>)*</v>
          </cell>
        </row>
        <row r="14">
          <cell r="A14" t="str">
            <v>Column 3:</v>
          </cell>
          <cell r="B14" t="str">
            <v>Total</v>
          </cell>
        </row>
        <row r="15">
          <cell r="B15" t="str">
            <v>((</v>
          </cell>
          <cell r="C15" t="str">
            <v>G5</v>
          </cell>
          <cell r="D15" t="str">
            <v>+</v>
          </cell>
          <cell r="E15" t="str">
            <v>H5</v>
          </cell>
          <cell r="F15" t="str">
            <v>+</v>
          </cell>
          <cell r="G15" t="str">
            <v>E5</v>
          </cell>
          <cell r="H15" t="str">
            <v>+</v>
          </cell>
          <cell r="I15" t="str">
            <v>F1</v>
          </cell>
          <cell r="J15" t="str">
            <v>+</v>
          </cell>
          <cell r="K15" t="str">
            <v>F2</v>
          </cell>
          <cell r="L15" t="str">
            <v>+</v>
          </cell>
        </row>
        <row r="16">
          <cell r="B16" t="str">
            <v>((</v>
          </cell>
          <cell r="C16">
            <v>1199963.5273689399</v>
          </cell>
          <cell r="D16" t="str">
            <v>+</v>
          </cell>
          <cell r="E16">
            <v>940876.74185999995</v>
          </cell>
          <cell r="F16" t="str">
            <v>+</v>
          </cell>
          <cell r="G16">
            <v>21777.158343999999</v>
          </cell>
          <cell r="H16" t="str">
            <v>+</v>
          </cell>
          <cell r="I16" t="str">
            <v>a</v>
          </cell>
          <cell r="J16" t="str">
            <v>+</v>
          </cell>
          <cell r="K16" t="str">
            <v>a</v>
          </cell>
          <cell r="L16" t="str">
            <v>+</v>
          </cell>
        </row>
        <row r="18">
          <cell r="A18" t="str">
            <v>B1.1b: ISCED1-4</v>
          </cell>
          <cell r="D18" t="str">
            <v>(</v>
          </cell>
          <cell r="E18">
            <v>901040</v>
          </cell>
          <cell r="F18" t="str">
            <v>)</v>
          </cell>
        </row>
        <row r="19">
          <cell r="A19" t="str">
            <v>Column 1:</v>
          </cell>
          <cell r="B19" t="str">
            <v>Public funds for educational institutions (including international sources, public subsidies to the private sector attributable for institutions)</v>
          </cell>
        </row>
        <row r="20">
          <cell r="B20" t="str">
            <v>((</v>
          </cell>
          <cell r="C20" t="str">
            <v>G5</v>
          </cell>
          <cell r="D20" t="str">
            <v>+</v>
          </cell>
          <cell r="E20" t="str">
            <v>G13</v>
          </cell>
          <cell r="F20" t="str">
            <v>+</v>
          </cell>
          <cell r="G20" t="str">
            <v>G12a</v>
          </cell>
          <cell r="H20" t="str">
            <v>+</v>
          </cell>
          <cell r="I20" t="str">
            <v>F1</v>
          </cell>
          <cell r="J20" t="str">
            <v>+</v>
          </cell>
          <cell r="K20" t="str">
            <v>F2</v>
          </cell>
          <cell r="L20" t="str">
            <v>+</v>
          </cell>
        </row>
        <row r="21">
          <cell r="B21" t="str">
            <v>((</v>
          </cell>
          <cell r="C21">
            <v>934396.10557654104</v>
          </cell>
          <cell r="D21" t="str">
            <v>+</v>
          </cell>
          <cell r="E21" t="str">
            <v>a</v>
          </cell>
          <cell r="F21" t="str">
            <v>+</v>
          </cell>
          <cell r="G21" t="str">
            <v>a</v>
          </cell>
          <cell r="H21" t="str">
            <v>+</v>
          </cell>
          <cell r="I21" t="str">
            <v>a</v>
          </cell>
          <cell r="J21" t="str">
            <v>+</v>
          </cell>
          <cell r="K21" t="str">
            <v>a</v>
          </cell>
          <cell r="L21" t="str">
            <v>+</v>
          </cell>
        </row>
        <row r="23">
          <cell r="A23" t="str">
            <v>Column 2:</v>
          </cell>
          <cell r="B23" t="str">
            <v>Private funds for educational institutions excluding public subsidies to households and other private entities</v>
          </cell>
        </row>
        <row r="24">
          <cell r="B24" t="str">
            <v>((</v>
          </cell>
          <cell r="C24" t="str">
            <v>H5</v>
          </cell>
          <cell r="D24" t="str">
            <v>+</v>
          </cell>
          <cell r="E24" t="str">
            <v>E5</v>
          </cell>
          <cell r="F24" t="str">
            <v>-(</v>
          </cell>
          <cell r="G24" t="str">
            <v>G12a</v>
          </cell>
          <cell r="H24" t="str">
            <v>+</v>
          </cell>
          <cell r="I24" t="str">
            <v>G13</v>
          </cell>
          <cell r="J24" t="str">
            <v>))/</v>
          </cell>
          <cell r="K24" t="str">
            <v>GDP</v>
          </cell>
          <cell r="L24" t="str">
            <v>)*</v>
          </cell>
        </row>
        <row r="25">
          <cell r="B25" t="str">
            <v>((</v>
          </cell>
          <cell r="C25">
            <v>418905.19703077298</v>
          </cell>
          <cell r="D25" t="str">
            <v>+</v>
          </cell>
          <cell r="E25">
            <v>7061.2689353659998</v>
          </cell>
          <cell r="F25" t="str">
            <v>-(</v>
          </cell>
          <cell r="G25" t="str">
            <v>a</v>
          </cell>
          <cell r="H25" t="str">
            <v>+</v>
          </cell>
          <cell r="I25" t="str">
            <v>a</v>
          </cell>
          <cell r="J25" t="str">
            <v>))/</v>
          </cell>
          <cell r="K25">
            <v>35130299</v>
          </cell>
          <cell r="L25" t="str">
            <v>)*</v>
          </cell>
        </row>
        <row r="27">
          <cell r="A27" t="str">
            <v>Column 3:</v>
          </cell>
          <cell r="B27" t="str">
            <v>Total</v>
          </cell>
        </row>
        <row r="28">
          <cell r="B28" t="str">
            <v>((</v>
          </cell>
          <cell r="C28" t="str">
            <v>G5</v>
          </cell>
          <cell r="D28" t="str">
            <v>+</v>
          </cell>
          <cell r="E28" t="str">
            <v>H5</v>
          </cell>
          <cell r="F28" t="str">
            <v>+</v>
          </cell>
          <cell r="G28" t="str">
            <v>E5</v>
          </cell>
          <cell r="H28" t="str">
            <v>+</v>
          </cell>
          <cell r="I28" t="str">
            <v>F1</v>
          </cell>
          <cell r="J28" t="str">
            <v>+</v>
          </cell>
          <cell r="K28" t="str">
            <v>F2</v>
          </cell>
          <cell r="L28" t="str">
            <v>+</v>
          </cell>
        </row>
        <row r="29">
          <cell r="B29" t="str">
            <v>((</v>
          </cell>
          <cell r="C29">
            <v>934396.10557654104</v>
          </cell>
          <cell r="D29" t="str">
            <v>+</v>
          </cell>
          <cell r="E29">
            <v>418905.19703077298</v>
          </cell>
          <cell r="F29" t="str">
            <v>+</v>
          </cell>
          <cell r="G29">
            <v>7061.2689353659998</v>
          </cell>
          <cell r="H29" t="str">
            <v>+</v>
          </cell>
          <cell r="I29" t="str">
            <v>a</v>
          </cell>
          <cell r="J29" t="str">
            <v>+</v>
          </cell>
          <cell r="K29" t="str">
            <v>a</v>
          </cell>
          <cell r="L29" t="str">
            <v>+</v>
          </cell>
        </row>
        <row r="31">
          <cell r="A31" t="str">
            <v>B1.1b: ISCED5-6</v>
          </cell>
          <cell r="D31" t="str">
            <v>(</v>
          </cell>
          <cell r="E31">
            <v>905060</v>
          </cell>
          <cell r="F31" t="str">
            <v>)</v>
          </cell>
        </row>
        <row r="32">
          <cell r="A32" t="str">
            <v>Column 1:</v>
          </cell>
          <cell r="B32" t="str">
            <v>Public funds for educational institutions (including international sources, public subsidies to the private sector attributable for institutions)</v>
          </cell>
        </row>
        <row r="33">
          <cell r="B33" t="str">
            <v>((</v>
          </cell>
          <cell r="C33" t="str">
            <v>G5</v>
          </cell>
          <cell r="D33" t="str">
            <v>+</v>
          </cell>
          <cell r="E33" t="str">
            <v>G13</v>
          </cell>
          <cell r="F33" t="str">
            <v>+</v>
          </cell>
          <cell r="G33" t="str">
            <v>G12a</v>
          </cell>
          <cell r="H33" t="str">
            <v>+</v>
          </cell>
          <cell r="I33" t="str">
            <v>F1</v>
          </cell>
          <cell r="J33" t="str">
            <v>+</v>
          </cell>
          <cell r="K33" t="str">
            <v>F2</v>
          </cell>
          <cell r="L33" t="str">
            <v>+</v>
          </cell>
        </row>
        <row r="34">
          <cell r="B34" t="str">
            <v>((</v>
          </cell>
          <cell r="C34">
            <v>157093.15117200001</v>
          </cell>
          <cell r="D34" t="str">
            <v>+</v>
          </cell>
          <cell r="E34" t="str">
            <v>a</v>
          </cell>
          <cell r="F34" t="str">
            <v>+</v>
          </cell>
          <cell r="G34">
            <v>43612.081200000001</v>
          </cell>
          <cell r="H34" t="str">
            <v>+</v>
          </cell>
          <cell r="I34" t="str">
            <v>a</v>
          </cell>
          <cell r="J34" t="str">
            <v>+</v>
          </cell>
          <cell r="K34" t="str">
            <v>a</v>
          </cell>
          <cell r="L34" t="str">
            <v>+</v>
          </cell>
        </row>
        <row r="36">
          <cell r="A36" t="str">
            <v>Column 2:</v>
          </cell>
          <cell r="B36" t="str">
            <v>Private funds for educational institutions excluding public subsidies to households and other private entities</v>
          </cell>
        </row>
        <row r="37">
          <cell r="B37" t="str">
            <v>((</v>
          </cell>
          <cell r="C37" t="str">
            <v>H5</v>
          </cell>
          <cell r="D37" t="str">
            <v>+</v>
          </cell>
          <cell r="E37" t="str">
            <v>E5</v>
          </cell>
          <cell r="F37" t="str">
            <v>-(</v>
          </cell>
          <cell r="G37" t="str">
            <v>G12a</v>
          </cell>
          <cell r="H37" t="str">
            <v>+</v>
          </cell>
          <cell r="I37" t="str">
            <v>G13</v>
          </cell>
          <cell r="J37" t="str">
            <v>))/</v>
          </cell>
          <cell r="K37" t="str">
            <v>GDP</v>
          </cell>
          <cell r="L37" t="str">
            <v>)*</v>
          </cell>
        </row>
      </sheetData>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tA4.2"/>
      <sheetName val="charta4.2(data)"/>
      <sheetName val="chtA4.1"/>
      <sheetName val="readme"/>
      <sheetName val="A4_12000"/>
      <sheetName val="Dbase_proj"/>
      <sheetName val="Sheet8"/>
      <sheetName val="Pivot_proj"/>
      <sheetName val="table(1998=100)"/>
      <sheetName val="Sheet1"/>
      <sheetName val="POpula"/>
    </sheetNames>
    <sheetDataSet>
      <sheetData sheetId="0" refreshError="1"/>
      <sheetData sheetId="1"/>
      <sheetData sheetId="2"/>
      <sheetData sheetId="3"/>
      <sheetData sheetId="4"/>
      <sheetData sheetId="5"/>
      <sheetData sheetId="6"/>
      <sheetData sheetId="7"/>
      <sheetData sheetId="8"/>
      <sheetData sheetId="9"/>
      <sheetData sheetId="10" refreshError="1">
        <row r="1">
          <cell r="A1" t="str">
            <v>DCOUNTRY</v>
          </cell>
          <cell r="B1" t="str">
            <v>LDCOUNTRY</v>
          </cell>
          <cell r="C1" t="str">
            <v>DTIME</v>
          </cell>
          <cell r="D1" t="str">
            <v>DSEX</v>
          </cell>
          <cell r="E1" t="str">
            <v>DAGEGR</v>
          </cell>
          <cell r="F1" t="str">
            <v>DSTATUS</v>
          </cell>
          <cell r="G1" t="str">
            <v>VPOP</v>
          </cell>
          <cell r="H1" t="str">
            <v>NOTE</v>
          </cell>
          <cell r="I1" t="str">
            <v>MNOTE</v>
          </cell>
        </row>
        <row r="2">
          <cell r="A2">
            <v>40</v>
          </cell>
          <cell r="B2" t="str">
            <v>Austria</v>
          </cell>
          <cell r="C2">
            <v>1998</v>
          </cell>
          <cell r="D2">
            <v>90</v>
          </cell>
          <cell r="E2">
            <v>900000</v>
          </cell>
          <cell r="F2">
            <v>90</v>
          </cell>
          <cell r="G2">
            <v>8075425</v>
          </cell>
          <cell r="H2" t="str">
            <v>;;=SUM(F11:G11);</v>
          </cell>
          <cell r="I2" t="str">
            <v>.</v>
          </cell>
        </row>
        <row r="3">
          <cell r="A3">
            <v>40</v>
          </cell>
          <cell r="B3" t="str">
            <v>Austria</v>
          </cell>
          <cell r="C3">
            <v>1998</v>
          </cell>
          <cell r="D3">
            <v>90</v>
          </cell>
          <cell r="E3">
            <v>300</v>
          </cell>
          <cell r="F3">
            <v>90</v>
          </cell>
          <cell r="G3">
            <v>261654</v>
          </cell>
          <cell r="H3" t="str">
            <v>;;=SUM(F12:G12);</v>
          </cell>
          <cell r="I3" t="str">
            <v>.</v>
          </cell>
        </row>
        <row r="4">
          <cell r="A4">
            <v>40</v>
          </cell>
          <cell r="B4" t="str">
            <v>Austria</v>
          </cell>
          <cell r="C4">
            <v>1998</v>
          </cell>
          <cell r="D4">
            <v>90</v>
          </cell>
          <cell r="E4">
            <v>303</v>
          </cell>
          <cell r="F4">
            <v>90</v>
          </cell>
          <cell r="G4">
            <v>92567</v>
          </cell>
          <cell r="H4" t="str">
            <v>;;=SUM(F13:G13);</v>
          </cell>
          <cell r="I4" t="str">
            <v>.</v>
          </cell>
        </row>
        <row r="5">
          <cell r="A5">
            <v>40</v>
          </cell>
          <cell r="B5" t="str">
            <v>Austria</v>
          </cell>
          <cell r="C5">
            <v>1998</v>
          </cell>
          <cell r="D5">
            <v>90</v>
          </cell>
          <cell r="E5">
            <v>404</v>
          </cell>
          <cell r="F5">
            <v>90</v>
          </cell>
          <cell r="G5">
            <v>95357</v>
          </cell>
          <cell r="H5" t="str">
            <v>;;=SUM(F14:G14);</v>
          </cell>
          <cell r="I5" t="str">
            <v>.</v>
          </cell>
        </row>
        <row r="6">
          <cell r="A6">
            <v>40</v>
          </cell>
          <cell r="B6" t="str">
            <v>Austria</v>
          </cell>
          <cell r="C6">
            <v>1998</v>
          </cell>
          <cell r="D6">
            <v>90</v>
          </cell>
          <cell r="E6">
            <v>505</v>
          </cell>
          <cell r="F6">
            <v>90</v>
          </cell>
          <cell r="G6">
            <v>95737</v>
          </cell>
          <cell r="H6" t="str">
            <v>;;=SUM(F15:G15);</v>
          </cell>
          <cell r="I6" t="str">
            <v>.</v>
          </cell>
        </row>
        <row r="7">
          <cell r="A7">
            <v>40</v>
          </cell>
          <cell r="B7" t="str">
            <v>Austria</v>
          </cell>
          <cell r="C7">
            <v>1998</v>
          </cell>
          <cell r="D7">
            <v>90</v>
          </cell>
          <cell r="E7">
            <v>606</v>
          </cell>
          <cell r="F7">
            <v>90</v>
          </cell>
          <cell r="G7">
            <v>95113</v>
          </cell>
          <cell r="H7" t="str">
            <v>;;=SUM(F16:G16);</v>
          </cell>
          <cell r="I7" t="str">
            <v>.</v>
          </cell>
        </row>
        <row r="8">
          <cell r="A8">
            <v>40</v>
          </cell>
          <cell r="B8" t="str">
            <v>Austria</v>
          </cell>
          <cell r="C8">
            <v>1998</v>
          </cell>
          <cell r="D8">
            <v>90</v>
          </cell>
          <cell r="E8">
            <v>707</v>
          </cell>
          <cell r="F8">
            <v>90</v>
          </cell>
          <cell r="G8">
            <v>93468</v>
          </cell>
          <cell r="H8" t="str">
            <v>;;=SUM(F17:G17);</v>
          </cell>
          <cell r="I8" t="str">
            <v>.</v>
          </cell>
        </row>
        <row r="9">
          <cell r="A9">
            <v>40</v>
          </cell>
          <cell r="B9" t="str">
            <v>Austria</v>
          </cell>
          <cell r="C9">
            <v>1998</v>
          </cell>
          <cell r="D9">
            <v>90</v>
          </cell>
          <cell r="E9">
            <v>808</v>
          </cell>
          <cell r="F9">
            <v>90</v>
          </cell>
          <cell r="G9">
            <v>92084</v>
          </cell>
          <cell r="H9" t="str">
            <v>;;=SUM(F18:G18);</v>
          </cell>
          <cell r="I9" t="str">
            <v>.</v>
          </cell>
        </row>
        <row r="10">
          <cell r="A10">
            <v>40</v>
          </cell>
          <cell r="B10" t="str">
            <v>Austria</v>
          </cell>
          <cell r="C10">
            <v>1998</v>
          </cell>
          <cell r="D10">
            <v>90</v>
          </cell>
          <cell r="E10">
            <v>909</v>
          </cell>
          <cell r="F10">
            <v>90</v>
          </cell>
          <cell r="G10">
            <v>93357</v>
          </cell>
          <cell r="H10" t="str">
            <v>;;=SUM(F19:G19);</v>
          </cell>
          <cell r="I10" t="str">
            <v>.</v>
          </cell>
        </row>
        <row r="11">
          <cell r="A11">
            <v>40</v>
          </cell>
          <cell r="B11" t="str">
            <v>Austria</v>
          </cell>
          <cell r="C11">
            <v>1998</v>
          </cell>
          <cell r="D11">
            <v>90</v>
          </cell>
          <cell r="E11">
            <v>509</v>
          </cell>
          <cell r="F11">
            <v>90</v>
          </cell>
          <cell r="G11">
            <v>469759</v>
          </cell>
          <cell r="H11" t="str">
            <v>;;=SUM(F20:G20);</v>
          </cell>
          <cell r="I11" t="str">
            <v>.</v>
          </cell>
        </row>
        <row r="12">
          <cell r="A12">
            <v>40</v>
          </cell>
          <cell r="B12" t="str">
            <v>Austria</v>
          </cell>
          <cell r="C12">
            <v>1998</v>
          </cell>
          <cell r="D12">
            <v>90</v>
          </cell>
          <cell r="E12">
            <v>1010</v>
          </cell>
          <cell r="F12">
            <v>90</v>
          </cell>
          <cell r="G12">
            <v>92229</v>
          </cell>
          <cell r="H12" t="str">
            <v>;;=SUM(F21:G21);</v>
          </cell>
          <cell r="I12" t="str">
            <v>.</v>
          </cell>
        </row>
        <row r="13">
          <cell r="A13">
            <v>40</v>
          </cell>
          <cell r="B13" t="str">
            <v>Austria</v>
          </cell>
          <cell r="C13">
            <v>1998</v>
          </cell>
          <cell r="D13">
            <v>90</v>
          </cell>
          <cell r="E13">
            <v>1111</v>
          </cell>
          <cell r="F13">
            <v>90</v>
          </cell>
          <cell r="G13">
            <v>93318</v>
          </cell>
          <cell r="H13" t="str">
            <v>;;=SUM(F22:G22);</v>
          </cell>
          <cell r="I13" t="str">
            <v>.</v>
          </cell>
        </row>
        <row r="14">
          <cell r="A14">
            <v>40</v>
          </cell>
          <cell r="B14" t="str">
            <v>Austria</v>
          </cell>
          <cell r="C14">
            <v>1998</v>
          </cell>
          <cell r="D14">
            <v>90</v>
          </cell>
          <cell r="E14">
            <v>1212</v>
          </cell>
          <cell r="F14">
            <v>90</v>
          </cell>
          <cell r="G14">
            <v>93256</v>
          </cell>
          <cell r="H14" t="str">
            <v>;;=SUM(F23:G23);</v>
          </cell>
          <cell r="I14" t="str">
            <v>.</v>
          </cell>
        </row>
        <row r="15">
          <cell r="A15">
            <v>40</v>
          </cell>
          <cell r="B15" t="str">
            <v>Austria</v>
          </cell>
          <cell r="C15">
            <v>1998</v>
          </cell>
          <cell r="D15">
            <v>90</v>
          </cell>
          <cell r="E15">
            <v>1313</v>
          </cell>
          <cell r="F15">
            <v>90</v>
          </cell>
          <cell r="G15">
            <v>94218</v>
          </cell>
          <cell r="H15" t="str">
            <v>;;=SUM(F24:G24);</v>
          </cell>
          <cell r="I15" t="str">
            <v>.</v>
          </cell>
        </row>
        <row r="16">
          <cell r="A16">
            <v>40</v>
          </cell>
          <cell r="B16" t="str">
            <v>Austria</v>
          </cell>
          <cell r="C16">
            <v>1998</v>
          </cell>
          <cell r="D16">
            <v>90</v>
          </cell>
          <cell r="E16">
            <v>1414</v>
          </cell>
          <cell r="F16">
            <v>90</v>
          </cell>
          <cell r="G16">
            <v>94245</v>
          </cell>
          <cell r="H16" t="str">
            <v>;;=SUM(F25:G25);</v>
          </cell>
          <cell r="I16" t="str">
            <v>.</v>
          </cell>
        </row>
        <row r="17">
          <cell r="A17">
            <v>40</v>
          </cell>
          <cell r="B17" t="str">
            <v>Austria</v>
          </cell>
          <cell r="C17">
            <v>1998</v>
          </cell>
          <cell r="D17">
            <v>90</v>
          </cell>
          <cell r="E17">
            <v>1014</v>
          </cell>
          <cell r="F17">
            <v>90</v>
          </cell>
          <cell r="G17">
            <v>467266</v>
          </cell>
          <cell r="H17" t="str">
            <v>;;=SUM(F26:G26);</v>
          </cell>
          <cell r="I17" t="str">
            <v>.</v>
          </cell>
        </row>
        <row r="18">
          <cell r="A18">
            <v>40</v>
          </cell>
          <cell r="B18" t="str">
            <v>Austria</v>
          </cell>
          <cell r="C18">
            <v>1998</v>
          </cell>
          <cell r="D18">
            <v>90</v>
          </cell>
          <cell r="E18">
            <v>1515</v>
          </cell>
          <cell r="F18">
            <v>90</v>
          </cell>
          <cell r="G18">
            <v>98248</v>
          </cell>
          <cell r="H18" t="str">
            <v>;;=SUM(F27:G27);</v>
          </cell>
          <cell r="I18" t="str">
            <v>.</v>
          </cell>
        </row>
        <row r="19">
          <cell r="A19">
            <v>40</v>
          </cell>
          <cell r="B19" t="str">
            <v>Austria</v>
          </cell>
          <cell r="C19">
            <v>1998</v>
          </cell>
          <cell r="D19">
            <v>90</v>
          </cell>
          <cell r="E19">
            <v>1616</v>
          </cell>
          <cell r="F19">
            <v>90</v>
          </cell>
          <cell r="G19">
            <v>99744</v>
          </cell>
          <cell r="H19" t="str">
            <v>;;=SUM(F28:G28);</v>
          </cell>
          <cell r="I19" t="str">
            <v>.</v>
          </cell>
        </row>
        <row r="20">
          <cell r="A20">
            <v>40</v>
          </cell>
          <cell r="B20" t="str">
            <v>Austria</v>
          </cell>
          <cell r="C20">
            <v>1998</v>
          </cell>
          <cell r="D20">
            <v>90</v>
          </cell>
          <cell r="E20">
            <v>1717</v>
          </cell>
          <cell r="F20">
            <v>90</v>
          </cell>
          <cell r="G20">
            <v>97008</v>
          </cell>
          <cell r="H20" t="str">
            <v>;;=SUM(F29:G29);</v>
          </cell>
          <cell r="I20" t="str">
            <v>.</v>
          </cell>
        </row>
        <row r="21">
          <cell r="A21">
            <v>40</v>
          </cell>
          <cell r="B21" t="str">
            <v>Austria</v>
          </cell>
          <cell r="C21">
            <v>1998</v>
          </cell>
          <cell r="D21">
            <v>90</v>
          </cell>
          <cell r="E21">
            <v>1818</v>
          </cell>
          <cell r="F21">
            <v>90</v>
          </cell>
          <cell r="G21">
            <v>90393</v>
          </cell>
          <cell r="H21" t="str">
            <v>;;=SUM(F30:G30);</v>
          </cell>
          <cell r="I21" t="str">
            <v>.</v>
          </cell>
        </row>
        <row r="22">
          <cell r="A22">
            <v>76</v>
          </cell>
          <cell r="B22" t="str">
            <v>Brazil</v>
          </cell>
          <cell r="C22">
            <v>1997</v>
          </cell>
          <cell r="D22">
            <v>90</v>
          </cell>
          <cell r="E22">
            <v>900000</v>
          </cell>
          <cell r="F22">
            <v>90</v>
          </cell>
          <cell r="G22">
            <v>159969072</v>
          </cell>
          <cell r="H22" t="str">
            <v>;;=SUM(F11:G11);</v>
          </cell>
          <cell r="I22" t="str">
            <v>.</v>
          </cell>
        </row>
        <row r="23">
          <cell r="A23">
            <v>76</v>
          </cell>
          <cell r="B23" t="str">
            <v>Brazil</v>
          </cell>
          <cell r="C23">
            <v>1997</v>
          </cell>
          <cell r="D23">
            <v>90</v>
          </cell>
          <cell r="E23">
            <v>300</v>
          </cell>
          <cell r="F23">
            <v>90</v>
          </cell>
          <cell r="G23">
            <v>9468241.6243874021</v>
          </cell>
          <cell r="H23" t="str">
            <v>;;=SUM(F12:G12);</v>
          </cell>
          <cell r="I23" t="str">
            <v>.</v>
          </cell>
        </row>
        <row r="24">
          <cell r="A24">
            <v>76</v>
          </cell>
          <cell r="B24" t="str">
            <v>Brazil</v>
          </cell>
          <cell r="C24">
            <v>1997</v>
          </cell>
          <cell r="D24">
            <v>90</v>
          </cell>
          <cell r="E24">
            <v>303</v>
          </cell>
          <cell r="F24">
            <v>90</v>
          </cell>
          <cell r="G24">
            <v>3218062.6032536076</v>
          </cell>
          <cell r="H24" t="str">
            <v>;;=SUM(F13:G13);</v>
          </cell>
          <cell r="I24" t="str">
            <v>.</v>
          </cell>
        </row>
        <row r="25">
          <cell r="A25">
            <v>32</v>
          </cell>
          <cell r="B25" t="str">
            <v>Argentina</v>
          </cell>
          <cell r="C25">
            <v>1997</v>
          </cell>
          <cell r="D25">
            <v>90</v>
          </cell>
          <cell r="E25">
            <v>900000</v>
          </cell>
          <cell r="F25">
            <v>90</v>
          </cell>
          <cell r="G25">
            <v>35671897</v>
          </cell>
          <cell r="H25" t="str">
            <v>;;=SUM(F11:G11);</v>
          </cell>
          <cell r="I25" t="str">
            <v>.</v>
          </cell>
        </row>
        <row r="26">
          <cell r="A26">
            <v>32</v>
          </cell>
          <cell r="B26" t="str">
            <v>Argentina</v>
          </cell>
          <cell r="C26">
            <v>1997</v>
          </cell>
          <cell r="D26">
            <v>90</v>
          </cell>
          <cell r="E26">
            <v>300</v>
          </cell>
          <cell r="F26">
            <v>90</v>
          </cell>
          <cell r="G26">
            <v>2082804.21</v>
          </cell>
          <cell r="H26" t="str">
            <v>;;=SUM(F12:G12);</v>
          </cell>
          <cell r="I26" t="str">
            <v>.</v>
          </cell>
        </row>
        <row r="27">
          <cell r="A27">
            <v>32</v>
          </cell>
          <cell r="B27" t="str">
            <v>Argentina</v>
          </cell>
          <cell r="C27">
            <v>1997</v>
          </cell>
          <cell r="D27">
            <v>90</v>
          </cell>
          <cell r="E27">
            <v>303</v>
          </cell>
          <cell r="F27">
            <v>90</v>
          </cell>
          <cell r="G27">
            <v>687359.93</v>
          </cell>
          <cell r="H27" t="str">
            <v>;;=SUM(F13:G13);</v>
          </cell>
          <cell r="I27" t="str">
            <v>.</v>
          </cell>
        </row>
        <row r="28">
          <cell r="A28">
            <v>32</v>
          </cell>
          <cell r="B28" t="str">
            <v>Argentina</v>
          </cell>
          <cell r="C28">
            <v>1997</v>
          </cell>
          <cell r="D28">
            <v>90</v>
          </cell>
          <cell r="E28">
            <v>404</v>
          </cell>
          <cell r="F28">
            <v>90</v>
          </cell>
          <cell r="G28">
            <v>683905.86</v>
          </cell>
          <cell r="H28" t="str">
            <v>;;=SUM(F14:G14);</v>
          </cell>
          <cell r="I28" t="str">
            <v>.</v>
          </cell>
        </row>
        <row r="29">
          <cell r="A29">
            <v>32</v>
          </cell>
          <cell r="B29" t="str">
            <v>Argentina</v>
          </cell>
          <cell r="C29">
            <v>1997</v>
          </cell>
          <cell r="D29">
            <v>90</v>
          </cell>
          <cell r="E29">
            <v>505</v>
          </cell>
          <cell r="F29">
            <v>90</v>
          </cell>
          <cell r="G29">
            <v>682381</v>
          </cell>
          <cell r="H29" t="str">
            <v>;;=SUM(F15:G15);</v>
          </cell>
          <cell r="I29" t="str">
            <v>.</v>
          </cell>
        </row>
        <row r="30">
          <cell r="A30">
            <v>32</v>
          </cell>
          <cell r="B30" t="str">
            <v>Argentina</v>
          </cell>
          <cell r="C30">
            <v>1997</v>
          </cell>
          <cell r="D30">
            <v>90</v>
          </cell>
          <cell r="E30">
            <v>606</v>
          </cell>
          <cell r="F30">
            <v>90</v>
          </cell>
          <cell r="G30">
            <v>678332</v>
          </cell>
          <cell r="H30" t="str">
            <v>;;=SUM(F16:G16);</v>
          </cell>
          <cell r="I30" t="str">
            <v>.</v>
          </cell>
        </row>
        <row r="31">
          <cell r="A31">
            <v>32</v>
          </cell>
          <cell r="B31" t="str">
            <v>Argentina</v>
          </cell>
          <cell r="C31">
            <v>1997</v>
          </cell>
          <cell r="D31">
            <v>90</v>
          </cell>
          <cell r="E31">
            <v>707</v>
          </cell>
          <cell r="F31">
            <v>90</v>
          </cell>
          <cell r="G31">
            <v>674164</v>
          </cell>
          <cell r="H31" t="str">
            <v>;;=SUM(F17:G17);</v>
          </cell>
          <cell r="I31" t="str">
            <v>.</v>
          </cell>
        </row>
        <row r="32">
          <cell r="A32">
            <v>32</v>
          </cell>
          <cell r="B32" t="str">
            <v>Argentina</v>
          </cell>
          <cell r="C32">
            <v>1997</v>
          </cell>
          <cell r="D32">
            <v>90</v>
          </cell>
          <cell r="E32">
            <v>808</v>
          </cell>
          <cell r="F32">
            <v>90</v>
          </cell>
          <cell r="G32">
            <v>670082</v>
          </cell>
          <cell r="H32" t="str">
            <v>;;=SUM(F18:G18);</v>
          </cell>
          <cell r="I32" t="str">
            <v>.</v>
          </cell>
        </row>
        <row r="33">
          <cell r="A33">
            <v>32</v>
          </cell>
          <cell r="B33" t="str">
            <v>Argentina</v>
          </cell>
          <cell r="C33">
            <v>1997</v>
          </cell>
          <cell r="D33">
            <v>90</v>
          </cell>
          <cell r="E33">
            <v>909</v>
          </cell>
          <cell r="F33">
            <v>90</v>
          </cell>
          <cell r="G33">
            <v>666292</v>
          </cell>
          <cell r="H33" t="str">
            <v>;;=SUM(F19:G19);</v>
          </cell>
          <cell r="I33" t="str">
            <v>.</v>
          </cell>
        </row>
        <row r="34">
          <cell r="A34">
            <v>32</v>
          </cell>
          <cell r="B34" t="str">
            <v>Argentina</v>
          </cell>
          <cell r="C34">
            <v>1997</v>
          </cell>
          <cell r="D34">
            <v>90</v>
          </cell>
          <cell r="E34">
            <v>509</v>
          </cell>
          <cell r="F34">
            <v>90</v>
          </cell>
          <cell r="G34">
            <v>3371251</v>
          </cell>
          <cell r="H34" t="str">
            <v>;;=SUM(F20:G20);</v>
          </cell>
          <cell r="I34" t="str">
            <v>.</v>
          </cell>
        </row>
        <row r="35">
          <cell r="A35">
            <v>32</v>
          </cell>
          <cell r="B35" t="str">
            <v>Argentina</v>
          </cell>
          <cell r="C35">
            <v>1997</v>
          </cell>
          <cell r="D35">
            <v>90</v>
          </cell>
          <cell r="E35">
            <v>1010</v>
          </cell>
          <cell r="F35">
            <v>90</v>
          </cell>
          <cell r="G35">
            <v>661954</v>
          </cell>
          <cell r="H35" t="str">
            <v>;;=SUM(F21:G21);</v>
          </cell>
          <cell r="I35" t="str">
            <v>.</v>
          </cell>
        </row>
        <row r="36">
          <cell r="A36">
            <v>32</v>
          </cell>
          <cell r="B36" t="str">
            <v>Argentina</v>
          </cell>
          <cell r="C36">
            <v>1997</v>
          </cell>
          <cell r="D36">
            <v>90</v>
          </cell>
          <cell r="E36">
            <v>1111</v>
          </cell>
          <cell r="F36">
            <v>90</v>
          </cell>
          <cell r="G36">
            <v>656227</v>
          </cell>
          <cell r="H36" t="str">
            <v>;;=SUM(F22:G22);</v>
          </cell>
          <cell r="I36" t="str">
            <v>.</v>
          </cell>
        </row>
        <row r="37">
          <cell r="A37">
            <v>32</v>
          </cell>
          <cell r="B37" t="str">
            <v>Argentina</v>
          </cell>
          <cell r="C37">
            <v>1997</v>
          </cell>
          <cell r="D37">
            <v>90</v>
          </cell>
          <cell r="E37">
            <v>1212</v>
          </cell>
          <cell r="F37">
            <v>90</v>
          </cell>
          <cell r="G37">
            <v>654547</v>
          </cell>
          <cell r="H37" t="str">
            <v>;;=SUM(F23:G23);</v>
          </cell>
          <cell r="I37" t="str">
            <v>.</v>
          </cell>
        </row>
        <row r="38">
          <cell r="A38">
            <v>32</v>
          </cell>
          <cell r="B38" t="str">
            <v>Argentina</v>
          </cell>
          <cell r="C38">
            <v>1997</v>
          </cell>
          <cell r="D38">
            <v>90</v>
          </cell>
          <cell r="E38">
            <v>1313</v>
          </cell>
          <cell r="F38">
            <v>90</v>
          </cell>
          <cell r="G38">
            <v>659209</v>
          </cell>
          <cell r="H38" t="str">
            <v>;;=SUM(F24:G24);</v>
          </cell>
          <cell r="I38" t="str">
            <v>.</v>
          </cell>
        </row>
        <row r="39">
          <cell r="A39">
            <v>32</v>
          </cell>
          <cell r="B39" t="str">
            <v>Argentina</v>
          </cell>
          <cell r="C39">
            <v>1997</v>
          </cell>
          <cell r="D39">
            <v>90</v>
          </cell>
          <cell r="E39">
            <v>1414</v>
          </cell>
          <cell r="F39">
            <v>90</v>
          </cell>
          <cell r="G39">
            <v>667283</v>
          </cell>
          <cell r="H39" t="str">
            <v>;;=SUM(F25:G25);</v>
          </cell>
          <cell r="I39" t="str">
            <v>.</v>
          </cell>
        </row>
        <row r="40">
          <cell r="A40">
            <v>32</v>
          </cell>
          <cell r="B40" t="str">
            <v>Argentina</v>
          </cell>
          <cell r="C40">
            <v>1997</v>
          </cell>
          <cell r="D40">
            <v>90</v>
          </cell>
          <cell r="E40">
            <v>1014</v>
          </cell>
          <cell r="F40">
            <v>90</v>
          </cell>
          <cell r="G40">
            <v>3299220</v>
          </cell>
          <cell r="H40" t="str">
            <v>;;=SUM(F26:G26);</v>
          </cell>
          <cell r="I40" t="str">
            <v>.</v>
          </cell>
        </row>
        <row r="41">
          <cell r="A41">
            <v>32</v>
          </cell>
          <cell r="B41" t="str">
            <v>Argentina</v>
          </cell>
          <cell r="C41">
            <v>1997</v>
          </cell>
          <cell r="D41">
            <v>90</v>
          </cell>
          <cell r="E41">
            <v>1515</v>
          </cell>
          <cell r="F41">
            <v>90</v>
          </cell>
          <cell r="G41">
            <v>673924</v>
          </cell>
          <cell r="H41" t="str">
            <v>;;=SUM(F27:G27);</v>
          </cell>
          <cell r="I41" t="str">
            <v>.</v>
          </cell>
        </row>
        <row r="42">
          <cell r="A42">
            <v>32</v>
          </cell>
          <cell r="B42" t="str">
            <v>Argentina</v>
          </cell>
          <cell r="C42">
            <v>1997</v>
          </cell>
          <cell r="D42">
            <v>90</v>
          </cell>
          <cell r="E42">
            <v>1616</v>
          </cell>
          <cell r="F42">
            <v>90</v>
          </cell>
          <cell r="G42">
            <v>680565</v>
          </cell>
          <cell r="H42" t="str">
            <v>;;=SUM(F28:G28);</v>
          </cell>
          <cell r="I42" t="str">
            <v>.</v>
          </cell>
        </row>
        <row r="43">
          <cell r="A43">
            <v>32</v>
          </cell>
          <cell r="B43" t="str">
            <v>Argentina</v>
          </cell>
          <cell r="C43">
            <v>1997</v>
          </cell>
          <cell r="D43">
            <v>90</v>
          </cell>
          <cell r="E43">
            <v>1717</v>
          </cell>
          <cell r="F43">
            <v>90</v>
          </cell>
          <cell r="G43">
            <v>681285</v>
          </cell>
          <cell r="H43" t="str">
            <v>;;=SUM(F29:G29);</v>
          </cell>
          <cell r="I43" t="str">
            <v>.</v>
          </cell>
        </row>
        <row r="44">
          <cell r="A44">
            <v>32</v>
          </cell>
          <cell r="B44" t="str">
            <v>Argentina</v>
          </cell>
          <cell r="C44">
            <v>1997</v>
          </cell>
          <cell r="D44">
            <v>90</v>
          </cell>
          <cell r="E44">
            <v>1818</v>
          </cell>
          <cell r="F44">
            <v>90</v>
          </cell>
          <cell r="G44">
            <v>672797</v>
          </cell>
          <cell r="H44" t="str">
            <v>;;=SUM(F30:G30);</v>
          </cell>
          <cell r="I44" t="str">
            <v>.</v>
          </cell>
        </row>
        <row r="45">
          <cell r="A45">
            <v>32</v>
          </cell>
          <cell r="B45" t="str">
            <v>Argentina</v>
          </cell>
          <cell r="C45">
            <v>1997</v>
          </cell>
          <cell r="D45">
            <v>90</v>
          </cell>
          <cell r="E45">
            <v>1919</v>
          </cell>
          <cell r="F45">
            <v>90</v>
          </cell>
          <cell r="G45">
            <v>657933</v>
          </cell>
          <cell r="H45" t="str">
            <v>;;=SUM(F31:G31);</v>
          </cell>
          <cell r="I45" t="str">
            <v>.</v>
          </cell>
        </row>
        <row r="46">
          <cell r="A46">
            <v>76</v>
          </cell>
          <cell r="B46" t="str">
            <v>Brazil</v>
          </cell>
          <cell r="C46">
            <v>1997</v>
          </cell>
          <cell r="D46">
            <v>90</v>
          </cell>
          <cell r="E46">
            <v>404</v>
          </cell>
          <cell r="F46">
            <v>90</v>
          </cell>
          <cell r="G46">
            <v>3264914.1056923261</v>
          </cell>
          <cell r="H46" t="str">
            <v>;;=SUM(F14:G14);</v>
          </cell>
          <cell r="I46" t="str">
            <v>.</v>
          </cell>
        </row>
        <row r="47">
          <cell r="A47">
            <v>792</v>
          </cell>
          <cell r="B47" t="str">
            <v>Turkey</v>
          </cell>
          <cell r="C47">
            <v>1998</v>
          </cell>
          <cell r="D47">
            <v>90</v>
          </cell>
          <cell r="E47">
            <v>1212</v>
          </cell>
          <cell r="F47">
            <v>90</v>
          </cell>
          <cell r="G47">
            <v>1340000</v>
          </cell>
          <cell r="H47" t="str">
            <v>;;=SUM(F23:G23);</v>
          </cell>
          <cell r="I47" t="str">
            <v>.</v>
          </cell>
        </row>
        <row r="48">
          <cell r="A48">
            <v>792</v>
          </cell>
          <cell r="B48" t="str">
            <v>Turkey</v>
          </cell>
          <cell r="C48">
            <v>1998</v>
          </cell>
          <cell r="D48">
            <v>90</v>
          </cell>
          <cell r="E48">
            <v>1313</v>
          </cell>
          <cell r="F48">
            <v>90</v>
          </cell>
          <cell r="G48">
            <v>1345000</v>
          </cell>
          <cell r="H48" t="str">
            <v>;;=SUM(F24:G24);</v>
          </cell>
          <cell r="I48" t="str">
            <v>.</v>
          </cell>
        </row>
        <row r="49">
          <cell r="A49">
            <v>792</v>
          </cell>
          <cell r="B49" t="str">
            <v>Turkey</v>
          </cell>
          <cell r="C49">
            <v>1998</v>
          </cell>
          <cell r="D49">
            <v>90</v>
          </cell>
          <cell r="E49">
            <v>1414</v>
          </cell>
          <cell r="F49">
            <v>90</v>
          </cell>
          <cell r="G49">
            <v>1352000</v>
          </cell>
          <cell r="H49" t="str">
            <v>;;=SUM(F25:G25);</v>
          </cell>
          <cell r="I49" t="str">
            <v>.</v>
          </cell>
        </row>
        <row r="50">
          <cell r="A50">
            <v>792</v>
          </cell>
          <cell r="B50" t="str">
            <v>Turkey</v>
          </cell>
          <cell r="C50">
            <v>1998</v>
          </cell>
          <cell r="D50">
            <v>90</v>
          </cell>
          <cell r="E50">
            <v>1014</v>
          </cell>
          <cell r="F50">
            <v>90</v>
          </cell>
          <cell r="G50">
            <v>6687000</v>
          </cell>
          <cell r="H50" t="str">
            <v>;;=SUM(F26:G26);</v>
          </cell>
          <cell r="I50" t="str">
            <v>.</v>
          </cell>
        </row>
        <row r="51">
          <cell r="A51">
            <v>792</v>
          </cell>
          <cell r="B51" t="str">
            <v>Turkey</v>
          </cell>
          <cell r="C51">
            <v>1998</v>
          </cell>
          <cell r="D51">
            <v>90</v>
          </cell>
          <cell r="E51">
            <v>1515</v>
          </cell>
          <cell r="F51">
            <v>90</v>
          </cell>
          <cell r="G51">
            <v>1356000</v>
          </cell>
          <cell r="H51" t="str">
            <v>;;=SUM(F27:G27);</v>
          </cell>
          <cell r="I51" t="str">
            <v>.</v>
          </cell>
        </row>
        <row r="52">
          <cell r="A52">
            <v>792</v>
          </cell>
          <cell r="B52" t="str">
            <v>Turkey</v>
          </cell>
          <cell r="C52">
            <v>1998</v>
          </cell>
          <cell r="D52">
            <v>90</v>
          </cell>
          <cell r="E52">
            <v>1616</v>
          </cell>
          <cell r="F52">
            <v>90</v>
          </cell>
          <cell r="G52">
            <v>1357000</v>
          </cell>
          <cell r="H52" t="str">
            <v>;;=SUM(F28:G28);</v>
          </cell>
          <cell r="I52" t="str">
            <v>.</v>
          </cell>
        </row>
        <row r="53">
          <cell r="A53">
            <v>792</v>
          </cell>
          <cell r="B53" t="str">
            <v>Turkey</v>
          </cell>
          <cell r="C53">
            <v>1998</v>
          </cell>
          <cell r="D53">
            <v>90</v>
          </cell>
          <cell r="E53">
            <v>1717</v>
          </cell>
          <cell r="F53">
            <v>90</v>
          </cell>
          <cell r="G53">
            <v>1354000</v>
          </cell>
          <cell r="H53" t="str">
            <v>;;=SUM(F29:G29);</v>
          </cell>
          <cell r="I53" t="str">
            <v>.</v>
          </cell>
        </row>
        <row r="54">
          <cell r="A54">
            <v>792</v>
          </cell>
          <cell r="B54" t="str">
            <v>Turkey</v>
          </cell>
          <cell r="C54">
            <v>1998</v>
          </cell>
          <cell r="D54">
            <v>90</v>
          </cell>
          <cell r="E54">
            <v>1818</v>
          </cell>
          <cell r="F54">
            <v>90</v>
          </cell>
          <cell r="G54">
            <v>1351000</v>
          </cell>
          <cell r="H54" t="str">
            <v>;;=SUM(F30:G30);</v>
          </cell>
          <cell r="I54" t="str">
            <v>.</v>
          </cell>
        </row>
        <row r="55">
          <cell r="A55">
            <v>792</v>
          </cell>
          <cell r="B55" t="str">
            <v>Turkey</v>
          </cell>
          <cell r="C55">
            <v>1998</v>
          </cell>
          <cell r="D55">
            <v>90</v>
          </cell>
          <cell r="E55">
            <v>1919</v>
          </cell>
          <cell r="F55">
            <v>90</v>
          </cell>
          <cell r="G55">
            <v>1346000</v>
          </cell>
          <cell r="H55" t="str">
            <v>;;=SUM(F31:G31);</v>
          </cell>
          <cell r="I55" t="str">
            <v>.</v>
          </cell>
        </row>
        <row r="56">
          <cell r="A56">
            <v>792</v>
          </cell>
          <cell r="B56" t="str">
            <v>Turkey</v>
          </cell>
          <cell r="C56">
            <v>1998</v>
          </cell>
          <cell r="D56">
            <v>90</v>
          </cell>
          <cell r="E56">
            <v>1519</v>
          </cell>
          <cell r="F56">
            <v>90</v>
          </cell>
          <cell r="G56">
            <v>6764000</v>
          </cell>
          <cell r="H56" t="str">
            <v>;;=SUM(F32:G32);</v>
          </cell>
          <cell r="I56" t="str">
            <v>.</v>
          </cell>
        </row>
        <row r="57">
          <cell r="A57">
            <v>792</v>
          </cell>
          <cell r="B57" t="str">
            <v>Turkey</v>
          </cell>
          <cell r="C57">
            <v>1998</v>
          </cell>
          <cell r="D57">
            <v>90</v>
          </cell>
          <cell r="E57">
            <v>2020</v>
          </cell>
          <cell r="F57">
            <v>90</v>
          </cell>
          <cell r="G57">
            <v>1333000</v>
          </cell>
          <cell r="H57" t="str">
            <v>;;=SUM(F33:G33);</v>
          </cell>
          <cell r="I57" t="str">
            <v>.</v>
          </cell>
        </row>
        <row r="58">
          <cell r="A58">
            <v>792</v>
          </cell>
          <cell r="B58" t="str">
            <v>Turkey</v>
          </cell>
          <cell r="C58">
            <v>1998</v>
          </cell>
          <cell r="D58">
            <v>90</v>
          </cell>
          <cell r="E58">
            <v>2121</v>
          </cell>
          <cell r="F58">
            <v>90</v>
          </cell>
          <cell r="G58">
            <v>1311000</v>
          </cell>
          <cell r="H58" t="str">
            <v>;;=SUM(F34:G34);</v>
          </cell>
          <cell r="I58" t="str">
            <v>.</v>
          </cell>
        </row>
        <row r="59">
          <cell r="A59">
            <v>792</v>
          </cell>
          <cell r="B59" t="str">
            <v>Turkey</v>
          </cell>
          <cell r="C59">
            <v>1998</v>
          </cell>
          <cell r="D59">
            <v>90</v>
          </cell>
          <cell r="E59">
            <v>2222</v>
          </cell>
          <cell r="F59">
            <v>90</v>
          </cell>
          <cell r="G59">
            <v>1281000</v>
          </cell>
          <cell r="H59" t="str">
            <v>;;=SUM(F35:G35);</v>
          </cell>
          <cell r="I59" t="str">
            <v>.</v>
          </cell>
        </row>
        <row r="60">
          <cell r="A60">
            <v>792</v>
          </cell>
          <cell r="B60" t="str">
            <v>Turkey</v>
          </cell>
          <cell r="C60">
            <v>1998</v>
          </cell>
          <cell r="D60">
            <v>90</v>
          </cell>
          <cell r="E60">
            <v>2323</v>
          </cell>
          <cell r="F60">
            <v>90</v>
          </cell>
          <cell r="G60">
            <v>1251000</v>
          </cell>
          <cell r="H60" t="str">
            <v>;;=SUM(F36:G36);</v>
          </cell>
          <cell r="I60" t="str">
            <v>.</v>
          </cell>
        </row>
        <row r="61">
          <cell r="A61">
            <v>792</v>
          </cell>
          <cell r="B61" t="str">
            <v>Turkey</v>
          </cell>
          <cell r="C61">
            <v>1998</v>
          </cell>
          <cell r="D61">
            <v>90</v>
          </cell>
          <cell r="E61">
            <v>2424</v>
          </cell>
          <cell r="F61">
            <v>90</v>
          </cell>
          <cell r="G61">
            <v>1220000</v>
          </cell>
          <cell r="H61" t="str">
            <v>;;=SUM(F37:G37);</v>
          </cell>
          <cell r="I61" t="str">
            <v>.</v>
          </cell>
        </row>
        <row r="62">
          <cell r="A62">
            <v>792</v>
          </cell>
          <cell r="B62" t="str">
            <v>Turkey</v>
          </cell>
          <cell r="C62">
            <v>1998</v>
          </cell>
          <cell r="D62">
            <v>90</v>
          </cell>
          <cell r="E62">
            <v>2024</v>
          </cell>
          <cell r="F62">
            <v>90</v>
          </cell>
          <cell r="G62">
            <v>6396000</v>
          </cell>
          <cell r="H62" t="str">
            <v>;;=SUM(F38:G38);</v>
          </cell>
          <cell r="I62" t="str">
            <v>.</v>
          </cell>
        </row>
        <row r="63">
          <cell r="A63">
            <v>792</v>
          </cell>
          <cell r="B63" t="str">
            <v>Turkey</v>
          </cell>
          <cell r="C63">
            <v>1998</v>
          </cell>
          <cell r="D63">
            <v>90</v>
          </cell>
          <cell r="E63">
            <v>2525</v>
          </cell>
          <cell r="F63">
            <v>90</v>
          </cell>
          <cell r="G63">
            <v>1188000</v>
          </cell>
          <cell r="H63" t="str">
            <v>;;=SUM(F39:G39);</v>
          </cell>
          <cell r="I63" t="str">
            <v>.</v>
          </cell>
        </row>
        <row r="64">
          <cell r="A64">
            <v>792</v>
          </cell>
          <cell r="B64" t="str">
            <v>Turkey</v>
          </cell>
          <cell r="C64">
            <v>1998</v>
          </cell>
          <cell r="D64">
            <v>90</v>
          </cell>
          <cell r="E64">
            <v>2626</v>
          </cell>
          <cell r="F64">
            <v>90</v>
          </cell>
          <cell r="G64">
            <v>1154000</v>
          </cell>
          <cell r="H64" t="str">
            <v>;;=SUM(F40:G40);</v>
          </cell>
          <cell r="I64" t="str">
            <v>.</v>
          </cell>
        </row>
        <row r="65">
          <cell r="A65">
            <v>792</v>
          </cell>
          <cell r="B65" t="str">
            <v>Turkey</v>
          </cell>
          <cell r="C65">
            <v>1998</v>
          </cell>
          <cell r="D65">
            <v>90</v>
          </cell>
          <cell r="E65">
            <v>2727</v>
          </cell>
          <cell r="F65">
            <v>90</v>
          </cell>
          <cell r="G65">
            <v>1121000</v>
          </cell>
          <cell r="H65" t="str">
            <v>;;=SUM(F41:G41);</v>
          </cell>
          <cell r="I65" t="str">
            <v>.</v>
          </cell>
        </row>
        <row r="66">
          <cell r="A66">
            <v>792</v>
          </cell>
          <cell r="B66" t="str">
            <v>Turkey</v>
          </cell>
          <cell r="C66">
            <v>1998</v>
          </cell>
          <cell r="D66">
            <v>90</v>
          </cell>
          <cell r="E66">
            <v>2828</v>
          </cell>
          <cell r="F66">
            <v>90</v>
          </cell>
          <cell r="G66">
            <v>1087000</v>
          </cell>
          <cell r="H66" t="str">
            <v>;;=SUM(F42:G42);</v>
          </cell>
          <cell r="I66" t="str">
            <v>.</v>
          </cell>
        </row>
        <row r="67">
          <cell r="A67">
            <v>792</v>
          </cell>
          <cell r="B67" t="str">
            <v>Turkey</v>
          </cell>
          <cell r="C67">
            <v>1998</v>
          </cell>
          <cell r="D67">
            <v>90</v>
          </cell>
          <cell r="E67">
            <v>2929</v>
          </cell>
          <cell r="F67">
            <v>90</v>
          </cell>
          <cell r="G67">
            <v>1050000</v>
          </cell>
          <cell r="H67" t="str">
            <v>;;=SUM(F43:G43);</v>
          </cell>
          <cell r="I67" t="str">
            <v>.</v>
          </cell>
        </row>
        <row r="68">
          <cell r="A68">
            <v>792</v>
          </cell>
          <cell r="B68" t="str">
            <v>Turkey</v>
          </cell>
          <cell r="C68">
            <v>1998</v>
          </cell>
          <cell r="D68">
            <v>90</v>
          </cell>
          <cell r="E68">
            <v>2529</v>
          </cell>
          <cell r="F68">
            <v>90</v>
          </cell>
          <cell r="G68">
            <v>5600000</v>
          </cell>
          <cell r="H68" t="str">
            <v>;;=SUM(F44:G44);</v>
          </cell>
          <cell r="I68" t="str">
            <v>.</v>
          </cell>
        </row>
        <row r="69">
          <cell r="A69">
            <v>792</v>
          </cell>
          <cell r="B69" t="str">
            <v>Turkey</v>
          </cell>
          <cell r="C69">
            <v>1998</v>
          </cell>
          <cell r="D69">
            <v>90</v>
          </cell>
          <cell r="E69">
            <v>3034</v>
          </cell>
          <cell r="F69">
            <v>90</v>
          </cell>
          <cell r="G69">
            <v>5053000</v>
          </cell>
          <cell r="H69" t="str">
            <v>;;=SUM(F45:G45);</v>
          </cell>
          <cell r="I69" t="str">
            <v>.</v>
          </cell>
        </row>
        <row r="70">
          <cell r="A70">
            <v>792</v>
          </cell>
          <cell r="B70" t="str">
            <v>Turkey</v>
          </cell>
          <cell r="C70">
            <v>1998</v>
          </cell>
          <cell r="D70">
            <v>90</v>
          </cell>
          <cell r="E70">
            <v>3539</v>
          </cell>
          <cell r="F70">
            <v>90</v>
          </cell>
          <cell r="G70">
            <v>4490000</v>
          </cell>
          <cell r="H70" t="str">
            <v>;;=SUM(F46:G46);</v>
          </cell>
          <cell r="I70" t="str">
            <v>.</v>
          </cell>
        </row>
        <row r="71">
          <cell r="A71">
            <v>792</v>
          </cell>
          <cell r="B71" t="str">
            <v>Turkey</v>
          </cell>
          <cell r="C71">
            <v>1998</v>
          </cell>
          <cell r="D71">
            <v>90</v>
          </cell>
          <cell r="E71">
            <v>4099</v>
          </cell>
          <cell r="F71">
            <v>90</v>
          </cell>
          <cell r="G71">
            <v>15836000</v>
          </cell>
          <cell r="H71" t="str">
            <v>;;=SUM(F47:G47);</v>
          </cell>
          <cell r="I71" t="str">
            <v>.</v>
          </cell>
        </row>
        <row r="72">
          <cell r="A72">
            <v>792</v>
          </cell>
          <cell r="B72" t="str">
            <v>Turkey</v>
          </cell>
          <cell r="C72">
            <v>1998</v>
          </cell>
          <cell r="D72">
            <v>90</v>
          </cell>
          <cell r="E72">
            <v>990000</v>
          </cell>
          <cell r="F72">
            <v>90</v>
          </cell>
          <cell r="G72">
            <v>0</v>
          </cell>
          <cell r="H72" t="str">
            <v>n;</v>
          </cell>
          <cell r="I72" t="str">
            <v>n</v>
          </cell>
        </row>
        <row r="73">
          <cell r="A73">
            <v>32</v>
          </cell>
          <cell r="B73" t="str">
            <v>Argentina</v>
          </cell>
          <cell r="C73">
            <v>1997</v>
          </cell>
          <cell r="D73">
            <v>90</v>
          </cell>
          <cell r="E73">
            <v>1519</v>
          </cell>
          <cell r="F73">
            <v>90</v>
          </cell>
          <cell r="G73">
            <v>3366504</v>
          </cell>
          <cell r="H73" t="str">
            <v>;;=SUM(F32:G32);</v>
          </cell>
          <cell r="I73" t="str">
            <v>.</v>
          </cell>
        </row>
        <row r="74">
          <cell r="A74">
            <v>32</v>
          </cell>
          <cell r="B74" t="str">
            <v>Argentina</v>
          </cell>
          <cell r="C74">
            <v>1997</v>
          </cell>
          <cell r="D74">
            <v>90</v>
          </cell>
          <cell r="E74">
            <v>2020</v>
          </cell>
          <cell r="F74">
            <v>90</v>
          </cell>
          <cell r="G74">
            <v>643455</v>
          </cell>
          <cell r="H74" t="str">
            <v>;;=SUM(F33:G33);</v>
          </cell>
          <cell r="I74" t="str">
            <v>.</v>
          </cell>
        </row>
        <row r="75">
          <cell r="A75">
            <v>32</v>
          </cell>
          <cell r="B75" t="str">
            <v>Argentina</v>
          </cell>
          <cell r="C75">
            <v>1997</v>
          </cell>
          <cell r="D75">
            <v>90</v>
          </cell>
          <cell r="E75">
            <v>2121</v>
          </cell>
          <cell r="F75">
            <v>90</v>
          </cell>
          <cell r="G75">
            <v>628773</v>
          </cell>
          <cell r="H75" t="str">
            <v>;;=SUM(F34:G34);</v>
          </cell>
          <cell r="I75" t="str">
            <v>.</v>
          </cell>
        </row>
        <row r="76">
          <cell r="A76">
            <v>32</v>
          </cell>
          <cell r="B76" t="str">
            <v>Argentina</v>
          </cell>
          <cell r="C76">
            <v>1997</v>
          </cell>
          <cell r="D76">
            <v>90</v>
          </cell>
          <cell r="E76">
            <v>2222</v>
          </cell>
          <cell r="F76">
            <v>90</v>
          </cell>
          <cell r="G76">
            <v>611793</v>
          </cell>
          <cell r="H76" t="str">
            <v>;;=SUM(F35:G35);</v>
          </cell>
          <cell r="I76" t="str">
            <v>.</v>
          </cell>
        </row>
        <row r="77">
          <cell r="A77">
            <v>32</v>
          </cell>
          <cell r="B77" t="str">
            <v>Argentina</v>
          </cell>
          <cell r="C77">
            <v>1997</v>
          </cell>
          <cell r="D77">
            <v>90</v>
          </cell>
          <cell r="E77">
            <v>2323</v>
          </cell>
          <cell r="F77">
            <v>90</v>
          </cell>
          <cell r="G77">
            <v>592400</v>
          </cell>
          <cell r="H77" t="str">
            <v>;;=SUM(F36:G36);</v>
          </cell>
          <cell r="I77" t="str">
            <v>.</v>
          </cell>
        </row>
        <row r="78">
          <cell r="A78">
            <v>32</v>
          </cell>
          <cell r="B78" t="str">
            <v>Argentina</v>
          </cell>
          <cell r="C78">
            <v>1997</v>
          </cell>
          <cell r="D78">
            <v>90</v>
          </cell>
          <cell r="E78">
            <v>2424</v>
          </cell>
          <cell r="F78">
            <v>90</v>
          </cell>
          <cell r="G78">
            <v>571732</v>
          </cell>
          <cell r="H78" t="str">
            <v>;;=SUM(F37:G37);</v>
          </cell>
          <cell r="I78" t="str">
            <v>.</v>
          </cell>
        </row>
        <row r="79">
          <cell r="A79">
            <v>32</v>
          </cell>
          <cell r="B79" t="str">
            <v>Argentina</v>
          </cell>
          <cell r="C79">
            <v>1997</v>
          </cell>
          <cell r="D79">
            <v>90</v>
          </cell>
          <cell r="E79">
            <v>2024</v>
          </cell>
          <cell r="F79">
            <v>90</v>
          </cell>
          <cell r="G79">
            <v>3048153</v>
          </cell>
          <cell r="H79" t="str">
            <v>;;=SUM(F38:G38);</v>
          </cell>
          <cell r="I79" t="str">
            <v>.</v>
          </cell>
        </row>
        <row r="80">
          <cell r="A80">
            <v>32</v>
          </cell>
          <cell r="B80" t="str">
            <v>Argentina</v>
          </cell>
          <cell r="C80">
            <v>1997</v>
          </cell>
          <cell r="D80">
            <v>90</v>
          </cell>
          <cell r="E80">
            <v>2525</v>
          </cell>
          <cell r="F80">
            <v>90</v>
          </cell>
          <cell r="G80">
            <v>550767</v>
          </cell>
          <cell r="H80" t="str">
            <v>;;=SUM(F39:G39);</v>
          </cell>
          <cell r="I80" t="str">
            <v>.</v>
          </cell>
        </row>
        <row r="81">
          <cell r="A81">
            <v>32</v>
          </cell>
          <cell r="B81" t="str">
            <v>Argentina</v>
          </cell>
          <cell r="C81">
            <v>1997</v>
          </cell>
          <cell r="D81">
            <v>90</v>
          </cell>
          <cell r="E81">
            <v>2626</v>
          </cell>
          <cell r="F81">
            <v>90</v>
          </cell>
          <cell r="G81">
            <v>528983</v>
          </cell>
          <cell r="H81" t="str">
            <v>;;=SUM(F40:G40);</v>
          </cell>
          <cell r="I81" t="str">
            <v>.</v>
          </cell>
        </row>
        <row r="82">
          <cell r="A82">
            <v>32</v>
          </cell>
          <cell r="B82" t="str">
            <v>Argentina</v>
          </cell>
          <cell r="C82">
            <v>1997</v>
          </cell>
          <cell r="D82">
            <v>90</v>
          </cell>
          <cell r="E82">
            <v>2727</v>
          </cell>
          <cell r="F82">
            <v>90</v>
          </cell>
          <cell r="G82">
            <v>511305</v>
          </cell>
          <cell r="H82" t="str">
            <v>;;=SUM(F41:G41);</v>
          </cell>
          <cell r="I82" t="str">
            <v>.</v>
          </cell>
        </row>
        <row r="83">
          <cell r="A83">
            <v>32</v>
          </cell>
          <cell r="B83" t="str">
            <v>Argentina</v>
          </cell>
          <cell r="C83">
            <v>1997</v>
          </cell>
          <cell r="D83">
            <v>90</v>
          </cell>
          <cell r="E83">
            <v>2828</v>
          </cell>
          <cell r="F83">
            <v>90</v>
          </cell>
          <cell r="G83">
            <v>500185</v>
          </cell>
          <cell r="H83" t="str">
            <v>;;=SUM(F42:G42);</v>
          </cell>
          <cell r="I83" t="str">
            <v>.</v>
          </cell>
        </row>
        <row r="84">
          <cell r="A84">
            <v>32</v>
          </cell>
          <cell r="B84" t="str">
            <v>Argentina</v>
          </cell>
          <cell r="C84">
            <v>1997</v>
          </cell>
          <cell r="D84">
            <v>90</v>
          </cell>
          <cell r="E84">
            <v>2929</v>
          </cell>
          <cell r="F84">
            <v>90</v>
          </cell>
          <cell r="G84">
            <v>493534</v>
          </cell>
          <cell r="H84" t="str">
            <v>;;=SUM(F43:G43);</v>
          </cell>
          <cell r="I84" t="str">
            <v>.</v>
          </cell>
        </row>
        <row r="85">
          <cell r="A85">
            <v>32</v>
          </cell>
          <cell r="B85" t="str">
            <v>Argentina</v>
          </cell>
          <cell r="C85">
            <v>1997</v>
          </cell>
          <cell r="D85">
            <v>90</v>
          </cell>
          <cell r="E85">
            <v>2529</v>
          </cell>
          <cell r="F85">
            <v>90</v>
          </cell>
          <cell r="G85">
            <v>2584774</v>
          </cell>
          <cell r="H85" t="str">
            <v>;;=SUM(F44:G44);</v>
          </cell>
          <cell r="I85" t="str">
            <v>.</v>
          </cell>
        </row>
        <row r="86">
          <cell r="A86">
            <v>76</v>
          </cell>
          <cell r="B86" t="str">
            <v>Brazil</v>
          </cell>
          <cell r="C86">
            <v>1997</v>
          </cell>
          <cell r="D86">
            <v>90</v>
          </cell>
          <cell r="E86">
            <v>505</v>
          </cell>
          <cell r="F86">
            <v>90</v>
          </cell>
          <cell r="G86">
            <v>3180339.6666666665</v>
          </cell>
          <cell r="H86" t="str">
            <v>;;=SUM(F15:G15);</v>
          </cell>
          <cell r="I86" t="str">
            <v>.</v>
          </cell>
        </row>
        <row r="87">
          <cell r="A87">
            <v>76</v>
          </cell>
          <cell r="B87" t="str">
            <v>Brazil</v>
          </cell>
          <cell r="C87">
            <v>1997</v>
          </cell>
          <cell r="D87">
            <v>90</v>
          </cell>
          <cell r="E87">
            <v>606</v>
          </cell>
          <cell r="F87">
            <v>90</v>
          </cell>
          <cell r="G87">
            <v>3256195.3333333335</v>
          </cell>
          <cell r="H87" t="str">
            <v>;;=SUM(F16:G16);</v>
          </cell>
          <cell r="I87" t="str">
            <v>.</v>
          </cell>
        </row>
        <row r="88">
          <cell r="A88">
            <v>76</v>
          </cell>
          <cell r="B88" t="str">
            <v>Brazil</v>
          </cell>
          <cell r="C88">
            <v>1997</v>
          </cell>
          <cell r="D88">
            <v>90</v>
          </cell>
          <cell r="E88">
            <v>707</v>
          </cell>
          <cell r="F88">
            <v>90</v>
          </cell>
          <cell r="G88">
            <v>3514483.7046176381</v>
          </cell>
          <cell r="H88" t="str">
            <v>;;=SUM(F17:G17);</v>
          </cell>
          <cell r="I88" t="str">
            <v>.</v>
          </cell>
        </row>
        <row r="89">
          <cell r="A89">
            <v>76</v>
          </cell>
          <cell r="B89" t="str">
            <v>Brazil</v>
          </cell>
          <cell r="C89">
            <v>1997</v>
          </cell>
          <cell r="D89">
            <v>90</v>
          </cell>
          <cell r="E89">
            <v>808</v>
          </cell>
          <cell r="F89">
            <v>90</v>
          </cell>
          <cell r="G89">
            <v>3468532.6638722634</v>
          </cell>
          <cell r="H89" t="str">
            <v>;;=SUM(F18:G18);</v>
          </cell>
          <cell r="I89" t="str">
            <v>.</v>
          </cell>
        </row>
        <row r="90">
          <cell r="A90">
            <v>76</v>
          </cell>
          <cell r="B90" t="str">
            <v>Brazil</v>
          </cell>
          <cell r="C90">
            <v>1997</v>
          </cell>
          <cell r="D90">
            <v>90</v>
          </cell>
          <cell r="E90">
            <v>909</v>
          </cell>
          <cell r="F90">
            <v>90</v>
          </cell>
          <cell r="G90">
            <v>3534410.1834456315</v>
          </cell>
          <cell r="H90" t="str">
            <v>;;=SUM(F19:G19);</v>
          </cell>
          <cell r="I90" t="str">
            <v>.</v>
          </cell>
        </row>
        <row r="91">
          <cell r="A91">
            <v>76</v>
          </cell>
          <cell r="B91" t="str">
            <v>Brazil</v>
          </cell>
          <cell r="C91">
            <v>1997</v>
          </cell>
          <cell r="D91">
            <v>90</v>
          </cell>
          <cell r="E91">
            <v>509</v>
          </cell>
          <cell r="F91">
            <v>90</v>
          </cell>
          <cell r="G91">
            <v>16953961.551935535</v>
          </cell>
          <cell r="H91" t="str">
            <v>;;=SUM(F20:G20);</v>
          </cell>
          <cell r="I91" t="str">
            <v>.</v>
          </cell>
        </row>
        <row r="92">
          <cell r="A92">
            <v>76</v>
          </cell>
          <cell r="B92" t="str">
            <v>Brazil</v>
          </cell>
          <cell r="C92">
            <v>1997</v>
          </cell>
          <cell r="D92">
            <v>90</v>
          </cell>
          <cell r="E92">
            <v>1010</v>
          </cell>
          <cell r="F92">
            <v>90</v>
          </cell>
          <cell r="G92">
            <v>3674441.4951938791</v>
          </cell>
          <cell r="H92" t="str">
            <v>;;=SUM(F21:G21);</v>
          </cell>
          <cell r="I92" t="str">
            <v>.</v>
          </cell>
        </row>
        <row r="93">
          <cell r="A93">
            <v>76</v>
          </cell>
          <cell r="B93" t="str">
            <v>Brazil</v>
          </cell>
          <cell r="C93">
            <v>1997</v>
          </cell>
          <cell r="D93">
            <v>90</v>
          </cell>
          <cell r="E93">
            <v>1111</v>
          </cell>
          <cell r="F93">
            <v>90</v>
          </cell>
          <cell r="G93">
            <v>3611239.7444164506</v>
          </cell>
          <cell r="H93" t="str">
            <v>;;=SUM(F22:G22);</v>
          </cell>
          <cell r="I93" t="str">
            <v>.</v>
          </cell>
        </row>
        <row r="94">
          <cell r="A94">
            <v>76</v>
          </cell>
          <cell r="B94" t="str">
            <v>Brazil</v>
          </cell>
          <cell r="C94">
            <v>1997</v>
          </cell>
          <cell r="D94">
            <v>90</v>
          </cell>
          <cell r="E94">
            <v>1212</v>
          </cell>
          <cell r="F94">
            <v>90</v>
          </cell>
          <cell r="G94">
            <v>3627376.639642857</v>
          </cell>
          <cell r="H94" t="str">
            <v>;;=SUM(F23:G23);</v>
          </cell>
          <cell r="I94" t="str">
            <v>.</v>
          </cell>
        </row>
        <row r="95">
          <cell r="A95">
            <v>554</v>
          </cell>
          <cell r="B95" t="str">
            <v>New Zealand</v>
          </cell>
          <cell r="C95">
            <v>1998</v>
          </cell>
          <cell r="D95">
            <v>90</v>
          </cell>
          <cell r="E95">
            <v>900000</v>
          </cell>
          <cell r="F95">
            <v>90</v>
          </cell>
          <cell r="G95">
            <v>3792010</v>
          </cell>
          <cell r="H95" t="str">
            <v>;;=SUM(F11:G11);</v>
          </cell>
          <cell r="I95" t="str">
            <v>.</v>
          </cell>
        </row>
        <row r="96">
          <cell r="A96">
            <v>554</v>
          </cell>
          <cell r="B96" t="str">
            <v>New Zealand</v>
          </cell>
          <cell r="C96">
            <v>1998</v>
          </cell>
          <cell r="D96">
            <v>90</v>
          </cell>
          <cell r="E96">
            <v>300</v>
          </cell>
          <cell r="F96">
            <v>90</v>
          </cell>
          <cell r="G96">
            <v>171230</v>
          </cell>
          <cell r="H96" t="str">
            <v>;;=SUM(F12:G12);</v>
          </cell>
          <cell r="I96" t="str">
            <v>.</v>
          </cell>
        </row>
        <row r="97">
          <cell r="A97">
            <v>554</v>
          </cell>
          <cell r="B97" t="str">
            <v>New Zealand</v>
          </cell>
          <cell r="C97">
            <v>1998</v>
          </cell>
          <cell r="D97">
            <v>90</v>
          </cell>
          <cell r="E97">
            <v>303</v>
          </cell>
          <cell r="F97">
            <v>90</v>
          </cell>
          <cell r="G97">
            <v>55960</v>
          </cell>
          <cell r="H97" t="str">
            <v>;;=SUM(F13:G13);</v>
          </cell>
          <cell r="I97" t="str">
            <v>.</v>
          </cell>
        </row>
        <row r="98">
          <cell r="A98">
            <v>554</v>
          </cell>
          <cell r="B98" t="str">
            <v>New Zealand</v>
          </cell>
          <cell r="C98">
            <v>1998</v>
          </cell>
          <cell r="D98">
            <v>90</v>
          </cell>
          <cell r="E98">
            <v>404</v>
          </cell>
          <cell r="F98">
            <v>90</v>
          </cell>
          <cell r="G98">
            <v>56400</v>
          </cell>
          <cell r="H98" t="str">
            <v>;;=SUM(F14:G14);</v>
          </cell>
          <cell r="I98" t="str">
            <v>.</v>
          </cell>
        </row>
        <row r="99">
          <cell r="A99">
            <v>554</v>
          </cell>
          <cell r="B99" t="str">
            <v>New Zealand</v>
          </cell>
          <cell r="C99">
            <v>1998</v>
          </cell>
          <cell r="D99">
            <v>90</v>
          </cell>
          <cell r="E99">
            <v>505</v>
          </cell>
          <cell r="F99">
            <v>90</v>
          </cell>
          <cell r="G99">
            <v>58020</v>
          </cell>
          <cell r="H99" t="str">
            <v>;;=SUM(F15:G15);</v>
          </cell>
          <cell r="I99" t="str">
            <v>.</v>
          </cell>
        </row>
        <row r="100">
          <cell r="A100">
            <v>554</v>
          </cell>
          <cell r="B100" t="str">
            <v>New Zealand</v>
          </cell>
          <cell r="C100">
            <v>1998</v>
          </cell>
          <cell r="D100">
            <v>90</v>
          </cell>
          <cell r="E100">
            <v>606</v>
          </cell>
          <cell r="F100">
            <v>90</v>
          </cell>
          <cell r="G100">
            <v>58950</v>
          </cell>
          <cell r="H100" t="str">
            <v>;;=SUM(F16:G16);</v>
          </cell>
          <cell r="I100" t="str">
            <v>.</v>
          </cell>
        </row>
        <row r="101">
          <cell r="A101">
            <v>554</v>
          </cell>
          <cell r="B101" t="str">
            <v>New Zealand</v>
          </cell>
          <cell r="C101">
            <v>1998</v>
          </cell>
          <cell r="D101">
            <v>90</v>
          </cell>
          <cell r="E101">
            <v>707</v>
          </cell>
          <cell r="F101">
            <v>90</v>
          </cell>
          <cell r="G101">
            <v>61990</v>
          </cell>
          <cell r="H101" t="str">
            <v>;;=SUM(F17:G17);</v>
          </cell>
          <cell r="I101" t="str">
            <v>.</v>
          </cell>
        </row>
        <row r="102">
          <cell r="A102">
            <v>554</v>
          </cell>
          <cell r="B102" t="str">
            <v>New Zealand</v>
          </cell>
          <cell r="C102">
            <v>1998</v>
          </cell>
          <cell r="D102">
            <v>90</v>
          </cell>
          <cell r="E102">
            <v>808</v>
          </cell>
          <cell r="F102">
            <v>90</v>
          </cell>
          <cell r="G102">
            <v>61430</v>
          </cell>
          <cell r="H102" t="str">
            <v>;;=SUM(F18:G18);</v>
          </cell>
          <cell r="I102" t="str">
            <v>.</v>
          </cell>
        </row>
        <row r="103">
          <cell r="A103">
            <v>554</v>
          </cell>
          <cell r="B103" t="str">
            <v>New Zealand</v>
          </cell>
          <cell r="C103">
            <v>1998</v>
          </cell>
          <cell r="D103">
            <v>90</v>
          </cell>
          <cell r="E103">
            <v>909</v>
          </cell>
          <cell r="F103">
            <v>90</v>
          </cell>
          <cell r="G103">
            <v>59570</v>
          </cell>
          <cell r="H103" t="str">
            <v>;;=SUM(F19:G19);</v>
          </cell>
          <cell r="I103" t="str">
            <v>.</v>
          </cell>
        </row>
        <row r="104">
          <cell r="A104">
            <v>554</v>
          </cell>
          <cell r="B104" t="str">
            <v>New Zealand</v>
          </cell>
          <cell r="C104">
            <v>1998</v>
          </cell>
          <cell r="D104">
            <v>90</v>
          </cell>
          <cell r="E104">
            <v>509</v>
          </cell>
          <cell r="F104">
            <v>90</v>
          </cell>
          <cell r="G104">
            <v>299960</v>
          </cell>
          <cell r="H104" t="str">
            <v>;;=SUM(F20:G20);</v>
          </cell>
          <cell r="I104" t="str">
            <v>.</v>
          </cell>
        </row>
        <row r="105">
          <cell r="A105">
            <v>554</v>
          </cell>
          <cell r="B105" t="str">
            <v>New Zealand</v>
          </cell>
          <cell r="C105">
            <v>1998</v>
          </cell>
          <cell r="D105">
            <v>90</v>
          </cell>
          <cell r="E105">
            <v>1010</v>
          </cell>
          <cell r="F105">
            <v>90</v>
          </cell>
          <cell r="G105">
            <v>58010</v>
          </cell>
          <cell r="H105" t="str">
            <v>;;=SUM(F21:G21);</v>
          </cell>
          <cell r="I105" t="str">
            <v>.</v>
          </cell>
        </row>
        <row r="106">
          <cell r="A106">
            <v>554</v>
          </cell>
          <cell r="B106" t="str">
            <v>New Zealand</v>
          </cell>
          <cell r="C106">
            <v>1998</v>
          </cell>
          <cell r="D106">
            <v>90</v>
          </cell>
          <cell r="E106">
            <v>1111</v>
          </cell>
          <cell r="F106">
            <v>90</v>
          </cell>
          <cell r="G106">
            <v>55820</v>
          </cell>
          <cell r="H106" t="str">
            <v>;;=SUM(F22:G22);</v>
          </cell>
          <cell r="I106" t="str">
            <v>.</v>
          </cell>
        </row>
        <row r="107">
          <cell r="A107">
            <v>554</v>
          </cell>
          <cell r="B107" t="str">
            <v>New Zealand</v>
          </cell>
          <cell r="C107">
            <v>1998</v>
          </cell>
          <cell r="D107">
            <v>90</v>
          </cell>
          <cell r="E107">
            <v>1212</v>
          </cell>
          <cell r="F107">
            <v>90</v>
          </cell>
          <cell r="G107">
            <v>55430</v>
          </cell>
          <cell r="H107" t="str">
            <v>;;=SUM(F23:G23);</v>
          </cell>
          <cell r="I107" t="str">
            <v>.</v>
          </cell>
        </row>
        <row r="108">
          <cell r="A108">
            <v>554</v>
          </cell>
          <cell r="B108" t="str">
            <v>New Zealand</v>
          </cell>
          <cell r="C108">
            <v>1998</v>
          </cell>
          <cell r="D108">
            <v>90</v>
          </cell>
          <cell r="E108">
            <v>1313</v>
          </cell>
          <cell r="F108">
            <v>90</v>
          </cell>
          <cell r="G108">
            <v>54790</v>
          </cell>
          <cell r="H108" t="str">
            <v>;;=SUM(F24:G24);</v>
          </cell>
          <cell r="I108" t="str">
            <v>.</v>
          </cell>
        </row>
        <row r="109">
          <cell r="A109">
            <v>554</v>
          </cell>
          <cell r="B109" t="str">
            <v>New Zealand</v>
          </cell>
          <cell r="C109">
            <v>1998</v>
          </cell>
          <cell r="D109">
            <v>90</v>
          </cell>
          <cell r="E109">
            <v>1414</v>
          </cell>
          <cell r="F109">
            <v>90</v>
          </cell>
          <cell r="G109">
            <v>54260</v>
          </cell>
          <cell r="H109" t="str">
            <v>;;=SUM(F25:G25);</v>
          </cell>
          <cell r="I109" t="str">
            <v>.</v>
          </cell>
        </row>
        <row r="110">
          <cell r="A110">
            <v>554</v>
          </cell>
          <cell r="B110" t="str">
            <v>New Zealand</v>
          </cell>
          <cell r="C110">
            <v>1998</v>
          </cell>
          <cell r="D110">
            <v>90</v>
          </cell>
          <cell r="E110">
            <v>1014</v>
          </cell>
          <cell r="F110">
            <v>90</v>
          </cell>
          <cell r="G110">
            <v>278310</v>
          </cell>
          <cell r="H110" t="str">
            <v>;;=SUM(F26:G26);</v>
          </cell>
          <cell r="I110" t="str">
            <v>.</v>
          </cell>
        </row>
        <row r="111">
          <cell r="A111">
            <v>554</v>
          </cell>
          <cell r="B111" t="str">
            <v>New Zealand</v>
          </cell>
          <cell r="C111">
            <v>1998</v>
          </cell>
          <cell r="D111">
            <v>90</v>
          </cell>
          <cell r="E111">
            <v>1515</v>
          </cell>
          <cell r="F111">
            <v>90</v>
          </cell>
          <cell r="G111">
            <v>53590</v>
          </cell>
          <cell r="H111" t="str">
            <v>;;=SUM(F27:G27);</v>
          </cell>
          <cell r="I111" t="str">
            <v>.</v>
          </cell>
        </row>
        <row r="112">
          <cell r="A112">
            <v>716</v>
          </cell>
          <cell r="B112" t="str">
            <v>Zimbabwe</v>
          </cell>
          <cell r="C112">
            <v>1997</v>
          </cell>
          <cell r="D112">
            <v>90</v>
          </cell>
          <cell r="E112">
            <v>900000</v>
          </cell>
          <cell r="F112">
            <v>90</v>
          </cell>
          <cell r="G112">
            <v>10870557</v>
          </cell>
          <cell r="H112" t="str">
            <v>;;=SUM(F11:G11);</v>
          </cell>
          <cell r="I112" t="str">
            <v>.</v>
          </cell>
        </row>
        <row r="113">
          <cell r="A113">
            <v>716</v>
          </cell>
          <cell r="B113" t="str">
            <v>Zimbabwe</v>
          </cell>
          <cell r="C113">
            <v>1997</v>
          </cell>
          <cell r="D113">
            <v>90</v>
          </cell>
          <cell r="E113">
            <v>300</v>
          </cell>
          <cell r="F113">
            <v>90</v>
          </cell>
          <cell r="G113">
            <v>974881</v>
          </cell>
          <cell r="H113"/>
          <cell r="I113" t="str">
            <v>.</v>
          </cell>
        </row>
        <row r="114">
          <cell r="A114">
            <v>716</v>
          </cell>
          <cell r="B114" t="str">
            <v>Zimbabwe</v>
          </cell>
          <cell r="C114">
            <v>1997</v>
          </cell>
          <cell r="D114">
            <v>90</v>
          </cell>
          <cell r="E114">
            <v>303</v>
          </cell>
          <cell r="F114">
            <v>90</v>
          </cell>
          <cell r="G114">
            <v>330211</v>
          </cell>
          <cell r="H114"/>
          <cell r="I114" t="str">
            <v>.</v>
          </cell>
        </row>
        <row r="115">
          <cell r="A115">
            <v>716</v>
          </cell>
          <cell r="B115" t="str">
            <v>Zimbabwe</v>
          </cell>
          <cell r="C115">
            <v>1997</v>
          </cell>
          <cell r="D115">
            <v>90</v>
          </cell>
          <cell r="E115">
            <v>404</v>
          </cell>
          <cell r="F115">
            <v>90</v>
          </cell>
          <cell r="G115">
            <v>306184</v>
          </cell>
          <cell r="H115"/>
          <cell r="I115" t="str">
            <v>.</v>
          </cell>
        </row>
        <row r="116">
          <cell r="A116">
            <v>716</v>
          </cell>
          <cell r="B116" t="str">
            <v>Zimbabwe</v>
          </cell>
          <cell r="C116">
            <v>1997</v>
          </cell>
          <cell r="D116">
            <v>90</v>
          </cell>
          <cell r="E116">
            <v>505</v>
          </cell>
          <cell r="F116">
            <v>90</v>
          </cell>
          <cell r="G116">
            <v>328770</v>
          </cell>
          <cell r="H116"/>
          <cell r="I116" t="str">
            <v>.</v>
          </cell>
        </row>
        <row r="117">
          <cell r="A117">
            <v>716</v>
          </cell>
          <cell r="B117" t="str">
            <v>Zimbabwe</v>
          </cell>
          <cell r="C117">
            <v>1997</v>
          </cell>
          <cell r="D117">
            <v>90</v>
          </cell>
          <cell r="E117">
            <v>606</v>
          </cell>
          <cell r="F117">
            <v>90</v>
          </cell>
          <cell r="G117">
            <v>327924</v>
          </cell>
          <cell r="H117"/>
          <cell r="I117" t="str">
            <v>.</v>
          </cell>
        </row>
        <row r="118">
          <cell r="A118">
            <v>716</v>
          </cell>
          <cell r="B118" t="str">
            <v>Zimbabwe</v>
          </cell>
          <cell r="C118">
            <v>1997</v>
          </cell>
          <cell r="D118">
            <v>90</v>
          </cell>
          <cell r="E118">
            <v>707</v>
          </cell>
          <cell r="F118">
            <v>90</v>
          </cell>
          <cell r="G118">
            <v>316482</v>
          </cell>
          <cell r="H118"/>
          <cell r="I118" t="str">
            <v>.</v>
          </cell>
        </row>
        <row r="119">
          <cell r="A119">
            <v>716</v>
          </cell>
          <cell r="B119" t="str">
            <v>Zimbabwe</v>
          </cell>
          <cell r="C119">
            <v>1997</v>
          </cell>
          <cell r="D119">
            <v>90</v>
          </cell>
          <cell r="E119">
            <v>808</v>
          </cell>
          <cell r="F119">
            <v>90</v>
          </cell>
          <cell r="G119">
            <v>332029</v>
          </cell>
          <cell r="H119"/>
          <cell r="I119" t="str">
            <v>.</v>
          </cell>
        </row>
        <row r="120">
          <cell r="A120">
            <v>716</v>
          </cell>
          <cell r="B120" t="str">
            <v>Zimbabwe</v>
          </cell>
          <cell r="C120">
            <v>1997</v>
          </cell>
          <cell r="D120">
            <v>90</v>
          </cell>
          <cell r="E120">
            <v>909</v>
          </cell>
          <cell r="F120">
            <v>90</v>
          </cell>
          <cell r="G120">
            <v>340911</v>
          </cell>
          <cell r="H120"/>
          <cell r="I120" t="str">
            <v>.</v>
          </cell>
        </row>
        <row r="121">
          <cell r="A121">
            <v>716</v>
          </cell>
          <cell r="B121" t="str">
            <v>Zimbabwe</v>
          </cell>
          <cell r="C121">
            <v>1997</v>
          </cell>
          <cell r="D121">
            <v>90</v>
          </cell>
          <cell r="E121">
            <v>509</v>
          </cell>
          <cell r="F121">
            <v>90</v>
          </cell>
          <cell r="G121">
            <v>1653788</v>
          </cell>
          <cell r="H121" t="str">
            <v>;;=SUM(F20:G20);</v>
          </cell>
          <cell r="I121" t="str">
            <v>.</v>
          </cell>
        </row>
        <row r="122">
          <cell r="A122">
            <v>716</v>
          </cell>
          <cell r="B122" t="str">
            <v>Zimbabwe</v>
          </cell>
          <cell r="C122">
            <v>1997</v>
          </cell>
          <cell r="D122">
            <v>90</v>
          </cell>
          <cell r="E122">
            <v>1010</v>
          </cell>
          <cell r="F122">
            <v>90</v>
          </cell>
          <cell r="G122">
            <v>362477</v>
          </cell>
          <cell r="H122"/>
          <cell r="I122" t="str">
            <v>.</v>
          </cell>
        </row>
        <row r="123">
          <cell r="A123">
            <v>716</v>
          </cell>
          <cell r="B123" t="str">
            <v>Zimbabwe</v>
          </cell>
          <cell r="C123">
            <v>1997</v>
          </cell>
          <cell r="D123">
            <v>90</v>
          </cell>
          <cell r="E123">
            <v>1111</v>
          </cell>
          <cell r="F123">
            <v>90</v>
          </cell>
          <cell r="G123">
            <v>331952</v>
          </cell>
          <cell r="H123"/>
          <cell r="I123" t="str">
            <v>.</v>
          </cell>
        </row>
        <row r="124">
          <cell r="A124">
            <v>716</v>
          </cell>
          <cell r="B124" t="str">
            <v>Zimbabwe</v>
          </cell>
          <cell r="C124">
            <v>1997</v>
          </cell>
          <cell r="D124">
            <v>90</v>
          </cell>
          <cell r="E124">
            <v>1212</v>
          </cell>
          <cell r="F124">
            <v>90</v>
          </cell>
          <cell r="G124">
            <v>377154</v>
          </cell>
          <cell r="H124"/>
          <cell r="I124" t="str">
            <v>.</v>
          </cell>
        </row>
        <row r="125">
          <cell r="A125">
            <v>716</v>
          </cell>
          <cell r="B125" t="str">
            <v>Zimbabwe</v>
          </cell>
          <cell r="C125">
            <v>1997</v>
          </cell>
          <cell r="D125">
            <v>90</v>
          </cell>
          <cell r="E125">
            <v>1313</v>
          </cell>
          <cell r="F125">
            <v>90</v>
          </cell>
          <cell r="G125">
            <v>368322</v>
          </cell>
          <cell r="H125"/>
          <cell r="I125" t="str">
            <v>.</v>
          </cell>
        </row>
        <row r="126">
          <cell r="A126">
            <v>716</v>
          </cell>
          <cell r="B126" t="str">
            <v>Zimbabwe</v>
          </cell>
          <cell r="C126">
            <v>1997</v>
          </cell>
          <cell r="D126">
            <v>90</v>
          </cell>
          <cell r="E126">
            <v>1414</v>
          </cell>
          <cell r="F126">
            <v>90</v>
          </cell>
          <cell r="G126">
            <v>363650</v>
          </cell>
          <cell r="H126" t="str">
            <v>;;=SUM(F25:G25);</v>
          </cell>
          <cell r="I126" t="str">
            <v>.</v>
          </cell>
        </row>
        <row r="127">
          <cell r="A127">
            <v>716</v>
          </cell>
          <cell r="B127" t="str">
            <v>Zimbabwe</v>
          </cell>
          <cell r="C127">
            <v>1997</v>
          </cell>
          <cell r="D127">
            <v>90</v>
          </cell>
          <cell r="E127">
            <v>1014</v>
          </cell>
          <cell r="F127">
            <v>90</v>
          </cell>
          <cell r="G127">
            <v>1456751</v>
          </cell>
          <cell r="H127" t="str">
            <v>;;=SUM(F26:G26);</v>
          </cell>
          <cell r="I127" t="str">
            <v>.</v>
          </cell>
        </row>
        <row r="128">
          <cell r="A128">
            <v>716</v>
          </cell>
          <cell r="B128" t="str">
            <v>Zimbabwe</v>
          </cell>
          <cell r="C128">
            <v>1997</v>
          </cell>
          <cell r="D128">
            <v>90</v>
          </cell>
          <cell r="E128">
            <v>1515</v>
          </cell>
          <cell r="F128">
            <v>90</v>
          </cell>
          <cell r="G128">
            <v>349526</v>
          </cell>
          <cell r="H128" t="str">
            <v>;;=SUM(F27:G27);</v>
          </cell>
          <cell r="I128" t="str">
            <v>.</v>
          </cell>
        </row>
        <row r="129">
          <cell r="A129">
            <v>716</v>
          </cell>
          <cell r="B129" t="str">
            <v>Zimbabwe</v>
          </cell>
          <cell r="C129">
            <v>1997</v>
          </cell>
          <cell r="D129">
            <v>90</v>
          </cell>
          <cell r="E129">
            <v>1616</v>
          </cell>
          <cell r="F129">
            <v>90</v>
          </cell>
          <cell r="G129">
            <v>312049</v>
          </cell>
          <cell r="H129" t="str">
            <v>;;=SUM(F28:G28);</v>
          </cell>
          <cell r="I129" t="str">
            <v>.</v>
          </cell>
        </row>
        <row r="130">
          <cell r="A130">
            <v>716</v>
          </cell>
          <cell r="B130" t="str">
            <v>Zimbabwe</v>
          </cell>
          <cell r="C130">
            <v>1997</v>
          </cell>
          <cell r="D130">
            <v>90</v>
          </cell>
          <cell r="E130">
            <v>1717</v>
          </cell>
          <cell r="F130">
            <v>90</v>
          </cell>
          <cell r="G130">
            <v>313879</v>
          </cell>
          <cell r="H130" t="str">
            <v>;;=SUM(F29:G29);</v>
          </cell>
          <cell r="I130" t="str">
            <v>.</v>
          </cell>
        </row>
        <row r="131">
          <cell r="A131">
            <v>716</v>
          </cell>
          <cell r="B131" t="str">
            <v>Zimbabwe</v>
          </cell>
          <cell r="C131">
            <v>1997</v>
          </cell>
          <cell r="D131">
            <v>90</v>
          </cell>
          <cell r="E131">
            <v>1818</v>
          </cell>
          <cell r="F131">
            <v>90</v>
          </cell>
          <cell r="G131">
            <v>274988</v>
          </cell>
          <cell r="H131" t="str">
            <v>;;=SUM(F30:G30);</v>
          </cell>
          <cell r="I131" t="str">
            <v>.</v>
          </cell>
        </row>
        <row r="132">
          <cell r="A132">
            <v>716</v>
          </cell>
          <cell r="B132" t="str">
            <v>Zimbabwe</v>
          </cell>
          <cell r="C132">
            <v>1997</v>
          </cell>
          <cell r="D132">
            <v>90</v>
          </cell>
          <cell r="E132">
            <v>1919</v>
          </cell>
          <cell r="F132">
            <v>90</v>
          </cell>
          <cell r="G132">
            <v>234211</v>
          </cell>
          <cell r="H132" t="str">
            <v>;;=SUM(F31:G31);</v>
          </cell>
          <cell r="I132" t="str">
            <v>.</v>
          </cell>
        </row>
        <row r="133">
          <cell r="A133">
            <v>716</v>
          </cell>
          <cell r="B133" t="str">
            <v>Zimbabwe</v>
          </cell>
          <cell r="C133">
            <v>1997</v>
          </cell>
          <cell r="D133">
            <v>90</v>
          </cell>
          <cell r="E133">
            <v>1519</v>
          </cell>
          <cell r="F133">
            <v>90</v>
          </cell>
          <cell r="G133">
            <v>1239238</v>
          </cell>
          <cell r="H133" t="str">
            <v>;;=SUM(F32:G32);</v>
          </cell>
          <cell r="I133" t="str">
            <v>.</v>
          </cell>
        </row>
        <row r="134">
          <cell r="A134">
            <v>716</v>
          </cell>
          <cell r="B134" t="str">
            <v>Zimbabwe</v>
          </cell>
          <cell r="C134">
            <v>1997</v>
          </cell>
          <cell r="D134">
            <v>90</v>
          </cell>
          <cell r="E134">
            <v>2020</v>
          </cell>
          <cell r="F134">
            <v>90</v>
          </cell>
          <cell r="G134">
            <v>257501</v>
          </cell>
          <cell r="H134" t="str">
            <v>;;=SUM(F33:G33);</v>
          </cell>
          <cell r="I134" t="str">
            <v>.</v>
          </cell>
        </row>
        <row r="135">
          <cell r="A135">
            <v>716</v>
          </cell>
          <cell r="B135" t="str">
            <v>Zimbabwe</v>
          </cell>
          <cell r="C135">
            <v>1997</v>
          </cell>
          <cell r="D135">
            <v>90</v>
          </cell>
          <cell r="E135">
            <v>2121</v>
          </cell>
          <cell r="F135">
            <v>90</v>
          </cell>
          <cell r="G135">
            <v>215568</v>
          </cell>
          <cell r="H135" t="str">
            <v>;;=SUM(F34:G34);</v>
          </cell>
          <cell r="I135" t="str">
            <v>.</v>
          </cell>
        </row>
        <row r="136">
          <cell r="A136">
            <v>716</v>
          </cell>
          <cell r="B136" t="str">
            <v>Zimbabwe</v>
          </cell>
          <cell r="C136">
            <v>1997</v>
          </cell>
          <cell r="D136">
            <v>90</v>
          </cell>
          <cell r="E136">
            <v>2222</v>
          </cell>
          <cell r="F136">
            <v>90</v>
          </cell>
          <cell r="G136">
            <v>235979</v>
          </cell>
          <cell r="H136" t="str">
            <v>;;=SUM(F35:G35);</v>
          </cell>
          <cell r="I136" t="str">
            <v>.</v>
          </cell>
        </row>
        <row r="137">
          <cell r="A137">
            <v>716</v>
          </cell>
          <cell r="B137" t="str">
            <v>Zimbabwe</v>
          </cell>
          <cell r="C137">
            <v>1997</v>
          </cell>
          <cell r="D137">
            <v>90</v>
          </cell>
          <cell r="E137">
            <v>2323</v>
          </cell>
          <cell r="F137">
            <v>90</v>
          </cell>
          <cell r="G137">
            <v>224345</v>
          </cell>
          <cell r="H137" t="str">
            <v>;;=SUM(F36:G36);</v>
          </cell>
          <cell r="I137" t="str">
            <v>.</v>
          </cell>
        </row>
        <row r="138">
          <cell r="A138">
            <v>716</v>
          </cell>
          <cell r="B138" t="str">
            <v>Zimbabwe</v>
          </cell>
          <cell r="C138">
            <v>1997</v>
          </cell>
          <cell r="D138">
            <v>90</v>
          </cell>
          <cell r="E138">
            <v>2424</v>
          </cell>
          <cell r="F138">
            <v>90</v>
          </cell>
          <cell r="G138">
            <v>214478</v>
          </cell>
          <cell r="H138" t="str">
            <v>;;=SUM(F37:G37);</v>
          </cell>
          <cell r="I138" t="str">
            <v>.</v>
          </cell>
        </row>
        <row r="139">
          <cell r="A139">
            <v>716</v>
          </cell>
          <cell r="B139" t="str">
            <v>Zimbabwe</v>
          </cell>
          <cell r="C139">
            <v>1997</v>
          </cell>
          <cell r="D139">
            <v>90</v>
          </cell>
          <cell r="E139">
            <v>2024</v>
          </cell>
          <cell r="F139">
            <v>90</v>
          </cell>
          <cell r="G139">
            <v>989897</v>
          </cell>
          <cell r="H139" t="str">
            <v>;;=SUM(F38:G38);</v>
          </cell>
          <cell r="I139" t="str">
            <v>.</v>
          </cell>
        </row>
        <row r="140">
          <cell r="A140">
            <v>716</v>
          </cell>
          <cell r="B140" t="str">
            <v>Zimbabwe</v>
          </cell>
          <cell r="C140">
            <v>1997</v>
          </cell>
          <cell r="D140">
            <v>90</v>
          </cell>
          <cell r="E140">
            <v>2525</v>
          </cell>
          <cell r="F140">
            <v>90</v>
          </cell>
          <cell r="G140">
            <v>216119</v>
          </cell>
          <cell r="H140" t="str">
            <v>;;=SUM(F39:G39);</v>
          </cell>
          <cell r="I140" t="str">
            <v>.</v>
          </cell>
        </row>
        <row r="141">
          <cell r="A141">
            <v>716</v>
          </cell>
          <cell r="B141" t="str">
            <v>Zimbabwe</v>
          </cell>
          <cell r="C141">
            <v>1997</v>
          </cell>
          <cell r="D141">
            <v>90</v>
          </cell>
          <cell r="E141">
            <v>2626</v>
          </cell>
          <cell r="F141">
            <v>90</v>
          </cell>
          <cell r="G141">
            <v>167249</v>
          </cell>
          <cell r="H141" t="str">
            <v>;;=SUM(F40:G40);</v>
          </cell>
          <cell r="I141" t="str">
            <v>.</v>
          </cell>
        </row>
        <row r="142">
          <cell r="A142">
            <v>716</v>
          </cell>
          <cell r="B142" t="str">
            <v>Zimbabwe</v>
          </cell>
          <cell r="C142">
            <v>1997</v>
          </cell>
          <cell r="D142">
            <v>90</v>
          </cell>
          <cell r="E142">
            <v>2727</v>
          </cell>
          <cell r="F142">
            <v>90</v>
          </cell>
          <cell r="G142">
            <v>187841</v>
          </cell>
          <cell r="H142" t="str">
            <v>;;=SUM(F41:G41);</v>
          </cell>
          <cell r="I142" t="str">
            <v>.</v>
          </cell>
        </row>
        <row r="143">
          <cell r="A143">
            <v>716</v>
          </cell>
          <cell r="B143" t="str">
            <v>Zimbabwe</v>
          </cell>
          <cell r="C143">
            <v>1997</v>
          </cell>
          <cell r="D143">
            <v>90</v>
          </cell>
          <cell r="E143">
            <v>2828</v>
          </cell>
          <cell r="F143">
            <v>90</v>
          </cell>
          <cell r="G143">
            <v>164944</v>
          </cell>
          <cell r="H143" t="str">
            <v>;;=SUM(F42:G42);</v>
          </cell>
          <cell r="I143" t="str">
            <v>.</v>
          </cell>
        </row>
        <row r="144">
          <cell r="A144">
            <v>716</v>
          </cell>
          <cell r="B144" t="str">
            <v>Zimbabwe</v>
          </cell>
          <cell r="C144">
            <v>1997</v>
          </cell>
          <cell r="D144">
            <v>90</v>
          </cell>
          <cell r="E144">
            <v>2929</v>
          </cell>
          <cell r="F144">
            <v>90</v>
          </cell>
          <cell r="G144">
            <v>152448</v>
          </cell>
          <cell r="H144" t="str">
            <v>;;=SUM(F43:G43);</v>
          </cell>
          <cell r="I144" t="str">
            <v>.</v>
          </cell>
        </row>
        <row r="145">
          <cell r="A145">
            <v>716</v>
          </cell>
          <cell r="B145" t="str">
            <v>Zimbabwe</v>
          </cell>
          <cell r="C145">
            <v>1997</v>
          </cell>
          <cell r="D145">
            <v>90</v>
          </cell>
          <cell r="E145">
            <v>2529</v>
          </cell>
          <cell r="F145">
            <v>90</v>
          </cell>
          <cell r="G145">
            <v>712208</v>
          </cell>
          <cell r="H145" t="str">
            <v>;;=SUM(F44:G44);</v>
          </cell>
          <cell r="I145" t="str">
            <v>.</v>
          </cell>
        </row>
        <row r="146">
          <cell r="A146">
            <v>716</v>
          </cell>
          <cell r="B146" t="str">
            <v>Zimbabwe</v>
          </cell>
          <cell r="C146">
            <v>1997</v>
          </cell>
          <cell r="D146">
            <v>90</v>
          </cell>
          <cell r="E146">
            <v>3034</v>
          </cell>
          <cell r="F146">
            <v>90</v>
          </cell>
          <cell r="G146">
            <v>624978</v>
          </cell>
          <cell r="H146" t="str">
            <v>;;=SUM(F45:G45);</v>
          </cell>
          <cell r="I146" t="str">
            <v>.</v>
          </cell>
        </row>
        <row r="147">
          <cell r="A147">
            <v>716</v>
          </cell>
          <cell r="B147" t="str">
            <v>Zimbabwe</v>
          </cell>
          <cell r="C147">
            <v>1997</v>
          </cell>
          <cell r="D147">
            <v>90</v>
          </cell>
          <cell r="E147">
            <v>3539</v>
          </cell>
          <cell r="F147">
            <v>90</v>
          </cell>
          <cell r="G147">
            <v>583723</v>
          </cell>
          <cell r="H147" t="str">
            <v>;;=SUM(F46:G46);</v>
          </cell>
          <cell r="I147" t="str">
            <v>.</v>
          </cell>
        </row>
        <row r="148">
          <cell r="A148">
            <v>716</v>
          </cell>
          <cell r="B148" t="str">
            <v>Zimbabwe</v>
          </cell>
          <cell r="C148">
            <v>1997</v>
          </cell>
          <cell r="D148">
            <v>90</v>
          </cell>
          <cell r="E148">
            <v>4099</v>
          </cell>
          <cell r="F148">
            <v>90</v>
          </cell>
          <cell r="G148">
            <v>1997143</v>
          </cell>
          <cell r="H148" t="str">
            <v>;;=SUM(F47:G47);</v>
          </cell>
          <cell r="I148" t="str">
            <v>.</v>
          </cell>
        </row>
        <row r="149">
          <cell r="A149">
            <v>716</v>
          </cell>
          <cell r="B149" t="str">
            <v>Zimbabwe</v>
          </cell>
          <cell r="C149">
            <v>1997</v>
          </cell>
          <cell r="D149">
            <v>90</v>
          </cell>
          <cell r="E149">
            <v>990000</v>
          </cell>
          <cell r="F149">
            <v>90</v>
          </cell>
          <cell r="G149">
            <v>1555</v>
          </cell>
          <cell r="H149" t="str">
            <v>;;=SUM(F48:G48);</v>
          </cell>
          <cell r="I149" t="str">
            <v>.</v>
          </cell>
        </row>
        <row r="150">
          <cell r="A150">
            <v>32</v>
          </cell>
          <cell r="B150" t="str">
            <v>Argentina</v>
          </cell>
          <cell r="C150">
            <v>1997</v>
          </cell>
          <cell r="D150">
            <v>90</v>
          </cell>
          <cell r="E150">
            <v>3034</v>
          </cell>
          <cell r="F150">
            <v>90</v>
          </cell>
          <cell r="G150">
            <v>2373585</v>
          </cell>
          <cell r="H150" t="str">
            <v>;;=SUM(F45:G45);</v>
          </cell>
          <cell r="I150" t="str">
            <v>.</v>
          </cell>
        </row>
        <row r="151">
          <cell r="A151">
            <v>32</v>
          </cell>
          <cell r="B151" t="str">
            <v>Argentina</v>
          </cell>
          <cell r="C151">
            <v>1997</v>
          </cell>
          <cell r="D151">
            <v>90</v>
          </cell>
          <cell r="E151">
            <v>3539</v>
          </cell>
          <cell r="F151">
            <v>90</v>
          </cell>
          <cell r="G151">
            <v>2244300</v>
          </cell>
          <cell r="H151" t="str">
            <v>;;=SUM(F46:G46);</v>
          </cell>
          <cell r="I151" t="str">
            <v>.</v>
          </cell>
        </row>
        <row r="152">
          <cell r="A152">
            <v>32</v>
          </cell>
          <cell r="B152" t="str">
            <v>Argentina</v>
          </cell>
          <cell r="C152">
            <v>1997</v>
          </cell>
          <cell r="D152">
            <v>90</v>
          </cell>
          <cell r="E152">
            <v>4099</v>
          </cell>
          <cell r="F152">
            <v>90</v>
          </cell>
          <cell r="G152">
            <v>11930040</v>
          </cell>
          <cell r="H152" t="str">
            <v>;;=SUM(F47:G47);</v>
          </cell>
          <cell r="I152" t="str">
            <v>.</v>
          </cell>
        </row>
        <row r="153">
          <cell r="A153">
            <v>32</v>
          </cell>
          <cell r="B153" t="str">
            <v>Argentina</v>
          </cell>
          <cell r="C153">
            <v>1997</v>
          </cell>
          <cell r="D153">
            <v>90</v>
          </cell>
          <cell r="E153">
            <v>990000</v>
          </cell>
          <cell r="F153">
            <v>90</v>
          </cell>
          <cell r="G153">
            <v>0</v>
          </cell>
          <cell r="H153" t="str">
            <v>n;</v>
          </cell>
          <cell r="I153" t="str">
            <v>n</v>
          </cell>
        </row>
        <row r="154">
          <cell r="A154">
            <v>76</v>
          </cell>
          <cell r="B154" t="str">
            <v>Brazil</v>
          </cell>
          <cell r="C154">
            <v>1997</v>
          </cell>
          <cell r="D154">
            <v>90</v>
          </cell>
          <cell r="E154">
            <v>1313</v>
          </cell>
          <cell r="F154">
            <v>90</v>
          </cell>
          <cell r="G154">
            <v>3738993.666965853</v>
          </cell>
          <cell r="H154" t="str">
            <v>;;=SUM(F24:G24);</v>
          </cell>
          <cell r="I154" t="str">
            <v>.</v>
          </cell>
        </row>
        <row r="155">
          <cell r="A155">
            <v>76</v>
          </cell>
          <cell r="B155" t="str">
            <v>Brazil</v>
          </cell>
          <cell r="C155">
            <v>1997</v>
          </cell>
          <cell r="D155">
            <v>90</v>
          </cell>
          <cell r="E155">
            <v>1414</v>
          </cell>
          <cell r="F155">
            <v>90</v>
          </cell>
          <cell r="G155">
            <v>3807658.901845431</v>
          </cell>
          <cell r="H155" t="str">
            <v>;;=SUM(F25:G25);</v>
          </cell>
          <cell r="I155" t="str">
            <v>.</v>
          </cell>
        </row>
        <row r="156">
          <cell r="A156">
            <v>76</v>
          </cell>
          <cell r="B156" t="str">
            <v>Brazil</v>
          </cell>
          <cell r="C156">
            <v>1997</v>
          </cell>
          <cell r="D156">
            <v>90</v>
          </cell>
          <cell r="E156">
            <v>1014</v>
          </cell>
          <cell r="F156">
            <v>90</v>
          </cell>
          <cell r="G156">
            <v>18459710.448064469</v>
          </cell>
          <cell r="H156" t="str">
            <v>;;=SUM(F26:G26);</v>
          </cell>
          <cell r="I156" t="str">
            <v>.</v>
          </cell>
        </row>
        <row r="157">
          <cell r="A157">
            <v>76</v>
          </cell>
          <cell r="B157" t="str">
            <v>Brazil</v>
          </cell>
          <cell r="C157">
            <v>1997</v>
          </cell>
          <cell r="D157">
            <v>90</v>
          </cell>
          <cell r="E157">
            <v>1515</v>
          </cell>
          <cell r="F157">
            <v>90</v>
          </cell>
          <cell r="G157">
            <v>3508555.3333333335</v>
          </cell>
          <cell r="H157" t="str">
            <v>;;=SUM(F27:G27);</v>
          </cell>
          <cell r="I157" t="str">
            <v>.</v>
          </cell>
        </row>
        <row r="158">
          <cell r="A158">
            <v>76</v>
          </cell>
          <cell r="B158" t="str">
            <v>Brazil</v>
          </cell>
          <cell r="C158">
            <v>1997</v>
          </cell>
          <cell r="D158">
            <v>90</v>
          </cell>
          <cell r="E158">
            <v>1616</v>
          </cell>
          <cell r="F158">
            <v>90</v>
          </cell>
          <cell r="G158">
            <v>3500888.333333333</v>
          </cell>
          <cell r="H158" t="str">
            <v>;;=SUM(F28:G28);</v>
          </cell>
          <cell r="I158" t="str">
            <v>.</v>
          </cell>
        </row>
        <row r="159">
          <cell r="A159">
            <v>76</v>
          </cell>
          <cell r="B159" t="str">
            <v>Brazil</v>
          </cell>
          <cell r="C159">
            <v>1997</v>
          </cell>
          <cell r="D159">
            <v>90</v>
          </cell>
          <cell r="E159">
            <v>1717</v>
          </cell>
          <cell r="F159">
            <v>90</v>
          </cell>
          <cell r="G159">
            <v>3365811.3333333335</v>
          </cell>
          <cell r="H159" t="str">
            <v>;;=SUM(F29:G29);</v>
          </cell>
          <cell r="I159" t="str">
            <v>.</v>
          </cell>
        </row>
        <row r="160">
          <cell r="A160">
            <v>76</v>
          </cell>
          <cell r="B160" t="str">
            <v>Brazil</v>
          </cell>
          <cell r="C160">
            <v>1997</v>
          </cell>
          <cell r="D160">
            <v>90</v>
          </cell>
          <cell r="E160">
            <v>1818</v>
          </cell>
          <cell r="F160">
            <v>90</v>
          </cell>
          <cell r="G160">
            <v>3320344.3333333335</v>
          </cell>
          <cell r="H160" t="str">
            <v>;;=SUM(F30:G30);</v>
          </cell>
          <cell r="I160" t="str">
            <v>.</v>
          </cell>
        </row>
        <row r="161">
          <cell r="A161">
            <v>76</v>
          </cell>
          <cell r="B161" t="str">
            <v>Brazil</v>
          </cell>
          <cell r="C161">
            <v>1997</v>
          </cell>
          <cell r="D161">
            <v>90</v>
          </cell>
          <cell r="E161">
            <v>1919</v>
          </cell>
          <cell r="F161">
            <v>90</v>
          </cell>
          <cell r="G161">
            <v>3187707.333333333</v>
          </cell>
          <cell r="H161" t="str">
            <v>;;=SUM(F31:G31);</v>
          </cell>
          <cell r="I161" t="str">
            <v>.</v>
          </cell>
        </row>
        <row r="162">
          <cell r="A162">
            <v>76</v>
          </cell>
          <cell r="B162" t="str">
            <v>Brazil</v>
          </cell>
          <cell r="C162">
            <v>1997</v>
          </cell>
          <cell r="D162">
            <v>90</v>
          </cell>
          <cell r="E162">
            <v>1519</v>
          </cell>
          <cell r="F162">
            <v>90</v>
          </cell>
          <cell r="G162">
            <v>16883306.666666664</v>
          </cell>
          <cell r="H162" t="str">
            <v>;;=SUM(F32:G32);</v>
          </cell>
          <cell r="I162" t="str">
            <v>.</v>
          </cell>
        </row>
        <row r="163">
          <cell r="A163">
            <v>76</v>
          </cell>
          <cell r="B163" t="str">
            <v>Brazil</v>
          </cell>
          <cell r="C163">
            <v>1997</v>
          </cell>
          <cell r="D163">
            <v>90</v>
          </cell>
          <cell r="E163">
            <v>2020</v>
          </cell>
          <cell r="F163">
            <v>90</v>
          </cell>
          <cell r="G163">
            <v>3156296.666666667</v>
          </cell>
          <cell r="H163" t="str">
            <v>;;=SUM(F33:G33);</v>
          </cell>
          <cell r="I163" t="str">
            <v>.</v>
          </cell>
        </row>
        <row r="164">
          <cell r="A164">
            <v>76</v>
          </cell>
          <cell r="B164" t="str">
            <v>Brazil</v>
          </cell>
          <cell r="C164">
            <v>1997</v>
          </cell>
          <cell r="D164">
            <v>90</v>
          </cell>
          <cell r="E164">
            <v>2121</v>
          </cell>
          <cell r="F164">
            <v>90</v>
          </cell>
          <cell r="G164">
            <v>3053307.6666666665</v>
          </cell>
          <cell r="H164" t="str">
            <v>;;=SUM(F34:G34);</v>
          </cell>
          <cell r="I164" t="str">
            <v>.</v>
          </cell>
        </row>
        <row r="165">
          <cell r="A165">
            <v>792</v>
          </cell>
          <cell r="B165" t="str">
            <v>Turkey</v>
          </cell>
          <cell r="C165">
            <v>1998</v>
          </cell>
          <cell r="D165">
            <v>90</v>
          </cell>
          <cell r="E165">
            <v>900000</v>
          </cell>
          <cell r="F165">
            <v>90</v>
          </cell>
          <cell r="G165">
            <v>63973000</v>
          </cell>
          <cell r="H165" t="str">
            <v>;;=SUM(F11:G11);</v>
          </cell>
          <cell r="I165" t="str">
            <v>.</v>
          </cell>
        </row>
        <row r="166">
          <cell r="A166">
            <v>792</v>
          </cell>
          <cell r="B166" t="str">
            <v>Turkey</v>
          </cell>
          <cell r="C166">
            <v>1998</v>
          </cell>
          <cell r="D166">
            <v>90</v>
          </cell>
          <cell r="E166">
            <v>300</v>
          </cell>
          <cell r="F166">
            <v>90</v>
          </cell>
          <cell r="G166">
            <v>4025000</v>
          </cell>
          <cell r="H166" t="str">
            <v>;;=SUM(F12:G12);</v>
          </cell>
          <cell r="I166" t="str">
            <v>.</v>
          </cell>
        </row>
        <row r="167">
          <cell r="A167">
            <v>792</v>
          </cell>
          <cell r="B167" t="str">
            <v>Turkey</v>
          </cell>
          <cell r="C167">
            <v>1998</v>
          </cell>
          <cell r="D167">
            <v>90</v>
          </cell>
          <cell r="E167">
            <v>303</v>
          </cell>
          <cell r="F167">
            <v>90</v>
          </cell>
          <cell r="G167">
            <v>1305000</v>
          </cell>
          <cell r="H167" t="str">
            <v>;;=SUM(F13:G13);</v>
          </cell>
          <cell r="I167" t="str">
            <v>.</v>
          </cell>
        </row>
        <row r="168">
          <cell r="A168">
            <v>792</v>
          </cell>
          <cell r="B168" t="str">
            <v>Turkey</v>
          </cell>
          <cell r="C168">
            <v>1998</v>
          </cell>
          <cell r="D168">
            <v>90</v>
          </cell>
          <cell r="E168">
            <v>404</v>
          </cell>
          <cell r="F168">
            <v>90</v>
          </cell>
          <cell r="G168">
            <v>1305000</v>
          </cell>
          <cell r="H168" t="str">
            <v>;;=SUM(F14:G14);</v>
          </cell>
          <cell r="I168" t="str">
            <v>.</v>
          </cell>
        </row>
        <row r="169">
          <cell r="A169">
            <v>792</v>
          </cell>
          <cell r="B169" t="str">
            <v>Turkey</v>
          </cell>
          <cell r="C169">
            <v>1998</v>
          </cell>
          <cell r="D169">
            <v>90</v>
          </cell>
          <cell r="E169">
            <v>505</v>
          </cell>
          <cell r="F169">
            <v>90</v>
          </cell>
          <cell r="G169">
            <v>1296000</v>
          </cell>
          <cell r="H169" t="str">
            <v>;;=SUM(F15:G15);</v>
          </cell>
          <cell r="I169" t="str">
            <v>.</v>
          </cell>
        </row>
        <row r="170">
          <cell r="A170">
            <v>792</v>
          </cell>
          <cell r="B170" t="str">
            <v>Turkey</v>
          </cell>
          <cell r="C170">
            <v>1998</v>
          </cell>
          <cell r="D170">
            <v>90</v>
          </cell>
          <cell r="E170">
            <v>606</v>
          </cell>
          <cell r="F170">
            <v>90</v>
          </cell>
          <cell r="G170">
            <v>1295000</v>
          </cell>
          <cell r="H170" t="str">
            <v>;;=SUM(F16:G16);</v>
          </cell>
          <cell r="I170" t="str">
            <v>.</v>
          </cell>
        </row>
        <row r="171">
          <cell r="A171">
            <v>792</v>
          </cell>
          <cell r="B171" t="str">
            <v>Turkey</v>
          </cell>
          <cell r="C171">
            <v>1998</v>
          </cell>
          <cell r="D171">
            <v>90</v>
          </cell>
          <cell r="E171">
            <v>707</v>
          </cell>
          <cell r="F171">
            <v>90</v>
          </cell>
          <cell r="G171">
            <v>1301000</v>
          </cell>
          <cell r="H171" t="str">
            <v>;;=SUM(F17:G17);</v>
          </cell>
          <cell r="I171" t="str">
            <v>.</v>
          </cell>
        </row>
        <row r="172">
          <cell r="A172">
            <v>792</v>
          </cell>
          <cell r="B172" t="str">
            <v>Turkey</v>
          </cell>
          <cell r="C172">
            <v>1998</v>
          </cell>
          <cell r="D172">
            <v>90</v>
          </cell>
          <cell r="E172">
            <v>808</v>
          </cell>
          <cell r="F172">
            <v>90</v>
          </cell>
          <cell r="G172">
            <v>1307000</v>
          </cell>
          <cell r="H172" t="str">
            <v>;;=SUM(F18:G18);</v>
          </cell>
          <cell r="I172" t="str">
            <v>.</v>
          </cell>
        </row>
        <row r="173">
          <cell r="A173">
            <v>792</v>
          </cell>
          <cell r="B173" t="str">
            <v>Turkey</v>
          </cell>
          <cell r="C173">
            <v>1998</v>
          </cell>
          <cell r="D173">
            <v>90</v>
          </cell>
          <cell r="E173">
            <v>909</v>
          </cell>
          <cell r="F173">
            <v>90</v>
          </cell>
          <cell r="G173">
            <v>1313000</v>
          </cell>
          <cell r="H173" t="str">
            <v>;;=SUM(F19:G19);</v>
          </cell>
          <cell r="I173" t="str">
            <v>.</v>
          </cell>
        </row>
        <row r="174">
          <cell r="A174">
            <v>792</v>
          </cell>
          <cell r="B174" t="str">
            <v>Turkey</v>
          </cell>
          <cell r="C174">
            <v>1998</v>
          </cell>
          <cell r="D174">
            <v>90</v>
          </cell>
          <cell r="E174">
            <v>509</v>
          </cell>
          <cell r="F174">
            <v>90</v>
          </cell>
          <cell r="G174">
            <v>6512000</v>
          </cell>
          <cell r="H174" t="str">
            <v>;;=SUM(F20:G20);</v>
          </cell>
          <cell r="I174" t="str">
            <v>.</v>
          </cell>
        </row>
        <row r="175">
          <cell r="A175">
            <v>792</v>
          </cell>
          <cell r="B175" t="str">
            <v>Turkey</v>
          </cell>
          <cell r="C175">
            <v>1998</v>
          </cell>
          <cell r="D175">
            <v>90</v>
          </cell>
          <cell r="E175">
            <v>1010</v>
          </cell>
          <cell r="F175">
            <v>90</v>
          </cell>
          <cell r="G175">
            <v>1321000</v>
          </cell>
          <cell r="H175" t="str">
            <v>;;=SUM(F21:G21);</v>
          </cell>
          <cell r="I175" t="str">
            <v>.</v>
          </cell>
        </row>
        <row r="176">
          <cell r="A176">
            <v>792</v>
          </cell>
          <cell r="B176" t="str">
            <v>Turkey</v>
          </cell>
          <cell r="C176">
            <v>1998</v>
          </cell>
          <cell r="D176">
            <v>90</v>
          </cell>
          <cell r="E176">
            <v>1111</v>
          </cell>
          <cell r="F176">
            <v>90</v>
          </cell>
          <cell r="G176">
            <v>1329000</v>
          </cell>
          <cell r="H176" t="str">
            <v>;;=SUM(F22:G22);</v>
          </cell>
          <cell r="I176" t="str">
            <v>.</v>
          </cell>
        </row>
        <row r="177">
          <cell r="A177">
            <v>840</v>
          </cell>
          <cell r="B177" t="str">
            <v>United States</v>
          </cell>
          <cell r="C177">
            <v>1998</v>
          </cell>
          <cell r="D177">
            <v>90</v>
          </cell>
          <cell r="E177">
            <v>900000</v>
          </cell>
          <cell r="F177">
            <v>90</v>
          </cell>
          <cell r="G177">
            <v>269066914</v>
          </cell>
          <cell r="H177" t="str">
            <v>;;=SUM(F11:G11);</v>
          </cell>
          <cell r="I177" t="str">
            <v>.</v>
          </cell>
        </row>
        <row r="178">
          <cell r="A178">
            <v>840</v>
          </cell>
          <cell r="B178" t="str">
            <v>United States</v>
          </cell>
          <cell r="C178">
            <v>1998</v>
          </cell>
          <cell r="D178">
            <v>90</v>
          </cell>
          <cell r="E178">
            <v>300</v>
          </cell>
          <cell r="F178">
            <v>90</v>
          </cell>
          <cell r="G178">
            <v>11296081</v>
          </cell>
          <cell r="H178" t="str">
            <v>;;=SUM(F12:G12);</v>
          </cell>
          <cell r="I178" t="str">
            <v>.</v>
          </cell>
        </row>
        <row r="179">
          <cell r="A179">
            <v>840</v>
          </cell>
          <cell r="B179" t="str">
            <v>United States</v>
          </cell>
          <cell r="C179">
            <v>1998</v>
          </cell>
          <cell r="D179">
            <v>90</v>
          </cell>
          <cell r="E179">
            <v>303</v>
          </cell>
          <cell r="F179">
            <v>90</v>
          </cell>
          <cell r="G179">
            <v>3821326</v>
          </cell>
          <cell r="H179" t="str">
            <v>;;=SUM(F13:G13);</v>
          </cell>
          <cell r="I179" t="str">
            <v>.</v>
          </cell>
        </row>
        <row r="180">
          <cell r="A180">
            <v>840</v>
          </cell>
          <cell r="B180" t="str">
            <v>United States</v>
          </cell>
          <cell r="C180">
            <v>1998</v>
          </cell>
          <cell r="D180">
            <v>90</v>
          </cell>
          <cell r="E180">
            <v>404</v>
          </cell>
          <cell r="F180">
            <v>90</v>
          </cell>
          <cell r="G180">
            <v>3922563</v>
          </cell>
          <cell r="H180" t="str">
            <v>;;=SUM(F14:G14);</v>
          </cell>
          <cell r="I180" t="str">
            <v>.</v>
          </cell>
        </row>
        <row r="181">
          <cell r="A181">
            <v>840</v>
          </cell>
          <cell r="B181" t="str">
            <v>United States</v>
          </cell>
          <cell r="C181">
            <v>1998</v>
          </cell>
          <cell r="D181">
            <v>90</v>
          </cell>
          <cell r="E181">
            <v>505</v>
          </cell>
          <cell r="F181">
            <v>90</v>
          </cell>
          <cell r="G181">
            <v>3986034</v>
          </cell>
          <cell r="H181" t="str">
            <v>;;=SUM(F15:G15);</v>
          </cell>
          <cell r="I181" t="str">
            <v>.</v>
          </cell>
        </row>
        <row r="182">
          <cell r="A182">
            <v>840</v>
          </cell>
          <cell r="B182" t="str">
            <v>United States</v>
          </cell>
          <cell r="C182">
            <v>1998</v>
          </cell>
          <cell r="D182">
            <v>90</v>
          </cell>
          <cell r="E182">
            <v>606</v>
          </cell>
          <cell r="F182">
            <v>90</v>
          </cell>
          <cell r="G182">
            <v>4025274</v>
          </cell>
          <cell r="H182" t="str">
            <v>;;=SUM(F16:G16);</v>
          </cell>
          <cell r="I182" t="str">
            <v>.</v>
          </cell>
        </row>
        <row r="183">
          <cell r="A183">
            <v>840</v>
          </cell>
          <cell r="B183" t="str">
            <v>United States</v>
          </cell>
          <cell r="C183">
            <v>1998</v>
          </cell>
          <cell r="D183">
            <v>90</v>
          </cell>
          <cell r="E183">
            <v>707</v>
          </cell>
          <cell r="F183">
            <v>90</v>
          </cell>
          <cell r="G183">
            <v>4069416</v>
          </cell>
          <cell r="H183" t="str">
            <v>;;=SUM(F17:G17);</v>
          </cell>
          <cell r="I183" t="str">
            <v>.</v>
          </cell>
        </row>
        <row r="184">
          <cell r="A184">
            <v>840</v>
          </cell>
          <cell r="B184" t="str">
            <v>United States</v>
          </cell>
          <cell r="C184">
            <v>1998</v>
          </cell>
          <cell r="D184">
            <v>90</v>
          </cell>
          <cell r="E184">
            <v>808</v>
          </cell>
          <cell r="F184">
            <v>90</v>
          </cell>
          <cell r="G184">
            <v>3805488</v>
          </cell>
          <cell r="H184" t="str">
            <v>;;=SUM(F18:G18);</v>
          </cell>
          <cell r="I184" t="str">
            <v>.</v>
          </cell>
        </row>
        <row r="185">
          <cell r="A185">
            <v>840</v>
          </cell>
          <cell r="B185" t="str">
            <v>United States</v>
          </cell>
          <cell r="C185">
            <v>1998</v>
          </cell>
          <cell r="D185">
            <v>90</v>
          </cell>
          <cell r="E185">
            <v>909</v>
          </cell>
          <cell r="F185">
            <v>90</v>
          </cell>
          <cell r="G185">
            <v>3960882</v>
          </cell>
          <cell r="H185" t="str">
            <v>;;=SUM(F19:G19);</v>
          </cell>
          <cell r="I185" t="str">
            <v>.</v>
          </cell>
        </row>
        <row r="186">
          <cell r="A186">
            <v>840</v>
          </cell>
          <cell r="B186" t="str">
            <v>United States</v>
          </cell>
          <cell r="C186">
            <v>1998</v>
          </cell>
          <cell r="D186">
            <v>90</v>
          </cell>
          <cell r="E186">
            <v>509</v>
          </cell>
          <cell r="F186">
            <v>90</v>
          </cell>
          <cell r="G186">
            <v>19847094</v>
          </cell>
          <cell r="H186" t="str">
            <v>;;=SUM(F20:G20);</v>
          </cell>
          <cell r="I186" t="str">
            <v>.</v>
          </cell>
        </row>
        <row r="187">
          <cell r="A187">
            <v>840</v>
          </cell>
          <cell r="B187" t="str">
            <v>United States</v>
          </cell>
          <cell r="C187">
            <v>1998</v>
          </cell>
          <cell r="D187">
            <v>90</v>
          </cell>
          <cell r="E187">
            <v>1010</v>
          </cell>
          <cell r="F187">
            <v>90</v>
          </cell>
          <cell r="G187">
            <v>3905412</v>
          </cell>
          <cell r="H187" t="str">
            <v>;;=SUM(F21:G21);</v>
          </cell>
          <cell r="I187" t="str">
            <v>.</v>
          </cell>
        </row>
        <row r="188">
          <cell r="A188">
            <v>840</v>
          </cell>
          <cell r="B188" t="str">
            <v>United States</v>
          </cell>
          <cell r="C188">
            <v>1998</v>
          </cell>
          <cell r="D188">
            <v>90</v>
          </cell>
          <cell r="E188">
            <v>1111</v>
          </cell>
          <cell r="F188">
            <v>90</v>
          </cell>
          <cell r="G188">
            <v>3800870</v>
          </cell>
          <cell r="H188" t="str">
            <v>;;=SUM(F22:G22);</v>
          </cell>
          <cell r="I188" t="str">
            <v>.</v>
          </cell>
        </row>
        <row r="189">
          <cell r="A189">
            <v>840</v>
          </cell>
          <cell r="B189" t="str">
            <v>United States</v>
          </cell>
          <cell r="C189">
            <v>1998</v>
          </cell>
          <cell r="D189">
            <v>90</v>
          </cell>
          <cell r="E189">
            <v>1212</v>
          </cell>
          <cell r="F189">
            <v>90</v>
          </cell>
          <cell r="G189">
            <v>3847377</v>
          </cell>
          <cell r="H189" t="str">
            <v>;;=SUM(F23:G23);</v>
          </cell>
          <cell r="I189" t="str">
            <v>.</v>
          </cell>
        </row>
        <row r="190">
          <cell r="A190">
            <v>840</v>
          </cell>
          <cell r="B190" t="str">
            <v>United States</v>
          </cell>
          <cell r="C190">
            <v>1998</v>
          </cell>
          <cell r="D190">
            <v>90</v>
          </cell>
          <cell r="E190">
            <v>1313</v>
          </cell>
          <cell r="F190">
            <v>90</v>
          </cell>
          <cell r="G190">
            <v>3788570</v>
          </cell>
          <cell r="H190" t="str">
            <v>;;=SUM(F24:G24);</v>
          </cell>
          <cell r="I190" t="str">
            <v>.</v>
          </cell>
        </row>
        <row r="191">
          <cell r="A191">
            <v>840</v>
          </cell>
          <cell r="B191" t="str">
            <v>United States</v>
          </cell>
          <cell r="C191">
            <v>1998</v>
          </cell>
          <cell r="D191">
            <v>90</v>
          </cell>
          <cell r="E191">
            <v>1414</v>
          </cell>
          <cell r="F191">
            <v>90</v>
          </cell>
          <cell r="G191">
            <v>3799536</v>
          </cell>
          <cell r="H191" t="str">
            <v>;;=SUM(F25:G25);</v>
          </cell>
          <cell r="I191" t="str">
            <v>.</v>
          </cell>
        </row>
        <row r="192">
          <cell r="A192">
            <v>840</v>
          </cell>
          <cell r="B192" t="str">
            <v>United States</v>
          </cell>
          <cell r="C192">
            <v>1998</v>
          </cell>
          <cell r="D192">
            <v>90</v>
          </cell>
          <cell r="E192">
            <v>1014</v>
          </cell>
          <cell r="F192">
            <v>90</v>
          </cell>
          <cell r="G192">
            <v>19141765</v>
          </cell>
          <cell r="H192" t="str">
            <v>;;=SUM(F26:G26);</v>
          </cell>
          <cell r="I192" t="str">
            <v>.</v>
          </cell>
        </row>
        <row r="193">
          <cell r="A193">
            <v>840</v>
          </cell>
          <cell r="B193" t="str">
            <v>United States</v>
          </cell>
          <cell r="C193">
            <v>1998</v>
          </cell>
          <cell r="D193">
            <v>90</v>
          </cell>
          <cell r="E193">
            <v>1515</v>
          </cell>
          <cell r="F193">
            <v>90</v>
          </cell>
          <cell r="G193">
            <v>3927516</v>
          </cell>
          <cell r="H193" t="str">
            <v>;;=SUM(F27:G27);</v>
          </cell>
          <cell r="I193" t="str">
            <v>.</v>
          </cell>
        </row>
        <row r="194">
          <cell r="A194">
            <v>76</v>
          </cell>
          <cell r="B194" t="str">
            <v>Brazil</v>
          </cell>
          <cell r="C194">
            <v>1997</v>
          </cell>
          <cell r="D194">
            <v>90</v>
          </cell>
          <cell r="E194">
            <v>2222</v>
          </cell>
          <cell r="F194">
            <v>90</v>
          </cell>
          <cell r="G194">
            <v>2996572</v>
          </cell>
          <cell r="H194" t="str">
            <v>;;=SUM(F35:G35);</v>
          </cell>
          <cell r="I194" t="str">
            <v>.</v>
          </cell>
        </row>
        <row r="195">
          <cell r="A195">
            <v>76</v>
          </cell>
          <cell r="B195" t="str">
            <v>Brazil</v>
          </cell>
          <cell r="C195">
            <v>1997</v>
          </cell>
          <cell r="D195">
            <v>90</v>
          </cell>
          <cell r="E195">
            <v>2323</v>
          </cell>
          <cell r="F195">
            <v>90</v>
          </cell>
          <cell r="G195">
            <v>2930005.6666666665</v>
          </cell>
          <cell r="H195" t="str">
            <v>;;=SUM(F36:G36);</v>
          </cell>
          <cell r="I195" t="str">
            <v>.</v>
          </cell>
        </row>
        <row r="196">
          <cell r="A196">
            <v>76</v>
          </cell>
          <cell r="B196" t="str">
            <v>Brazil</v>
          </cell>
          <cell r="C196">
            <v>1997</v>
          </cell>
          <cell r="D196">
            <v>90</v>
          </cell>
          <cell r="E196">
            <v>2424</v>
          </cell>
          <cell r="F196">
            <v>90</v>
          </cell>
          <cell r="G196">
            <v>2832757.666666667</v>
          </cell>
          <cell r="H196" t="str">
            <v>;;=SUM(F37:G37);</v>
          </cell>
          <cell r="I196" t="str">
            <v>.</v>
          </cell>
        </row>
        <row r="197">
          <cell r="A197">
            <v>76</v>
          </cell>
          <cell r="B197" t="str">
            <v>Brazil</v>
          </cell>
          <cell r="C197">
            <v>1997</v>
          </cell>
          <cell r="D197">
            <v>90</v>
          </cell>
          <cell r="E197">
            <v>2024</v>
          </cell>
          <cell r="F197">
            <v>90</v>
          </cell>
          <cell r="G197">
            <v>14968939.666666666</v>
          </cell>
          <cell r="H197" t="str">
            <v>;;=SUM(F38:G38);</v>
          </cell>
          <cell r="I197" t="str">
            <v>.</v>
          </cell>
        </row>
        <row r="198">
          <cell r="A198">
            <v>76</v>
          </cell>
          <cell r="B198" t="str">
            <v>Brazil</v>
          </cell>
          <cell r="C198">
            <v>1997</v>
          </cell>
          <cell r="D198">
            <v>90</v>
          </cell>
          <cell r="E198">
            <v>2525</v>
          </cell>
          <cell r="F198">
            <v>90</v>
          </cell>
          <cell r="G198">
            <v>2776901.666666666</v>
          </cell>
          <cell r="H198" t="str">
            <v>;;=SUM(F39:G39);</v>
          </cell>
          <cell r="I198" t="str">
            <v>.</v>
          </cell>
        </row>
        <row r="199">
          <cell r="A199">
            <v>76</v>
          </cell>
          <cell r="B199" t="str">
            <v>Brazil</v>
          </cell>
          <cell r="C199">
            <v>1997</v>
          </cell>
          <cell r="D199">
            <v>90</v>
          </cell>
          <cell r="E199">
            <v>2626</v>
          </cell>
          <cell r="F199">
            <v>90</v>
          </cell>
          <cell r="G199">
            <v>2760054.3333333335</v>
          </cell>
          <cell r="H199" t="str">
            <v>;;=SUM(F40:G40);</v>
          </cell>
          <cell r="I199" t="str">
            <v>.</v>
          </cell>
        </row>
        <row r="200">
          <cell r="A200">
            <v>76</v>
          </cell>
          <cell r="B200" t="str">
            <v>Brazil</v>
          </cell>
          <cell r="C200">
            <v>1997</v>
          </cell>
          <cell r="D200">
            <v>90</v>
          </cell>
          <cell r="E200">
            <v>2727</v>
          </cell>
          <cell r="F200">
            <v>90</v>
          </cell>
          <cell r="G200">
            <v>2651143.6666666665</v>
          </cell>
          <cell r="H200" t="str">
            <v>;;=SUM(F41:G41);</v>
          </cell>
          <cell r="I200" t="str">
            <v>.</v>
          </cell>
        </row>
        <row r="201">
          <cell r="A201">
            <v>76</v>
          </cell>
          <cell r="B201" t="str">
            <v>Brazil</v>
          </cell>
          <cell r="C201">
            <v>1997</v>
          </cell>
          <cell r="D201">
            <v>90</v>
          </cell>
          <cell r="E201">
            <v>2828</v>
          </cell>
          <cell r="F201">
            <v>90</v>
          </cell>
          <cell r="G201">
            <v>2584853.3333333335</v>
          </cell>
          <cell r="H201" t="str">
            <v>;;=SUM(F42:G42);</v>
          </cell>
          <cell r="I201" t="str">
            <v>.</v>
          </cell>
        </row>
        <row r="202">
          <cell r="A202">
            <v>76</v>
          </cell>
          <cell r="B202" t="str">
            <v>Brazil</v>
          </cell>
          <cell r="C202">
            <v>1997</v>
          </cell>
          <cell r="D202">
            <v>90</v>
          </cell>
          <cell r="E202">
            <v>2929</v>
          </cell>
          <cell r="F202">
            <v>90</v>
          </cell>
          <cell r="G202">
            <v>2543132.3333333335</v>
          </cell>
          <cell r="H202" t="str">
            <v>;;=SUM(F43:G43);</v>
          </cell>
          <cell r="I202" t="str">
            <v>.</v>
          </cell>
        </row>
        <row r="203">
          <cell r="A203">
            <v>76</v>
          </cell>
          <cell r="B203" t="str">
            <v>Brazil</v>
          </cell>
          <cell r="C203">
            <v>1997</v>
          </cell>
          <cell r="D203">
            <v>90</v>
          </cell>
          <cell r="E203">
            <v>2529</v>
          </cell>
          <cell r="F203">
            <v>90</v>
          </cell>
          <cell r="G203">
            <v>13316085.333333334</v>
          </cell>
          <cell r="H203" t="str">
            <v>;;=SUM(F44:G44);</v>
          </cell>
          <cell r="I203" t="str">
            <v>.</v>
          </cell>
        </row>
        <row r="204">
          <cell r="A204">
            <v>76</v>
          </cell>
          <cell r="B204" t="str">
            <v>Brazil</v>
          </cell>
          <cell r="C204">
            <v>1997</v>
          </cell>
          <cell r="D204">
            <v>90</v>
          </cell>
          <cell r="E204">
            <v>3034</v>
          </cell>
          <cell r="F204">
            <v>90</v>
          </cell>
          <cell r="G204">
            <v>12355004</v>
          </cell>
          <cell r="H204" t="str">
            <v>;;=SUM(F45:G45);</v>
          </cell>
          <cell r="I204" t="str">
            <v>.</v>
          </cell>
        </row>
        <row r="205">
          <cell r="A205">
            <v>76</v>
          </cell>
          <cell r="B205" t="str">
            <v>Brazil</v>
          </cell>
          <cell r="C205">
            <v>1997</v>
          </cell>
          <cell r="D205">
            <v>90</v>
          </cell>
          <cell r="E205">
            <v>3539</v>
          </cell>
          <cell r="F205">
            <v>90</v>
          </cell>
          <cell r="G205">
            <v>10872045</v>
          </cell>
          <cell r="H205" t="str">
            <v>;;=SUM(F46:G46);</v>
          </cell>
          <cell r="I205" t="str">
            <v>.</v>
          </cell>
        </row>
        <row r="206">
          <cell r="A206">
            <v>76</v>
          </cell>
          <cell r="B206" t="str">
            <v>Brazil</v>
          </cell>
          <cell r="C206">
            <v>1997</v>
          </cell>
          <cell r="D206">
            <v>90</v>
          </cell>
          <cell r="E206">
            <v>4099</v>
          </cell>
          <cell r="F206">
            <v>90</v>
          </cell>
          <cell r="G206">
            <v>39934710</v>
          </cell>
          <cell r="H206" t="str">
            <v>;;=SUM(F47:G47);</v>
          </cell>
          <cell r="I206" t="str">
            <v>.</v>
          </cell>
        </row>
        <row r="207">
          <cell r="A207">
            <v>76</v>
          </cell>
          <cell r="B207" t="str">
            <v>Brazil</v>
          </cell>
          <cell r="C207">
            <v>1997</v>
          </cell>
          <cell r="D207">
            <v>90</v>
          </cell>
          <cell r="E207">
            <v>990000</v>
          </cell>
          <cell r="F207">
            <v>90</v>
          </cell>
          <cell r="G207">
            <v>274091</v>
          </cell>
          <cell r="H207" t="str">
            <v>;;=SUM(F48:G48);</v>
          </cell>
          <cell r="I207" t="str">
            <v>.</v>
          </cell>
        </row>
        <row r="208">
          <cell r="A208">
            <v>380</v>
          </cell>
          <cell r="B208" t="str">
            <v>Italy</v>
          </cell>
          <cell r="C208">
            <v>1998</v>
          </cell>
          <cell r="D208">
            <v>90</v>
          </cell>
          <cell r="E208">
            <v>1717</v>
          </cell>
          <cell r="F208">
            <v>90</v>
          </cell>
          <cell r="G208">
            <v>639880</v>
          </cell>
          <cell r="H208" t="str">
            <v>;;=SUM(F29:G29);</v>
          </cell>
          <cell r="I208" t="str">
            <v>.</v>
          </cell>
        </row>
        <row r="209">
          <cell r="A209">
            <v>380</v>
          </cell>
          <cell r="B209" t="str">
            <v>Italy</v>
          </cell>
          <cell r="C209">
            <v>1998</v>
          </cell>
          <cell r="D209">
            <v>90</v>
          </cell>
          <cell r="E209">
            <v>1818</v>
          </cell>
          <cell r="F209">
            <v>90</v>
          </cell>
          <cell r="G209">
            <v>663549</v>
          </cell>
          <cell r="H209" t="str">
            <v>;;=SUM(F30:G30);</v>
          </cell>
          <cell r="I209" t="str">
            <v>.</v>
          </cell>
        </row>
        <row r="210">
          <cell r="A210">
            <v>380</v>
          </cell>
          <cell r="B210" t="str">
            <v>Italy</v>
          </cell>
          <cell r="C210">
            <v>1998</v>
          </cell>
          <cell r="D210">
            <v>90</v>
          </cell>
          <cell r="E210">
            <v>1919</v>
          </cell>
          <cell r="F210">
            <v>90</v>
          </cell>
          <cell r="G210">
            <v>709380</v>
          </cell>
          <cell r="H210" t="str">
            <v>;;=SUM(F31:G31);</v>
          </cell>
          <cell r="I210" t="str">
            <v>.</v>
          </cell>
        </row>
        <row r="211">
          <cell r="A211">
            <v>380</v>
          </cell>
          <cell r="B211" t="str">
            <v>Italy</v>
          </cell>
          <cell r="C211">
            <v>1998</v>
          </cell>
          <cell r="D211">
            <v>90</v>
          </cell>
          <cell r="E211">
            <v>1519</v>
          </cell>
          <cell r="F211">
            <v>90</v>
          </cell>
          <cell r="G211">
            <v>3262515</v>
          </cell>
          <cell r="H211" t="str">
            <v>;;=SUM(F32:G32);</v>
          </cell>
          <cell r="I211" t="str">
            <v>.</v>
          </cell>
        </row>
        <row r="212">
          <cell r="A212">
            <v>380</v>
          </cell>
          <cell r="B212" t="str">
            <v>Italy</v>
          </cell>
          <cell r="C212">
            <v>1998</v>
          </cell>
          <cell r="D212">
            <v>90</v>
          </cell>
          <cell r="E212">
            <v>2020</v>
          </cell>
          <cell r="F212">
            <v>90</v>
          </cell>
          <cell r="G212">
            <v>740847</v>
          </cell>
          <cell r="H212" t="str">
            <v>;;=SUM(F33:G33);</v>
          </cell>
          <cell r="I212" t="str">
            <v>.</v>
          </cell>
        </row>
        <row r="213">
          <cell r="A213">
            <v>380</v>
          </cell>
          <cell r="B213" t="str">
            <v>Italy</v>
          </cell>
          <cell r="C213">
            <v>1998</v>
          </cell>
          <cell r="D213">
            <v>90</v>
          </cell>
          <cell r="E213">
            <v>2121</v>
          </cell>
          <cell r="F213">
            <v>90</v>
          </cell>
          <cell r="G213">
            <v>785685</v>
          </cell>
          <cell r="H213" t="str">
            <v>;;=SUM(F34:G34);</v>
          </cell>
          <cell r="I213" t="str">
            <v>.</v>
          </cell>
        </row>
        <row r="214">
          <cell r="A214">
            <v>380</v>
          </cell>
          <cell r="B214" t="str">
            <v>Italy</v>
          </cell>
          <cell r="C214">
            <v>1998</v>
          </cell>
          <cell r="D214">
            <v>90</v>
          </cell>
          <cell r="E214">
            <v>2222</v>
          </cell>
          <cell r="F214">
            <v>90</v>
          </cell>
          <cell r="G214">
            <v>836476</v>
          </cell>
          <cell r="H214" t="str">
            <v>;;=SUM(F35:G35);</v>
          </cell>
          <cell r="I214" t="str">
            <v>.</v>
          </cell>
        </row>
        <row r="215">
          <cell r="A215">
            <v>380</v>
          </cell>
          <cell r="B215" t="str">
            <v>Italy</v>
          </cell>
          <cell r="C215">
            <v>1998</v>
          </cell>
          <cell r="D215">
            <v>90</v>
          </cell>
          <cell r="E215">
            <v>2323</v>
          </cell>
          <cell r="F215">
            <v>90</v>
          </cell>
          <cell r="G215">
            <v>880103</v>
          </cell>
          <cell r="H215" t="str">
            <v>;;=SUM(F36:G36);</v>
          </cell>
          <cell r="I215" t="str">
            <v>.</v>
          </cell>
        </row>
        <row r="216">
          <cell r="A216">
            <v>380</v>
          </cell>
          <cell r="B216" t="str">
            <v>Italy</v>
          </cell>
          <cell r="C216">
            <v>1998</v>
          </cell>
          <cell r="D216">
            <v>90</v>
          </cell>
          <cell r="E216">
            <v>2424</v>
          </cell>
          <cell r="F216">
            <v>90</v>
          </cell>
          <cell r="G216">
            <v>888166</v>
          </cell>
          <cell r="H216" t="str">
            <v>;;=SUM(F37:G37);</v>
          </cell>
          <cell r="I216" t="str">
            <v>.</v>
          </cell>
        </row>
        <row r="217">
          <cell r="A217">
            <v>380</v>
          </cell>
          <cell r="B217" t="str">
            <v>Italy</v>
          </cell>
          <cell r="C217">
            <v>1998</v>
          </cell>
          <cell r="D217">
            <v>90</v>
          </cell>
          <cell r="E217">
            <v>2024</v>
          </cell>
          <cell r="F217">
            <v>90</v>
          </cell>
          <cell r="G217">
            <v>4131277</v>
          </cell>
          <cell r="H217" t="str">
            <v>;;=SUM(F38:G38);</v>
          </cell>
          <cell r="I217" t="str">
            <v>.</v>
          </cell>
        </row>
        <row r="218">
          <cell r="A218">
            <v>380</v>
          </cell>
          <cell r="B218" t="str">
            <v>Italy</v>
          </cell>
          <cell r="C218">
            <v>1998</v>
          </cell>
          <cell r="D218">
            <v>90</v>
          </cell>
          <cell r="E218">
            <v>2525</v>
          </cell>
          <cell r="F218">
            <v>90</v>
          </cell>
          <cell r="G218">
            <v>904401</v>
          </cell>
          <cell r="H218" t="str">
            <v>;;=SUM(F39:G39);</v>
          </cell>
          <cell r="I218" t="str">
            <v>.</v>
          </cell>
        </row>
        <row r="219">
          <cell r="A219">
            <v>380</v>
          </cell>
          <cell r="B219" t="str">
            <v>Italy</v>
          </cell>
          <cell r="C219">
            <v>1998</v>
          </cell>
          <cell r="D219">
            <v>90</v>
          </cell>
          <cell r="E219">
            <v>2626</v>
          </cell>
          <cell r="F219">
            <v>90</v>
          </cell>
          <cell r="G219">
            <v>928033</v>
          </cell>
          <cell r="H219" t="str">
            <v>;;=SUM(F40:G40);</v>
          </cell>
          <cell r="I219" t="str">
            <v>.</v>
          </cell>
        </row>
        <row r="220">
          <cell r="A220">
            <v>380</v>
          </cell>
          <cell r="B220" t="str">
            <v>Italy</v>
          </cell>
          <cell r="C220">
            <v>1998</v>
          </cell>
          <cell r="D220">
            <v>90</v>
          </cell>
          <cell r="E220">
            <v>2727</v>
          </cell>
          <cell r="F220">
            <v>90</v>
          </cell>
          <cell r="G220">
            <v>915235</v>
          </cell>
          <cell r="H220" t="str">
            <v>;;=SUM(F41:G41);</v>
          </cell>
          <cell r="I220" t="str">
            <v>.</v>
          </cell>
        </row>
        <row r="221">
          <cell r="A221">
            <v>380</v>
          </cell>
          <cell r="B221" t="str">
            <v>Italy</v>
          </cell>
          <cell r="C221">
            <v>1998</v>
          </cell>
          <cell r="D221">
            <v>90</v>
          </cell>
          <cell r="E221">
            <v>2828</v>
          </cell>
          <cell r="F221">
            <v>90</v>
          </cell>
          <cell r="G221">
            <v>942056</v>
          </cell>
          <cell r="H221" t="str">
            <v>;;=SUM(F42:G42);</v>
          </cell>
          <cell r="I221" t="str">
            <v>.</v>
          </cell>
        </row>
        <row r="222">
          <cell r="A222">
            <v>380</v>
          </cell>
          <cell r="B222" t="str">
            <v>Italy</v>
          </cell>
          <cell r="C222">
            <v>1998</v>
          </cell>
          <cell r="D222">
            <v>90</v>
          </cell>
          <cell r="E222">
            <v>2929</v>
          </cell>
          <cell r="F222">
            <v>90</v>
          </cell>
          <cell r="G222">
            <v>931229</v>
          </cell>
          <cell r="H222" t="str">
            <v>;;=SUM(F43:G43);</v>
          </cell>
          <cell r="I222" t="str">
            <v>.</v>
          </cell>
        </row>
        <row r="223">
          <cell r="A223">
            <v>380</v>
          </cell>
          <cell r="B223" t="str">
            <v>Italy</v>
          </cell>
          <cell r="C223">
            <v>1998</v>
          </cell>
          <cell r="D223">
            <v>90</v>
          </cell>
          <cell r="E223">
            <v>2529</v>
          </cell>
          <cell r="F223">
            <v>90</v>
          </cell>
          <cell r="G223">
            <v>4620954</v>
          </cell>
          <cell r="H223" t="str">
            <v>;;=SUM(F44:G44);</v>
          </cell>
          <cell r="I223" t="str">
            <v>.</v>
          </cell>
        </row>
        <row r="224">
          <cell r="A224">
            <v>380</v>
          </cell>
          <cell r="B224" t="str">
            <v>Italy</v>
          </cell>
          <cell r="C224">
            <v>1998</v>
          </cell>
          <cell r="D224">
            <v>90</v>
          </cell>
          <cell r="E224">
            <v>3034</v>
          </cell>
          <cell r="F224">
            <v>90</v>
          </cell>
          <cell r="G224">
            <v>4771322</v>
          </cell>
          <cell r="H224" t="str">
            <v>;;=SUM(F45:G45);</v>
          </cell>
          <cell r="I224" t="str">
            <v>.</v>
          </cell>
        </row>
        <row r="225">
          <cell r="A225">
            <v>380</v>
          </cell>
          <cell r="B225" t="str">
            <v>Italy</v>
          </cell>
          <cell r="C225">
            <v>1998</v>
          </cell>
          <cell r="D225">
            <v>90</v>
          </cell>
          <cell r="E225">
            <v>3539</v>
          </cell>
          <cell r="F225">
            <v>90</v>
          </cell>
          <cell r="G225">
            <v>4245882</v>
          </cell>
          <cell r="H225" t="str">
            <v>;;=SUM(F46:G46);</v>
          </cell>
          <cell r="I225" t="str">
            <v>.</v>
          </cell>
        </row>
        <row r="226">
          <cell r="A226">
            <v>380</v>
          </cell>
          <cell r="B226" t="str">
            <v>Italy</v>
          </cell>
          <cell r="C226">
            <v>1998</v>
          </cell>
          <cell r="D226">
            <v>90</v>
          </cell>
          <cell r="E226">
            <v>4099</v>
          </cell>
          <cell r="F226">
            <v>90</v>
          </cell>
          <cell r="G226">
            <v>28148897</v>
          </cell>
          <cell r="H226" t="str">
            <v>;;=SUM(F47:G47);</v>
          </cell>
          <cell r="I226" t="str">
            <v>.</v>
          </cell>
        </row>
        <row r="227">
          <cell r="A227">
            <v>380</v>
          </cell>
          <cell r="B227" t="str">
            <v>Italy</v>
          </cell>
          <cell r="C227">
            <v>1998</v>
          </cell>
          <cell r="D227">
            <v>90</v>
          </cell>
          <cell r="E227">
            <v>990000</v>
          </cell>
          <cell r="F227">
            <v>90</v>
          </cell>
          <cell r="G227">
            <v>0</v>
          </cell>
          <cell r="H227" t="str">
            <v>n;</v>
          </cell>
          <cell r="I227" t="str">
            <v>n</v>
          </cell>
        </row>
        <row r="228">
          <cell r="A228">
            <v>840</v>
          </cell>
          <cell r="B228" t="str">
            <v>United States</v>
          </cell>
          <cell r="C228">
            <v>1998</v>
          </cell>
          <cell r="D228">
            <v>90</v>
          </cell>
          <cell r="E228">
            <v>1616</v>
          </cell>
          <cell r="F228">
            <v>90</v>
          </cell>
          <cell r="G228">
            <v>3770336</v>
          </cell>
          <cell r="H228" t="str">
            <v>;;=SUM(F28:G28);</v>
          </cell>
          <cell r="I228" t="str">
            <v>.</v>
          </cell>
        </row>
        <row r="229">
          <cell r="A229">
            <v>840</v>
          </cell>
          <cell r="B229" t="str">
            <v>United States</v>
          </cell>
          <cell r="C229">
            <v>1998</v>
          </cell>
          <cell r="D229">
            <v>90</v>
          </cell>
          <cell r="E229">
            <v>1717</v>
          </cell>
          <cell r="F229">
            <v>90</v>
          </cell>
          <cell r="G229">
            <v>4044731</v>
          </cell>
          <cell r="H229" t="str">
            <v>;;=SUM(F29:G29);</v>
          </cell>
          <cell r="I229" t="str">
            <v>.</v>
          </cell>
        </row>
        <row r="230">
          <cell r="A230">
            <v>840</v>
          </cell>
          <cell r="B230" t="str">
            <v>United States</v>
          </cell>
          <cell r="C230">
            <v>1998</v>
          </cell>
          <cell r="D230">
            <v>90</v>
          </cell>
          <cell r="E230">
            <v>1818</v>
          </cell>
          <cell r="F230">
            <v>90</v>
          </cell>
          <cell r="G230">
            <v>3766060</v>
          </cell>
          <cell r="H230" t="str">
            <v>;;=SUM(F30:G30);</v>
          </cell>
          <cell r="I230" t="str">
            <v>.</v>
          </cell>
        </row>
        <row r="231">
          <cell r="A231">
            <v>840</v>
          </cell>
          <cell r="B231" t="str">
            <v>United States</v>
          </cell>
          <cell r="C231">
            <v>1998</v>
          </cell>
          <cell r="D231">
            <v>90</v>
          </cell>
          <cell r="E231">
            <v>1919</v>
          </cell>
          <cell r="F231">
            <v>90</v>
          </cell>
          <cell r="G231">
            <v>3826631</v>
          </cell>
          <cell r="H231" t="str">
            <v>;;=SUM(F31:G31);</v>
          </cell>
          <cell r="I231" t="str">
            <v>.</v>
          </cell>
        </row>
        <row r="232">
          <cell r="A232">
            <v>840</v>
          </cell>
          <cell r="B232" t="str">
            <v>United States</v>
          </cell>
          <cell r="C232">
            <v>1998</v>
          </cell>
          <cell r="D232">
            <v>90</v>
          </cell>
          <cell r="E232">
            <v>1519</v>
          </cell>
          <cell r="F232">
            <v>90</v>
          </cell>
          <cell r="G232">
            <v>19335274</v>
          </cell>
          <cell r="H232" t="str">
            <v>;;=SUM(F32:G32);</v>
          </cell>
          <cell r="I232" t="str">
            <v>.</v>
          </cell>
        </row>
        <row r="233">
          <cell r="A233">
            <v>840</v>
          </cell>
          <cell r="B233" t="str">
            <v>United States</v>
          </cell>
          <cell r="C233">
            <v>1998</v>
          </cell>
          <cell r="D233">
            <v>90</v>
          </cell>
          <cell r="E233">
            <v>2020</v>
          </cell>
          <cell r="F233">
            <v>90</v>
          </cell>
          <cell r="G233">
            <v>3798808</v>
          </cell>
          <cell r="H233" t="str">
            <v>;;=SUM(F33:G33);</v>
          </cell>
          <cell r="I233" t="str">
            <v>.</v>
          </cell>
        </row>
        <row r="234">
          <cell r="A234">
            <v>840</v>
          </cell>
          <cell r="B234" t="str">
            <v>United States</v>
          </cell>
          <cell r="C234">
            <v>1998</v>
          </cell>
          <cell r="D234">
            <v>90</v>
          </cell>
          <cell r="E234">
            <v>2121</v>
          </cell>
          <cell r="F234">
            <v>90</v>
          </cell>
          <cell r="G234">
            <v>3562049</v>
          </cell>
          <cell r="H234" t="str">
            <v>;;=SUM(F34:G34);</v>
          </cell>
          <cell r="I234" t="str">
            <v>.</v>
          </cell>
        </row>
        <row r="235">
          <cell r="A235">
            <v>840</v>
          </cell>
          <cell r="B235" t="str">
            <v>United States</v>
          </cell>
          <cell r="C235">
            <v>1998</v>
          </cell>
          <cell r="D235">
            <v>90</v>
          </cell>
          <cell r="E235">
            <v>2222</v>
          </cell>
          <cell r="F235">
            <v>90</v>
          </cell>
          <cell r="G235">
            <v>3416001</v>
          </cell>
          <cell r="H235" t="str">
            <v>;;=SUM(F35:G35);</v>
          </cell>
          <cell r="I235" t="str">
            <v>.</v>
          </cell>
        </row>
        <row r="236">
          <cell r="A236">
            <v>840</v>
          </cell>
          <cell r="B236" t="str">
            <v>United States</v>
          </cell>
          <cell r="C236">
            <v>1998</v>
          </cell>
          <cell r="D236">
            <v>90</v>
          </cell>
          <cell r="E236">
            <v>2323</v>
          </cell>
          <cell r="F236">
            <v>90</v>
          </cell>
          <cell r="G236">
            <v>3382439</v>
          </cell>
          <cell r="H236" t="str">
            <v>;;=SUM(F36:G36);</v>
          </cell>
          <cell r="I236" t="str">
            <v>.</v>
          </cell>
        </row>
        <row r="237">
          <cell r="A237">
            <v>840</v>
          </cell>
          <cell r="B237" t="str">
            <v>United States</v>
          </cell>
          <cell r="C237">
            <v>1998</v>
          </cell>
          <cell r="D237">
            <v>90</v>
          </cell>
          <cell r="E237">
            <v>2424</v>
          </cell>
          <cell r="F237">
            <v>90</v>
          </cell>
          <cell r="G237">
            <v>3407549</v>
          </cell>
          <cell r="H237" t="str">
            <v>;;=SUM(F37:G37);</v>
          </cell>
          <cell r="I237" t="str">
            <v>.</v>
          </cell>
        </row>
        <row r="238">
          <cell r="A238">
            <v>840</v>
          </cell>
          <cell r="B238" t="str">
            <v>United States</v>
          </cell>
          <cell r="C238">
            <v>1998</v>
          </cell>
          <cell r="D238">
            <v>90</v>
          </cell>
          <cell r="E238">
            <v>2024</v>
          </cell>
          <cell r="F238">
            <v>90</v>
          </cell>
          <cell r="G238">
            <v>17566846</v>
          </cell>
          <cell r="H238" t="str">
            <v>;;=SUM(F38:G38);</v>
          </cell>
          <cell r="I238" t="str">
            <v>.</v>
          </cell>
        </row>
        <row r="239">
          <cell r="A239">
            <v>840</v>
          </cell>
          <cell r="B239" t="str">
            <v>United States</v>
          </cell>
          <cell r="C239">
            <v>1998</v>
          </cell>
          <cell r="D239">
            <v>90</v>
          </cell>
          <cell r="E239">
            <v>2525</v>
          </cell>
          <cell r="F239">
            <v>90</v>
          </cell>
          <cell r="G239">
            <v>3521710</v>
          </cell>
          <cell r="H239" t="str">
            <v>;;=SUM(F39:G39);</v>
          </cell>
          <cell r="I239" t="str">
            <v>.</v>
          </cell>
        </row>
        <row r="240">
          <cell r="A240">
            <v>840</v>
          </cell>
          <cell r="B240" t="str">
            <v>United States</v>
          </cell>
          <cell r="C240">
            <v>1998</v>
          </cell>
          <cell r="D240">
            <v>90</v>
          </cell>
          <cell r="E240">
            <v>2626</v>
          </cell>
          <cell r="F240">
            <v>90</v>
          </cell>
          <cell r="G240">
            <v>3682201</v>
          </cell>
          <cell r="H240" t="str">
            <v>;;=SUM(F40:G40);</v>
          </cell>
          <cell r="I240" t="str">
            <v>.</v>
          </cell>
        </row>
        <row r="241">
          <cell r="A241">
            <v>840</v>
          </cell>
          <cell r="B241" t="str">
            <v>United States</v>
          </cell>
          <cell r="C241">
            <v>1998</v>
          </cell>
          <cell r="D241">
            <v>90</v>
          </cell>
          <cell r="E241">
            <v>2727</v>
          </cell>
          <cell r="F241">
            <v>90</v>
          </cell>
          <cell r="G241">
            <v>3994958</v>
          </cell>
          <cell r="H241" t="str">
            <v>;;=SUM(F41:G41);</v>
          </cell>
          <cell r="I241" t="str">
            <v>.</v>
          </cell>
        </row>
        <row r="242">
          <cell r="A242">
            <v>840</v>
          </cell>
          <cell r="B242" t="str">
            <v>United States</v>
          </cell>
          <cell r="C242">
            <v>1998</v>
          </cell>
          <cell r="D242">
            <v>90</v>
          </cell>
          <cell r="E242">
            <v>2828</v>
          </cell>
          <cell r="F242">
            <v>90</v>
          </cell>
          <cell r="G242">
            <v>3609223</v>
          </cell>
          <cell r="H242" t="str">
            <v>;;=SUM(F42:G42);</v>
          </cell>
          <cell r="I242" t="str">
            <v>.</v>
          </cell>
        </row>
        <row r="243">
          <cell r="A243">
            <v>840</v>
          </cell>
          <cell r="B243" t="str">
            <v>United States</v>
          </cell>
          <cell r="C243">
            <v>1998</v>
          </cell>
          <cell r="D243">
            <v>90</v>
          </cell>
          <cell r="E243">
            <v>2929</v>
          </cell>
          <cell r="F243">
            <v>90</v>
          </cell>
          <cell r="G243">
            <v>3906127</v>
          </cell>
          <cell r="H243" t="str">
            <v>;;=SUM(F43:G43);</v>
          </cell>
          <cell r="I243" t="str">
            <v>.</v>
          </cell>
        </row>
        <row r="244">
          <cell r="A244">
            <v>840</v>
          </cell>
          <cell r="B244" t="str">
            <v>United States</v>
          </cell>
          <cell r="C244">
            <v>1998</v>
          </cell>
          <cell r="D244">
            <v>90</v>
          </cell>
          <cell r="E244">
            <v>2529</v>
          </cell>
          <cell r="F244">
            <v>90</v>
          </cell>
          <cell r="G244">
            <v>18714219</v>
          </cell>
          <cell r="H244" t="str">
            <v>;;=SUM(F44:G44);</v>
          </cell>
          <cell r="I244" t="str">
            <v>.</v>
          </cell>
        </row>
        <row r="245">
          <cell r="A245">
            <v>840</v>
          </cell>
          <cell r="B245" t="str">
            <v>United States</v>
          </cell>
          <cell r="C245">
            <v>1998</v>
          </cell>
          <cell r="D245">
            <v>90</v>
          </cell>
          <cell r="E245">
            <v>3034</v>
          </cell>
          <cell r="F245">
            <v>90</v>
          </cell>
          <cell r="G245">
            <v>20409689</v>
          </cell>
          <cell r="H245" t="str">
            <v>;;=SUM(F45:G45);</v>
          </cell>
          <cell r="I245" t="str">
            <v>.</v>
          </cell>
        </row>
        <row r="246">
          <cell r="A246">
            <v>840</v>
          </cell>
          <cell r="B246" t="str">
            <v>United States</v>
          </cell>
          <cell r="C246">
            <v>1998</v>
          </cell>
          <cell r="D246">
            <v>90</v>
          </cell>
          <cell r="E246">
            <v>3539</v>
          </cell>
          <cell r="F246">
            <v>90</v>
          </cell>
          <cell r="G246">
            <v>22621558</v>
          </cell>
          <cell r="H246" t="str">
            <v>;;=SUM(F46:G46);</v>
          </cell>
          <cell r="I246" t="str">
            <v>.</v>
          </cell>
        </row>
        <row r="247">
          <cell r="A247">
            <v>840</v>
          </cell>
          <cell r="B247" t="str">
            <v>United States</v>
          </cell>
          <cell r="C247">
            <v>1998</v>
          </cell>
          <cell r="D247">
            <v>90</v>
          </cell>
          <cell r="E247">
            <v>4099</v>
          </cell>
          <cell r="F247">
            <v>90</v>
          </cell>
          <cell r="G247">
            <v>112390499</v>
          </cell>
          <cell r="H247" t="str">
            <v>;;=SUM(F47:G47);</v>
          </cell>
          <cell r="I247" t="str">
            <v>.</v>
          </cell>
        </row>
        <row r="248">
          <cell r="A248">
            <v>840</v>
          </cell>
          <cell r="B248" t="str">
            <v>United States</v>
          </cell>
          <cell r="C248">
            <v>1998</v>
          </cell>
          <cell r="D248">
            <v>90</v>
          </cell>
          <cell r="E248">
            <v>990000</v>
          </cell>
          <cell r="F248">
            <v>90</v>
          </cell>
          <cell r="G248">
            <v>0</v>
          </cell>
          <cell r="H248" t="str">
            <v>n;</v>
          </cell>
          <cell r="I248" t="str">
            <v>n</v>
          </cell>
        </row>
        <row r="249">
          <cell r="A249">
            <v>376</v>
          </cell>
          <cell r="B249" t="str">
            <v>Israel</v>
          </cell>
          <cell r="C249">
            <v>1998</v>
          </cell>
          <cell r="D249">
            <v>90</v>
          </cell>
          <cell r="E249">
            <v>900000</v>
          </cell>
          <cell r="F249">
            <v>90</v>
          </cell>
          <cell r="G249">
            <v>5899952</v>
          </cell>
          <cell r="H249"/>
          <cell r="I249" t="str">
            <v>.</v>
          </cell>
        </row>
        <row r="250">
          <cell r="A250">
            <v>376</v>
          </cell>
          <cell r="B250" t="str">
            <v>Israel</v>
          </cell>
          <cell r="C250">
            <v>1998</v>
          </cell>
          <cell r="D250">
            <v>90</v>
          </cell>
          <cell r="E250">
            <v>300</v>
          </cell>
          <cell r="F250">
            <v>90</v>
          </cell>
          <cell r="G250">
            <v>367540</v>
          </cell>
          <cell r="H250"/>
          <cell r="I250" t="str">
            <v>.</v>
          </cell>
        </row>
        <row r="251">
          <cell r="A251">
            <v>376</v>
          </cell>
          <cell r="B251" t="str">
            <v>Israel</v>
          </cell>
          <cell r="C251">
            <v>1998</v>
          </cell>
          <cell r="D251">
            <v>90</v>
          </cell>
          <cell r="E251">
            <v>303</v>
          </cell>
          <cell r="F251">
            <v>90</v>
          </cell>
          <cell r="G251">
            <v>117687</v>
          </cell>
          <cell r="H251"/>
          <cell r="I251" t="str">
            <v>.</v>
          </cell>
        </row>
        <row r="252">
          <cell r="A252">
            <v>376</v>
          </cell>
          <cell r="B252" t="str">
            <v>Israel</v>
          </cell>
          <cell r="C252">
            <v>1998</v>
          </cell>
          <cell r="D252">
            <v>90</v>
          </cell>
          <cell r="E252">
            <v>404</v>
          </cell>
          <cell r="F252">
            <v>90</v>
          </cell>
          <cell r="G252">
            <v>116812</v>
          </cell>
          <cell r="H252"/>
          <cell r="I252" t="str">
            <v>.</v>
          </cell>
        </row>
        <row r="253">
          <cell r="A253">
            <v>376</v>
          </cell>
          <cell r="B253" t="str">
            <v>Israel</v>
          </cell>
          <cell r="C253">
            <v>1998</v>
          </cell>
          <cell r="D253">
            <v>90</v>
          </cell>
          <cell r="E253">
            <v>505</v>
          </cell>
          <cell r="F253">
            <v>90</v>
          </cell>
          <cell r="G253">
            <v>115671</v>
          </cell>
          <cell r="H253"/>
          <cell r="I253" t="str">
            <v>.</v>
          </cell>
        </row>
        <row r="254">
          <cell r="A254">
            <v>376</v>
          </cell>
          <cell r="B254" t="str">
            <v>Israel</v>
          </cell>
          <cell r="C254">
            <v>1998</v>
          </cell>
          <cell r="D254">
            <v>90</v>
          </cell>
          <cell r="E254">
            <v>606</v>
          </cell>
          <cell r="F254">
            <v>90</v>
          </cell>
          <cell r="G254">
            <v>112264</v>
          </cell>
          <cell r="H254"/>
          <cell r="I254" t="str">
            <v>.</v>
          </cell>
        </row>
        <row r="255">
          <cell r="A255">
            <v>376</v>
          </cell>
          <cell r="B255" t="str">
            <v>Israel</v>
          </cell>
          <cell r="C255">
            <v>1998</v>
          </cell>
          <cell r="D255">
            <v>90</v>
          </cell>
          <cell r="E255">
            <v>707</v>
          </cell>
          <cell r="F255">
            <v>90</v>
          </cell>
          <cell r="G255">
            <v>112064</v>
          </cell>
          <cell r="H255"/>
          <cell r="I255" t="str">
            <v>.</v>
          </cell>
        </row>
        <row r="256">
          <cell r="A256">
            <v>376</v>
          </cell>
          <cell r="B256" t="str">
            <v>Israel</v>
          </cell>
          <cell r="C256">
            <v>1998</v>
          </cell>
          <cell r="D256">
            <v>90</v>
          </cell>
          <cell r="E256">
            <v>808</v>
          </cell>
          <cell r="F256">
            <v>90</v>
          </cell>
          <cell r="G256">
            <v>110825</v>
          </cell>
          <cell r="H256"/>
          <cell r="I256" t="str">
            <v>.</v>
          </cell>
        </row>
        <row r="257">
          <cell r="A257">
            <v>376</v>
          </cell>
          <cell r="B257" t="str">
            <v>Israel</v>
          </cell>
          <cell r="C257">
            <v>1998</v>
          </cell>
          <cell r="D257">
            <v>90</v>
          </cell>
          <cell r="E257">
            <v>909</v>
          </cell>
          <cell r="F257">
            <v>90</v>
          </cell>
          <cell r="G257">
            <v>110475</v>
          </cell>
          <cell r="H257"/>
          <cell r="I257" t="str">
            <v>.</v>
          </cell>
        </row>
        <row r="258">
          <cell r="A258">
            <v>40</v>
          </cell>
          <cell r="B258" t="str">
            <v>Austria</v>
          </cell>
          <cell r="C258">
            <v>1998</v>
          </cell>
          <cell r="D258">
            <v>90</v>
          </cell>
          <cell r="E258">
            <v>1919</v>
          </cell>
          <cell r="F258">
            <v>90</v>
          </cell>
          <cell r="G258">
            <v>90244</v>
          </cell>
          <cell r="H258" t="str">
            <v>;;=SUM(F31:G31);</v>
          </cell>
          <cell r="I258" t="str">
            <v>.</v>
          </cell>
        </row>
        <row r="259">
          <cell r="A259">
            <v>40</v>
          </cell>
          <cell r="B259" t="str">
            <v>Austria</v>
          </cell>
          <cell r="C259">
            <v>1998</v>
          </cell>
          <cell r="D259">
            <v>90</v>
          </cell>
          <cell r="E259">
            <v>1519</v>
          </cell>
          <cell r="F259">
            <v>90</v>
          </cell>
          <cell r="G259">
            <v>475637</v>
          </cell>
          <cell r="H259" t="str">
            <v>;;=SUM(F32:G32);</v>
          </cell>
          <cell r="I259" t="str">
            <v>.</v>
          </cell>
        </row>
        <row r="260">
          <cell r="A260">
            <v>40</v>
          </cell>
          <cell r="B260" t="str">
            <v>Austria</v>
          </cell>
          <cell r="C260">
            <v>1998</v>
          </cell>
          <cell r="D260">
            <v>90</v>
          </cell>
          <cell r="E260">
            <v>2020</v>
          </cell>
          <cell r="F260">
            <v>90</v>
          </cell>
          <cell r="G260">
            <v>90970</v>
          </cell>
          <cell r="H260" t="str">
            <v>;;=SUM(F33:G33);</v>
          </cell>
          <cell r="I260" t="str">
            <v>.</v>
          </cell>
        </row>
        <row r="261">
          <cell r="A261">
            <v>40</v>
          </cell>
          <cell r="B261" t="str">
            <v>Austria</v>
          </cell>
          <cell r="C261">
            <v>1998</v>
          </cell>
          <cell r="D261">
            <v>90</v>
          </cell>
          <cell r="E261">
            <v>2121</v>
          </cell>
          <cell r="F261">
            <v>90</v>
          </cell>
          <cell r="G261">
            <v>93409</v>
          </cell>
          <cell r="H261" t="str">
            <v>;;=SUM(F34:G34);</v>
          </cell>
          <cell r="I261" t="str">
            <v>.</v>
          </cell>
        </row>
        <row r="262">
          <cell r="A262">
            <v>40</v>
          </cell>
          <cell r="B262" t="str">
            <v>Austria</v>
          </cell>
          <cell r="C262">
            <v>1998</v>
          </cell>
          <cell r="D262">
            <v>90</v>
          </cell>
          <cell r="E262">
            <v>2222</v>
          </cell>
          <cell r="F262">
            <v>90</v>
          </cell>
          <cell r="G262">
            <v>99457</v>
          </cell>
          <cell r="H262" t="str">
            <v>;;=SUM(F35:G35);</v>
          </cell>
          <cell r="I262" t="str">
            <v>.</v>
          </cell>
        </row>
        <row r="263">
          <cell r="A263">
            <v>40</v>
          </cell>
          <cell r="B263" t="str">
            <v>Austria</v>
          </cell>
          <cell r="C263">
            <v>1998</v>
          </cell>
          <cell r="D263">
            <v>90</v>
          </cell>
          <cell r="E263">
            <v>2323</v>
          </cell>
          <cell r="F263">
            <v>90</v>
          </cell>
          <cell r="G263">
            <v>104098</v>
          </cell>
          <cell r="H263" t="str">
            <v>;;=SUM(F36:G36);</v>
          </cell>
          <cell r="I263" t="str">
            <v>.</v>
          </cell>
        </row>
        <row r="264">
          <cell r="A264">
            <v>40</v>
          </cell>
          <cell r="B264" t="str">
            <v>Austria</v>
          </cell>
          <cell r="C264">
            <v>1998</v>
          </cell>
          <cell r="D264">
            <v>90</v>
          </cell>
          <cell r="E264">
            <v>2424</v>
          </cell>
          <cell r="F264">
            <v>90</v>
          </cell>
          <cell r="G264">
            <v>107423</v>
          </cell>
          <cell r="H264" t="str">
            <v>;;=SUM(F37:G37);</v>
          </cell>
          <cell r="I264" t="str">
            <v>.</v>
          </cell>
        </row>
        <row r="265">
          <cell r="A265">
            <v>40</v>
          </cell>
          <cell r="B265" t="str">
            <v>Austria</v>
          </cell>
          <cell r="C265">
            <v>1998</v>
          </cell>
          <cell r="D265">
            <v>90</v>
          </cell>
          <cell r="E265">
            <v>2024</v>
          </cell>
          <cell r="F265">
            <v>90</v>
          </cell>
          <cell r="G265">
            <v>495357</v>
          </cell>
          <cell r="H265" t="str">
            <v>;;=SUM(F38:G38);</v>
          </cell>
          <cell r="I265" t="str">
            <v>.</v>
          </cell>
        </row>
        <row r="266">
          <cell r="A266">
            <v>40</v>
          </cell>
          <cell r="B266" t="str">
            <v>Austria</v>
          </cell>
          <cell r="C266">
            <v>1998</v>
          </cell>
          <cell r="D266">
            <v>90</v>
          </cell>
          <cell r="E266">
            <v>2525</v>
          </cell>
          <cell r="F266">
            <v>90</v>
          </cell>
          <cell r="G266">
            <v>116820</v>
          </cell>
          <cell r="H266" t="str">
            <v>;;=SUM(F39:G39);</v>
          </cell>
          <cell r="I266" t="str">
            <v>.</v>
          </cell>
        </row>
        <row r="267">
          <cell r="A267">
            <v>40</v>
          </cell>
          <cell r="B267" t="str">
            <v>Austria</v>
          </cell>
          <cell r="C267">
            <v>1998</v>
          </cell>
          <cell r="D267">
            <v>90</v>
          </cell>
          <cell r="E267">
            <v>2626</v>
          </cell>
          <cell r="F267">
            <v>90</v>
          </cell>
          <cell r="G267">
            <v>124548</v>
          </cell>
          <cell r="H267" t="str">
            <v>;;=SUM(F40:G40);</v>
          </cell>
          <cell r="I267" t="str">
            <v>.</v>
          </cell>
        </row>
        <row r="268">
          <cell r="A268">
            <v>40</v>
          </cell>
          <cell r="B268" t="str">
            <v>Austria</v>
          </cell>
          <cell r="C268">
            <v>1998</v>
          </cell>
          <cell r="D268">
            <v>90</v>
          </cell>
          <cell r="E268">
            <v>2727</v>
          </cell>
          <cell r="F268">
            <v>90</v>
          </cell>
          <cell r="G268">
            <v>128645</v>
          </cell>
          <cell r="H268" t="str">
            <v>;;=SUM(F41:G41);</v>
          </cell>
          <cell r="I268" t="str">
            <v>.</v>
          </cell>
        </row>
        <row r="269">
          <cell r="A269">
            <v>40</v>
          </cell>
          <cell r="B269" t="str">
            <v>Austria</v>
          </cell>
          <cell r="C269">
            <v>1998</v>
          </cell>
          <cell r="D269">
            <v>90</v>
          </cell>
          <cell r="E269">
            <v>2828</v>
          </cell>
          <cell r="F269">
            <v>90</v>
          </cell>
          <cell r="G269">
            <v>136301</v>
          </cell>
          <cell r="H269" t="str">
            <v>;;=SUM(F42:G42);</v>
          </cell>
          <cell r="I269" t="str">
            <v>.</v>
          </cell>
        </row>
        <row r="270">
          <cell r="A270">
            <v>40</v>
          </cell>
          <cell r="B270" t="str">
            <v>Austria</v>
          </cell>
          <cell r="C270">
            <v>1998</v>
          </cell>
          <cell r="D270">
            <v>90</v>
          </cell>
          <cell r="E270">
            <v>2929</v>
          </cell>
          <cell r="F270">
            <v>90</v>
          </cell>
          <cell r="G270">
            <v>142838</v>
          </cell>
          <cell r="H270" t="str">
            <v>;;=SUM(F43:G43);</v>
          </cell>
          <cell r="I270" t="str">
            <v>.</v>
          </cell>
        </row>
        <row r="271">
          <cell r="A271">
            <v>40</v>
          </cell>
          <cell r="B271" t="str">
            <v>Austria</v>
          </cell>
          <cell r="C271">
            <v>1998</v>
          </cell>
          <cell r="D271">
            <v>90</v>
          </cell>
          <cell r="E271">
            <v>2529</v>
          </cell>
          <cell r="F271">
            <v>90</v>
          </cell>
          <cell r="G271">
            <v>649152</v>
          </cell>
          <cell r="H271" t="str">
            <v>;;=SUM(F44:G44);</v>
          </cell>
          <cell r="I271" t="str">
            <v>.</v>
          </cell>
        </row>
        <row r="272">
          <cell r="A272">
            <v>40</v>
          </cell>
          <cell r="B272" t="str">
            <v>Austria</v>
          </cell>
          <cell r="C272">
            <v>1998</v>
          </cell>
          <cell r="D272">
            <v>90</v>
          </cell>
          <cell r="E272">
            <v>3034</v>
          </cell>
          <cell r="F272">
            <v>90</v>
          </cell>
          <cell r="G272">
            <v>722221</v>
          </cell>
          <cell r="H272" t="str">
            <v>;;=SUM(F45:G45);</v>
          </cell>
          <cell r="I272" t="str">
            <v>.</v>
          </cell>
        </row>
        <row r="273">
          <cell r="A273">
            <v>40</v>
          </cell>
          <cell r="B273" t="str">
            <v>Austria</v>
          </cell>
          <cell r="C273">
            <v>1998</v>
          </cell>
          <cell r="D273">
            <v>90</v>
          </cell>
          <cell r="E273">
            <v>3539</v>
          </cell>
          <cell r="F273">
            <v>90</v>
          </cell>
          <cell r="G273">
            <v>670651</v>
          </cell>
          <cell r="H273" t="str">
            <v>;;=SUM(F46:G46);</v>
          </cell>
          <cell r="I273" t="str">
            <v>.</v>
          </cell>
        </row>
        <row r="274">
          <cell r="A274">
            <v>40</v>
          </cell>
          <cell r="B274" t="str">
            <v>Austria</v>
          </cell>
          <cell r="C274">
            <v>1998</v>
          </cell>
          <cell r="D274">
            <v>90</v>
          </cell>
          <cell r="E274">
            <v>4099</v>
          </cell>
          <cell r="F274">
            <v>90</v>
          </cell>
          <cell r="G274">
            <v>3675804</v>
          </cell>
          <cell r="H274" t="str">
            <v>;;=SUM(F47:G47);</v>
          </cell>
          <cell r="I274" t="str">
            <v>.</v>
          </cell>
        </row>
        <row r="275">
          <cell r="A275">
            <v>40</v>
          </cell>
          <cell r="B275" t="str">
            <v>Austria</v>
          </cell>
          <cell r="C275">
            <v>1998</v>
          </cell>
          <cell r="D275">
            <v>90</v>
          </cell>
          <cell r="E275">
            <v>990000</v>
          </cell>
          <cell r="F275">
            <v>90</v>
          </cell>
          <cell r="G275">
            <v>0</v>
          </cell>
          <cell r="H275" t="str">
            <v>;;=SUM(F48:G48);</v>
          </cell>
          <cell r="I275" t="str">
            <v>.</v>
          </cell>
        </row>
        <row r="276">
          <cell r="A276">
            <v>57</v>
          </cell>
          <cell r="B276" t="str">
            <v>Belgium (Fl)</v>
          </cell>
          <cell r="C276">
            <v>1998</v>
          </cell>
          <cell r="D276">
            <v>90</v>
          </cell>
          <cell r="E276">
            <v>900000</v>
          </cell>
          <cell r="F276">
            <v>90</v>
          </cell>
          <cell r="G276">
            <v>6103018</v>
          </cell>
          <cell r="H276" t="str">
            <v>;;=SUM(F11:G11);</v>
          </cell>
          <cell r="I276" t="str">
            <v>.</v>
          </cell>
        </row>
        <row r="277">
          <cell r="A277">
            <v>57</v>
          </cell>
          <cell r="B277" t="str">
            <v>Belgium (Fl)</v>
          </cell>
          <cell r="C277">
            <v>1998</v>
          </cell>
          <cell r="D277">
            <v>90</v>
          </cell>
          <cell r="E277">
            <v>300</v>
          </cell>
          <cell r="F277">
            <v>90</v>
          </cell>
          <cell r="G277">
            <v>201486</v>
          </cell>
          <cell r="H277" t="str">
            <v>;;=SUM(F12:G12);</v>
          </cell>
          <cell r="I277" t="str">
            <v>.</v>
          </cell>
        </row>
        <row r="278">
          <cell r="A278">
            <v>57</v>
          </cell>
          <cell r="B278" t="str">
            <v>Belgium (Fl)</v>
          </cell>
          <cell r="C278">
            <v>1998</v>
          </cell>
          <cell r="D278">
            <v>90</v>
          </cell>
          <cell r="E278">
            <v>303</v>
          </cell>
          <cell r="F278">
            <v>90</v>
          </cell>
          <cell r="G278">
            <v>68178</v>
          </cell>
          <cell r="H278" t="str">
            <v>;;=SUM(F13:G13);</v>
          </cell>
          <cell r="I278" t="str">
            <v>.</v>
          </cell>
        </row>
        <row r="279">
          <cell r="A279">
            <v>57</v>
          </cell>
          <cell r="B279" t="str">
            <v>Belgium (Fl)</v>
          </cell>
          <cell r="C279">
            <v>1998</v>
          </cell>
          <cell r="D279">
            <v>90</v>
          </cell>
          <cell r="E279">
            <v>404</v>
          </cell>
          <cell r="F279">
            <v>90</v>
          </cell>
          <cell r="G279">
            <v>71417</v>
          </cell>
          <cell r="H279" t="str">
            <v>;;=SUM(F14:G14);</v>
          </cell>
          <cell r="I279" t="str">
            <v>.</v>
          </cell>
        </row>
        <row r="280">
          <cell r="A280">
            <v>57</v>
          </cell>
          <cell r="B280" t="str">
            <v>Belgium (Fl)</v>
          </cell>
          <cell r="C280">
            <v>1998</v>
          </cell>
          <cell r="D280">
            <v>90</v>
          </cell>
          <cell r="E280">
            <v>505</v>
          </cell>
          <cell r="F280">
            <v>90</v>
          </cell>
          <cell r="G280">
            <v>73693</v>
          </cell>
          <cell r="H280" t="str">
            <v>;;=SUM(F15:G15);</v>
          </cell>
          <cell r="I280" t="str">
            <v>.</v>
          </cell>
        </row>
        <row r="281">
          <cell r="A281">
            <v>57</v>
          </cell>
          <cell r="B281" t="str">
            <v>Belgium (Fl)</v>
          </cell>
          <cell r="C281">
            <v>1998</v>
          </cell>
          <cell r="D281">
            <v>90</v>
          </cell>
          <cell r="E281">
            <v>606</v>
          </cell>
          <cell r="F281">
            <v>90</v>
          </cell>
          <cell r="G281">
            <v>74410</v>
          </cell>
          <cell r="H281" t="str">
            <v>;;=SUM(F16:G16);</v>
          </cell>
          <cell r="I281" t="str">
            <v>.</v>
          </cell>
        </row>
        <row r="282">
          <cell r="A282">
            <v>57</v>
          </cell>
          <cell r="B282" t="str">
            <v>Belgium (Fl)</v>
          </cell>
          <cell r="C282">
            <v>1998</v>
          </cell>
          <cell r="D282">
            <v>90</v>
          </cell>
          <cell r="E282">
            <v>707</v>
          </cell>
          <cell r="F282">
            <v>90</v>
          </cell>
          <cell r="G282">
            <v>73733</v>
          </cell>
          <cell r="H282" t="str">
            <v>;;=SUM(F17:G17);</v>
          </cell>
          <cell r="I282" t="str">
            <v>.</v>
          </cell>
        </row>
        <row r="283">
          <cell r="A283">
            <v>57</v>
          </cell>
          <cell r="B283" t="str">
            <v>Belgium (Fl)</v>
          </cell>
          <cell r="C283">
            <v>1998</v>
          </cell>
          <cell r="D283">
            <v>90</v>
          </cell>
          <cell r="E283">
            <v>808</v>
          </cell>
          <cell r="F283">
            <v>90</v>
          </cell>
          <cell r="G283">
            <v>71353</v>
          </cell>
          <cell r="H283" t="str">
            <v>;;=SUM(F18:G18);</v>
          </cell>
          <cell r="I283" t="str">
            <v>.</v>
          </cell>
        </row>
        <row r="284">
          <cell r="A284">
            <v>57</v>
          </cell>
          <cell r="B284" t="str">
            <v>Belgium (Fl)</v>
          </cell>
          <cell r="C284">
            <v>1998</v>
          </cell>
          <cell r="D284">
            <v>90</v>
          </cell>
          <cell r="E284">
            <v>909</v>
          </cell>
          <cell r="F284">
            <v>90</v>
          </cell>
          <cell r="G284">
            <v>70700</v>
          </cell>
          <cell r="H284" t="str">
            <v>;;=SUM(F19:G19);</v>
          </cell>
          <cell r="I284" t="str">
            <v>.</v>
          </cell>
        </row>
        <row r="285">
          <cell r="A285">
            <v>57</v>
          </cell>
          <cell r="B285" t="str">
            <v>Belgium (Fl)</v>
          </cell>
          <cell r="C285">
            <v>1998</v>
          </cell>
          <cell r="D285">
            <v>90</v>
          </cell>
          <cell r="E285">
            <v>509</v>
          </cell>
          <cell r="F285">
            <v>90</v>
          </cell>
          <cell r="G285">
            <v>363889</v>
          </cell>
          <cell r="H285" t="str">
            <v>;;=SUM(F20:G20);</v>
          </cell>
          <cell r="I285" t="str">
            <v>.</v>
          </cell>
        </row>
        <row r="286">
          <cell r="A286">
            <v>57</v>
          </cell>
          <cell r="B286" t="str">
            <v>Belgium (Fl)</v>
          </cell>
          <cell r="C286">
            <v>1998</v>
          </cell>
          <cell r="D286">
            <v>90</v>
          </cell>
          <cell r="E286">
            <v>1010</v>
          </cell>
          <cell r="F286">
            <v>90</v>
          </cell>
          <cell r="G286">
            <v>69691</v>
          </cell>
          <cell r="H286" t="str">
            <v>;;=SUM(F21:G21);</v>
          </cell>
          <cell r="I286" t="str">
            <v>.</v>
          </cell>
        </row>
        <row r="287">
          <cell r="A287">
            <v>124</v>
          </cell>
          <cell r="B287" t="str">
            <v>Canada</v>
          </cell>
          <cell r="C287">
            <v>1998</v>
          </cell>
          <cell r="D287">
            <v>90</v>
          </cell>
          <cell r="E287">
            <v>2020</v>
          </cell>
          <cell r="F287">
            <v>90</v>
          </cell>
          <cell r="G287">
            <v>404688</v>
          </cell>
          <cell r="H287" t="str">
            <v>;;=SUM(F33:G33);</v>
          </cell>
          <cell r="I287" t="str">
            <v>.</v>
          </cell>
        </row>
        <row r="288">
          <cell r="A288">
            <v>124</v>
          </cell>
          <cell r="B288" t="str">
            <v>Canada</v>
          </cell>
          <cell r="C288">
            <v>1998</v>
          </cell>
          <cell r="D288">
            <v>90</v>
          </cell>
          <cell r="E288">
            <v>2121</v>
          </cell>
          <cell r="F288">
            <v>90</v>
          </cell>
          <cell r="G288">
            <v>408569</v>
          </cell>
          <cell r="H288" t="str">
            <v>;;=SUM(F34:G34);</v>
          </cell>
          <cell r="I288" t="str">
            <v>.</v>
          </cell>
        </row>
        <row r="289">
          <cell r="A289">
            <v>124</v>
          </cell>
          <cell r="B289" t="str">
            <v>Canada</v>
          </cell>
          <cell r="C289">
            <v>1998</v>
          </cell>
          <cell r="D289">
            <v>90</v>
          </cell>
          <cell r="E289">
            <v>2222</v>
          </cell>
          <cell r="F289">
            <v>90</v>
          </cell>
          <cell r="G289">
            <v>410043</v>
          </cell>
          <cell r="H289" t="str">
            <v>;;=SUM(F35:G35);</v>
          </cell>
          <cell r="I289" t="str">
            <v>.</v>
          </cell>
        </row>
        <row r="290">
          <cell r="A290">
            <v>124</v>
          </cell>
          <cell r="B290" t="str">
            <v>Canada</v>
          </cell>
          <cell r="C290">
            <v>1998</v>
          </cell>
          <cell r="D290">
            <v>90</v>
          </cell>
          <cell r="E290">
            <v>2323</v>
          </cell>
          <cell r="F290">
            <v>90</v>
          </cell>
          <cell r="G290">
            <v>405526</v>
          </cell>
          <cell r="H290" t="str">
            <v>;;=SUM(F36:G36);</v>
          </cell>
          <cell r="I290" t="str">
            <v>.</v>
          </cell>
        </row>
        <row r="291">
          <cell r="A291">
            <v>124</v>
          </cell>
          <cell r="B291" t="str">
            <v>Canada</v>
          </cell>
          <cell r="C291">
            <v>1998</v>
          </cell>
          <cell r="D291">
            <v>90</v>
          </cell>
          <cell r="E291">
            <v>2424</v>
          </cell>
          <cell r="F291">
            <v>90</v>
          </cell>
          <cell r="G291">
            <v>402934</v>
          </cell>
          <cell r="H291" t="str">
            <v>;;=SUM(F37:G37);</v>
          </cell>
          <cell r="I291" t="str">
            <v>.</v>
          </cell>
        </row>
        <row r="292">
          <cell r="A292">
            <v>124</v>
          </cell>
          <cell r="B292" t="str">
            <v>Canada</v>
          </cell>
          <cell r="C292">
            <v>1998</v>
          </cell>
          <cell r="D292">
            <v>90</v>
          </cell>
          <cell r="E292">
            <v>2024</v>
          </cell>
          <cell r="F292">
            <v>90</v>
          </cell>
          <cell r="G292">
            <v>2031760</v>
          </cell>
          <cell r="H292" t="str">
            <v>;;=SUM(F38:G38);</v>
          </cell>
          <cell r="I292" t="str">
            <v>.</v>
          </cell>
        </row>
        <row r="293">
          <cell r="A293">
            <v>124</v>
          </cell>
          <cell r="B293" t="str">
            <v>Canada</v>
          </cell>
          <cell r="C293">
            <v>1998</v>
          </cell>
          <cell r="D293">
            <v>90</v>
          </cell>
          <cell r="E293">
            <v>2525</v>
          </cell>
          <cell r="F293">
            <v>90</v>
          </cell>
          <cell r="G293">
            <v>409107</v>
          </cell>
          <cell r="H293" t="str">
            <v>;;=SUM(F39:G39);</v>
          </cell>
          <cell r="I293" t="str">
            <v>.</v>
          </cell>
        </row>
        <row r="294">
          <cell r="A294">
            <v>124</v>
          </cell>
          <cell r="B294" t="str">
            <v>Canada</v>
          </cell>
          <cell r="C294">
            <v>1998</v>
          </cell>
          <cell r="D294">
            <v>90</v>
          </cell>
          <cell r="E294">
            <v>2626</v>
          </cell>
          <cell r="F294">
            <v>90</v>
          </cell>
          <cell r="G294">
            <v>423144</v>
          </cell>
          <cell r="H294" t="str">
            <v>;;=SUM(F40:G40);</v>
          </cell>
          <cell r="I294" t="str">
            <v>.</v>
          </cell>
        </row>
        <row r="295">
          <cell r="A295">
            <v>124</v>
          </cell>
          <cell r="B295" t="str">
            <v>Canada</v>
          </cell>
          <cell r="C295">
            <v>1998</v>
          </cell>
          <cell r="D295">
            <v>90</v>
          </cell>
          <cell r="E295">
            <v>2727</v>
          </cell>
          <cell r="F295">
            <v>90</v>
          </cell>
          <cell r="G295">
            <v>434803</v>
          </cell>
          <cell r="H295" t="str">
            <v>;;=SUM(F41:G41);</v>
          </cell>
          <cell r="I295" t="str">
            <v>.</v>
          </cell>
        </row>
        <row r="296">
          <cell r="A296">
            <v>124</v>
          </cell>
          <cell r="B296" t="str">
            <v>Canada</v>
          </cell>
          <cell r="C296">
            <v>1998</v>
          </cell>
          <cell r="D296">
            <v>90</v>
          </cell>
          <cell r="E296">
            <v>2828</v>
          </cell>
          <cell r="F296">
            <v>90</v>
          </cell>
          <cell r="G296">
            <v>435756</v>
          </cell>
          <cell r="H296" t="str">
            <v>;;=SUM(F42:G42);</v>
          </cell>
          <cell r="I296" t="str">
            <v>.</v>
          </cell>
        </row>
        <row r="297">
          <cell r="A297">
            <v>124</v>
          </cell>
          <cell r="B297" t="str">
            <v>Canada</v>
          </cell>
          <cell r="C297">
            <v>1998</v>
          </cell>
          <cell r="D297">
            <v>90</v>
          </cell>
          <cell r="E297">
            <v>2929</v>
          </cell>
          <cell r="F297">
            <v>90</v>
          </cell>
          <cell r="G297">
            <v>436201</v>
          </cell>
          <cell r="H297" t="str">
            <v>;;=SUM(F43:G43);</v>
          </cell>
          <cell r="I297" t="str">
            <v>.</v>
          </cell>
        </row>
        <row r="298">
          <cell r="A298">
            <v>124</v>
          </cell>
          <cell r="B298" t="str">
            <v>Canada</v>
          </cell>
          <cell r="C298">
            <v>1998</v>
          </cell>
          <cell r="D298">
            <v>90</v>
          </cell>
          <cell r="E298">
            <v>2529</v>
          </cell>
          <cell r="F298">
            <v>90</v>
          </cell>
          <cell r="G298">
            <v>2139011</v>
          </cell>
          <cell r="H298" t="str">
            <v>;;=SUM(F44:G44);</v>
          </cell>
          <cell r="I298" t="str">
            <v>.</v>
          </cell>
        </row>
        <row r="299">
          <cell r="A299">
            <v>124</v>
          </cell>
          <cell r="B299" t="str">
            <v>Canada</v>
          </cell>
          <cell r="C299">
            <v>1998</v>
          </cell>
          <cell r="D299">
            <v>90</v>
          </cell>
          <cell r="E299">
            <v>3034</v>
          </cell>
          <cell r="F299">
            <v>90</v>
          </cell>
          <cell r="G299">
            <v>2473563</v>
          </cell>
          <cell r="H299" t="str">
            <v>;;=SUM(F45:G45);</v>
          </cell>
          <cell r="I299" t="str">
            <v>.</v>
          </cell>
        </row>
        <row r="300">
          <cell r="A300">
            <v>124</v>
          </cell>
          <cell r="B300" t="str">
            <v>Canada</v>
          </cell>
          <cell r="C300">
            <v>1998</v>
          </cell>
          <cell r="D300">
            <v>90</v>
          </cell>
          <cell r="E300">
            <v>3539</v>
          </cell>
          <cell r="F300">
            <v>90</v>
          </cell>
          <cell r="G300">
            <v>2677975</v>
          </cell>
          <cell r="H300" t="str">
            <v>;;=SUM(F46:G46);</v>
          </cell>
          <cell r="I300" t="str">
            <v>.</v>
          </cell>
        </row>
        <row r="301">
          <cell r="A301">
            <v>124</v>
          </cell>
          <cell r="B301" t="str">
            <v>Canada</v>
          </cell>
          <cell r="C301">
            <v>1998</v>
          </cell>
          <cell r="D301">
            <v>90</v>
          </cell>
          <cell r="E301">
            <v>4099</v>
          </cell>
          <cell r="F301">
            <v>90</v>
          </cell>
          <cell r="G301">
            <v>12812927</v>
          </cell>
          <cell r="H301" t="str">
            <v>;;=SUM(F47:G47);</v>
          </cell>
          <cell r="I301" t="str">
            <v>.</v>
          </cell>
        </row>
        <row r="302">
          <cell r="A302">
            <v>124</v>
          </cell>
          <cell r="B302" t="str">
            <v>Canada</v>
          </cell>
          <cell r="C302">
            <v>1998</v>
          </cell>
          <cell r="D302">
            <v>90</v>
          </cell>
          <cell r="E302">
            <v>990000</v>
          </cell>
          <cell r="F302">
            <v>90</v>
          </cell>
          <cell r="G302">
            <v>0</v>
          </cell>
          <cell r="H302" t="str">
            <v>n;</v>
          </cell>
          <cell r="I302" t="str">
            <v>n</v>
          </cell>
        </row>
        <row r="303">
          <cell r="A303">
            <v>203</v>
          </cell>
          <cell r="B303" t="str">
            <v>Czech Republic</v>
          </cell>
          <cell r="C303">
            <v>1998</v>
          </cell>
          <cell r="D303">
            <v>90</v>
          </cell>
          <cell r="E303">
            <v>900000</v>
          </cell>
          <cell r="F303">
            <v>90</v>
          </cell>
          <cell r="G303">
            <v>10299125</v>
          </cell>
          <cell r="H303" t="str">
            <v>;;=SUM(F11:G11);</v>
          </cell>
          <cell r="I303" t="str">
            <v>.</v>
          </cell>
        </row>
        <row r="304">
          <cell r="A304">
            <v>203</v>
          </cell>
          <cell r="B304" t="str">
            <v>Czech Republic</v>
          </cell>
          <cell r="C304">
            <v>1998</v>
          </cell>
          <cell r="D304">
            <v>90</v>
          </cell>
          <cell r="E304">
            <v>300</v>
          </cell>
          <cell r="F304">
            <v>90</v>
          </cell>
          <cell r="G304">
            <v>275584</v>
          </cell>
          <cell r="H304" t="str">
            <v>;;=SUM(F12:G12);</v>
          </cell>
          <cell r="I304" t="str">
            <v>.</v>
          </cell>
        </row>
        <row r="305">
          <cell r="A305">
            <v>203</v>
          </cell>
          <cell r="B305" t="str">
            <v>Czech Republic</v>
          </cell>
          <cell r="C305">
            <v>1998</v>
          </cell>
          <cell r="D305">
            <v>90</v>
          </cell>
          <cell r="E305">
            <v>303</v>
          </cell>
          <cell r="F305">
            <v>90</v>
          </cell>
          <cell r="G305">
            <v>105842</v>
          </cell>
          <cell r="H305" t="str">
            <v>;;=SUM(F13:G13);</v>
          </cell>
          <cell r="I305" t="str">
            <v>.</v>
          </cell>
        </row>
        <row r="306">
          <cell r="A306">
            <v>203</v>
          </cell>
          <cell r="B306" t="str">
            <v>Czech Republic</v>
          </cell>
          <cell r="C306">
            <v>1998</v>
          </cell>
          <cell r="D306">
            <v>90</v>
          </cell>
          <cell r="E306">
            <v>404</v>
          </cell>
          <cell r="F306">
            <v>90</v>
          </cell>
          <cell r="G306">
            <v>120084</v>
          </cell>
          <cell r="H306" t="str">
            <v>;;=SUM(F14:G14);</v>
          </cell>
          <cell r="I306" t="str">
            <v>.</v>
          </cell>
        </row>
        <row r="307">
          <cell r="A307">
            <v>203</v>
          </cell>
          <cell r="B307" t="str">
            <v>Czech Republic</v>
          </cell>
          <cell r="C307">
            <v>1998</v>
          </cell>
          <cell r="D307">
            <v>90</v>
          </cell>
          <cell r="E307">
            <v>505</v>
          </cell>
          <cell r="F307">
            <v>90</v>
          </cell>
          <cell r="G307">
            <v>120755</v>
          </cell>
          <cell r="H307" t="str">
            <v>;;=SUM(F15:G15);</v>
          </cell>
          <cell r="I307" t="str">
            <v>.</v>
          </cell>
        </row>
        <row r="308">
          <cell r="A308">
            <v>203</v>
          </cell>
          <cell r="B308" t="str">
            <v>Czech Republic</v>
          </cell>
          <cell r="C308">
            <v>1998</v>
          </cell>
          <cell r="D308">
            <v>90</v>
          </cell>
          <cell r="E308">
            <v>606</v>
          </cell>
          <cell r="F308">
            <v>90</v>
          </cell>
          <cell r="G308">
            <v>128492</v>
          </cell>
          <cell r="H308" t="str">
            <v>;;=SUM(F16:G16);</v>
          </cell>
          <cell r="I308" t="str">
            <v>.</v>
          </cell>
        </row>
        <row r="309">
          <cell r="A309">
            <v>203</v>
          </cell>
          <cell r="B309" t="str">
            <v>Czech Republic</v>
          </cell>
          <cell r="C309">
            <v>1998</v>
          </cell>
          <cell r="D309">
            <v>90</v>
          </cell>
          <cell r="E309">
            <v>707</v>
          </cell>
          <cell r="F309">
            <v>90</v>
          </cell>
          <cell r="G309">
            <v>127748</v>
          </cell>
          <cell r="H309" t="str">
            <v>;;=SUM(F17:G17);</v>
          </cell>
          <cell r="I309" t="str">
            <v>.</v>
          </cell>
        </row>
        <row r="310">
          <cell r="A310">
            <v>203</v>
          </cell>
          <cell r="B310" t="str">
            <v>Czech Republic</v>
          </cell>
          <cell r="C310">
            <v>1998</v>
          </cell>
          <cell r="D310">
            <v>90</v>
          </cell>
          <cell r="E310">
            <v>808</v>
          </cell>
          <cell r="F310">
            <v>90</v>
          </cell>
          <cell r="G310">
            <v>125933</v>
          </cell>
          <cell r="H310" t="str">
            <v>;;=SUM(F18:G18);</v>
          </cell>
          <cell r="I310" t="str">
            <v>.</v>
          </cell>
        </row>
        <row r="311">
          <cell r="A311">
            <v>203</v>
          </cell>
          <cell r="B311" t="str">
            <v>Czech Republic</v>
          </cell>
          <cell r="C311">
            <v>1998</v>
          </cell>
          <cell r="D311">
            <v>90</v>
          </cell>
          <cell r="E311">
            <v>909</v>
          </cell>
          <cell r="F311">
            <v>90</v>
          </cell>
          <cell r="G311">
            <v>129845</v>
          </cell>
          <cell r="H311" t="str">
            <v>;;=SUM(F19:G19);</v>
          </cell>
          <cell r="I311" t="str">
            <v>.</v>
          </cell>
        </row>
        <row r="312">
          <cell r="A312">
            <v>203</v>
          </cell>
          <cell r="B312" t="str">
            <v>Czech Republic</v>
          </cell>
          <cell r="C312">
            <v>1998</v>
          </cell>
          <cell r="D312">
            <v>90</v>
          </cell>
          <cell r="E312">
            <v>509</v>
          </cell>
          <cell r="F312">
            <v>90</v>
          </cell>
          <cell r="G312">
            <v>632773</v>
          </cell>
          <cell r="H312" t="str">
            <v>;;=SUM(F20:G20);</v>
          </cell>
          <cell r="I312" t="str">
            <v>.</v>
          </cell>
        </row>
        <row r="313">
          <cell r="A313">
            <v>203</v>
          </cell>
          <cell r="B313" t="str">
            <v>Czech Republic</v>
          </cell>
          <cell r="C313">
            <v>1998</v>
          </cell>
          <cell r="D313">
            <v>90</v>
          </cell>
          <cell r="E313">
            <v>1010</v>
          </cell>
          <cell r="F313">
            <v>90</v>
          </cell>
          <cell r="G313">
            <v>128204</v>
          </cell>
          <cell r="H313" t="str">
            <v>;;=SUM(F21:G21);</v>
          </cell>
          <cell r="I313" t="str">
            <v>.</v>
          </cell>
        </row>
        <row r="314">
          <cell r="A314">
            <v>203</v>
          </cell>
          <cell r="B314" t="str">
            <v>Czech Republic</v>
          </cell>
          <cell r="C314">
            <v>1998</v>
          </cell>
          <cell r="D314">
            <v>90</v>
          </cell>
          <cell r="E314">
            <v>1111</v>
          </cell>
          <cell r="F314">
            <v>90</v>
          </cell>
          <cell r="G314">
            <v>130574</v>
          </cell>
          <cell r="H314" t="str">
            <v>;;=SUM(F22:G22);</v>
          </cell>
          <cell r="I314" t="str">
            <v>.</v>
          </cell>
        </row>
        <row r="315">
          <cell r="A315">
            <v>57</v>
          </cell>
          <cell r="B315" t="str">
            <v>Belgium (Fl)</v>
          </cell>
          <cell r="C315">
            <v>1998</v>
          </cell>
          <cell r="D315">
            <v>90</v>
          </cell>
          <cell r="E315">
            <v>1111</v>
          </cell>
          <cell r="F315">
            <v>90</v>
          </cell>
          <cell r="G315">
            <v>69682</v>
          </cell>
          <cell r="H315" t="str">
            <v>;;=SUM(F22:G22);</v>
          </cell>
          <cell r="I315" t="str">
            <v>.</v>
          </cell>
        </row>
        <row r="316">
          <cell r="A316">
            <v>57</v>
          </cell>
          <cell r="B316" t="str">
            <v>Belgium (Fl)</v>
          </cell>
          <cell r="C316">
            <v>1998</v>
          </cell>
          <cell r="D316">
            <v>90</v>
          </cell>
          <cell r="E316">
            <v>1212</v>
          </cell>
          <cell r="F316">
            <v>90</v>
          </cell>
          <cell r="G316">
            <v>68139</v>
          </cell>
          <cell r="H316" t="str">
            <v>;;=SUM(F23:G23);</v>
          </cell>
          <cell r="I316" t="str">
            <v>.</v>
          </cell>
        </row>
        <row r="317">
          <cell r="A317">
            <v>57</v>
          </cell>
          <cell r="B317" t="str">
            <v>Belgium (Fl)</v>
          </cell>
          <cell r="C317">
            <v>1998</v>
          </cell>
          <cell r="D317">
            <v>90</v>
          </cell>
          <cell r="E317">
            <v>1313</v>
          </cell>
          <cell r="F317">
            <v>90</v>
          </cell>
          <cell r="G317">
            <v>69675</v>
          </cell>
          <cell r="H317" t="str">
            <v>;;=SUM(F24:G24);</v>
          </cell>
          <cell r="I317" t="str">
            <v>.</v>
          </cell>
        </row>
        <row r="318">
          <cell r="A318">
            <v>57</v>
          </cell>
          <cell r="B318" t="str">
            <v>Belgium (Fl)</v>
          </cell>
          <cell r="C318">
            <v>1998</v>
          </cell>
          <cell r="D318">
            <v>90</v>
          </cell>
          <cell r="E318">
            <v>1414</v>
          </cell>
          <cell r="F318">
            <v>90</v>
          </cell>
          <cell r="G318">
            <v>71692</v>
          </cell>
          <cell r="H318" t="str">
            <v>;;=SUM(F25:G25);</v>
          </cell>
          <cell r="I318" t="str">
            <v>.</v>
          </cell>
        </row>
        <row r="319">
          <cell r="A319">
            <v>57</v>
          </cell>
          <cell r="B319" t="str">
            <v>Belgium (Fl)</v>
          </cell>
          <cell r="C319">
            <v>1998</v>
          </cell>
          <cell r="D319">
            <v>90</v>
          </cell>
          <cell r="E319">
            <v>1014</v>
          </cell>
          <cell r="F319">
            <v>90</v>
          </cell>
          <cell r="G319">
            <v>348879</v>
          </cell>
          <cell r="H319" t="str">
            <v>;;=SUM(F26:G26);</v>
          </cell>
          <cell r="I319" t="str">
            <v>.</v>
          </cell>
        </row>
        <row r="320">
          <cell r="A320">
            <v>57</v>
          </cell>
          <cell r="B320" t="str">
            <v>Belgium (Fl)</v>
          </cell>
          <cell r="C320">
            <v>1998</v>
          </cell>
          <cell r="D320">
            <v>90</v>
          </cell>
          <cell r="E320">
            <v>1515</v>
          </cell>
          <cell r="F320">
            <v>90</v>
          </cell>
          <cell r="G320">
            <v>73141</v>
          </cell>
          <cell r="H320" t="str">
            <v>;;=SUM(F27:G27);</v>
          </cell>
          <cell r="I320" t="str">
            <v>.</v>
          </cell>
        </row>
        <row r="321">
          <cell r="A321">
            <v>57</v>
          </cell>
          <cell r="B321" t="str">
            <v>Belgium (Fl)</v>
          </cell>
          <cell r="C321">
            <v>1998</v>
          </cell>
          <cell r="D321">
            <v>90</v>
          </cell>
          <cell r="E321">
            <v>1616</v>
          </cell>
          <cell r="F321">
            <v>90</v>
          </cell>
          <cell r="G321">
            <v>75422</v>
          </cell>
          <cell r="H321" t="str">
            <v>;;=SUM(F28:G28);</v>
          </cell>
          <cell r="I321" t="str">
            <v>.</v>
          </cell>
        </row>
        <row r="322">
          <cell r="A322">
            <v>57</v>
          </cell>
          <cell r="B322" t="str">
            <v>Belgium (Fl)</v>
          </cell>
          <cell r="C322">
            <v>1998</v>
          </cell>
          <cell r="D322">
            <v>90</v>
          </cell>
          <cell r="E322">
            <v>1717</v>
          </cell>
          <cell r="F322">
            <v>90</v>
          </cell>
          <cell r="G322">
            <v>75607</v>
          </cell>
          <cell r="H322" t="str">
            <v>;;=SUM(F29:G29);</v>
          </cell>
          <cell r="I322" t="str">
            <v>.</v>
          </cell>
        </row>
        <row r="323">
          <cell r="A323">
            <v>57</v>
          </cell>
          <cell r="B323" t="str">
            <v>Belgium (Fl)</v>
          </cell>
          <cell r="C323">
            <v>1998</v>
          </cell>
          <cell r="D323">
            <v>90</v>
          </cell>
          <cell r="E323">
            <v>1818</v>
          </cell>
          <cell r="F323">
            <v>90</v>
          </cell>
          <cell r="G323">
            <v>75863</v>
          </cell>
          <cell r="H323" t="str">
            <v>;;=SUM(F30:G30);</v>
          </cell>
          <cell r="I323" t="str">
            <v>.</v>
          </cell>
        </row>
        <row r="324">
          <cell r="A324">
            <v>57</v>
          </cell>
          <cell r="B324" t="str">
            <v>Belgium (Fl)</v>
          </cell>
          <cell r="C324">
            <v>1998</v>
          </cell>
          <cell r="D324">
            <v>90</v>
          </cell>
          <cell r="E324">
            <v>1919</v>
          </cell>
          <cell r="F324">
            <v>90</v>
          </cell>
          <cell r="G324">
            <v>75020</v>
          </cell>
          <cell r="H324" t="str">
            <v>;;=SUM(F31:G31);</v>
          </cell>
          <cell r="I324" t="str">
            <v>.</v>
          </cell>
        </row>
        <row r="325">
          <cell r="A325">
            <v>57</v>
          </cell>
          <cell r="B325" t="str">
            <v>Belgium (Fl)</v>
          </cell>
          <cell r="C325">
            <v>1998</v>
          </cell>
          <cell r="D325">
            <v>90</v>
          </cell>
          <cell r="E325">
            <v>1519</v>
          </cell>
          <cell r="F325">
            <v>90</v>
          </cell>
          <cell r="G325">
            <v>375053</v>
          </cell>
          <cell r="H325" t="str">
            <v>;;=SUM(F32:G32);</v>
          </cell>
          <cell r="I325" t="str">
            <v>.</v>
          </cell>
        </row>
        <row r="326">
          <cell r="A326">
            <v>57</v>
          </cell>
          <cell r="B326" t="str">
            <v>Belgium (Fl)</v>
          </cell>
          <cell r="C326">
            <v>1998</v>
          </cell>
          <cell r="D326">
            <v>90</v>
          </cell>
          <cell r="E326">
            <v>2020</v>
          </cell>
          <cell r="F326">
            <v>90</v>
          </cell>
          <cell r="G326">
            <v>74076</v>
          </cell>
          <cell r="H326" t="str">
            <v>;;=SUM(F33:G33);</v>
          </cell>
          <cell r="I326" t="str">
            <v>.</v>
          </cell>
        </row>
        <row r="327">
          <cell r="A327">
            <v>57</v>
          </cell>
          <cell r="B327" t="str">
            <v>Belgium (Fl)</v>
          </cell>
          <cell r="C327">
            <v>1998</v>
          </cell>
          <cell r="D327">
            <v>90</v>
          </cell>
          <cell r="E327">
            <v>2121</v>
          </cell>
          <cell r="F327">
            <v>90</v>
          </cell>
          <cell r="G327">
            <v>72707</v>
          </cell>
          <cell r="H327" t="str">
            <v>;;=SUM(F34:G34);</v>
          </cell>
          <cell r="I327" t="str">
            <v>.</v>
          </cell>
        </row>
        <row r="328">
          <cell r="A328">
            <v>57</v>
          </cell>
          <cell r="B328" t="str">
            <v>Belgium (Fl)</v>
          </cell>
          <cell r="C328">
            <v>1998</v>
          </cell>
          <cell r="D328">
            <v>90</v>
          </cell>
          <cell r="E328">
            <v>2222</v>
          </cell>
          <cell r="F328">
            <v>90</v>
          </cell>
          <cell r="G328">
            <v>71191</v>
          </cell>
          <cell r="H328" t="str">
            <v>;;=SUM(F35:G35);</v>
          </cell>
          <cell r="I328" t="str">
            <v>.</v>
          </cell>
        </row>
        <row r="329">
          <cell r="A329">
            <v>57</v>
          </cell>
          <cell r="B329" t="str">
            <v>Belgium (Fl)</v>
          </cell>
          <cell r="C329">
            <v>1998</v>
          </cell>
          <cell r="D329">
            <v>90</v>
          </cell>
          <cell r="E329">
            <v>2323</v>
          </cell>
          <cell r="F329">
            <v>90</v>
          </cell>
          <cell r="G329">
            <v>74512</v>
          </cell>
          <cell r="H329" t="str">
            <v>;;=SUM(F36:G36);</v>
          </cell>
          <cell r="I329" t="str">
            <v>.</v>
          </cell>
        </row>
        <row r="330">
          <cell r="A330">
            <v>57</v>
          </cell>
          <cell r="B330" t="str">
            <v>Belgium (Fl)</v>
          </cell>
          <cell r="C330">
            <v>1998</v>
          </cell>
          <cell r="D330">
            <v>90</v>
          </cell>
          <cell r="E330">
            <v>2424</v>
          </cell>
          <cell r="F330">
            <v>90</v>
          </cell>
          <cell r="G330">
            <v>77586</v>
          </cell>
          <cell r="H330" t="str">
            <v>;;=SUM(F37:G37);</v>
          </cell>
          <cell r="I330" t="str">
            <v>.</v>
          </cell>
        </row>
        <row r="331">
          <cell r="A331">
            <v>57</v>
          </cell>
          <cell r="B331" t="str">
            <v>Belgium (Fl)</v>
          </cell>
          <cell r="C331">
            <v>1998</v>
          </cell>
          <cell r="D331">
            <v>90</v>
          </cell>
          <cell r="E331">
            <v>2024</v>
          </cell>
          <cell r="F331">
            <v>90</v>
          </cell>
          <cell r="G331">
            <v>370072</v>
          </cell>
          <cell r="H331" t="str">
            <v>;;=SUM(F38:G38);</v>
          </cell>
          <cell r="I331" t="str">
            <v>.</v>
          </cell>
        </row>
        <row r="332">
          <cell r="A332">
            <v>57</v>
          </cell>
          <cell r="B332" t="str">
            <v>Belgium (Fl)</v>
          </cell>
          <cell r="C332">
            <v>1998</v>
          </cell>
          <cell r="D332">
            <v>90</v>
          </cell>
          <cell r="E332">
            <v>2525</v>
          </cell>
          <cell r="F332">
            <v>90</v>
          </cell>
          <cell r="G332">
            <v>81333</v>
          </cell>
          <cell r="H332" t="str">
            <v>;;=SUM(F39:G39);</v>
          </cell>
          <cell r="I332" t="str">
            <v>.</v>
          </cell>
        </row>
        <row r="333">
          <cell r="A333">
            <v>57</v>
          </cell>
          <cell r="B333" t="str">
            <v>Belgium (Fl)</v>
          </cell>
          <cell r="C333">
            <v>1998</v>
          </cell>
          <cell r="D333">
            <v>90</v>
          </cell>
          <cell r="E333">
            <v>2626</v>
          </cell>
          <cell r="F333">
            <v>90</v>
          </cell>
          <cell r="G333">
            <v>85145</v>
          </cell>
          <cell r="H333" t="str">
            <v>;;=SUM(F40:G40);</v>
          </cell>
          <cell r="I333" t="str">
            <v>.</v>
          </cell>
        </row>
        <row r="334">
          <cell r="A334">
            <v>57</v>
          </cell>
          <cell r="B334" t="str">
            <v>Belgium (Fl)</v>
          </cell>
          <cell r="C334">
            <v>1998</v>
          </cell>
          <cell r="D334">
            <v>90</v>
          </cell>
          <cell r="E334">
            <v>2727</v>
          </cell>
          <cell r="F334">
            <v>90</v>
          </cell>
          <cell r="G334">
            <v>87340</v>
          </cell>
          <cell r="H334" t="str">
            <v>;;=SUM(F41:G41);</v>
          </cell>
          <cell r="I334" t="str">
            <v>.</v>
          </cell>
        </row>
        <row r="335">
          <cell r="A335">
            <v>57</v>
          </cell>
          <cell r="B335" t="str">
            <v>Belgium (Fl)</v>
          </cell>
          <cell r="C335">
            <v>1998</v>
          </cell>
          <cell r="D335">
            <v>90</v>
          </cell>
          <cell r="E335">
            <v>2828</v>
          </cell>
          <cell r="F335">
            <v>90</v>
          </cell>
          <cell r="G335">
            <v>87321</v>
          </cell>
          <cell r="H335" t="str">
            <v>;;=SUM(F42:G42);</v>
          </cell>
          <cell r="I335" t="str">
            <v>.</v>
          </cell>
        </row>
        <row r="336">
          <cell r="A336">
            <v>57</v>
          </cell>
          <cell r="B336" t="str">
            <v>Belgium (Fl)</v>
          </cell>
          <cell r="C336">
            <v>1998</v>
          </cell>
          <cell r="D336">
            <v>90</v>
          </cell>
          <cell r="E336">
            <v>2929</v>
          </cell>
          <cell r="F336">
            <v>90</v>
          </cell>
          <cell r="G336">
            <v>88336</v>
          </cell>
          <cell r="H336" t="str">
            <v>;;=SUM(F43:G43);</v>
          </cell>
          <cell r="I336" t="str">
            <v>.</v>
          </cell>
        </row>
        <row r="337">
          <cell r="A337">
            <v>57</v>
          </cell>
          <cell r="B337" t="str">
            <v>Belgium (Fl)</v>
          </cell>
          <cell r="C337">
            <v>1998</v>
          </cell>
          <cell r="D337">
            <v>90</v>
          </cell>
          <cell r="E337">
            <v>2529</v>
          </cell>
          <cell r="F337">
            <v>90</v>
          </cell>
          <cell r="G337">
            <v>429475</v>
          </cell>
          <cell r="H337" t="str">
            <v>;;=SUM(F44:G44);</v>
          </cell>
          <cell r="I337" t="str">
            <v>.</v>
          </cell>
        </row>
        <row r="338">
          <cell r="A338">
            <v>57</v>
          </cell>
          <cell r="B338" t="str">
            <v>Belgium (Fl)</v>
          </cell>
          <cell r="C338">
            <v>1998</v>
          </cell>
          <cell r="D338">
            <v>90</v>
          </cell>
          <cell r="E338">
            <v>3034</v>
          </cell>
          <cell r="F338">
            <v>90</v>
          </cell>
          <cell r="G338">
            <v>484150</v>
          </cell>
          <cell r="H338" t="str">
            <v>;;=SUM(F45:G45);</v>
          </cell>
          <cell r="I338" t="str">
            <v>.</v>
          </cell>
        </row>
        <row r="339">
          <cell r="A339">
            <v>57</v>
          </cell>
          <cell r="B339" t="str">
            <v>Belgium (Fl)</v>
          </cell>
          <cell r="C339">
            <v>1998</v>
          </cell>
          <cell r="D339">
            <v>90</v>
          </cell>
          <cell r="E339">
            <v>3539</v>
          </cell>
          <cell r="F339">
            <v>90</v>
          </cell>
          <cell r="G339">
            <v>489023</v>
          </cell>
          <cell r="H339" t="str">
            <v>;;=SUM(F46:G46);</v>
          </cell>
          <cell r="I339" t="str">
            <v>.</v>
          </cell>
        </row>
        <row r="340">
          <cell r="A340">
            <v>57</v>
          </cell>
          <cell r="B340" t="str">
            <v>Belgium (Fl)</v>
          </cell>
          <cell r="C340">
            <v>1998</v>
          </cell>
          <cell r="D340">
            <v>90</v>
          </cell>
          <cell r="E340">
            <v>4099</v>
          </cell>
          <cell r="F340">
            <v>90</v>
          </cell>
          <cell r="G340">
            <v>2901396</v>
          </cell>
          <cell r="H340" t="str">
            <v>;;=SUM(F47:G47);</v>
          </cell>
          <cell r="I340" t="str">
            <v>.</v>
          </cell>
        </row>
        <row r="341">
          <cell r="A341">
            <v>57</v>
          </cell>
          <cell r="B341" t="str">
            <v>Belgium (Fl)</v>
          </cell>
          <cell r="C341">
            <v>1998</v>
          </cell>
          <cell r="D341">
            <v>90</v>
          </cell>
          <cell r="E341">
            <v>990000</v>
          </cell>
          <cell r="F341">
            <v>90</v>
          </cell>
          <cell r="G341">
            <v>0</v>
          </cell>
          <cell r="H341" t="str">
            <v>n;</v>
          </cell>
          <cell r="I341" t="str">
            <v>n</v>
          </cell>
        </row>
        <row r="342">
          <cell r="A342">
            <v>124</v>
          </cell>
          <cell r="B342" t="str">
            <v>Canada</v>
          </cell>
          <cell r="C342">
            <v>1998</v>
          </cell>
          <cell r="D342">
            <v>90</v>
          </cell>
          <cell r="E342">
            <v>900000</v>
          </cell>
          <cell r="F342">
            <v>90</v>
          </cell>
          <cell r="G342">
            <v>30155333</v>
          </cell>
          <cell r="H342" t="str">
            <v>;;=SUM(F11:G11);</v>
          </cell>
          <cell r="I342" t="str">
            <v>.</v>
          </cell>
        </row>
        <row r="343">
          <cell r="A343">
            <v>124</v>
          </cell>
          <cell r="B343" t="str">
            <v>Canada</v>
          </cell>
          <cell r="C343">
            <v>1998</v>
          </cell>
          <cell r="D343">
            <v>90</v>
          </cell>
          <cell r="E343">
            <v>300</v>
          </cell>
          <cell r="F343">
            <v>90</v>
          </cell>
          <cell r="G343">
            <v>1108128</v>
          </cell>
          <cell r="H343" t="str">
            <v>;;=SUM(F12:G12);</v>
          </cell>
          <cell r="I343" t="str">
            <v>.</v>
          </cell>
        </row>
        <row r="344">
          <cell r="A344">
            <v>124</v>
          </cell>
          <cell r="B344" t="str">
            <v>Canada</v>
          </cell>
          <cell r="C344">
            <v>1998</v>
          </cell>
          <cell r="D344">
            <v>90</v>
          </cell>
          <cell r="E344">
            <v>303</v>
          </cell>
          <cell r="F344">
            <v>90</v>
          </cell>
          <cell r="G344">
            <v>392683</v>
          </cell>
          <cell r="H344" t="str">
            <v>;;=SUM(F13:G13);</v>
          </cell>
          <cell r="I344" t="str">
            <v>.</v>
          </cell>
        </row>
        <row r="345">
          <cell r="A345">
            <v>124</v>
          </cell>
          <cell r="B345" t="str">
            <v>Canada</v>
          </cell>
          <cell r="C345">
            <v>1998</v>
          </cell>
          <cell r="D345">
            <v>90</v>
          </cell>
          <cell r="E345">
            <v>404</v>
          </cell>
          <cell r="F345">
            <v>90</v>
          </cell>
          <cell r="G345">
            <v>398669</v>
          </cell>
          <cell r="H345" t="str">
            <v>;;=SUM(F14:G14);</v>
          </cell>
          <cell r="I345" t="str">
            <v>.</v>
          </cell>
        </row>
        <row r="346">
          <cell r="A346">
            <v>124</v>
          </cell>
          <cell r="B346" t="str">
            <v>Canada</v>
          </cell>
          <cell r="C346">
            <v>1998</v>
          </cell>
          <cell r="D346">
            <v>90</v>
          </cell>
          <cell r="E346">
            <v>505</v>
          </cell>
          <cell r="F346">
            <v>90</v>
          </cell>
          <cell r="G346">
            <v>408537</v>
          </cell>
          <cell r="H346" t="str">
            <v>;;=SUM(F15:G15);</v>
          </cell>
          <cell r="I346" t="str">
            <v>.</v>
          </cell>
        </row>
        <row r="347">
          <cell r="A347">
            <v>124</v>
          </cell>
          <cell r="B347" t="str">
            <v>Canada</v>
          </cell>
          <cell r="C347">
            <v>1998</v>
          </cell>
          <cell r="D347">
            <v>90</v>
          </cell>
          <cell r="E347">
            <v>606</v>
          </cell>
          <cell r="F347">
            <v>90</v>
          </cell>
          <cell r="G347">
            <v>416802</v>
          </cell>
          <cell r="H347" t="str">
            <v>;;=SUM(F16:G16);</v>
          </cell>
          <cell r="I347" t="str">
            <v>.</v>
          </cell>
        </row>
        <row r="348">
          <cell r="A348">
            <v>124</v>
          </cell>
          <cell r="B348" t="str">
            <v>Canada</v>
          </cell>
          <cell r="C348">
            <v>1998</v>
          </cell>
          <cell r="D348">
            <v>90</v>
          </cell>
          <cell r="E348">
            <v>707</v>
          </cell>
          <cell r="F348">
            <v>90</v>
          </cell>
          <cell r="G348">
            <v>419892</v>
          </cell>
          <cell r="H348" t="str">
            <v>;;=SUM(F17:G17);</v>
          </cell>
          <cell r="I348" t="str">
            <v>.</v>
          </cell>
        </row>
        <row r="349">
          <cell r="A349">
            <v>124</v>
          </cell>
          <cell r="B349" t="str">
            <v>Canada</v>
          </cell>
          <cell r="C349">
            <v>1998</v>
          </cell>
          <cell r="D349">
            <v>90</v>
          </cell>
          <cell r="E349">
            <v>808</v>
          </cell>
          <cell r="F349">
            <v>90</v>
          </cell>
          <cell r="G349">
            <v>413529</v>
          </cell>
          <cell r="H349" t="str">
            <v>;;=SUM(F18:G18);</v>
          </cell>
          <cell r="I349" t="str">
            <v>.</v>
          </cell>
        </row>
        <row r="350">
          <cell r="A350">
            <v>124</v>
          </cell>
          <cell r="B350" t="str">
            <v>Canada</v>
          </cell>
          <cell r="C350">
            <v>1998</v>
          </cell>
          <cell r="D350">
            <v>90</v>
          </cell>
          <cell r="E350">
            <v>909</v>
          </cell>
          <cell r="F350">
            <v>90</v>
          </cell>
          <cell r="G350">
            <v>400944</v>
          </cell>
          <cell r="H350" t="str">
            <v>;;=SUM(F19:G19);</v>
          </cell>
          <cell r="I350" t="str">
            <v>.</v>
          </cell>
        </row>
        <row r="351">
          <cell r="A351">
            <v>124</v>
          </cell>
          <cell r="B351" t="str">
            <v>Canada</v>
          </cell>
          <cell r="C351">
            <v>1998</v>
          </cell>
          <cell r="D351">
            <v>90</v>
          </cell>
          <cell r="E351">
            <v>509</v>
          </cell>
          <cell r="F351">
            <v>90</v>
          </cell>
          <cell r="G351">
            <v>2059704</v>
          </cell>
          <cell r="H351" t="str">
            <v>;;=SUM(F20:G20);</v>
          </cell>
          <cell r="I351" t="str">
            <v>.</v>
          </cell>
        </row>
        <row r="352">
          <cell r="A352">
            <v>124</v>
          </cell>
          <cell r="B352" t="str">
            <v>Canada</v>
          </cell>
          <cell r="C352">
            <v>1998</v>
          </cell>
          <cell r="D352">
            <v>90</v>
          </cell>
          <cell r="E352">
            <v>1010</v>
          </cell>
          <cell r="F352">
            <v>90</v>
          </cell>
          <cell r="G352">
            <v>397456</v>
          </cell>
          <cell r="H352" t="str">
            <v>;;=SUM(F21:G21);</v>
          </cell>
          <cell r="I352" t="str">
            <v>.</v>
          </cell>
        </row>
        <row r="353">
          <cell r="A353">
            <v>124</v>
          </cell>
          <cell r="B353" t="str">
            <v>Canada</v>
          </cell>
          <cell r="C353">
            <v>1998</v>
          </cell>
          <cell r="D353">
            <v>90</v>
          </cell>
          <cell r="E353">
            <v>1111</v>
          </cell>
          <cell r="F353">
            <v>90</v>
          </cell>
          <cell r="G353">
            <v>402576</v>
          </cell>
          <cell r="H353" t="str">
            <v>;;=SUM(F22:G22);</v>
          </cell>
          <cell r="I353" t="str">
            <v>.</v>
          </cell>
        </row>
        <row r="354">
          <cell r="A354">
            <v>124</v>
          </cell>
          <cell r="B354" t="str">
            <v>Canada</v>
          </cell>
          <cell r="C354">
            <v>1998</v>
          </cell>
          <cell r="D354">
            <v>90</v>
          </cell>
          <cell r="E354">
            <v>1212</v>
          </cell>
          <cell r="F354">
            <v>90</v>
          </cell>
          <cell r="G354">
            <v>407322</v>
          </cell>
          <cell r="H354" t="str">
            <v>;;=SUM(F23:G23);</v>
          </cell>
          <cell r="I354" t="str">
            <v>.</v>
          </cell>
        </row>
        <row r="355">
          <cell r="A355">
            <v>124</v>
          </cell>
          <cell r="B355" t="str">
            <v>Canada</v>
          </cell>
          <cell r="C355">
            <v>1998</v>
          </cell>
          <cell r="D355">
            <v>90</v>
          </cell>
          <cell r="E355">
            <v>1313</v>
          </cell>
          <cell r="F355">
            <v>90</v>
          </cell>
          <cell r="G355">
            <v>407552</v>
          </cell>
          <cell r="H355" t="str">
            <v>;;=SUM(F24:G24);</v>
          </cell>
          <cell r="I355" t="str">
            <v>.</v>
          </cell>
        </row>
        <row r="356">
          <cell r="A356">
            <v>124</v>
          </cell>
          <cell r="B356" t="str">
            <v>Canada</v>
          </cell>
          <cell r="C356">
            <v>1998</v>
          </cell>
          <cell r="D356">
            <v>90</v>
          </cell>
          <cell r="E356">
            <v>1414</v>
          </cell>
          <cell r="F356">
            <v>90</v>
          </cell>
          <cell r="G356">
            <v>406248</v>
          </cell>
          <cell r="H356" t="str">
            <v>;;=SUM(F25:G25);</v>
          </cell>
          <cell r="I356" t="str">
            <v>.</v>
          </cell>
        </row>
        <row r="357">
          <cell r="A357">
            <v>124</v>
          </cell>
          <cell r="B357" t="str">
            <v>Canada</v>
          </cell>
          <cell r="C357">
            <v>1998</v>
          </cell>
          <cell r="D357">
            <v>90</v>
          </cell>
          <cell r="E357">
            <v>1014</v>
          </cell>
          <cell r="F357">
            <v>90</v>
          </cell>
          <cell r="G357">
            <v>2021154</v>
          </cell>
          <cell r="H357" t="str">
            <v>;;=SUM(F26:G26);</v>
          </cell>
          <cell r="I357" t="str">
            <v>.</v>
          </cell>
        </row>
        <row r="358">
          <cell r="A358">
            <v>124</v>
          </cell>
          <cell r="B358" t="str">
            <v>Canada</v>
          </cell>
          <cell r="C358">
            <v>1998</v>
          </cell>
          <cell r="D358">
            <v>90</v>
          </cell>
          <cell r="E358">
            <v>1515</v>
          </cell>
          <cell r="F358">
            <v>90</v>
          </cell>
          <cell r="G358">
            <v>405505</v>
          </cell>
          <cell r="H358" t="str">
            <v>;;=SUM(F27:G27);</v>
          </cell>
          <cell r="I358" t="str">
            <v>.</v>
          </cell>
        </row>
        <row r="359">
          <cell r="A359">
            <v>124</v>
          </cell>
          <cell r="B359" t="str">
            <v>Canada</v>
          </cell>
          <cell r="C359">
            <v>1998</v>
          </cell>
          <cell r="D359">
            <v>90</v>
          </cell>
          <cell r="E359">
            <v>1616</v>
          </cell>
          <cell r="F359">
            <v>90</v>
          </cell>
          <cell r="G359">
            <v>408523</v>
          </cell>
          <cell r="H359" t="str">
            <v>;;=SUM(F28:G28);</v>
          </cell>
          <cell r="I359" t="str">
            <v>.</v>
          </cell>
        </row>
        <row r="360">
          <cell r="A360">
            <v>124</v>
          </cell>
          <cell r="B360" t="str">
            <v>Canada</v>
          </cell>
          <cell r="C360">
            <v>1998</v>
          </cell>
          <cell r="D360">
            <v>90</v>
          </cell>
          <cell r="E360">
            <v>1717</v>
          </cell>
          <cell r="F360">
            <v>90</v>
          </cell>
          <cell r="G360">
            <v>411683</v>
          </cell>
          <cell r="H360" t="str">
            <v>;;=SUM(F29:G29);</v>
          </cell>
          <cell r="I360" t="str">
            <v>.</v>
          </cell>
        </row>
        <row r="361">
          <cell r="A361">
            <v>124</v>
          </cell>
          <cell r="B361" t="str">
            <v>Canada</v>
          </cell>
          <cell r="C361">
            <v>1998</v>
          </cell>
          <cell r="D361">
            <v>90</v>
          </cell>
          <cell r="E361">
            <v>1818</v>
          </cell>
          <cell r="F361">
            <v>90</v>
          </cell>
          <cell r="G361">
            <v>409078</v>
          </cell>
          <cell r="H361" t="str">
            <v>;;=SUM(F30:G30);</v>
          </cell>
          <cell r="I361" t="str">
            <v>.</v>
          </cell>
        </row>
        <row r="362">
          <cell r="A362">
            <v>124</v>
          </cell>
          <cell r="B362" t="str">
            <v>Canada</v>
          </cell>
          <cell r="C362">
            <v>1998</v>
          </cell>
          <cell r="D362">
            <v>90</v>
          </cell>
          <cell r="E362">
            <v>1919</v>
          </cell>
          <cell r="F362">
            <v>90</v>
          </cell>
          <cell r="G362">
            <v>404970</v>
          </cell>
          <cell r="H362" t="str">
            <v>;;=SUM(F31:G31);</v>
          </cell>
          <cell r="I362" t="str">
            <v>.</v>
          </cell>
        </row>
        <row r="363">
          <cell r="A363">
            <v>124</v>
          </cell>
          <cell r="B363" t="str">
            <v>Canada</v>
          </cell>
          <cell r="C363">
            <v>1998</v>
          </cell>
          <cell r="D363">
            <v>90</v>
          </cell>
          <cell r="E363">
            <v>1519</v>
          </cell>
          <cell r="F363">
            <v>90</v>
          </cell>
          <cell r="G363">
            <v>2039759</v>
          </cell>
          <cell r="H363" t="str">
            <v>;;=SUM(F32:G32);</v>
          </cell>
          <cell r="I363" t="str">
            <v>.</v>
          </cell>
        </row>
        <row r="364">
          <cell r="A364">
            <v>203</v>
          </cell>
          <cell r="B364" t="str">
            <v>Czech Republic</v>
          </cell>
          <cell r="C364">
            <v>1998</v>
          </cell>
          <cell r="D364">
            <v>90</v>
          </cell>
          <cell r="E364">
            <v>1212</v>
          </cell>
          <cell r="F364">
            <v>90</v>
          </cell>
          <cell r="G364">
            <v>133424</v>
          </cell>
          <cell r="H364" t="str">
            <v>;;=SUM(F23:G23);</v>
          </cell>
          <cell r="I364" t="str">
            <v>.</v>
          </cell>
        </row>
        <row r="365">
          <cell r="A365">
            <v>203</v>
          </cell>
          <cell r="B365" t="str">
            <v>Czech Republic</v>
          </cell>
          <cell r="C365">
            <v>1998</v>
          </cell>
          <cell r="D365">
            <v>90</v>
          </cell>
          <cell r="E365">
            <v>1313</v>
          </cell>
          <cell r="F365">
            <v>90</v>
          </cell>
          <cell r="G365">
            <v>134015</v>
          </cell>
          <cell r="H365" t="str">
            <v>;;=SUM(F24:G24);</v>
          </cell>
          <cell r="I365" t="str">
            <v>.</v>
          </cell>
        </row>
        <row r="366">
          <cell r="A366">
            <v>203</v>
          </cell>
          <cell r="B366" t="str">
            <v>Czech Republic</v>
          </cell>
          <cell r="C366">
            <v>1998</v>
          </cell>
          <cell r="D366">
            <v>90</v>
          </cell>
          <cell r="E366">
            <v>1414</v>
          </cell>
          <cell r="F366">
            <v>90</v>
          </cell>
          <cell r="G366">
            <v>134532</v>
          </cell>
          <cell r="H366" t="str">
            <v>;;=SUM(F25:G25);</v>
          </cell>
          <cell r="I366" t="str">
            <v>.</v>
          </cell>
        </row>
        <row r="367">
          <cell r="A367">
            <v>203</v>
          </cell>
          <cell r="B367" t="str">
            <v>Czech Republic</v>
          </cell>
          <cell r="C367">
            <v>1998</v>
          </cell>
          <cell r="D367">
            <v>90</v>
          </cell>
          <cell r="E367">
            <v>1014</v>
          </cell>
          <cell r="F367">
            <v>90</v>
          </cell>
          <cell r="G367">
            <v>660749</v>
          </cell>
          <cell r="H367" t="str">
            <v>;;=SUM(F26:G26);</v>
          </cell>
          <cell r="I367" t="str">
            <v>.</v>
          </cell>
        </row>
        <row r="368">
          <cell r="A368">
            <v>203</v>
          </cell>
          <cell r="B368" t="str">
            <v>Czech Republic</v>
          </cell>
          <cell r="C368">
            <v>1998</v>
          </cell>
          <cell r="D368">
            <v>90</v>
          </cell>
          <cell r="E368">
            <v>1515</v>
          </cell>
          <cell r="F368">
            <v>90</v>
          </cell>
          <cell r="G368">
            <v>138674</v>
          </cell>
          <cell r="H368" t="str">
            <v>;;=SUM(F27:G27);</v>
          </cell>
          <cell r="I368" t="str">
            <v>.</v>
          </cell>
        </row>
        <row r="369">
          <cell r="A369">
            <v>203</v>
          </cell>
          <cell r="B369" t="str">
            <v>Czech Republic</v>
          </cell>
          <cell r="C369">
            <v>1998</v>
          </cell>
          <cell r="D369">
            <v>90</v>
          </cell>
          <cell r="E369">
            <v>1616</v>
          </cell>
          <cell r="F369">
            <v>90</v>
          </cell>
          <cell r="G369">
            <v>141231</v>
          </cell>
          <cell r="H369" t="str">
            <v>;;=SUM(F28:G28);</v>
          </cell>
          <cell r="I369" t="str">
            <v>.</v>
          </cell>
        </row>
        <row r="370">
          <cell r="A370">
            <v>203</v>
          </cell>
          <cell r="B370" t="str">
            <v>Czech Republic</v>
          </cell>
          <cell r="C370">
            <v>1998</v>
          </cell>
          <cell r="D370">
            <v>90</v>
          </cell>
          <cell r="E370">
            <v>1717</v>
          </cell>
          <cell r="F370">
            <v>90</v>
          </cell>
          <cell r="G370">
            <v>150618</v>
          </cell>
          <cell r="H370" t="str">
            <v>;;=SUM(F29:G29);</v>
          </cell>
          <cell r="I370" t="str">
            <v>.</v>
          </cell>
        </row>
        <row r="371">
          <cell r="A371">
            <v>203</v>
          </cell>
          <cell r="B371" t="str">
            <v>Czech Republic</v>
          </cell>
          <cell r="C371">
            <v>1998</v>
          </cell>
          <cell r="D371">
            <v>90</v>
          </cell>
          <cell r="E371">
            <v>1818</v>
          </cell>
          <cell r="F371">
            <v>90</v>
          </cell>
          <cell r="G371">
            <v>167957</v>
          </cell>
          <cell r="H371" t="str">
            <v>;;=SUM(F30:G30);</v>
          </cell>
          <cell r="I371" t="str">
            <v>.</v>
          </cell>
        </row>
        <row r="372">
          <cell r="A372">
            <v>203</v>
          </cell>
          <cell r="B372" t="str">
            <v>Czech Republic</v>
          </cell>
          <cell r="C372">
            <v>1998</v>
          </cell>
          <cell r="D372">
            <v>90</v>
          </cell>
          <cell r="E372">
            <v>1919</v>
          </cell>
          <cell r="F372">
            <v>90</v>
          </cell>
          <cell r="G372">
            <v>174017</v>
          </cell>
          <cell r="H372" t="str">
            <v>;;=SUM(F31:G31);</v>
          </cell>
          <cell r="I372" t="str">
            <v>.</v>
          </cell>
        </row>
        <row r="373">
          <cell r="A373">
            <v>203</v>
          </cell>
          <cell r="B373" t="str">
            <v>Czech Republic</v>
          </cell>
          <cell r="C373">
            <v>1998</v>
          </cell>
          <cell r="D373">
            <v>90</v>
          </cell>
          <cell r="E373">
            <v>1519</v>
          </cell>
          <cell r="F373">
            <v>90</v>
          </cell>
          <cell r="G373">
            <v>772497</v>
          </cell>
          <cell r="H373" t="str">
            <v>;;=SUM(F32:G32);</v>
          </cell>
          <cell r="I373" t="str">
            <v>.</v>
          </cell>
        </row>
        <row r="374">
          <cell r="A374">
            <v>203</v>
          </cell>
          <cell r="B374" t="str">
            <v>Czech Republic</v>
          </cell>
          <cell r="C374">
            <v>1998</v>
          </cell>
          <cell r="D374">
            <v>90</v>
          </cell>
          <cell r="E374">
            <v>2020</v>
          </cell>
          <cell r="F374">
            <v>90</v>
          </cell>
          <cell r="G374">
            <v>177269</v>
          </cell>
          <cell r="H374" t="str">
            <v>;;=SUM(F33:G33);</v>
          </cell>
          <cell r="I374" t="str">
            <v>.</v>
          </cell>
        </row>
        <row r="375">
          <cell r="A375">
            <v>203</v>
          </cell>
          <cell r="B375" t="str">
            <v>Czech Republic</v>
          </cell>
          <cell r="C375">
            <v>1998</v>
          </cell>
          <cell r="D375">
            <v>90</v>
          </cell>
          <cell r="E375">
            <v>2121</v>
          </cell>
          <cell r="F375">
            <v>90</v>
          </cell>
          <cell r="G375">
            <v>182210</v>
          </cell>
          <cell r="H375" t="str">
            <v>;;=SUM(F34:G34);</v>
          </cell>
          <cell r="I375" t="str">
            <v>.</v>
          </cell>
        </row>
        <row r="376">
          <cell r="A376">
            <v>203</v>
          </cell>
          <cell r="B376" t="str">
            <v>Czech Republic</v>
          </cell>
          <cell r="C376">
            <v>1998</v>
          </cell>
          <cell r="D376">
            <v>90</v>
          </cell>
          <cell r="E376">
            <v>2222</v>
          </cell>
          <cell r="F376">
            <v>90</v>
          </cell>
          <cell r="G376">
            <v>187172</v>
          </cell>
          <cell r="H376" t="str">
            <v>;;=SUM(F35:G35);</v>
          </cell>
          <cell r="I376" t="str">
            <v>.</v>
          </cell>
        </row>
        <row r="377">
          <cell r="A377">
            <v>203</v>
          </cell>
          <cell r="B377" t="str">
            <v>Czech Republic</v>
          </cell>
          <cell r="C377">
            <v>1998</v>
          </cell>
          <cell r="D377">
            <v>90</v>
          </cell>
          <cell r="E377">
            <v>2323</v>
          </cell>
          <cell r="F377">
            <v>90</v>
          </cell>
          <cell r="G377">
            <v>188870</v>
          </cell>
          <cell r="H377" t="str">
            <v>;;=SUM(F36:G36);</v>
          </cell>
          <cell r="I377" t="str">
            <v>.</v>
          </cell>
        </row>
        <row r="378">
          <cell r="A378">
            <v>203</v>
          </cell>
          <cell r="B378" t="str">
            <v>Czech Republic</v>
          </cell>
          <cell r="C378">
            <v>1998</v>
          </cell>
          <cell r="D378">
            <v>90</v>
          </cell>
          <cell r="E378">
            <v>2424</v>
          </cell>
          <cell r="F378">
            <v>90</v>
          </cell>
          <cell r="G378">
            <v>176236</v>
          </cell>
          <cell r="H378" t="str">
            <v>;;=SUM(F37:G37);</v>
          </cell>
          <cell r="I378" t="str">
            <v>.</v>
          </cell>
        </row>
        <row r="379">
          <cell r="A379">
            <v>203</v>
          </cell>
          <cell r="B379" t="str">
            <v>Czech Republic</v>
          </cell>
          <cell r="C379">
            <v>1998</v>
          </cell>
          <cell r="D379">
            <v>90</v>
          </cell>
          <cell r="E379">
            <v>2024</v>
          </cell>
          <cell r="F379">
            <v>90</v>
          </cell>
          <cell r="G379">
            <v>911757</v>
          </cell>
          <cell r="H379" t="str">
            <v>;;=SUM(F38:G38);</v>
          </cell>
          <cell r="I379" t="str">
            <v>.</v>
          </cell>
        </row>
        <row r="380">
          <cell r="A380">
            <v>203</v>
          </cell>
          <cell r="B380" t="str">
            <v>Czech Republic</v>
          </cell>
          <cell r="C380">
            <v>1998</v>
          </cell>
          <cell r="D380">
            <v>90</v>
          </cell>
          <cell r="E380">
            <v>2525</v>
          </cell>
          <cell r="F380">
            <v>90</v>
          </cell>
          <cell r="G380">
            <v>160786</v>
          </cell>
          <cell r="H380" t="str">
            <v>;;=SUM(F39:G39);</v>
          </cell>
          <cell r="I380" t="str">
            <v>.</v>
          </cell>
        </row>
        <row r="381">
          <cell r="A381">
            <v>203</v>
          </cell>
          <cell r="B381" t="str">
            <v>Czech Republic</v>
          </cell>
          <cell r="C381">
            <v>1998</v>
          </cell>
          <cell r="D381">
            <v>90</v>
          </cell>
          <cell r="E381">
            <v>2626</v>
          </cell>
          <cell r="F381">
            <v>90</v>
          </cell>
          <cell r="G381">
            <v>151740</v>
          </cell>
          <cell r="H381" t="str">
            <v>;;=SUM(F40:G40);</v>
          </cell>
          <cell r="I381" t="str">
            <v>.</v>
          </cell>
        </row>
        <row r="382">
          <cell r="A382">
            <v>203</v>
          </cell>
          <cell r="B382" t="str">
            <v>Czech Republic</v>
          </cell>
          <cell r="C382">
            <v>1998</v>
          </cell>
          <cell r="D382">
            <v>90</v>
          </cell>
          <cell r="E382">
            <v>2727</v>
          </cell>
          <cell r="F382">
            <v>90</v>
          </cell>
          <cell r="G382">
            <v>145911</v>
          </cell>
          <cell r="H382" t="str">
            <v>;;=SUM(F41:G41);</v>
          </cell>
          <cell r="I382" t="str">
            <v>.</v>
          </cell>
        </row>
        <row r="383">
          <cell r="A383">
            <v>203</v>
          </cell>
          <cell r="B383" t="str">
            <v>Czech Republic</v>
          </cell>
          <cell r="C383">
            <v>1998</v>
          </cell>
          <cell r="D383">
            <v>90</v>
          </cell>
          <cell r="E383">
            <v>2828</v>
          </cell>
          <cell r="F383">
            <v>90</v>
          </cell>
          <cell r="G383">
            <v>139570</v>
          </cell>
          <cell r="H383" t="str">
            <v>;;=SUM(F42:G42);</v>
          </cell>
          <cell r="I383" t="str">
            <v>.</v>
          </cell>
        </row>
        <row r="384">
          <cell r="A384">
            <v>203</v>
          </cell>
          <cell r="B384" t="str">
            <v>Czech Republic</v>
          </cell>
          <cell r="C384">
            <v>1998</v>
          </cell>
          <cell r="D384">
            <v>90</v>
          </cell>
          <cell r="E384">
            <v>2929</v>
          </cell>
          <cell r="F384">
            <v>90</v>
          </cell>
          <cell r="G384">
            <v>133401</v>
          </cell>
          <cell r="H384" t="str">
            <v>;;=SUM(F43:G43);</v>
          </cell>
          <cell r="I384" t="str">
            <v>.</v>
          </cell>
        </row>
        <row r="385">
          <cell r="A385">
            <v>203</v>
          </cell>
          <cell r="B385" t="str">
            <v>Czech Republic</v>
          </cell>
          <cell r="C385">
            <v>1998</v>
          </cell>
          <cell r="D385">
            <v>90</v>
          </cell>
          <cell r="E385">
            <v>2529</v>
          </cell>
          <cell r="F385">
            <v>90</v>
          </cell>
          <cell r="G385">
            <v>731408</v>
          </cell>
          <cell r="H385" t="str">
            <v>;;=SUM(F44:G44);</v>
          </cell>
          <cell r="I385" t="str">
            <v>.</v>
          </cell>
        </row>
        <row r="386">
          <cell r="A386">
            <v>203</v>
          </cell>
          <cell r="B386" t="str">
            <v>Czech Republic</v>
          </cell>
          <cell r="C386">
            <v>1998</v>
          </cell>
          <cell r="D386">
            <v>90</v>
          </cell>
          <cell r="E386">
            <v>3034</v>
          </cell>
          <cell r="F386">
            <v>90</v>
          </cell>
          <cell r="G386">
            <v>704227</v>
          </cell>
          <cell r="H386" t="str">
            <v>;;=SUM(F45:G45);</v>
          </cell>
          <cell r="I386" t="str">
            <v>.</v>
          </cell>
        </row>
        <row r="387">
          <cell r="A387">
            <v>203</v>
          </cell>
          <cell r="B387" t="str">
            <v>Czech Republic</v>
          </cell>
          <cell r="C387">
            <v>1998</v>
          </cell>
          <cell r="D387">
            <v>90</v>
          </cell>
          <cell r="E387">
            <v>3539</v>
          </cell>
          <cell r="F387">
            <v>90</v>
          </cell>
          <cell r="G387">
            <v>639223</v>
          </cell>
          <cell r="H387" t="str">
            <v>;;=SUM(F46:G46);</v>
          </cell>
          <cell r="I387" t="str">
            <v>.</v>
          </cell>
        </row>
        <row r="388">
          <cell r="A388">
            <v>203</v>
          </cell>
          <cell r="B388" t="str">
            <v>Czech Republic</v>
          </cell>
          <cell r="C388">
            <v>1998</v>
          </cell>
          <cell r="D388">
            <v>90</v>
          </cell>
          <cell r="E388">
            <v>4099</v>
          </cell>
          <cell r="F388">
            <v>90</v>
          </cell>
          <cell r="G388">
            <v>4744981</v>
          </cell>
          <cell r="H388" t="str">
            <v>;;=SUM(F47:G47);</v>
          </cell>
          <cell r="I388" t="str">
            <v>.</v>
          </cell>
        </row>
        <row r="389">
          <cell r="A389">
            <v>203</v>
          </cell>
          <cell r="B389" t="str">
            <v>Czech Republic</v>
          </cell>
          <cell r="C389">
            <v>1998</v>
          </cell>
          <cell r="D389">
            <v>90</v>
          </cell>
          <cell r="E389">
            <v>990000</v>
          </cell>
          <cell r="F389">
            <v>90</v>
          </cell>
          <cell r="G389">
            <v>0</v>
          </cell>
          <cell r="H389" t="str">
            <v>n;</v>
          </cell>
          <cell r="I389" t="str">
            <v>n</v>
          </cell>
        </row>
        <row r="390">
          <cell r="A390">
            <v>246</v>
          </cell>
          <cell r="B390" t="str">
            <v>Finland</v>
          </cell>
          <cell r="C390">
            <v>1998</v>
          </cell>
          <cell r="D390">
            <v>90</v>
          </cell>
          <cell r="E390">
            <v>900000</v>
          </cell>
          <cell r="F390">
            <v>90</v>
          </cell>
          <cell r="G390">
            <v>5147349</v>
          </cell>
          <cell r="H390" t="str">
            <v>;;=F11+G11;</v>
          </cell>
          <cell r="I390" t="str">
            <v>.</v>
          </cell>
        </row>
        <row r="391">
          <cell r="A391">
            <v>246</v>
          </cell>
          <cell r="B391" t="str">
            <v>Finland</v>
          </cell>
          <cell r="C391">
            <v>1998</v>
          </cell>
          <cell r="D391">
            <v>90</v>
          </cell>
          <cell r="E391">
            <v>300</v>
          </cell>
          <cell r="F391">
            <v>90</v>
          </cell>
          <cell r="G391">
            <v>182772</v>
          </cell>
          <cell r="H391"/>
          <cell r="I391" t="str">
            <v>.</v>
          </cell>
        </row>
        <row r="392">
          <cell r="A392">
            <v>246</v>
          </cell>
          <cell r="B392" t="str">
            <v>Finland</v>
          </cell>
          <cell r="C392">
            <v>1998</v>
          </cell>
          <cell r="D392">
            <v>90</v>
          </cell>
          <cell r="E392">
            <v>303</v>
          </cell>
          <cell r="F392">
            <v>90</v>
          </cell>
          <cell r="G392">
            <v>65083</v>
          </cell>
          <cell r="H392"/>
          <cell r="I392" t="str">
            <v>.</v>
          </cell>
        </row>
        <row r="393">
          <cell r="A393">
            <v>276</v>
          </cell>
          <cell r="B393" t="str">
            <v>Germany</v>
          </cell>
          <cell r="C393">
            <v>1998</v>
          </cell>
          <cell r="D393">
            <v>90</v>
          </cell>
          <cell r="E393">
            <v>2020</v>
          </cell>
          <cell r="F393">
            <v>90</v>
          </cell>
          <cell r="G393">
            <v>887878</v>
          </cell>
          <cell r="H393" t="str">
            <v>;;=SUM(F33:G33);</v>
          </cell>
          <cell r="I393" t="str">
            <v>.</v>
          </cell>
        </row>
        <row r="394">
          <cell r="A394">
            <v>276</v>
          </cell>
          <cell r="B394" t="str">
            <v>Germany</v>
          </cell>
          <cell r="C394">
            <v>1998</v>
          </cell>
          <cell r="D394">
            <v>90</v>
          </cell>
          <cell r="E394">
            <v>2121</v>
          </cell>
          <cell r="F394">
            <v>90</v>
          </cell>
          <cell r="G394">
            <v>885163</v>
          </cell>
          <cell r="H394" t="str">
            <v>;;=SUM(F34:G34);</v>
          </cell>
          <cell r="I394" t="str">
            <v>.</v>
          </cell>
        </row>
        <row r="395">
          <cell r="A395">
            <v>276</v>
          </cell>
          <cell r="B395" t="str">
            <v>Germany</v>
          </cell>
          <cell r="C395">
            <v>1998</v>
          </cell>
          <cell r="D395">
            <v>90</v>
          </cell>
          <cell r="E395">
            <v>2222</v>
          </cell>
          <cell r="F395">
            <v>90</v>
          </cell>
          <cell r="G395">
            <v>871889</v>
          </cell>
          <cell r="H395" t="str">
            <v>;;=SUM(F35:G35);</v>
          </cell>
          <cell r="I395" t="str">
            <v>.</v>
          </cell>
        </row>
        <row r="396">
          <cell r="A396">
            <v>276</v>
          </cell>
          <cell r="B396" t="str">
            <v>Germany</v>
          </cell>
          <cell r="C396">
            <v>1998</v>
          </cell>
          <cell r="D396">
            <v>90</v>
          </cell>
          <cell r="E396">
            <v>2323</v>
          </cell>
          <cell r="F396">
            <v>90</v>
          </cell>
          <cell r="G396">
            <v>897168</v>
          </cell>
          <cell r="H396" t="str">
            <v>;;=SUM(F36:G36);</v>
          </cell>
          <cell r="I396" t="str">
            <v>.</v>
          </cell>
        </row>
        <row r="397">
          <cell r="A397">
            <v>276</v>
          </cell>
          <cell r="B397" t="str">
            <v>Germany</v>
          </cell>
          <cell r="C397">
            <v>1998</v>
          </cell>
          <cell r="D397">
            <v>90</v>
          </cell>
          <cell r="E397">
            <v>2424</v>
          </cell>
          <cell r="F397">
            <v>90</v>
          </cell>
          <cell r="G397">
            <v>920419</v>
          </cell>
          <cell r="H397" t="str">
            <v>;;=SUM(F37:G37);</v>
          </cell>
          <cell r="I397" t="str">
            <v>.</v>
          </cell>
        </row>
        <row r="398">
          <cell r="A398">
            <v>276</v>
          </cell>
          <cell r="B398" t="str">
            <v>Germany</v>
          </cell>
          <cell r="C398">
            <v>1998</v>
          </cell>
          <cell r="D398">
            <v>90</v>
          </cell>
          <cell r="E398">
            <v>2024</v>
          </cell>
          <cell r="F398">
            <v>90</v>
          </cell>
          <cell r="G398">
            <v>4462517</v>
          </cell>
          <cell r="H398" t="str">
            <v>;;=SUM(F38:G38);</v>
          </cell>
          <cell r="I398" t="str">
            <v>.</v>
          </cell>
        </row>
        <row r="399">
          <cell r="A399">
            <v>276</v>
          </cell>
          <cell r="B399" t="str">
            <v>Germany</v>
          </cell>
          <cell r="C399">
            <v>1998</v>
          </cell>
          <cell r="D399">
            <v>90</v>
          </cell>
          <cell r="E399">
            <v>2525</v>
          </cell>
          <cell r="F399">
            <v>90</v>
          </cell>
          <cell r="G399">
            <v>1022838</v>
          </cell>
          <cell r="H399" t="str">
            <v>;;=SUM(F39:G39);</v>
          </cell>
          <cell r="I399" t="str">
            <v>.</v>
          </cell>
        </row>
        <row r="400">
          <cell r="A400">
            <v>276</v>
          </cell>
          <cell r="B400" t="str">
            <v>Germany</v>
          </cell>
          <cell r="C400">
            <v>1998</v>
          </cell>
          <cell r="D400">
            <v>90</v>
          </cell>
          <cell r="E400">
            <v>2626</v>
          </cell>
          <cell r="F400">
            <v>90</v>
          </cell>
          <cell r="G400">
            <v>1140812</v>
          </cell>
          <cell r="H400" t="str">
            <v>;;=SUM(F40:G40);</v>
          </cell>
          <cell r="I400" t="str">
            <v>.</v>
          </cell>
        </row>
        <row r="401">
          <cell r="A401">
            <v>276</v>
          </cell>
          <cell r="B401" t="str">
            <v>Germany</v>
          </cell>
          <cell r="C401">
            <v>1998</v>
          </cell>
          <cell r="D401">
            <v>90</v>
          </cell>
          <cell r="E401">
            <v>2727</v>
          </cell>
          <cell r="F401">
            <v>90</v>
          </cell>
          <cell r="G401">
            <v>1200702</v>
          </cell>
          <cell r="H401" t="str">
            <v>;;=SUM(F41:G41);</v>
          </cell>
          <cell r="I401" t="str">
            <v>.</v>
          </cell>
        </row>
        <row r="402">
          <cell r="A402">
            <v>276</v>
          </cell>
          <cell r="B402" t="str">
            <v>Germany</v>
          </cell>
          <cell r="C402">
            <v>1998</v>
          </cell>
          <cell r="D402">
            <v>90</v>
          </cell>
          <cell r="E402">
            <v>2828</v>
          </cell>
          <cell r="F402">
            <v>90</v>
          </cell>
          <cell r="G402">
            <v>1297283</v>
          </cell>
          <cell r="H402" t="str">
            <v>;;=SUM(F42:G42);</v>
          </cell>
          <cell r="I402" t="str">
            <v>.</v>
          </cell>
        </row>
        <row r="403">
          <cell r="A403">
            <v>276</v>
          </cell>
          <cell r="B403" t="str">
            <v>Germany</v>
          </cell>
          <cell r="C403">
            <v>1998</v>
          </cell>
          <cell r="D403">
            <v>90</v>
          </cell>
          <cell r="E403">
            <v>2929</v>
          </cell>
          <cell r="F403">
            <v>90</v>
          </cell>
          <cell r="G403">
            <v>1364371</v>
          </cell>
          <cell r="H403" t="str">
            <v>;;=SUM(F43:G43);</v>
          </cell>
          <cell r="I403" t="str">
            <v>.</v>
          </cell>
        </row>
        <row r="404">
          <cell r="A404">
            <v>276</v>
          </cell>
          <cell r="B404" t="str">
            <v>Germany</v>
          </cell>
          <cell r="C404">
            <v>1998</v>
          </cell>
          <cell r="D404">
            <v>90</v>
          </cell>
          <cell r="E404">
            <v>2529</v>
          </cell>
          <cell r="F404">
            <v>90</v>
          </cell>
          <cell r="G404">
            <v>6026006</v>
          </cell>
          <cell r="H404" t="str">
            <v>;;=SUM(F44:G44);</v>
          </cell>
          <cell r="I404" t="str">
            <v>.</v>
          </cell>
        </row>
        <row r="405">
          <cell r="A405">
            <v>276</v>
          </cell>
          <cell r="B405" t="str">
            <v>Germany</v>
          </cell>
          <cell r="C405">
            <v>1998</v>
          </cell>
          <cell r="D405">
            <v>90</v>
          </cell>
          <cell r="E405">
            <v>3034</v>
          </cell>
          <cell r="F405">
            <v>90</v>
          </cell>
          <cell r="G405">
            <v>7260168</v>
          </cell>
          <cell r="H405" t="str">
            <v>;;=SUM(F45:G45);</v>
          </cell>
          <cell r="I405" t="str">
            <v>.</v>
          </cell>
        </row>
        <row r="406">
          <cell r="A406">
            <v>276</v>
          </cell>
          <cell r="B406" t="str">
            <v>Germany</v>
          </cell>
          <cell r="C406">
            <v>1998</v>
          </cell>
          <cell r="D406">
            <v>90</v>
          </cell>
          <cell r="E406">
            <v>3539</v>
          </cell>
          <cell r="F406">
            <v>90</v>
          </cell>
          <cell r="G406">
            <v>6804607</v>
          </cell>
          <cell r="H406" t="str">
            <v>;;=SUM(F46:G46);</v>
          </cell>
          <cell r="I406" t="str">
            <v>.</v>
          </cell>
        </row>
        <row r="407">
          <cell r="A407">
            <v>276</v>
          </cell>
          <cell r="B407" t="str">
            <v>Germany</v>
          </cell>
          <cell r="C407">
            <v>1998</v>
          </cell>
          <cell r="D407">
            <v>90</v>
          </cell>
          <cell r="E407">
            <v>4099</v>
          </cell>
          <cell r="F407">
            <v>90</v>
          </cell>
          <cell r="G407">
            <v>39842664</v>
          </cell>
          <cell r="H407" t="str">
            <v>;;=SUM(F47:G47);</v>
          </cell>
          <cell r="I407" t="str">
            <v>.</v>
          </cell>
        </row>
        <row r="408">
          <cell r="A408">
            <v>276</v>
          </cell>
          <cell r="B408" t="str">
            <v>Germany</v>
          </cell>
          <cell r="C408">
            <v>1998</v>
          </cell>
          <cell r="D408">
            <v>90</v>
          </cell>
          <cell r="E408">
            <v>990000</v>
          </cell>
          <cell r="F408">
            <v>90</v>
          </cell>
          <cell r="G408">
            <v>0</v>
          </cell>
          <cell r="H408" t="str">
            <v>n;</v>
          </cell>
          <cell r="I408" t="str">
            <v>n</v>
          </cell>
        </row>
        <row r="409">
          <cell r="A409">
            <v>348</v>
          </cell>
          <cell r="B409" t="str">
            <v>Hungary</v>
          </cell>
          <cell r="C409">
            <v>1998</v>
          </cell>
          <cell r="D409">
            <v>90</v>
          </cell>
          <cell r="E409">
            <v>900000</v>
          </cell>
          <cell r="F409">
            <v>90</v>
          </cell>
          <cell r="G409">
            <v>10135358</v>
          </cell>
          <cell r="H409" t="str">
            <v>;;=SUM(F11:G11);</v>
          </cell>
          <cell r="I409" t="str">
            <v>.</v>
          </cell>
        </row>
        <row r="410">
          <cell r="A410">
            <v>348</v>
          </cell>
          <cell r="B410" t="str">
            <v>Hungary</v>
          </cell>
          <cell r="C410">
            <v>1998</v>
          </cell>
          <cell r="D410">
            <v>90</v>
          </cell>
          <cell r="E410">
            <v>300</v>
          </cell>
          <cell r="F410">
            <v>90</v>
          </cell>
          <cell r="G410">
            <v>314344</v>
          </cell>
          <cell r="H410" t="str">
            <v>;;=SUM(F12:G12);</v>
          </cell>
          <cell r="I410" t="str">
            <v>.</v>
          </cell>
        </row>
        <row r="411">
          <cell r="A411">
            <v>348</v>
          </cell>
          <cell r="B411" t="str">
            <v>Hungary</v>
          </cell>
          <cell r="C411">
            <v>1998</v>
          </cell>
          <cell r="D411">
            <v>90</v>
          </cell>
          <cell r="E411">
            <v>303</v>
          </cell>
          <cell r="F411">
            <v>90</v>
          </cell>
          <cell r="G411">
            <v>114125</v>
          </cell>
          <cell r="H411" t="str">
            <v>;;=SUM(F13:G13);</v>
          </cell>
          <cell r="I411" t="str">
            <v>.</v>
          </cell>
        </row>
        <row r="412">
          <cell r="A412">
            <v>348</v>
          </cell>
          <cell r="B412" t="str">
            <v>Hungary</v>
          </cell>
          <cell r="C412">
            <v>1998</v>
          </cell>
          <cell r="D412">
            <v>90</v>
          </cell>
          <cell r="E412">
            <v>404</v>
          </cell>
          <cell r="F412">
            <v>90</v>
          </cell>
          <cell r="G412">
            <v>115434</v>
          </cell>
          <cell r="H412" t="str">
            <v>;;=SUM(F14:G14);</v>
          </cell>
          <cell r="I412" t="str">
            <v>.</v>
          </cell>
        </row>
        <row r="413">
          <cell r="A413">
            <v>348</v>
          </cell>
          <cell r="B413" t="str">
            <v>Hungary</v>
          </cell>
          <cell r="C413">
            <v>1998</v>
          </cell>
          <cell r="D413">
            <v>90</v>
          </cell>
          <cell r="E413">
            <v>505</v>
          </cell>
          <cell r="F413">
            <v>90</v>
          </cell>
          <cell r="G413">
            <v>119758</v>
          </cell>
          <cell r="H413" t="str">
            <v>;;=SUM(F15:G15);</v>
          </cell>
          <cell r="I413" t="str">
            <v>.</v>
          </cell>
        </row>
        <row r="414">
          <cell r="A414">
            <v>348</v>
          </cell>
          <cell r="B414" t="str">
            <v>Hungary</v>
          </cell>
          <cell r="C414">
            <v>1998</v>
          </cell>
          <cell r="D414">
            <v>90</v>
          </cell>
          <cell r="E414">
            <v>606</v>
          </cell>
          <cell r="F414">
            <v>90</v>
          </cell>
          <cell r="G414">
            <v>124995</v>
          </cell>
          <cell r="H414" t="str">
            <v>;;=SUM(F16:G16);</v>
          </cell>
          <cell r="I414" t="str">
            <v>.</v>
          </cell>
        </row>
        <row r="415">
          <cell r="A415">
            <v>348</v>
          </cell>
          <cell r="B415" t="str">
            <v>Hungary</v>
          </cell>
          <cell r="C415">
            <v>1998</v>
          </cell>
          <cell r="D415">
            <v>90</v>
          </cell>
          <cell r="E415">
            <v>707</v>
          </cell>
          <cell r="F415">
            <v>90</v>
          </cell>
          <cell r="G415">
            <v>123478</v>
          </cell>
          <cell r="H415" t="str">
            <v>;;=SUM(F17:G17);</v>
          </cell>
          <cell r="I415" t="str">
            <v>.</v>
          </cell>
        </row>
        <row r="416">
          <cell r="A416">
            <v>348</v>
          </cell>
          <cell r="B416" t="str">
            <v>Hungary</v>
          </cell>
          <cell r="C416">
            <v>1998</v>
          </cell>
          <cell r="D416">
            <v>90</v>
          </cell>
          <cell r="E416">
            <v>808</v>
          </cell>
          <cell r="F416">
            <v>90</v>
          </cell>
          <cell r="G416">
            <v>120811</v>
          </cell>
          <cell r="H416" t="str">
            <v>;;=SUM(F18:G18);</v>
          </cell>
          <cell r="I416" t="str">
            <v>.</v>
          </cell>
        </row>
        <row r="417">
          <cell r="A417">
            <v>348</v>
          </cell>
          <cell r="B417" t="str">
            <v>Hungary</v>
          </cell>
          <cell r="C417">
            <v>1998</v>
          </cell>
          <cell r="D417">
            <v>90</v>
          </cell>
          <cell r="E417">
            <v>909</v>
          </cell>
          <cell r="F417">
            <v>90</v>
          </cell>
          <cell r="G417">
            <v>121544</v>
          </cell>
          <cell r="H417" t="str">
            <v>;;=SUM(F19:G19);</v>
          </cell>
          <cell r="I417" t="str">
            <v>.</v>
          </cell>
        </row>
        <row r="418">
          <cell r="A418">
            <v>348</v>
          </cell>
          <cell r="B418" t="str">
            <v>Hungary</v>
          </cell>
          <cell r="C418">
            <v>1998</v>
          </cell>
          <cell r="D418">
            <v>90</v>
          </cell>
          <cell r="E418">
            <v>509</v>
          </cell>
          <cell r="F418">
            <v>90</v>
          </cell>
          <cell r="G418">
            <v>610586</v>
          </cell>
          <cell r="H418" t="str">
            <v>;;=SUM(F20:G20);</v>
          </cell>
          <cell r="I418" t="str">
            <v>.</v>
          </cell>
        </row>
        <row r="419">
          <cell r="A419">
            <v>348</v>
          </cell>
          <cell r="B419" t="str">
            <v>Hungary</v>
          </cell>
          <cell r="C419">
            <v>1998</v>
          </cell>
          <cell r="D419">
            <v>90</v>
          </cell>
          <cell r="E419">
            <v>1010</v>
          </cell>
          <cell r="F419">
            <v>90</v>
          </cell>
          <cell r="G419">
            <v>122953</v>
          </cell>
          <cell r="H419" t="str">
            <v>;;=SUM(F21:G21);</v>
          </cell>
          <cell r="I419" t="str">
            <v>.</v>
          </cell>
        </row>
        <row r="420">
          <cell r="A420">
            <v>348</v>
          </cell>
          <cell r="B420" t="str">
            <v>Hungary</v>
          </cell>
          <cell r="C420">
            <v>1998</v>
          </cell>
          <cell r="D420">
            <v>90</v>
          </cell>
          <cell r="E420">
            <v>1111</v>
          </cell>
          <cell r="F420">
            <v>90</v>
          </cell>
          <cell r="G420">
            <v>124246</v>
          </cell>
          <cell r="H420" t="str">
            <v>;;=SUM(F22:G22);</v>
          </cell>
          <cell r="I420" t="str">
            <v>.</v>
          </cell>
        </row>
        <row r="421">
          <cell r="A421">
            <v>352</v>
          </cell>
          <cell r="B421" t="str">
            <v>Iceland</v>
          </cell>
          <cell r="C421">
            <v>1998</v>
          </cell>
          <cell r="D421">
            <v>90</v>
          </cell>
          <cell r="E421">
            <v>900000</v>
          </cell>
          <cell r="F421">
            <v>90</v>
          </cell>
          <cell r="G421">
            <v>272381</v>
          </cell>
          <cell r="H421" t="str">
            <v>;;=SUM(F11:G11);</v>
          </cell>
          <cell r="I421" t="str">
            <v>.</v>
          </cell>
        </row>
        <row r="422">
          <cell r="A422">
            <v>352</v>
          </cell>
          <cell r="B422" t="str">
            <v>Iceland</v>
          </cell>
          <cell r="C422">
            <v>1998</v>
          </cell>
          <cell r="D422">
            <v>90</v>
          </cell>
          <cell r="E422">
            <v>300</v>
          </cell>
          <cell r="F422">
            <v>90</v>
          </cell>
          <cell r="G422">
            <v>12781</v>
          </cell>
          <cell r="H422" t="str">
            <v>;;=SUM(F12:G12);</v>
          </cell>
          <cell r="I422" t="str">
            <v>.</v>
          </cell>
        </row>
        <row r="423">
          <cell r="A423">
            <v>620</v>
          </cell>
          <cell r="B423" t="str">
            <v>Portugal</v>
          </cell>
          <cell r="C423">
            <v>1998</v>
          </cell>
          <cell r="D423">
            <v>90</v>
          </cell>
          <cell r="E423">
            <v>1414</v>
          </cell>
          <cell r="F423">
            <v>90</v>
          </cell>
          <cell r="G423">
            <v>128950</v>
          </cell>
          <cell r="H423" t="str">
            <v>;;=SUM(F25:H25);</v>
          </cell>
          <cell r="I423" t="str">
            <v>.</v>
          </cell>
        </row>
        <row r="424">
          <cell r="A424">
            <v>620</v>
          </cell>
          <cell r="B424" t="str">
            <v>Portugal</v>
          </cell>
          <cell r="C424">
            <v>1998</v>
          </cell>
          <cell r="D424">
            <v>90</v>
          </cell>
          <cell r="E424">
            <v>1014</v>
          </cell>
          <cell r="F424">
            <v>90</v>
          </cell>
          <cell r="G424">
            <v>592600</v>
          </cell>
          <cell r="H424" t="str">
            <v>;;=SUM(F26:H26);</v>
          </cell>
          <cell r="I424" t="str">
            <v>.</v>
          </cell>
        </row>
        <row r="425">
          <cell r="A425">
            <v>620</v>
          </cell>
          <cell r="B425" t="str">
            <v>Portugal</v>
          </cell>
          <cell r="C425">
            <v>1998</v>
          </cell>
          <cell r="D425">
            <v>90</v>
          </cell>
          <cell r="E425">
            <v>1515</v>
          </cell>
          <cell r="F425">
            <v>90</v>
          </cell>
          <cell r="G425">
            <v>135640</v>
          </cell>
          <cell r="H425" t="str">
            <v>;;=SUM(F27:H27);</v>
          </cell>
          <cell r="I425" t="str">
            <v>.</v>
          </cell>
        </row>
        <row r="426">
          <cell r="A426">
            <v>620</v>
          </cell>
          <cell r="B426" t="str">
            <v>Portugal</v>
          </cell>
          <cell r="C426">
            <v>1998</v>
          </cell>
          <cell r="D426">
            <v>90</v>
          </cell>
          <cell r="E426">
            <v>1616</v>
          </cell>
          <cell r="F426">
            <v>90</v>
          </cell>
          <cell r="G426">
            <v>138720</v>
          </cell>
          <cell r="H426" t="str">
            <v>;;=SUM(F28:H28);</v>
          </cell>
          <cell r="I426" t="str">
            <v>.</v>
          </cell>
        </row>
        <row r="427">
          <cell r="A427">
            <v>620</v>
          </cell>
          <cell r="B427" t="str">
            <v>Portugal</v>
          </cell>
          <cell r="C427">
            <v>1998</v>
          </cell>
          <cell r="D427">
            <v>90</v>
          </cell>
          <cell r="E427">
            <v>1717</v>
          </cell>
          <cell r="F427">
            <v>90</v>
          </cell>
          <cell r="G427">
            <v>145630</v>
          </cell>
          <cell r="H427" t="str">
            <v>;;=SUM(F29:H29);</v>
          </cell>
          <cell r="I427" t="str">
            <v>.</v>
          </cell>
        </row>
        <row r="428">
          <cell r="A428">
            <v>620</v>
          </cell>
          <cell r="B428" t="str">
            <v>Portugal</v>
          </cell>
          <cell r="C428">
            <v>1998</v>
          </cell>
          <cell r="D428">
            <v>90</v>
          </cell>
          <cell r="E428">
            <v>1818</v>
          </cell>
          <cell r="F428">
            <v>90</v>
          </cell>
          <cell r="G428">
            <v>149370</v>
          </cell>
          <cell r="H428" t="str">
            <v>;;=SUM(F30:H30);</v>
          </cell>
          <cell r="I428" t="str">
            <v>.</v>
          </cell>
        </row>
        <row r="429">
          <cell r="A429">
            <v>620</v>
          </cell>
          <cell r="B429" t="str">
            <v>Portugal</v>
          </cell>
          <cell r="C429">
            <v>1998</v>
          </cell>
          <cell r="D429">
            <v>90</v>
          </cell>
          <cell r="E429">
            <v>1919</v>
          </cell>
          <cell r="F429">
            <v>90</v>
          </cell>
          <cell r="G429">
            <v>152070</v>
          </cell>
          <cell r="H429" t="str">
            <v>;;=SUM(F31:H31);</v>
          </cell>
          <cell r="I429" t="str">
            <v>.</v>
          </cell>
        </row>
        <row r="430">
          <cell r="A430">
            <v>620</v>
          </cell>
          <cell r="B430" t="str">
            <v>Portugal</v>
          </cell>
          <cell r="C430">
            <v>1998</v>
          </cell>
          <cell r="D430">
            <v>90</v>
          </cell>
          <cell r="E430">
            <v>1519</v>
          </cell>
          <cell r="F430">
            <v>90</v>
          </cell>
          <cell r="G430">
            <v>721430</v>
          </cell>
          <cell r="H430" t="str">
            <v>;;=SUM(F32:H32);</v>
          </cell>
          <cell r="I430" t="str">
            <v>.</v>
          </cell>
        </row>
        <row r="431">
          <cell r="A431">
            <v>620</v>
          </cell>
          <cell r="B431" t="str">
            <v>Portugal</v>
          </cell>
          <cell r="C431">
            <v>1998</v>
          </cell>
          <cell r="D431">
            <v>90</v>
          </cell>
          <cell r="E431">
            <v>2020</v>
          </cell>
          <cell r="F431">
            <v>90</v>
          </cell>
          <cell r="G431">
            <v>161910</v>
          </cell>
          <cell r="H431" t="str">
            <v>;;=SUM(F33:H33);</v>
          </cell>
          <cell r="I431" t="str">
            <v>.</v>
          </cell>
        </row>
        <row r="432">
          <cell r="A432">
            <v>620</v>
          </cell>
          <cell r="B432" t="str">
            <v>Portugal</v>
          </cell>
          <cell r="C432">
            <v>1998</v>
          </cell>
          <cell r="D432">
            <v>90</v>
          </cell>
          <cell r="E432">
            <v>2121</v>
          </cell>
          <cell r="F432">
            <v>90</v>
          </cell>
          <cell r="G432">
            <v>170130</v>
          </cell>
          <cell r="H432" t="str">
            <v>;;=SUM(F34:H34);</v>
          </cell>
          <cell r="I432" t="str">
            <v>.</v>
          </cell>
        </row>
        <row r="433">
          <cell r="A433">
            <v>620</v>
          </cell>
          <cell r="B433" t="str">
            <v>Portugal</v>
          </cell>
          <cell r="C433">
            <v>1998</v>
          </cell>
          <cell r="D433">
            <v>90</v>
          </cell>
          <cell r="E433">
            <v>2222</v>
          </cell>
          <cell r="F433">
            <v>90</v>
          </cell>
          <cell r="G433">
            <v>173700</v>
          </cell>
          <cell r="H433" t="str">
            <v>;;=SUM(F35:H35);</v>
          </cell>
          <cell r="I433" t="str">
            <v>.</v>
          </cell>
        </row>
        <row r="434">
          <cell r="A434">
            <v>620</v>
          </cell>
          <cell r="B434" t="str">
            <v>Portugal</v>
          </cell>
          <cell r="C434">
            <v>1998</v>
          </cell>
          <cell r="D434">
            <v>90</v>
          </cell>
          <cell r="E434">
            <v>2323</v>
          </cell>
          <cell r="F434">
            <v>90</v>
          </cell>
          <cell r="G434">
            <v>170660</v>
          </cell>
          <cell r="H434" t="str">
            <v>;;=SUM(F36:H36);</v>
          </cell>
          <cell r="I434" t="str">
            <v>.</v>
          </cell>
        </row>
        <row r="435">
          <cell r="A435">
            <v>620</v>
          </cell>
          <cell r="B435" t="str">
            <v>Portugal</v>
          </cell>
          <cell r="C435">
            <v>1998</v>
          </cell>
          <cell r="D435">
            <v>90</v>
          </cell>
          <cell r="E435">
            <v>2424</v>
          </cell>
          <cell r="F435">
            <v>90</v>
          </cell>
          <cell r="G435">
            <v>166690</v>
          </cell>
          <cell r="H435" t="str">
            <v>;;=SUM(F37:H37);</v>
          </cell>
          <cell r="I435" t="str">
            <v>.</v>
          </cell>
        </row>
        <row r="436">
          <cell r="A436">
            <v>620</v>
          </cell>
          <cell r="B436" t="str">
            <v>Portugal</v>
          </cell>
          <cell r="C436">
            <v>1998</v>
          </cell>
          <cell r="D436">
            <v>90</v>
          </cell>
          <cell r="E436">
            <v>2024</v>
          </cell>
          <cell r="F436">
            <v>90</v>
          </cell>
          <cell r="G436">
            <v>843090</v>
          </cell>
          <cell r="H436" t="str">
            <v>;;=SUM(F38:H38);</v>
          </cell>
          <cell r="I436" t="str">
            <v>.</v>
          </cell>
        </row>
        <row r="437">
          <cell r="A437">
            <v>620</v>
          </cell>
          <cell r="B437" t="str">
            <v>Portugal</v>
          </cell>
          <cell r="C437">
            <v>1998</v>
          </cell>
          <cell r="D437">
            <v>90</v>
          </cell>
          <cell r="E437">
            <v>2525</v>
          </cell>
          <cell r="F437">
            <v>90</v>
          </cell>
          <cell r="G437">
            <v>167790</v>
          </cell>
          <cell r="H437" t="str">
            <v>;;=SUM(F39:H39);</v>
          </cell>
          <cell r="I437" t="str">
            <v>.</v>
          </cell>
        </row>
        <row r="438">
          <cell r="A438">
            <v>620</v>
          </cell>
          <cell r="B438" t="str">
            <v>Portugal</v>
          </cell>
          <cell r="C438">
            <v>1998</v>
          </cell>
          <cell r="D438">
            <v>90</v>
          </cell>
          <cell r="E438">
            <v>2626</v>
          </cell>
          <cell r="F438">
            <v>90</v>
          </cell>
          <cell r="G438">
            <v>163400</v>
          </cell>
          <cell r="H438" t="str">
            <v>;;=SUM(F40:H40);</v>
          </cell>
          <cell r="I438" t="str">
            <v>.</v>
          </cell>
        </row>
        <row r="439">
          <cell r="A439">
            <v>620</v>
          </cell>
          <cell r="B439" t="str">
            <v>Portugal</v>
          </cell>
          <cell r="C439">
            <v>1998</v>
          </cell>
          <cell r="D439">
            <v>90</v>
          </cell>
          <cell r="E439">
            <v>2727</v>
          </cell>
          <cell r="F439">
            <v>90</v>
          </cell>
          <cell r="G439">
            <v>160140</v>
          </cell>
          <cell r="H439" t="str">
            <v>;;=SUM(F41:H41);</v>
          </cell>
          <cell r="I439" t="str">
            <v>.</v>
          </cell>
        </row>
        <row r="440">
          <cell r="A440">
            <v>620</v>
          </cell>
          <cell r="B440" t="str">
            <v>Portugal</v>
          </cell>
          <cell r="C440">
            <v>1998</v>
          </cell>
          <cell r="D440">
            <v>90</v>
          </cell>
          <cell r="E440">
            <v>2828</v>
          </cell>
          <cell r="F440">
            <v>90</v>
          </cell>
          <cell r="G440">
            <v>154350</v>
          </cell>
          <cell r="H440" t="str">
            <v>;;=SUM(F42:H42);</v>
          </cell>
          <cell r="I440" t="str">
            <v>.</v>
          </cell>
        </row>
        <row r="441">
          <cell r="A441">
            <v>620</v>
          </cell>
          <cell r="B441" t="str">
            <v>Portugal</v>
          </cell>
          <cell r="C441">
            <v>1998</v>
          </cell>
          <cell r="D441">
            <v>90</v>
          </cell>
          <cell r="E441">
            <v>2929</v>
          </cell>
          <cell r="F441">
            <v>90</v>
          </cell>
          <cell r="G441">
            <v>152110</v>
          </cell>
          <cell r="H441" t="str">
            <v>;;=SUM(F43:H43);</v>
          </cell>
          <cell r="I441" t="str">
            <v>.</v>
          </cell>
        </row>
        <row r="442">
          <cell r="A442">
            <v>620</v>
          </cell>
          <cell r="B442" t="str">
            <v>Portugal</v>
          </cell>
          <cell r="C442">
            <v>1998</v>
          </cell>
          <cell r="D442">
            <v>90</v>
          </cell>
          <cell r="E442">
            <v>2529</v>
          </cell>
          <cell r="F442">
            <v>90</v>
          </cell>
          <cell r="G442">
            <v>797790</v>
          </cell>
          <cell r="H442" t="str">
            <v>;;=SUM(F44:H44);</v>
          </cell>
          <cell r="I442" t="str">
            <v>.</v>
          </cell>
        </row>
        <row r="443">
          <cell r="A443">
            <v>620</v>
          </cell>
          <cell r="B443" t="str">
            <v>Portugal</v>
          </cell>
          <cell r="C443">
            <v>1998</v>
          </cell>
          <cell r="D443">
            <v>90</v>
          </cell>
          <cell r="E443">
            <v>3034</v>
          </cell>
          <cell r="F443">
            <v>90</v>
          </cell>
          <cell r="G443">
            <v>738330</v>
          </cell>
          <cell r="H443" t="str">
            <v>;;=SUM(F45:H45);</v>
          </cell>
          <cell r="I443" t="str">
            <v>.</v>
          </cell>
        </row>
        <row r="444">
          <cell r="A444">
            <v>620</v>
          </cell>
          <cell r="B444" t="str">
            <v>Portugal</v>
          </cell>
          <cell r="C444">
            <v>1998</v>
          </cell>
          <cell r="D444">
            <v>90</v>
          </cell>
          <cell r="E444">
            <v>3539</v>
          </cell>
          <cell r="F444">
            <v>90</v>
          </cell>
          <cell r="G444">
            <v>705480</v>
          </cell>
          <cell r="H444" t="str">
            <v>;;=SUM(F46:H46);</v>
          </cell>
          <cell r="I444" t="str">
            <v>.</v>
          </cell>
        </row>
        <row r="445">
          <cell r="A445">
            <v>620</v>
          </cell>
          <cell r="B445" t="str">
            <v>Portugal</v>
          </cell>
          <cell r="C445">
            <v>1998</v>
          </cell>
          <cell r="D445">
            <v>90</v>
          </cell>
          <cell r="E445">
            <v>4099</v>
          </cell>
          <cell r="F445">
            <v>90</v>
          </cell>
          <cell r="G445">
            <v>4455520</v>
          </cell>
          <cell r="H445" t="str">
            <v>;;=SUM(F47:H47);</v>
          </cell>
          <cell r="I445" t="str">
            <v>.</v>
          </cell>
        </row>
        <row r="446">
          <cell r="A446">
            <v>620</v>
          </cell>
          <cell r="B446" t="str">
            <v>Portugal</v>
          </cell>
          <cell r="C446">
            <v>1998</v>
          </cell>
          <cell r="D446">
            <v>90</v>
          </cell>
          <cell r="E446">
            <v>990000</v>
          </cell>
          <cell r="F446">
            <v>90</v>
          </cell>
          <cell r="G446">
            <v>0</v>
          </cell>
          <cell r="H446" t="str">
            <v>n;</v>
          </cell>
          <cell r="I446" t="str">
            <v>n</v>
          </cell>
        </row>
        <row r="447">
          <cell r="A447">
            <v>246</v>
          </cell>
          <cell r="B447" t="str">
            <v>Finland</v>
          </cell>
          <cell r="C447">
            <v>1998</v>
          </cell>
          <cell r="D447">
            <v>90</v>
          </cell>
          <cell r="E447">
            <v>404</v>
          </cell>
          <cell r="F447">
            <v>90</v>
          </cell>
          <cell r="G447">
            <v>64878</v>
          </cell>
          <cell r="H447"/>
          <cell r="I447" t="str">
            <v>.</v>
          </cell>
        </row>
        <row r="448">
          <cell r="A448">
            <v>246</v>
          </cell>
          <cell r="B448" t="str">
            <v>Finland</v>
          </cell>
          <cell r="C448">
            <v>1998</v>
          </cell>
          <cell r="D448">
            <v>90</v>
          </cell>
          <cell r="E448">
            <v>505</v>
          </cell>
          <cell r="F448">
            <v>90</v>
          </cell>
          <cell r="G448">
            <v>66894</v>
          </cell>
          <cell r="H448"/>
          <cell r="I448" t="str">
            <v>.</v>
          </cell>
        </row>
        <row r="449">
          <cell r="A449">
            <v>246</v>
          </cell>
          <cell r="B449" t="str">
            <v>Finland</v>
          </cell>
          <cell r="C449">
            <v>1998</v>
          </cell>
          <cell r="D449">
            <v>90</v>
          </cell>
          <cell r="E449">
            <v>606</v>
          </cell>
          <cell r="F449">
            <v>90</v>
          </cell>
          <cell r="G449">
            <v>65701</v>
          </cell>
          <cell r="H449"/>
          <cell r="I449" t="str">
            <v>.</v>
          </cell>
        </row>
        <row r="450">
          <cell r="A450">
            <v>246</v>
          </cell>
          <cell r="B450" t="str">
            <v>Finland</v>
          </cell>
          <cell r="C450">
            <v>1998</v>
          </cell>
          <cell r="D450">
            <v>90</v>
          </cell>
          <cell r="E450">
            <v>707</v>
          </cell>
          <cell r="F450">
            <v>90</v>
          </cell>
          <cell r="G450">
            <v>66225</v>
          </cell>
          <cell r="H450"/>
          <cell r="I450" t="str">
            <v>.</v>
          </cell>
        </row>
        <row r="451">
          <cell r="A451">
            <v>246</v>
          </cell>
          <cell r="B451" t="str">
            <v>Finland</v>
          </cell>
          <cell r="C451">
            <v>1998</v>
          </cell>
          <cell r="D451">
            <v>90</v>
          </cell>
          <cell r="E451">
            <v>808</v>
          </cell>
          <cell r="F451">
            <v>90</v>
          </cell>
          <cell r="G451">
            <v>64231</v>
          </cell>
          <cell r="H451"/>
          <cell r="I451" t="str">
            <v>.</v>
          </cell>
        </row>
        <row r="452">
          <cell r="A452">
            <v>246</v>
          </cell>
          <cell r="B452" t="str">
            <v>Finland</v>
          </cell>
          <cell r="C452">
            <v>1998</v>
          </cell>
          <cell r="D452">
            <v>90</v>
          </cell>
          <cell r="E452">
            <v>909</v>
          </cell>
          <cell r="F452">
            <v>90</v>
          </cell>
          <cell r="G452">
            <v>64302</v>
          </cell>
          <cell r="H452"/>
          <cell r="I452" t="str">
            <v>.</v>
          </cell>
        </row>
        <row r="453">
          <cell r="A453">
            <v>246</v>
          </cell>
          <cell r="B453" t="str">
            <v>Finland</v>
          </cell>
          <cell r="C453">
            <v>1998</v>
          </cell>
          <cell r="D453">
            <v>90</v>
          </cell>
          <cell r="E453">
            <v>509</v>
          </cell>
          <cell r="F453">
            <v>90</v>
          </cell>
          <cell r="G453">
            <v>327353</v>
          </cell>
          <cell r="H453" t="str">
            <v>;;=SUM(F20:G20);</v>
          </cell>
          <cell r="I453" t="str">
            <v>.</v>
          </cell>
        </row>
        <row r="454">
          <cell r="A454">
            <v>246</v>
          </cell>
          <cell r="B454" t="str">
            <v>Finland</v>
          </cell>
          <cell r="C454">
            <v>1998</v>
          </cell>
          <cell r="D454">
            <v>90</v>
          </cell>
          <cell r="E454">
            <v>1010</v>
          </cell>
          <cell r="F454">
            <v>90</v>
          </cell>
          <cell r="G454">
            <v>60926</v>
          </cell>
          <cell r="H454"/>
          <cell r="I454" t="str">
            <v>.</v>
          </cell>
        </row>
        <row r="455">
          <cell r="A455">
            <v>246</v>
          </cell>
          <cell r="B455" t="str">
            <v>Finland</v>
          </cell>
          <cell r="C455">
            <v>1998</v>
          </cell>
          <cell r="D455">
            <v>90</v>
          </cell>
          <cell r="E455">
            <v>1111</v>
          </cell>
          <cell r="F455">
            <v>90</v>
          </cell>
          <cell r="G455">
            <v>61890</v>
          </cell>
          <cell r="H455"/>
          <cell r="I455" t="str">
            <v>.</v>
          </cell>
        </row>
        <row r="456">
          <cell r="A456">
            <v>246</v>
          </cell>
          <cell r="B456" t="str">
            <v>Finland</v>
          </cell>
          <cell r="C456">
            <v>1998</v>
          </cell>
          <cell r="D456">
            <v>90</v>
          </cell>
          <cell r="E456">
            <v>1212</v>
          </cell>
          <cell r="F456">
            <v>90</v>
          </cell>
          <cell r="G456">
            <v>63955</v>
          </cell>
          <cell r="H456"/>
          <cell r="I456" t="str">
            <v>.</v>
          </cell>
        </row>
        <row r="457">
          <cell r="A457">
            <v>246</v>
          </cell>
          <cell r="B457" t="str">
            <v>Finland</v>
          </cell>
          <cell r="C457">
            <v>1998</v>
          </cell>
          <cell r="D457">
            <v>90</v>
          </cell>
          <cell r="E457">
            <v>1313</v>
          </cell>
          <cell r="F457">
            <v>90</v>
          </cell>
          <cell r="G457">
            <v>66382</v>
          </cell>
          <cell r="H457"/>
          <cell r="I457" t="str">
            <v>.</v>
          </cell>
        </row>
        <row r="458">
          <cell r="A458">
            <v>246</v>
          </cell>
          <cell r="B458" t="str">
            <v>Finland</v>
          </cell>
          <cell r="C458">
            <v>1998</v>
          </cell>
          <cell r="D458">
            <v>90</v>
          </cell>
          <cell r="E458">
            <v>1414</v>
          </cell>
          <cell r="F458">
            <v>90</v>
          </cell>
          <cell r="G458">
            <v>68111</v>
          </cell>
          <cell r="H458"/>
          <cell r="I458" t="str">
            <v>.</v>
          </cell>
        </row>
        <row r="459">
          <cell r="A459">
            <v>246</v>
          </cell>
          <cell r="B459" t="str">
            <v>Finland</v>
          </cell>
          <cell r="C459">
            <v>1998</v>
          </cell>
          <cell r="D459">
            <v>90</v>
          </cell>
          <cell r="E459">
            <v>1014</v>
          </cell>
          <cell r="F459">
            <v>90</v>
          </cell>
          <cell r="G459">
            <v>321264</v>
          </cell>
          <cell r="H459" t="str">
            <v>;;=SUM(F26:G26);</v>
          </cell>
          <cell r="I459" t="str">
            <v>.</v>
          </cell>
        </row>
        <row r="460">
          <cell r="A460">
            <v>246</v>
          </cell>
          <cell r="B460" t="str">
            <v>Finland</v>
          </cell>
          <cell r="C460">
            <v>1998</v>
          </cell>
          <cell r="D460">
            <v>90</v>
          </cell>
          <cell r="E460">
            <v>1515</v>
          </cell>
          <cell r="F460">
            <v>90</v>
          </cell>
          <cell r="G460">
            <v>67560</v>
          </cell>
          <cell r="H460"/>
          <cell r="I460" t="str">
            <v>.</v>
          </cell>
        </row>
        <row r="461">
          <cell r="A461">
            <v>246</v>
          </cell>
          <cell r="B461" t="str">
            <v>Finland</v>
          </cell>
          <cell r="C461">
            <v>1998</v>
          </cell>
          <cell r="D461">
            <v>90</v>
          </cell>
          <cell r="E461">
            <v>1616</v>
          </cell>
          <cell r="F461">
            <v>90</v>
          </cell>
          <cell r="G461">
            <v>65031</v>
          </cell>
          <cell r="H461"/>
          <cell r="I461" t="str">
            <v>.</v>
          </cell>
        </row>
        <row r="462">
          <cell r="A462">
            <v>246</v>
          </cell>
          <cell r="B462" t="str">
            <v>Finland</v>
          </cell>
          <cell r="C462">
            <v>1998</v>
          </cell>
          <cell r="D462">
            <v>90</v>
          </cell>
          <cell r="E462">
            <v>1717</v>
          </cell>
          <cell r="F462">
            <v>90</v>
          </cell>
          <cell r="G462">
            <v>64635</v>
          </cell>
          <cell r="H462"/>
          <cell r="I462" t="str">
            <v>.</v>
          </cell>
        </row>
        <row r="463">
          <cell r="A463">
            <v>246</v>
          </cell>
          <cell r="B463" t="str">
            <v>Finland</v>
          </cell>
          <cell r="C463">
            <v>1998</v>
          </cell>
          <cell r="D463">
            <v>90</v>
          </cell>
          <cell r="E463">
            <v>1818</v>
          </cell>
          <cell r="F463">
            <v>90</v>
          </cell>
          <cell r="G463">
            <v>64701</v>
          </cell>
          <cell r="H463"/>
          <cell r="I463" t="str">
            <v>.</v>
          </cell>
        </row>
        <row r="464">
          <cell r="A464">
            <v>246</v>
          </cell>
          <cell r="B464" t="str">
            <v>Finland</v>
          </cell>
          <cell r="C464">
            <v>1998</v>
          </cell>
          <cell r="D464">
            <v>90</v>
          </cell>
          <cell r="E464">
            <v>1919</v>
          </cell>
          <cell r="F464">
            <v>90</v>
          </cell>
          <cell r="G464">
            <v>65005</v>
          </cell>
          <cell r="H464"/>
          <cell r="I464" t="str">
            <v>.</v>
          </cell>
        </row>
        <row r="465">
          <cell r="A465">
            <v>246</v>
          </cell>
          <cell r="B465" t="str">
            <v>Finland</v>
          </cell>
          <cell r="C465">
            <v>1998</v>
          </cell>
          <cell r="D465">
            <v>90</v>
          </cell>
          <cell r="E465">
            <v>1519</v>
          </cell>
          <cell r="F465">
            <v>90</v>
          </cell>
          <cell r="G465">
            <v>326932</v>
          </cell>
          <cell r="H465" t="str">
            <v>;;=SUM(F32:G32);</v>
          </cell>
          <cell r="I465" t="str">
            <v>.</v>
          </cell>
        </row>
        <row r="466">
          <cell r="A466">
            <v>246</v>
          </cell>
          <cell r="B466" t="str">
            <v>Finland</v>
          </cell>
          <cell r="C466">
            <v>1998</v>
          </cell>
          <cell r="D466">
            <v>90</v>
          </cell>
          <cell r="E466">
            <v>2020</v>
          </cell>
          <cell r="F466">
            <v>90</v>
          </cell>
          <cell r="G466">
            <v>66153</v>
          </cell>
          <cell r="H466"/>
          <cell r="I466" t="str">
            <v>.</v>
          </cell>
        </row>
        <row r="467">
          <cell r="A467">
            <v>246</v>
          </cell>
          <cell r="B467" t="str">
            <v>Finland</v>
          </cell>
          <cell r="C467">
            <v>1998</v>
          </cell>
          <cell r="D467">
            <v>90</v>
          </cell>
          <cell r="E467">
            <v>2121</v>
          </cell>
          <cell r="F467">
            <v>90</v>
          </cell>
          <cell r="G467">
            <v>66828</v>
          </cell>
          <cell r="H467"/>
          <cell r="I467" t="str">
            <v>.</v>
          </cell>
        </row>
        <row r="468">
          <cell r="A468">
            <v>246</v>
          </cell>
          <cell r="B468" t="str">
            <v>Finland</v>
          </cell>
          <cell r="C468">
            <v>1998</v>
          </cell>
          <cell r="D468">
            <v>90</v>
          </cell>
          <cell r="E468">
            <v>2222</v>
          </cell>
          <cell r="F468">
            <v>90</v>
          </cell>
          <cell r="G468">
            <v>65454</v>
          </cell>
          <cell r="H468"/>
          <cell r="I468" t="str">
            <v>.</v>
          </cell>
        </row>
        <row r="469">
          <cell r="A469">
            <v>246</v>
          </cell>
          <cell r="B469" t="str">
            <v>Finland</v>
          </cell>
          <cell r="C469">
            <v>1998</v>
          </cell>
          <cell r="D469">
            <v>90</v>
          </cell>
          <cell r="E469">
            <v>2323</v>
          </cell>
          <cell r="F469">
            <v>90</v>
          </cell>
          <cell r="G469">
            <v>62428</v>
          </cell>
          <cell r="H469"/>
          <cell r="I469" t="str">
            <v>.</v>
          </cell>
        </row>
        <row r="470">
          <cell r="A470">
            <v>246</v>
          </cell>
          <cell r="B470" t="str">
            <v>Finland</v>
          </cell>
          <cell r="C470">
            <v>1998</v>
          </cell>
          <cell r="D470">
            <v>90</v>
          </cell>
          <cell r="E470">
            <v>2424</v>
          </cell>
          <cell r="F470">
            <v>90</v>
          </cell>
          <cell r="G470">
            <v>57007</v>
          </cell>
          <cell r="H470"/>
          <cell r="I470" t="str">
            <v>.</v>
          </cell>
        </row>
        <row r="471">
          <cell r="A471">
            <v>246</v>
          </cell>
          <cell r="B471" t="str">
            <v>Finland</v>
          </cell>
          <cell r="C471">
            <v>1998</v>
          </cell>
          <cell r="D471">
            <v>90</v>
          </cell>
          <cell r="E471">
            <v>2024</v>
          </cell>
          <cell r="F471">
            <v>90</v>
          </cell>
          <cell r="G471">
            <v>317870</v>
          </cell>
          <cell r="H471" t="str">
            <v>;;=SUM(F38:G38);</v>
          </cell>
          <cell r="I471" t="str">
            <v>.</v>
          </cell>
        </row>
        <row r="472">
          <cell r="A472">
            <v>246</v>
          </cell>
          <cell r="B472" t="str">
            <v>Finland</v>
          </cell>
          <cell r="C472">
            <v>1998</v>
          </cell>
          <cell r="D472">
            <v>90</v>
          </cell>
          <cell r="E472">
            <v>2525</v>
          </cell>
          <cell r="F472">
            <v>90</v>
          </cell>
          <cell r="G472">
            <v>59175</v>
          </cell>
          <cell r="H472"/>
          <cell r="I472" t="str">
            <v>.</v>
          </cell>
        </row>
        <row r="473">
          <cell r="A473">
            <v>246</v>
          </cell>
          <cell r="B473" t="str">
            <v>Finland</v>
          </cell>
          <cell r="C473">
            <v>1998</v>
          </cell>
          <cell r="D473">
            <v>90</v>
          </cell>
          <cell r="E473">
            <v>2626</v>
          </cell>
          <cell r="F473">
            <v>90</v>
          </cell>
          <cell r="G473">
            <v>61488</v>
          </cell>
          <cell r="H473"/>
          <cell r="I473" t="str">
            <v>.</v>
          </cell>
        </row>
        <row r="474">
          <cell r="A474">
            <v>246</v>
          </cell>
          <cell r="B474" t="str">
            <v>Finland</v>
          </cell>
          <cell r="C474">
            <v>1998</v>
          </cell>
          <cell r="D474">
            <v>90</v>
          </cell>
          <cell r="E474">
            <v>2727</v>
          </cell>
          <cell r="F474">
            <v>90</v>
          </cell>
          <cell r="G474">
            <v>63848</v>
          </cell>
          <cell r="H474"/>
          <cell r="I474" t="str">
            <v>.</v>
          </cell>
        </row>
        <row r="475">
          <cell r="A475">
            <v>246</v>
          </cell>
          <cell r="B475" t="str">
            <v>Finland</v>
          </cell>
          <cell r="C475">
            <v>1998</v>
          </cell>
          <cell r="D475">
            <v>90</v>
          </cell>
          <cell r="E475">
            <v>2828</v>
          </cell>
          <cell r="F475">
            <v>90</v>
          </cell>
          <cell r="G475">
            <v>65604</v>
          </cell>
          <cell r="H475"/>
          <cell r="I475" t="str">
            <v>.</v>
          </cell>
        </row>
        <row r="476">
          <cell r="A476">
            <v>246</v>
          </cell>
          <cell r="B476" t="str">
            <v>Finland</v>
          </cell>
          <cell r="C476">
            <v>1998</v>
          </cell>
          <cell r="D476">
            <v>90</v>
          </cell>
          <cell r="E476">
            <v>2929</v>
          </cell>
          <cell r="F476">
            <v>90</v>
          </cell>
          <cell r="G476">
            <v>70701</v>
          </cell>
          <cell r="H476"/>
          <cell r="I476" t="str">
            <v>.</v>
          </cell>
        </row>
        <row r="477">
          <cell r="A477">
            <v>246</v>
          </cell>
          <cell r="B477" t="str">
            <v>Finland</v>
          </cell>
          <cell r="C477">
            <v>1998</v>
          </cell>
          <cell r="D477">
            <v>90</v>
          </cell>
          <cell r="E477">
            <v>2529</v>
          </cell>
          <cell r="F477">
            <v>90</v>
          </cell>
          <cell r="G477">
            <v>320816</v>
          </cell>
          <cell r="H477" t="str">
            <v>;;=SUM(F44:G44);</v>
          </cell>
          <cell r="I477" t="str">
            <v>.</v>
          </cell>
        </row>
        <row r="478">
          <cell r="A478">
            <v>246</v>
          </cell>
          <cell r="B478" t="str">
            <v>Finland</v>
          </cell>
          <cell r="C478">
            <v>1998</v>
          </cell>
          <cell r="D478">
            <v>90</v>
          </cell>
          <cell r="E478">
            <v>3034</v>
          </cell>
          <cell r="F478">
            <v>90</v>
          </cell>
          <cell r="G478">
            <v>374399</v>
          </cell>
          <cell r="H478"/>
          <cell r="I478" t="str">
            <v>.</v>
          </cell>
        </row>
        <row r="479">
          <cell r="A479">
            <v>246</v>
          </cell>
          <cell r="B479" t="str">
            <v>Finland</v>
          </cell>
          <cell r="C479">
            <v>1998</v>
          </cell>
          <cell r="D479">
            <v>90</v>
          </cell>
          <cell r="E479">
            <v>3539</v>
          </cell>
          <cell r="F479">
            <v>90</v>
          </cell>
          <cell r="G479">
            <v>378530</v>
          </cell>
          <cell r="H479"/>
          <cell r="I479" t="str">
            <v>.</v>
          </cell>
        </row>
        <row r="480">
          <cell r="A480">
            <v>246</v>
          </cell>
          <cell r="B480" t="str">
            <v>Finland</v>
          </cell>
          <cell r="C480">
            <v>1998</v>
          </cell>
          <cell r="D480">
            <v>90</v>
          </cell>
          <cell r="E480">
            <v>4099</v>
          </cell>
          <cell r="F480">
            <v>90</v>
          </cell>
          <cell r="G480">
            <v>2467452</v>
          </cell>
          <cell r="H480"/>
          <cell r="I480" t="str">
            <v>.</v>
          </cell>
        </row>
        <row r="481">
          <cell r="A481">
            <v>246</v>
          </cell>
          <cell r="B481" t="str">
            <v>Finland</v>
          </cell>
          <cell r="C481">
            <v>1998</v>
          </cell>
          <cell r="D481">
            <v>90</v>
          </cell>
          <cell r="E481">
            <v>990000</v>
          </cell>
          <cell r="F481">
            <v>90</v>
          </cell>
          <cell r="G481">
            <v>0</v>
          </cell>
          <cell r="H481" t="str">
            <v>n;</v>
          </cell>
          <cell r="I481" t="str">
            <v>n</v>
          </cell>
        </row>
        <row r="482">
          <cell r="A482">
            <v>276</v>
          </cell>
          <cell r="B482" t="str">
            <v>Germany</v>
          </cell>
          <cell r="C482">
            <v>1998</v>
          </cell>
          <cell r="D482">
            <v>90</v>
          </cell>
          <cell r="E482">
            <v>900000</v>
          </cell>
          <cell r="F482">
            <v>90</v>
          </cell>
          <cell r="G482">
            <v>82057379</v>
          </cell>
          <cell r="H482" t="str">
            <v>;;=SUM(F11:G11);</v>
          </cell>
          <cell r="I482" t="str">
            <v>.</v>
          </cell>
        </row>
        <row r="483">
          <cell r="A483">
            <v>276</v>
          </cell>
          <cell r="B483" t="str">
            <v>Germany</v>
          </cell>
          <cell r="C483">
            <v>1998</v>
          </cell>
          <cell r="D483">
            <v>90</v>
          </cell>
          <cell r="E483">
            <v>300</v>
          </cell>
          <cell r="F483">
            <v>90</v>
          </cell>
          <cell r="G483">
            <v>2380755</v>
          </cell>
          <cell r="H483" t="str">
            <v>;;=SUM(F12:G12);</v>
          </cell>
          <cell r="I483" t="str">
            <v>.</v>
          </cell>
        </row>
        <row r="484">
          <cell r="A484">
            <v>276</v>
          </cell>
          <cell r="B484" t="str">
            <v>Germany</v>
          </cell>
          <cell r="C484">
            <v>1998</v>
          </cell>
          <cell r="D484">
            <v>90</v>
          </cell>
          <cell r="E484">
            <v>303</v>
          </cell>
          <cell r="F484">
            <v>90</v>
          </cell>
          <cell r="G484">
            <v>780340</v>
          </cell>
          <cell r="H484" t="str">
            <v>;;=SUM(F13:G13);</v>
          </cell>
          <cell r="I484" t="str">
            <v>.</v>
          </cell>
        </row>
        <row r="485">
          <cell r="A485">
            <v>276</v>
          </cell>
          <cell r="B485" t="str">
            <v>Germany</v>
          </cell>
          <cell r="C485">
            <v>1998</v>
          </cell>
          <cell r="D485">
            <v>90</v>
          </cell>
          <cell r="E485">
            <v>404</v>
          </cell>
          <cell r="F485">
            <v>90</v>
          </cell>
          <cell r="G485">
            <v>812818</v>
          </cell>
          <cell r="H485" t="str">
            <v>;;=SUM(F14:G14);</v>
          </cell>
          <cell r="I485" t="str">
            <v>.</v>
          </cell>
        </row>
        <row r="486">
          <cell r="A486">
            <v>276</v>
          </cell>
          <cell r="B486" t="str">
            <v>Germany</v>
          </cell>
          <cell r="C486">
            <v>1998</v>
          </cell>
          <cell r="D486">
            <v>90</v>
          </cell>
          <cell r="E486">
            <v>505</v>
          </cell>
          <cell r="F486">
            <v>90</v>
          </cell>
          <cell r="G486">
            <v>833050</v>
          </cell>
          <cell r="H486" t="str">
            <v>;;=SUM(F15:G15);</v>
          </cell>
          <cell r="I486" t="str">
            <v>.</v>
          </cell>
        </row>
        <row r="487">
          <cell r="A487">
            <v>276</v>
          </cell>
          <cell r="B487" t="str">
            <v>Germany</v>
          </cell>
          <cell r="C487">
            <v>1998</v>
          </cell>
          <cell r="D487">
            <v>90</v>
          </cell>
          <cell r="E487">
            <v>606</v>
          </cell>
          <cell r="F487">
            <v>90</v>
          </cell>
          <cell r="G487">
            <v>865009</v>
          </cell>
          <cell r="H487" t="str">
            <v>;;=SUM(F16:G16);</v>
          </cell>
          <cell r="I487" t="str">
            <v>.</v>
          </cell>
        </row>
        <row r="488">
          <cell r="A488">
            <v>276</v>
          </cell>
          <cell r="B488" t="str">
            <v>Germany</v>
          </cell>
          <cell r="C488">
            <v>1998</v>
          </cell>
          <cell r="D488">
            <v>90</v>
          </cell>
          <cell r="E488">
            <v>707</v>
          </cell>
          <cell r="F488">
            <v>90</v>
          </cell>
          <cell r="G488">
            <v>951270</v>
          </cell>
          <cell r="H488" t="str">
            <v>;;=SUM(F17:G17);</v>
          </cell>
          <cell r="I488" t="str">
            <v>.</v>
          </cell>
        </row>
        <row r="489">
          <cell r="A489">
            <v>276</v>
          </cell>
          <cell r="B489" t="str">
            <v>Germany</v>
          </cell>
          <cell r="C489">
            <v>1998</v>
          </cell>
          <cell r="D489">
            <v>90</v>
          </cell>
          <cell r="E489">
            <v>808</v>
          </cell>
          <cell r="F489">
            <v>90</v>
          </cell>
          <cell r="G489">
            <v>940107</v>
          </cell>
          <cell r="H489" t="str">
            <v>;;=SUM(F18:G18);</v>
          </cell>
          <cell r="I489" t="str">
            <v>.</v>
          </cell>
        </row>
        <row r="490">
          <cell r="A490">
            <v>276</v>
          </cell>
          <cell r="B490" t="str">
            <v>Germany</v>
          </cell>
          <cell r="C490">
            <v>1998</v>
          </cell>
          <cell r="D490">
            <v>90</v>
          </cell>
          <cell r="E490">
            <v>909</v>
          </cell>
          <cell r="F490">
            <v>90</v>
          </cell>
          <cell r="G490">
            <v>966880</v>
          </cell>
          <cell r="H490" t="str">
            <v>;;=SUM(F19:G19);</v>
          </cell>
          <cell r="I490" t="str">
            <v>.</v>
          </cell>
        </row>
        <row r="491">
          <cell r="A491">
            <v>276</v>
          </cell>
          <cell r="B491" t="str">
            <v>Germany</v>
          </cell>
          <cell r="C491">
            <v>1998</v>
          </cell>
          <cell r="D491">
            <v>90</v>
          </cell>
          <cell r="E491">
            <v>509</v>
          </cell>
          <cell r="F491">
            <v>90</v>
          </cell>
          <cell r="G491">
            <v>4556316</v>
          </cell>
          <cell r="H491" t="str">
            <v>;;=SUM(F20:G20);</v>
          </cell>
          <cell r="I491" t="str">
            <v>.</v>
          </cell>
        </row>
        <row r="492">
          <cell r="A492">
            <v>276</v>
          </cell>
          <cell r="B492" t="str">
            <v>Germany</v>
          </cell>
          <cell r="C492">
            <v>1998</v>
          </cell>
          <cell r="D492">
            <v>90</v>
          </cell>
          <cell r="E492">
            <v>1010</v>
          </cell>
          <cell r="F492">
            <v>90</v>
          </cell>
          <cell r="G492">
            <v>945649</v>
          </cell>
          <cell r="H492" t="str">
            <v>;;=SUM(F21:G21);</v>
          </cell>
          <cell r="I492" t="str">
            <v>.</v>
          </cell>
        </row>
        <row r="493">
          <cell r="A493">
            <v>276</v>
          </cell>
          <cell r="B493" t="str">
            <v>Germany</v>
          </cell>
          <cell r="C493">
            <v>1998</v>
          </cell>
          <cell r="D493">
            <v>90</v>
          </cell>
          <cell r="E493">
            <v>1111</v>
          </cell>
          <cell r="F493">
            <v>90</v>
          </cell>
          <cell r="G493">
            <v>928920</v>
          </cell>
          <cell r="H493" t="str">
            <v>;;=SUM(F22:G22);</v>
          </cell>
          <cell r="I493" t="str">
            <v>.</v>
          </cell>
        </row>
        <row r="494">
          <cell r="A494">
            <v>276</v>
          </cell>
          <cell r="B494" t="str">
            <v>Germany</v>
          </cell>
          <cell r="C494">
            <v>1998</v>
          </cell>
          <cell r="D494">
            <v>90</v>
          </cell>
          <cell r="E494">
            <v>1212</v>
          </cell>
          <cell r="F494">
            <v>90</v>
          </cell>
          <cell r="G494">
            <v>897188</v>
          </cell>
          <cell r="H494" t="str">
            <v>;;=SUM(F23:G23);</v>
          </cell>
          <cell r="I494" t="str">
            <v>.</v>
          </cell>
        </row>
        <row r="495">
          <cell r="A495">
            <v>276</v>
          </cell>
          <cell r="B495" t="str">
            <v>Germany</v>
          </cell>
          <cell r="C495">
            <v>1998</v>
          </cell>
          <cell r="D495">
            <v>90</v>
          </cell>
          <cell r="E495">
            <v>1313</v>
          </cell>
          <cell r="F495">
            <v>90</v>
          </cell>
          <cell r="G495">
            <v>894547</v>
          </cell>
          <cell r="H495" t="str">
            <v>;;=SUM(F24:G24);</v>
          </cell>
          <cell r="I495" t="str">
            <v>.</v>
          </cell>
        </row>
        <row r="496">
          <cell r="A496">
            <v>276</v>
          </cell>
          <cell r="B496" t="str">
            <v>Germany</v>
          </cell>
          <cell r="C496">
            <v>1998</v>
          </cell>
          <cell r="D496">
            <v>90</v>
          </cell>
          <cell r="E496">
            <v>1414</v>
          </cell>
          <cell r="F496">
            <v>90</v>
          </cell>
          <cell r="G496">
            <v>901878</v>
          </cell>
          <cell r="H496" t="str">
            <v>;;=SUM(F25:G25);</v>
          </cell>
          <cell r="I496" t="str">
            <v>.</v>
          </cell>
        </row>
        <row r="497">
          <cell r="A497">
            <v>276</v>
          </cell>
          <cell r="B497" t="str">
            <v>Germany</v>
          </cell>
          <cell r="C497">
            <v>1998</v>
          </cell>
          <cell r="D497">
            <v>90</v>
          </cell>
          <cell r="E497">
            <v>1014</v>
          </cell>
          <cell r="F497">
            <v>90</v>
          </cell>
          <cell r="G497">
            <v>4568182</v>
          </cell>
          <cell r="H497" t="str">
            <v>;;=SUM(F26:G26);</v>
          </cell>
          <cell r="I497" t="str">
            <v>.</v>
          </cell>
        </row>
        <row r="498">
          <cell r="A498">
            <v>276</v>
          </cell>
          <cell r="B498" t="str">
            <v>Germany</v>
          </cell>
          <cell r="C498">
            <v>1998</v>
          </cell>
          <cell r="D498">
            <v>90</v>
          </cell>
          <cell r="E498">
            <v>1515</v>
          </cell>
          <cell r="F498">
            <v>90</v>
          </cell>
          <cell r="G498">
            <v>927456</v>
          </cell>
          <cell r="H498" t="str">
            <v>;;=SUM(F27:G27);</v>
          </cell>
          <cell r="I498" t="str">
            <v>.</v>
          </cell>
        </row>
        <row r="499">
          <cell r="A499">
            <v>276</v>
          </cell>
          <cell r="B499" t="str">
            <v>Germany</v>
          </cell>
          <cell r="C499">
            <v>1998</v>
          </cell>
          <cell r="D499">
            <v>90</v>
          </cell>
          <cell r="E499">
            <v>1616</v>
          </cell>
          <cell r="F499">
            <v>90</v>
          </cell>
          <cell r="G499">
            <v>926668</v>
          </cell>
          <cell r="H499" t="str">
            <v>;;=SUM(F28:G28);</v>
          </cell>
          <cell r="I499" t="str">
            <v>.</v>
          </cell>
        </row>
        <row r="500">
          <cell r="A500">
            <v>276</v>
          </cell>
          <cell r="B500" t="str">
            <v>Germany</v>
          </cell>
          <cell r="C500">
            <v>1998</v>
          </cell>
          <cell r="D500">
            <v>90</v>
          </cell>
          <cell r="E500">
            <v>1717</v>
          </cell>
          <cell r="F500">
            <v>90</v>
          </cell>
          <cell r="G500">
            <v>934259</v>
          </cell>
          <cell r="H500" t="str">
            <v>;;=SUM(F29:G29);</v>
          </cell>
          <cell r="I500" t="str">
            <v>.</v>
          </cell>
        </row>
        <row r="501">
          <cell r="A501">
            <v>276</v>
          </cell>
          <cell r="B501" t="str">
            <v>Germany</v>
          </cell>
          <cell r="C501">
            <v>1998</v>
          </cell>
          <cell r="D501">
            <v>90</v>
          </cell>
          <cell r="E501">
            <v>1818</v>
          </cell>
          <cell r="F501">
            <v>90</v>
          </cell>
          <cell r="G501">
            <v>889501</v>
          </cell>
          <cell r="H501" t="str">
            <v>;;=SUM(F30:G30);</v>
          </cell>
          <cell r="I501" t="str">
            <v>.</v>
          </cell>
        </row>
        <row r="502">
          <cell r="A502">
            <v>276</v>
          </cell>
          <cell r="B502" t="str">
            <v>Germany</v>
          </cell>
          <cell r="C502">
            <v>1998</v>
          </cell>
          <cell r="D502">
            <v>90</v>
          </cell>
          <cell r="E502">
            <v>1919</v>
          </cell>
          <cell r="F502">
            <v>90</v>
          </cell>
          <cell r="G502">
            <v>885122</v>
          </cell>
          <cell r="H502" t="str">
            <v>;;=SUM(F31:G31);</v>
          </cell>
          <cell r="I502" t="str">
            <v>.</v>
          </cell>
        </row>
        <row r="503">
          <cell r="A503">
            <v>276</v>
          </cell>
          <cell r="B503" t="str">
            <v>Germany</v>
          </cell>
          <cell r="C503">
            <v>1998</v>
          </cell>
          <cell r="D503">
            <v>90</v>
          </cell>
          <cell r="E503">
            <v>1519</v>
          </cell>
          <cell r="F503">
            <v>90</v>
          </cell>
          <cell r="G503">
            <v>4563006</v>
          </cell>
          <cell r="H503" t="str">
            <v>;;=SUM(F32:G32);</v>
          </cell>
          <cell r="I503" t="str">
            <v>.</v>
          </cell>
        </row>
        <row r="504">
          <cell r="A504">
            <v>348</v>
          </cell>
          <cell r="B504" t="str">
            <v>Hungary</v>
          </cell>
          <cell r="C504">
            <v>1998</v>
          </cell>
          <cell r="D504">
            <v>90</v>
          </cell>
          <cell r="E504">
            <v>1212</v>
          </cell>
          <cell r="F504">
            <v>90</v>
          </cell>
          <cell r="G504">
            <v>126162</v>
          </cell>
          <cell r="H504" t="str">
            <v>;;=SUM(F23:G23);</v>
          </cell>
          <cell r="I504" t="str">
            <v>.</v>
          </cell>
        </row>
        <row r="505">
          <cell r="A505">
            <v>348</v>
          </cell>
          <cell r="B505" t="str">
            <v>Hungary</v>
          </cell>
          <cell r="C505">
            <v>1998</v>
          </cell>
          <cell r="D505">
            <v>90</v>
          </cell>
          <cell r="E505">
            <v>1313</v>
          </cell>
          <cell r="F505">
            <v>90</v>
          </cell>
          <cell r="G505">
            <v>120859</v>
          </cell>
          <cell r="H505" t="str">
            <v>;;=SUM(F24:G24);</v>
          </cell>
          <cell r="I505" t="str">
            <v>.</v>
          </cell>
        </row>
        <row r="506">
          <cell r="A506">
            <v>348</v>
          </cell>
          <cell r="B506" t="str">
            <v>Hungary</v>
          </cell>
          <cell r="C506">
            <v>1998</v>
          </cell>
          <cell r="D506">
            <v>90</v>
          </cell>
          <cell r="E506">
            <v>1414</v>
          </cell>
          <cell r="F506">
            <v>90</v>
          </cell>
          <cell r="G506">
            <v>123016</v>
          </cell>
          <cell r="H506" t="str">
            <v>;;=SUM(F25:G25);</v>
          </cell>
          <cell r="I506" t="str">
            <v>.</v>
          </cell>
        </row>
        <row r="507">
          <cell r="A507">
            <v>348</v>
          </cell>
          <cell r="B507" t="str">
            <v>Hungary</v>
          </cell>
          <cell r="C507">
            <v>1998</v>
          </cell>
          <cell r="D507">
            <v>90</v>
          </cell>
          <cell r="E507">
            <v>1014</v>
          </cell>
          <cell r="F507">
            <v>90</v>
          </cell>
          <cell r="G507">
            <v>617236</v>
          </cell>
          <cell r="H507" t="str">
            <v>;;=SUM(F26:G26);</v>
          </cell>
          <cell r="I507" t="str">
            <v>.</v>
          </cell>
        </row>
        <row r="508">
          <cell r="A508">
            <v>348</v>
          </cell>
          <cell r="B508" t="str">
            <v>Hungary</v>
          </cell>
          <cell r="C508">
            <v>1998</v>
          </cell>
          <cell r="D508">
            <v>90</v>
          </cell>
          <cell r="E508">
            <v>1515</v>
          </cell>
          <cell r="F508">
            <v>90</v>
          </cell>
          <cell r="G508">
            <v>129240</v>
          </cell>
          <cell r="H508" t="str">
            <v>;;=SUM(F27:G27);</v>
          </cell>
          <cell r="I508" t="str">
            <v>.</v>
          </cell>
        </row>
        <row r="509">
          <cell r="A509">
            <v>348</v>
          </cell>
          <cell r="B509" t="str">
            <v>Hungary</v>
          </cell>
          <cell r="C509">
            <v>1998</v>
          </cell>
          <cell r="D509">
            <v>90</v>
          </cell>
          <cell r="E509">
            <v>1616</v>
          </cell>
          <cell r="F509">
            <v>90</v>
          </cell>
          <cell r="G509">
            <v>138007</v>
          </cell>
          <cell r="H509" t="str">
            <v>;;=SUM(F28:G28);</v>
          </cell>
          <cell r="I509" t="str">
            <v>.</v>
          </cell>
        </row>
        <row r="510">
          <cell r="A510">
            <v>348</v>
          </cell>
          <cell r="B510" t="str">
            <v>Hungary</v>
          </cell>
          <cell r="C510">
            <v>1998</v>
          </cell>
          <cell r="D510">
            <v>90</v>
          </cell>
          <cell r="E510">
            <v>1717</v>
          </cell>
          <cell r="F510">
            <v>90</v>
          </cell>
          <cell r="G510">
            <v>143661</v>
          </cell>
          <cell r="H510" t="str">
            <v>;;=SUM(F29:G29);</v>
          </cell>
          <cell r="I510" t="str">
            <v>.</v>
          </cell>
        </row>
        <row r="511">
          <cell r="A511">
            <v>348</v>
          </cell>
          <cell r="B511" t="str">
            <v>Hungary</v>
          </cell>
          <cell r="C511">
            <v>1998</v>
          </cell>
          <cell r="D511">
            <v>90</v>
          </cell>
          <cell r="E511">
            <v>1818</v>
          </cell>
          <cell r="F511">
            <v>90</v>
          </cell>
          <cell r="G511">
            <v>154463</v>
          </cell>
          <cell r="H511" t="str">
            <v>;;=SUM(F30:G30);</v>
          </cell>
          <cell r="I511" t="str">
            <v>.</v>
          </cell>
        </row>
        <row r="512">
          <cell r="A512">
            <v>348</v>
          </cell>
          <cell r="B512" t="str">
            <v>Hungary</v>
          </cell>
          <cell r="C512">
            <v>1998</v>
          </cell>
          <cell r="D512">
            <v>90</v>
          </cell>
          <cell r="E512">
            <v>1919</v>
          </cell>
          <cell r="F512">
            <v>90</v>
          </cell>
          <cell r="G512">
            <v>161843</v>
          </cell>
          <cell r="H512" t="str">
            <v>;;=SUM(F31:G31);</v>
          </cell>
          <cell r="I512" t="str">
            <v>.</v>
          </cell>
        </row>
        <row r="513">
          <cell r="A513">
            <v>348</v>
          </cell>
          <cell r="B513" t="str">
            <v>Hungary</v>
          </cell>
          <cell r="C513">
            <v>1998</v>
          </cell>
          <cell r="D513">
            <v>90</v>
          </cell>
          <cell r="E513">
            <v>1519</v>
          </cell>
          <cell r="F513">
            <v>90</v>
          </cell>
          <cell r="G513">
            <v>727214</v>
          </cell>
          <cell r="H513" t="str">
            <v>;;=SUM(F32:G32);</v>
          </cell>
          <cell r="I513" t="str">
            <v>.</v>
          </cell>
        </row>
        <row r="514">
          <cell r="A514">
            <v>348</v>
          </cell>
          <cell r="B514" t="str">
            <v>Hungary</v>
          </cell>
          <cell r="C514">
            <v>1998</v>
          </cell>
          <cell r="D514">
            <v>90</v>
          </cell>
          <cell r="E514">
            <v>2020</v>
          </cell>
          <cell r="F514">
            <v>90</v>
          </cell>
          <cell r="G514">
            <v>170707</v>
          </cell>
          <cell r="H514" t="str">
            <v>;;=SUM(F33:G33);</v>
          </cell>
          <cell r="I514" t="str">
            <v>.</v>
          </cell>
        </row>
        <row r="515">
          <cell r="A515">
            <v>348</v>
          </cell>
          <cell r="B515" t="str">
            <v>Hungary</v>
          </cell>
          <cell r="C515">
            <v>1998</v>
          </cell>
          <cell r="D515">
            <v>90</v>
          </cell>
          <cell r="E515">
            <v>2121</v>
          </cell>
          <cell r="F515">
            <v>90</v>
          </cell>
          <cell r="G515">
            <v>177857</v>
          </cell>
          <cell r="H515" t="str">
            <v>;;=SUM(F34:G34);</v>
          </cell>
          <cell r="I515" t="str">
            <v>.</v>
          </cell>
        </row>
        <row r="516">
          <cell r="A516">
            <v>348</v>
          </cell>
          <cell r="B516" t="str">
            <v>Hungary</v>
          </cell>
          <cell r="C516">
            <v>1998</v>
          </cell>
          <cell r="D516">
            <v>90</v>
          </cell>
          <cell r="E516">
            <v>2222</v>
          </cell>
          <cell r="F516">
            <v>90</v>
          </cell>
          <cell r="G516">
            <v>189208</v>
          </cell>
          <cell r="H516" t="str">
            <v>;;=SUM(F35:G35);</v>
          </cell>
          <cell r="I516" t="str">
            <v>.</v>
          </cell>
        </row>
        <row r="517">
          <cell r="A517">
            <v>348</v>
          </cell>
          <cell r="B517" t="str">
            <v>Hungary</v>
          </cell>
          <cell r="C517">
            <v>1998</v>
          </cell>
          <cell r="D517">
            <v>90</v>
          </cell>
          <cell r="E517">
            <v>2323</v>
          </cell>
          <cell r="F517">
            <v>90</v>
          </cell>
          <cell r="G517">
            <v>180953</v>
          </cell>
          <cell r="H517" t="str">
            <v>;;=SUM(F36:G36);</v>
          </cell>
          <cell r="I517" t="str">
            <v>.</v>
          </cell>
        </row>
        <row r="518">
          <cell r="A518">
            <v>348</v>
          </cell>
          <cell r="B518" t="str">
            <v>Hungary</v>
          </cell>
          <cell r="C518">
            <v>1998</v>
          </cell>
          <cell r="D518">
            <v>90</v>
          </cell>
          <cell r="E518">
            <v>2424</v>
          </cell>
          <cell r="F518">
            <v>90</v>
          </cell>
          <cell r="G518">
            <v>150572</v>
          </cell>
          <cell r="H518" t="str">
            <v>;;=SUM(F37:G37);</v>
          </cell>
          <cell r="I518" t="str">
            <v>.</v>
          </cell>
        </row>
        <row r="519">
          <cell r="A519">
            <v>348</v>
          </cell>
          <cell r="B519" t="str">
            <v>Hungary</v>
          </cell>
          <cell r="C519">
            <v>1998</v>
          </cell>
          <cell r="D519">
            <v>90</v>
          </cell>
          <cell r="E519">
            <v>2024</v>
          </cell>
          <cell r="F519">
            <v>90</v>
          </cell>
          <cell r="G519">
            <v>869297</v>
          </cell>
          <cell r="H519" t="str">
            <v>;;=SUM(F38:G38);</v>
          </cell>
          <cell r="I519" t="str">
            <v>.</v>
          </cell>
        </row>
        <row r="520">
          <cell r="A520">
            <v>348</v>
          </cell>
          <cell r="B520" t="str">
            <v>Hungary</v>
          </cell>
          <cell r="C520">
            <v>1998</v>
          </cell>
          <cell r="D520">
            <v>90</v>
          </cell>
          <cell r="E520">
            <v>2525</v>
          </cell>
          <cell r="F520">
            <v>90</v>
          </cell>
          <cell r="G520">
            <v>146198</v>
          </cell>
          <cell r="H520" t="str">
            <v>;;=SUM(F39:G39);</v>
          </cell>
          <cell r="I520" t="str">
            <v>.</v>
          </cell>
        </row>
        <row r="521">
          <cell r="A521">
            <v>348</v>
          </cell>
          <cell r="B521" t="str">
            <v>Hungary</v>
          </cell>
          <cell r="C521">
            <v>1998</v>
          </cell>
          <cell r="D521">
            <v>90</v>
          </cell>
          <cell r="E521">
            <v>2626</v>
          </cell>
          <cell r="F521">
            <v>90</v>
          </cell>
          <cell r="G521">
            <v>141524</v>
          </cell>
          <cell r="H521" t="str">
            <v>;;=SUM(F40:G40);</v>
          </cell>
          <cell r="I521" t="str">
            <v>.</v>
          </cell>
        </row>
        <row r="522">
          <cell r="A522">
            <v>348</v>
          </cell>
          <cell r="B522" t="str">
            <v>Hungary</v>
          </cell>
          <cell r="C522">
            <v>1998</v>
          </cell>
          <cell r="D522">
            <v>90</v>
          </cell>
          <cell r="E522">
            <v>2727</v>
          </cell>
          <cell r="F522">
            <v>90</v>
          </cell>
          <cell r="G522">
            <v>142785</v>
          </cell>
          <cell r="H522" t="str">
            <v>;;=SUM(F41:G41);</v>
          </cell>
          <cell r="I522" t="str">
            <v>.</v>
          </cell>
        </row>
        <row r="523">
          <cell r="A523">
            <v>348</v>
          </cell>
          <cell r="B523" t="str">
            <v>Hungary</v>
          </cell>
          <cell r="C523">
            <v>1998</v>
          </cell>
          <cell r="D523">
            <v>90</v>
          </cell>
          <cell r="E523">
            <v>2828</v>
          </cell>
          <cell r="F523">
            <v>90</v>
          </cell>
          <cell r="G523">
            <v>143285</v>
          </cell>
          <cell r="H523" t="str">
            <v>;;=SUM(F42:G42);</v>
          </cell>
          <cell r="I523" t="str">
            <v>.</v>
          </cell>
        </row>
        <row r="524">
          <cell r="A524">
            <v>348</v>
          </cell>
          <cell r="B524" t="str">
            <v>Hungary</v>
          </cell>
          <cell r="C524">
            <v>1998</v>
          </cell>
          <cell r="D524">
            <v>90</v>
          </cell>
          <cell r="E524">
            <v>2929</v>
          </cell>
          <cell r="F524">
            <v>90</v>
          </cell>
          <cell r="G524">
            <v>143679</v>
          </cell>
          <cell r="H524" t="str">
            <v>;;=SUM(F43:G43);</v>
          </cell>
          <cell r="I524" t="str">
            <v>.</v>
          </cell>
        </row>
        <row r="525">
          <cell r="A525">
            <v>348</v>
          </cell>
          <cell r="B525" t="str">
            <v>Hungary</v>
          </cell>
          <cell r="C525">
            <v>1998</v>
          </cell>
          <cell r="D525">
            <v>90</v>
          </cell>
          <cell r="E525">
            <v>2529</v>
          </cell>
          <cell r="F525">
            <v>90</v>
          </cell>
          <cell r="G525">
            <v>717471</v>
          </cell>
          <cell r="H525" t="str">
            <v>;;=SUM(F44:G44);</v>
          </cell>
          <cell r="I525" t="str">
            <v>.</v>
          </cell>
        </row>
        <row r="526">
          <cell r="A526">
            <v>348</v>
          </cell>
          <cell r="B526" t="str">
            <v>Hungary</v>
          </cell>
          <cell r="C526">
            <v>1998</v>
          </cell>
          <cell r="D526">
            <v>90</v>
          </cell>
          <cell r="E526">
            <v>3034</v>
          </cell>
          <cell r="F526">
            <v>90</v>
          </cell>
          <cell r="G526">
            <v>624687</v>
          </cell>
          <cell r="H526" t="str">
            <v>;;=SUM(F45:G45);</v>
          </cell>
          <cell r="I526" t="str">
            <v>.</v>
          </cell>
        </row>
        <row r="527">
          <cell r="A527">
            <v>348</v>
          </cell>
          <cell r="B527" t="str">
            <v>Hungary</v>
          </cell>
          <cell r="C527">
            <v>1998</v>
          </cell>
          <cell r="D527">
            <v>90</v>
          </cell>
          <cell r="E527">
            <v>3539</v>
          </cell>
          <cell r="F527">
            <v>90</v>
          </cell>
          <cell r="G527">
            <v>642424</v>
          </cell>
          <cell r="H527" t="str">
            <v>;;=SUM(F46:G46);</v>
          </cell>
          <cell r="I527" t="str">
            <v>.</v>
          </cell>
        </row>
        <row r="528">
          <cell r="A528">
            <v>348</v>
          </cell>
          <cell r="B528" t="str">
            <v>Hungary</v>
          </cell>
          <cell r="C528">
            <v>1998</v>
          </cell>
          <cell r="D528">
            <v>90</v>
          </cell>
          <cell r="E528">
            <v>4099</v>
          </cell>
          <cell r="F528">
            <v>90</v>
          </cell>
          <cell r="G528">
            <v>4782540</v>
          </cell>
          <cell r="H528" t="str">
            <v>;;=SUM(F47:G47);</v>
          </cell>
          <cell r="I528" t="str">
            <v>.</v>
          </cell>
        </row>
        <row r="529">
          <cell r="A529">
            <v>348</v>
          </cell>
          <cell r="B529" t="str">
            <v>Hungary</v>
          </cell>
          <cell r="C529">
            <v>1998</v>
          </cell>
          <cell r="D529">
            <v>90</v>
          </cell>
          <cell r="E529">
            <v>990000</v>
          </cell>
          <cell r="F529">
            <v>90</v>
          </cell>
          <cell r="G529">
            <v>0</v>
          </cell>
          <cell r="H529" t="str">
            <v>;;=SUM(F48:G48);</v>
          </cell>
          <cell r="I529" t="str">
            <v>.</v>
          </cell>
        </row>
        <row r="530">
          <cell r="A530">
            <v>352</v>
          </cell>
          <cell r="B530" t="str">
            <v>Iceland</v>
          </cell>
          <cell r="C530">
            <v>1998</v>
          </cell>
          <cell r="D530">
            <v>90</v>
          </cell>
          <cell r="E530">
            <v>303</v>
          </cell>
          <cell r="F530">
            <v>90</v>
          </cell>
          <cell r="G530">
            <v>4436</v>
          </cell>
          <cell r="H530" t="str">
            <v>;;=SUM(F13:G13);</v>
          </cell>
          <cell r="I530" t="str">
            <v>.</v>
          </cell>
        </row>
        <row r="531">
          <cell r="A531">
            <v>352</v>
          </cell>
          <cell r="B531" t="str">
            <v>Iceland</v>
          </cell>
          <cell r="C531">
            <v>1998</v>
          </cell>
          <cell r="D531">
            <v>90</v>
          </cell>
          <cell r="E531">
            <v>404</v>
          </cell>
          <cell r="F531">
            <v>90</v>
          </cell>
          <cell r="G531">
            <v>4541</v>
          </cell>
          <cell r="H531" t="str">
            <v>;;=SUM(F14:G14);</v>
          </cell>
          <cell r="I531" t="str">
            <v>.</v>
          </cell>
        </row>
        <row r="532">
          <cell r="A532">
            <v>352</v>
          </cell>
          <cell r="B532" t="str">
            <v>Iceland</v>
          </cell>
          <cell r="C532">
            <v>1998</v>
          </cell>
          <cell r="D532">
            <v>90</v>
          </cell>
          <cell r="E532">
            <v>505</v>
          </cell>
          <cell r="F532">
            <v>90</v>
          </cell>
          <cell r="G532">
            <v>4520</v>
          </cell>
          <cell r="H532" t="str">
            <v>;;=SUM(F15:G15);</v>
          </cell>
          <cell r="I532" t="str">
            <v>.</v>
          </cell>
        </row>
        <row r="533">
          <cell r="A533">
            <v>352</v>
          </cell>
          <cell r="B533" t="str">
            <v>Iceland</v>
          </cell>
          <cell r="C533">
            <v>1998</v>
          </cell>
          <cell r="D533">
            <v>90</v>
          </cell>
          <cell r="E533">
            <v>606</v>
          </cell>
          <cell r="F533">
            <v>90</v>
          </cell>
          <cell r="G533">
            <v>4482</v>
          </cell>
          <cell r="H533" t="str">
            <v>;;=SUM(F16:G16);</v>
          </cell>
          <cell r="I533" t="str">
            <v>.</v>
          </cell>
        </row>
        <row r="534">
          <cell r="A534">
            <v>352</v>
          </cell>
          <cell r="B534" t="str">
            <v>Iceland</v>
          </cell>
          <cell r="C534">
            <v>1998</v>
          </cell>
          <cell r="D534">
            <v>90</v>
          </cell>
          <cell r="E534">
            <v>707</v>
          </cell>
          <cell r="F534">
            <v>90</v>
          </cell>
          <cell r="G534">
            <v>4705</v>
          </cell>
          <cell r="H534" t="str">
            <v>;;=SUM(F17:G17);</v>
          </cell>
          <cell r="I534" t="str">
            <v>.</v>
          </cell>
        </row>
        <row r="535">
          <cell r="A535">
            <v>352</v>
          </cell>
          <cell r="B535" t="str">
            <v>Iceland</v>
          </cell>
          <cell r="C535">
            <v>1998</v>
          </cell>
          <cell r="D535">
            <v>90</v>
          </cell>
          <cell r="E535">
            <v>808</v>
          </cell>
          <cell r="F535">
            <v>90</v>
          </cell>
          <cell r="G535">
            <v>4451</v>
          </cell>
          <cell r="H535" t="str">
            <v>;;=SUM(F18:G18);</v>
          </cell>
          <cell r="I535" t="str">
            <v>.</v>
          </cell>
        </row>
        <row r="536">
          <cell r="A536">
            <v>352</v>
          </cell>
          <cell r="B536" t="str">
            <v>Iceland</v>
          </cell>
          <cell r="C536">
            <v>1998</v>
          </cell>
          <cell r="D536">
            <v>90</v>
          </cell>
          <cell r="E536">
            <v>909</v>
          </cell>
          <cell r="F536">
            <v>90</v>
          </cell>
          <cell r="G536">
            <v>4552</v>
          </cell>
          <cell r="H536" t="str">
            <v>;;=SUM(F19:G19);</v>
          </cell>
          <cell r="I536" t="str">
            <v>.</v>
          </cell>
        </row>
        <row r="537">
          <cell r="A537">
            <v>352</v>
          </cell>
          <cell r="B537" t="str">
            <v>Iceland</v>
          </cell>
          <cell r="C537">
            <v>1998</v>
          </cell>
          <cell r="D537">
            <v>90</v>
          </cell>
          <cell r="E537">
            <v>509</v>
          </cell>
          <cell r="F537">
            <v>90</v>
          </cell>
          <cell r="G537">
            <v>22710</v>
          </cell>
          <cell r="H537" t="str">
            <v>;;=SUM(F20:G20);</v>
          </cell>
          <cell r="I537" t="str">
            <v>.</v>
          </cell>
        </row>
        <row r="538">
          <cell r="A538">
            <v>352</v>
          </cell>
          <cell r="B538" t="str">
            <v>Iceland</v>
          </cell>
          <cell r="C538">
            <v>1998</v>
          </cell>
          <cell r="D538">
            <v>90</v>
          </cell>
          <cell r="E538">
            <v>1010</v>
          </cell>
          <cell r="F538">
            <v>90</v>
          </cell>
          <cell r="G538">
            <v>4120</v>
          </cell>
          <cell r="H538" t="str">
            <v>;;=SUM(F21:G21);</v>
          </cell>
          <cell r="I538" t="str">
            <v>.</v>
          </cell>
        </row>
        <row r="539">
          <cell r="A539">
            <v>352</v>
          </cell>
          <cell r="B539" t="str">
            <v>Iceland</v>
          </cell>
          <cell r="C539">
            <v>1998</v>
          </cell>
          <cell r="D539">
            <v>90</v>
          </cell>
          <cell r="E539">
            <v>1111</v>
          </cell>
          <cell r="F539">
            <v>90</v>
          </cell>
          <cell r="G539">
            <v>3845</v>
          </cell>
          <cell r="H539" t="str">
            <v>;;=SUM(F22:G22);</v>
          </cell>
          <cell r="I539" t="str">
            <v>.</v>
          </cell>
        </row>
        <row r="540">
          <cell r="A540">
            <v>352</v>
          </cell>
          <cell r="B540" t="str">
            <v>Iceland</v>
          </cell>
          <cell r="C540">
            <v>1998</v>
          </cell>
          <cell r="D540">
            <v>90</v>
          </cell>
          <cell r="E540">
            <v>1212</v>
          </cell>
          <cell r="F540">
            <v>90</v>
          </cell>
          <cell r="G540">
            <v>3847</v>
          </cell>
          <cell r="H540" t="str">
            <v>;;=SUM(F23:G23);</v>
          </cell>
          <cell r="I540" t="str">
            <v>.</v>
          </cell>
        </row>
        <row r="541">
          <cell r="A541">
            <v>352</v>
          </cell>
          <cell r="B541" t="str">
            <v>Iceland</v>
          </cell>
          <cell r="C541">
            <v>1998</v>
          </cell>
          <cell r="D541">
            <v>90</v>
          </cell>
          <cell r="E541">
            <v>1313</v>
          </cell>
          <cell r="F541">
            <v>90</v>
          </cell>
          <cell r="G541">
            <v>4052</v>
          </cell>
          <cell r="H541" t="str">
            <v>;;=SUM(F24:G24);</v>
          </cell>
          <cell r="I541" t="str">
            <v>.</v>
          </cell>
        </row>
        <row r="542">
          <cell r="A542">
            <v>352</v>
          </cell>
          <cell r="B542" t="str">
            <v>Iceland</v>
          </cell>
          <cell r="C542">
            <v>1998</v>
          </cell>
          <cell r="D542">
            <v>90</v>
          </cell>
          <cell r="E542">
            <v>1414</v>
          </cell>
          <cell r="F542">
            <v>90</v>
          </cell>
          <cell r="G542">
            <v>4249</v>
          </cell>
          <cell r="H542" t="str">
            <v>;;=SUM(F25:G25);</v>
          </cell>
          <cell r="I542" t="str">
            <v>.</v>
          </cell>
        </row>
        <row r="543">
          <cell r="A543">
            <v>352</v>
          </cell>
          <cell r="B543" t="str">
            <v>Iceland</v>
          </cell>
          <cell r="C543">
            <v>1998</v>
          </cell>
          <cell r="D543">
            <v>90</v>
          </cell>
          <cell r="E543">
            <v>1014</v>
          </cell>
          <cell r="F543">
            <v>90</v>
          </cell>
          <cell r="G543">
            <v>20113</v>
          </cell>
          <cell r="H543" t="str">
            <v>;;=SUM(F26:G26);</v>
          </cell>
          <cell r="I543" t="str">
            <v>.</v>
          </cell>
        </row>
        <row r="544">
          <cell r="A544">
            <v>352</v>
          </cell>
          <cell r="B544" t="str">
            <v>Iceland</v>
          </cell>
          <cell r="C544">
            <v>1998</v>
          </cell>
          <cell r="D544">
            <v>90</v>
          </cell>
          <cell r="E544">
            <v>1515</v>
          </cell>
          <cell r="F544">
            <v>90</v>
          </cell>
          <cell r="G544">
            <v>4352</v>
          </cell>
          <cell r="H544" t="str">
            <v>;;=SUM(F27:G27);</v>
          </cell>
          <cell r="I544" t="str">
            <v>.</v>
          </cell>
        </row>
        <row r="545">
          <cell r="A545">
            <v>352</v>
          </cell>
          <cell r="B545" t="str">
            <v>Iceland</v>
          </cell>
          <cell r="C545">
            <v>1998</v>
          </cell>
          <cell r="D545">
            <v>90</v>
          </cell>
          <cell r="E545">
            <v>1616</v>
          </cell>
          <cell r="F545">
            <v>90</v>
          </cell>
          <cell r="G545">
            <v>4340</v>
          </cell>
          <cell r="H545" t="str">
            <v>;;=SUM(F28:G28);</v>
          </cell>
          <cell r="I545" t="str">
            <v>.</v>
          </cell>
        </row>
        <row r="546">
          <cell r="A546">
            <v>352</v>
          </cell>
          <cell r="B546" t="str">
            <v>Iceland</v>
          </cell>
          <cell r="C546">
            <v>1998</v>
          </cell>
          <cell r="D546">
            <v>90</v>
          </cell>
          <cell r="E546">
            <v>1717</v>
          </cell>
          <cell r="F546">
            <v>90</v>
          </cell>
          <cell r="G546">
            <v>4539</v>
          </cell>
          <cell r="H546" t="str">
            <v>;;=SUM(F29:G29);</v>
          </cell>
          <cell r="I546" t="str">
            <v>.</v>
          </cell>
        </row>
        <row r="547">
          <cell r="A547">
            <v>352</v>
          </cell>
          <cell r="B547" t="str">
            <v>Iceland</v>
          </cell>
          <cell r="C547">
            <v>1998</v>
          </cell>
          <cell r="D547">
            <v>90</v>
          </cell>
          <cell r="E547">
            <v>1818</v>
          </cell>
          <cell r="F547">
            <v>90</v>
          </cell>
          <cell r="G547">
            <v>4497</v>
          </cell>
          <cell r="H547" t="str">
            <v>;;=SUM(F30:G30);</v>
          </cell>
          <cell r="I547" t="str">
            <v>.</v>
          </cell>
        </row>
        <row r="548">
          <cell r="A548">
            <v>352</v>
          </cell>
          <cell r="B548" t="str">
            <v>Iceland</v>
          </cell>
          <cell r="C548">
            <v>1998</v>
          </cell>
          <cell r="D548">
            <v>90</v>
          </cell>
          <cell r="E548">
            <v>1919</v>
          </cell>
          <cell r="F548">
            <v>90</v>
          </cell>
          <cell r="G548">
            <v>4092</v>
          </cell>
          <cell r="H548" t="str">
            <v>;;=SUM(F31:G31);</v>
          </cell>
          <cell r="I548" t="str">
            <v>.</v>
          </cell>
        </row>
        <row r="549">
          <cell r="A549">
            <v>352</v>
          </cell>
          <cell r="B549" t="str">
            <v>Iceland</v>
          </cell>
          <cell r="C549">
            <v>1998</v>
          </cell>
          <cell r="D549">
            <v>90</v>
          </cell>
          <cell r="E549">
            <v>1519</v>
          </cell>
          <cell r="F549">
            <v>90</v>
          </cell>
          <cell r="G549">
            <v>21820</v>
          </cell>
          <cell r="H549" t="str">
            <v>;;=SUM(F32:G32);</v>
          </cell>
          <cell r="I549" t="str">
            <v>.</v>
          </cell>
        </row>
        <row r="550">
          <cell r="A550">
            <v>352</v>
          </cell>
          <cell r="B550" t="str">
            <v>Iceland</v>
          </cell>
          <cell r="C550">
            <v>1998</v>
          </cell>
          <cell r="D550">
            <v>90</v>
          </cell>
          <cell r="E550">
            <v>2020</v>
          </cell>
          <cell r="F550">
            <v>90</v>
          </cell>
          <cell r="G550">
            <v>3940</v>
          </cell>
          <cell r="H550" t="str">
            <v>;;=SUM(F33:G33);</v>
          </cell>
          <cell r="I550" t="str">
            <v>.</v>
          </cell>
        </row>
        <row r="551">
          <cell r="A551">
            <v>352</v>
          </cell>
          <cell r="B551" t="str">
            <v>Iceland</v>
          </cell>
          <cell r="C551">
            <v>1998</v>
          </cell>
          <cell r="D551">
            <v>90</v>
          </cell>
          <cell r="E551">
            <v>2121</v>
          </cell>
          <cell r="F551">
            <v>90</v>
          </cell>
          <cell r="G551">
            <v>4178</v>
          </cell>
          <cell r="H551" t="str">
            <v>;;=SUM(F34:G34);</v>
          </cell>
          <cell r="I551" t="str">
            <v>.</v>
          </cell>
        </row>
        <row r="552">
          <cell r="A552">
            <v>352</v>
          </cell>
          <cell r="B552" t="str">
            <v>Iceland</v>
          </cell>
          <cell r="C552">
            <v>1998</v>
          </cell>
          <cell r="D552">
            <v>90</v>
          </cell>
          <cell r="E552">
            <v>2222</v>
          </cell>
          <cell r="F552">
            <v>90</v>
          </cell>
          <cell r="G552">
            <v>4168</v>
          </cell>
          <cell r="H552" t="str">
            <v>;;=SUM(F35:G35);</v>
          </cell>
          <cell r="I552" t="str">
            <v>.</v>
          </cell>
        </row>
        <row r="553">
          <cell r="A553">
            <v>352</v>
          </cell>
          <cell r="B553" t="str">
            <v>Iceland</v>
          </cell>
          <cell r="C553">
            <v>1998</v>
          </cell>
          <cell r="D553">
            <v>90</v>
          </cell>
          <cell r="E553">
            <v>2323</v>
          </cell>
          <cell r="F553">
            <v>90</v>
          </cell>
          <cell r="G553">
            <v>3997</v>
          </cell>
          <cell r="H553" t="str">
            <v>;;=SUM(F36:G36);</v>
          </cell>
          <cell r="I553" t="str">
            <v>.</v>
          </cell>
        </row>
        <row r="554">
          <cell r="A554">
            <v>352</v>
          </cell>
          <cell r="B554" t="str">
            <v>Iceland</v>
          </cell>
          <cell r="C554">
            <v>1998</v>
          </cell>
          <cell r="D554">
            <v>90</v>
          </cell>
          <cell r="E554">
            <v>2424</v>
          </cell>
          <cell r="F554">
            <v>90</v>
          </cell>
          <cell r="G554">
            <v>4360</v>
          </cell>
          <cell r="H554" t="str">
            <v>;;=SUM(F37:G37);</v>
          </cell>
          <cell r="I554" t="str">
            <v>.</v>
          </cell>
        </row>
        <row r="555">
          <cell r="A555">
            <v>352</v>
          </cell>
          <cell r="B555" t="str">
            <v>Iceland</v>
          </cell>
          <cell r="C555">
            <v>1998</v>
          </cell>
          <cell r="D555">
            <v>90</v>
          </cell>
          <cell r="E555">
            <v>2024</v>
          </cell>
          <cell r="F555">
            <v>90</v>
          </cell>
          <cell r="G555">
            <v>20643</v>
          </cell>
          <cell r="H555" t="str">
            <v>;;=SUM(F38:G38);</v>
          </cell>
          <cell r="I555" t="str">
            <v>.</v>
          </cell>
        </row>
        <row r="556">
          <cell r="A556">
            <v>352</v>
          </cell>
          <cell r="B556" t="str">
            <v>Iceland</v>
          </cell>
          <cell r="C556">
            <v>1998</v>
          </cell>
          <cell r="D556">
            <v>90</v>
          </cell>
          <cell r="E556">
            <v>2525</v>
          </cell>
          <cell r="F556">
            <v>90</v>
          </cell>
          <cell r="G556">
            <v>4377</v>
          </cell>
          <cell r="H556" t="str">
            <v>;;=SUM(F39:G39);</v>
          </cell>
          <cell r="I556" t="str">
            <v>.</v>
          </cell>
        </row>
        <row r="557">
          <cell r="A557">
            <v>352</v>
          </cell>
          <cell r="B557" t="str">
            <v>Iceland</v>
          </cell>
          <cell r="C557">
            <v>1998</v>
          </cell>
          <cell r="D557">
            <v>90</v>
          </cell>
          <cell r="E557">
            <v>2626</v>
          </cell>
          <cell r="F557">
            <v>90</v>
          </cell>
          <cell r="G557">
            <v>3944</v>
          </cell>
          <cell r="H557" t="str">
            <v>;;=SUM(F40:G40);</v>
          </cell>
          <cell r="I557" t="str">
            <v>.</v>
          </cell>
        </row>
        <row r="558">
          <cell r="A558">
            <v>352</v>
          </cell>
          <cell r="B558" t="str">
            <v>Iceland</v>
          </cell>
          <cell r="C558">
            <v>1998</v>
          </cell>
          <cell r="D558">
            <v>90</v>
          </cell>
          <cell r="E558">
            <v>2727</v>
          </cell>
          <cell r="F558">
            <v>90</v>
          </cell>
          <cell r="G558">
            <v>3711</v>
          </cell>
          <cell r="H558" t="str">
            <v>;;=SUM(F41:G41);</v>
          </cell>
          <cell r="I558" t="str">
            <v>.</v>
          </cell>
        </row>
        <row r="559">
          <cell r="A559">
            <v>352</v>
          </cell>
          <cell r="B559" t="str">
            <v>Iceland</v>
          </cell>
          <cell r="C559">
            <v>1998</v>
          </cell>
          <cell r="D559">
            <v>90</v>
          </cell>
          <cell r="E559">
            <v>2828</v>
          </cell>
          <cell r="F559">
            <v>90</v>
          </cell>
          <cell r="G559">
            <v>3898</v>
          </cell>
          <cell r="H559" t="str">
            <v>;;=SUM(F42:G42);</v>
          </cell>
          <cell r="I559" t="str">
            <v>.</v>
          </cell>
        </row>
        <row r="560">
          <cell r="A560">
            <v>352</v>
          </cell>
          <cell r="B560" t="str">
            <v>Iceland</v>
          </cell>
          <cell r="C560">
            <v>1998</v>
          </cell>
          <cell r="D560">
            <v>90</v>
          </cell>
          <cell r="E560">
            <v>2929</v>
          </cell>
          <cell r="F560">
            <v>90</v>
          </cell>
          <cell r="G560">
            <v>3816</v>
          </cell>
          <cell r="H560" t="str">
            <v>;;=SUM(F43:G43);</v>
          </cell>
          <cell r="I560" t="str">
            <v>.</v>
          </cell>
        </row>
        <row r="561">
          <cell r="A561">
            <v>352</v>
          </cell>
          <cell r="B561" t="str">
            <v>Iceland</v>
          </cell>
          <cell r="C561">
            <v>1998</v>
          </cell>
          <cell r="D561">
            <v>90</v>
          </cell>
          <cell r="E561">
            <v>2529</v>
          </cell>
          <cell r="F561">
            <v>90</v>
          </cell>
          <cell r="G561">
            <v>19746</v>
          </cell>
          <cell r="H561" t="str">
            <v>;;=SUM(F44:G44);</v>
          </cell>
          <cell r="I561" t="str">
            <v>.</v>
          </cell>
        </row>
        <row r="562">
          <cell r="A562">
            <v>352</v>
          </cell>
          <cell r="B562" t="str">
            <v>Iceland</v>
          </cell>
          <cell r="C562">
            <v>1998</v>
          </cell>
          <cell r="D562">
            <v>90</v>
          </cell>
          <cell r="E562">
            <v>3034</v>
          </cell>
          <cell r="F562">
            <v>90</v>
          </cell>
          <cell r="G562">
            <v>21009</v>
          </cell>
          <cell r="H562" t="str">
            <v>;;=SUM(F45:G45);</v>
          </cell>
          <cell r="I562" t="str">
            <v>.</v>
          </cell>
        </row>
        <row r="563">
          <cell r="A563">
            <v>352</v>
          </cell>
          <cell r="B563" t="str">
            <v>Iceland</v>
          </cell>
          <cell r="C563">
            <v>1998</v>
          </cell>
          <cell r="D563">
            <v>90</v>
          </cell>
          <cell r="E563">
            <v>3539</v>
          </cell>
          <cell r="F563">
            <v>90</v>
          </cell>
          <cell r="G563">
            <v>21046</v>
          </cell>
          <cell r="H563" t="str">
            <v>;;=SUM(F46:G46);</v>
          </cell>
          <cell r="I563" t="str">
            <v>.</v>
          </cell>
        </row>
        <row r="564">
          <cell r="A564">
            <v>352</v>
          </cell>
          <cell r="B564" t="str">
            <v>Iceland</v>
          </cell>
          <cell r="C564">
            <v>1998</v>
          </cell>
          <cell r="D564">
            <v>90</v>
          </cell>
          <cell r="E564">
            <v>4099</v>
          </cell>
          <cell r="F564">
            <v>90</v>
          </cell>
          <cell r="G564">
            <v>103536</v>
          </cell>
          <cell r="H564" t="str">
            <v>;;=SUM(F47:G47);</v>
          </cell>
          <cell r="I564" t="str">
            <v>.</v>
          </cell>
        </row>
        <row r="565">
          <cell r="A565">
            <v>352</v>
          </cell>
          <cell r="B565" t="str">
            <v>Iceland</v>
          </cell>
          <cell r="C565">
            <v>1998</v>
          </cell>
          <cell r="D565">
            <v>90</v>
          </cell>
          <cell r="E565">
            <v>990000</v>
          </cell>
          <cell r="F565">
            <v>90</v>
          </cell>
          <cell r="G565">
            <v>0</v>
          </cell>
          <cell r="H565" t="str">
            <v>n;</v>
          </cell>
          <cell r="I565" t="str">
            <v>n</v>
          </cell>
        </row>
        <row r="566">
          <cell r="A566">
            <v>372</v>
          </cell>
          <cell r="B566" t="str">
            <v>Ireland</v>
          </cell>
          <cell r="C566">
            <v>1998</v>
          </cell>
          <cell r="D566">
            <v>90</v>
          </cell>
          <cell r="E566">
            <v>900000</v>
          </cell>
          <cell r="F566">
            <v>90</v>
          </cell>
          <cell r="G566">
            <v>3694080</v>
          </cell>
          <cell r="H566" t="str">
            <v>;;=SUM(F11:G11);</v>
          </cell>
          <cell r="I566" t="str">
            <v>.</v>
          </cell>
        </row>
        <row r="567">
          <cell r="A567">
            <v>372</v>
          </cell>
          <cell r="B567" t="str">
            <v>Ireland</v>
          </cell>
          <cell r="C567">
            <v>1998</v>
          </cell>
          <cell r="D567">
            <v>90</v>
          </cell>
          <cell r="E567">
            <v>300</v>
          </cell>
          <cell r="F567">
            <v>90</v>
          </cell>
          <cell r="G567">
            <v>152660</v>
          </cell>
          <cell r="H567" t="str">
            <v>;;=SUM(F12:G12);</v>
          </cell>
          <cell r="I567" t="str">
            <v>.</v>
          </cell>
        </row>
        <row r="568">
          <cell r="A568">
            <v>372</v>
          </cell>
          <cell r="B568" t="str">
            <v>Ireland</v>
          </cell>
          <cell r="C568">
            <v>1998</v>
          </cell>
          <cell r="D568">
            <v>90</v>
          </cell>
          <cell r="E568">
            <v>303</v>
          </cell>
          <cell r="F568">
            <v>90</v>
          </cell>
          <cell r="G568">
            <v>49500</v>
          </cell>
          <cell r="H568" t="str">
            <v>;;=SUM(F13:G13);</v>
          </cell>
          <cell r="I568" t="str">
            <v>.</v>
          </cell>
        </row>
        <row r="569">
          <cell r="A569">
            <v>372</v>
          </cell>
          <cell r="B569" t="str">
            <v>Ireland</v>
          </cell>
          <cell r="C569">
            <v>1998</v>
          </cell>
          <cell r="D569">
            <v>90</v>
          </cell>
          <cell r="E569">
            <v>404</v>
          </cell>
          <cell r="F569">
            <v>90</v>
          </cell>
          <cell r="G569">
            <v>50600</v>
          </cell>
          <cell r="H569" t="str">
            <v>;;=SUM(F14:G14);</v>
          </cell>
          <cell r="I569" t="str">
            <v>.</v>
          </cell>
        </row>
        <row r="570">
          <cell r="A570">
            <v>372</v>
          </cell>
          <cell r="B570" t="str">
            <v>Ireland</v>
          </cell>
          <cell r="C570">
            <v>1998</v>
          </cell>
          <cell r="D570">
            <v>90</v>
          </cell>
          <cell r="E570">
            <v>505</v>
          </cell>
          <cell r="F570">
            <v>90</v>
          </cell>
          <cell r="G570">
            <v>52240</v>
          </cell>
          <cell r="H570" t="str">
            <v>;;=SUM(F15:G15);</v>
          </cell>
          <cell r="I570" t="str">
            <v>.</v>
          </cell>
        </row>
        <row r="571">
          <cell r="A571">
            <v>372</v>
          </cell>
          <cell r="B571" t="str">
            <v>Ireland</v>
          </cell>
          <cell r="C571">
            <v>1998</v>
          </cell>
          <cell r="D571">
            <v>90</v>
          </cell>
          <cell r="E571">
            <v>606</v>
          </cell>
          <cell r="F571">
            <v>90</v>
          </cell>
          <cell r="G571">
            <v>54600</v>
          </cell>
          <cell r="H571" t="str">
            <v>;;=SUM(F16:G16);</v>
          </cell>
          <cell r="I571" t="str">
            <v>.</v>
          </cell>
        </row>
        <row r="572">
          <cell r="A572">
            <v>372</v>
          </cell>
          <cell r="B572" t="str">
            <v>Ireland</v>
          </cell>
          <cell r="C572">
            <v>1998</v>
          </cell>
          <cell r="D572">
            <v>90</v>
          </cell>
          <cell r="E572">
            <v>707</v>
          </cell>
          <cell r="F572">
            <v>90</v>
          </cell>
          <cell r="G572">
            <v>55800</v>
          </cell>
          <cell r="H572" t="str">
            <v>;;=SUM(F17:G17);</v>
          </cell>
          <cell r="I572" t="str">
            <v>.</v>
          </cell>
        </row>
        <row r="573">
          <cell r="A573">
            <v>372</v>
          </cell>
          <cell r="B573" t="str">
            <v>Ireland</v>
          </cell>
          <cell r="C573">
            <v>1998</v>
          </cell>
          <cell r="D573">
            <v>90</v>
          </cell>
          <cell r="E573">
            <v>808</v>
          </cell>
          <cell r="F573">
            <v>90</v>
          </cell>
          <cell r="G573">
            <v>55800</v>
          </cell>
          <cell r="H573" t="str">
            <v>;;=SUM(F18:G18);</v>
          </cell>
          <cell r="I573" t="str">
            <v>.</v>
          </cell>
        </row>
        <row r="574">
          <cell r="A574">
            <v>372</v>
          </cell>
          <cell r="B574" t="str">
            <v>Ireland</v>
          </cell>
          <cell r="C574">
            <v>1998</v>
          </cell>
          <cell r="D574">
            <v>90</v>
          </cell>
          <cell r="E574">
            <v>909</v>
          </cell>
          <cell r="F574">
            <v>90</v>
          </cell>
          <cell r="G574">
            <v>56200</v>
          </cell>
          <cell r="H574" t="str">
            <v>;;=SUM(F19:G19);</v>
          </cell>
          <cell r="I574" t="str">
            <v>.</v>
          </cell>
        </row>
        <row r="575">
          <cell r="A575">
            <v>372</v>
          </cell>
          <cell r="B575" t="str">
            <v>Ireland</v>
          </cell>
          <cell r="C575">
            <v>1998</v>
          </cell>
          <cell r="D575">
            <v>90</v>
          </cell>
          <cell r="E575">
            <v>509</v>
          </cell>
          <cell r="F575">
            <v>90</v>
          </cell>
          <cell r="G575">
            <v>274640</v>
          </cell>
          <cell r="H575" t="str">
            <v>;;=SUM(F20:G20);</v>
          </cell>
          <cell r="I575" t="str">
            <v>.</v>
          </cell>
        </row>
        <row r="576">
          <cell r="A576">
            <v>372</v>
          </cell>
          <cell r="B576" t="str">
            <v>Ireland</v>
          </cell>
          <cell r="C576">
            <v>1998</v>
          </cell>
          <cell r="D576">
            <v>90</v>
          </cell>
          <cell r="E576">
            <v>1010</v>
          </cell>
          <cell r="F576">
            <v>90</v>
          </cell>
          <cell r="G576">
            <v>58430</v>
          </cell>
          <cell r="H576" t="str">
            <v>;;=SUM(F21:G21);</v>
          </cell>
          <cell r="I576" t="str">
            <v>.</v>
          </cell>
        </row>
        <row r="577">
          <cell r="A577">
            <v>372</v>
          </cell>
          <cell r="B577" t="str">
            <v>Ireland</v>
          </cell>
          <cell r="C577">
            <v>1998</v>
          </cell>
          <cell r="D577">
            <v>90</v>
          </cell>
          <cell r="E577">
            <v>1111</v>
          </cell>
          <cell r="F577">
            <v>90</v>
          </cell>
          <cell r="G577">
            <v>61100</v>
          </cell>
          <cell r="H577" t="str">
            <v>;;=SUM(F22:G22);</v>
          </cell>
          <cell r="I577" t="str">
            <v>.</v>
          </cell>
        </row>
        <row r="578">
          <cell r="A578">
            <v>372</v>
          </cell>
          <cell r="B578" t="str">
            <v>Ireland</v>
          </cell>
          <cell r="C578">
            <v>1998</v>
          </cell>
          <cell r="D578">
            <v>90</v>
          </cell>
          <cell r="E578">
            <v>1212</v>
          </cell>
          <cell r="F578">
            <v>90</v>
          </cell>
          <cell r="G578">
            <v>62060</v>
          </cell>
          <cell r="H578" t="str">
            <v>;;=SUM(F23:G23);</v>
          </cell>
          <cell r="I578" t="str">
            <v>.</v>
          </cell>
        </row>
        <row r="579">
          <cell r="A579">
            <v>372</v>
          </cell>
          <cell r="B579" t="str">
            <v>Ireland</v>
          </cell>
          <cell r="C579">
            <v>1998</v>
          </cell>
          <cell r="D579">
            <v>90</v>
          </cell>
          <cell r="E579">
            <v>1313</v>
          </cell>
          <cell r="F579">
            <v>90</v>
          </cell>
          <cell r="G579">
            <v>63200</v>
          </cell>
          <cell r="H579" t="str">
            <v>;;=SUM(F24:G24);</v>
          </cell>
          <cell r="I579" t="str">
            <v>.</v>
          </cell>
        </row>
        <row r="580">
          <cell r="A580">
            <v>372</v>
          </cell>
          <cell r="B580" t="str">
            <v>Ireland</v>
          </cell>
          <cell r="C580">
            <v>1998</v>
          </cell>
          <cell r="D580">
            <v>90</v>
          </cell>
          <cell r="E580">
            <v>1414</v>
          </cell>
          <cell r="F580">
            <v>90</v>
          </cell>
          <cell r="G580">
            <v>65770</v>
          </cell>
          <cell r="H580" t="str">
            <v>;;=SUM(F25:G25);</v>
          </cell>
          <cell r="I580" t="str">
            <v>.</v>
          </cell>
        </row>
        <row r="581">
          <cell r="A581">
            <v>407</v>
          </cell>
          <cell r="B581" t="str">
            <v>Korea, Republic of</v>
          </cell>
          <cell r="C581">
            <v>1998</v>
          </cell>
          <cell r="D581">
            <v>90</v>
          </cell>
          <cell r="E581">
            <v>900000</v>
          </cell>
          <cell r="F581">
            <v>90</v>
          </cell>
          <cell r="G581">
            <v>46429817</v>
          </cell>
          <cell r="H581" t="str">
            <v>;;=SUM(F11:G11);</v>
          </cell>
          <cell r="I581" t="str">
            <v>.</v>
          </cell>
        </row>
        <row r="582">
          <cell r="A582">
            <v>407</v>
          </cell>
          <cell r="B582" t="str">
            <v>Korea, Republic of</v>
          </cell>
          <cell r="C582">
            <v>1998</v>
          </cell>
          <cell r="D582">
            <v>90</v>
          </cell>
          <cell r="E582">
            <v>300</v>
          </cell>
          <cell r="F582">
            <v>90</v>
          </cell>
          <cell r="G582">
            <v>2152037</v>
          </cell>
          <cell r="H582" t="str">
            <v>;;=SUM(F12:G12);</v>
          </cell>
          <cell r="I582" t="str">
            <v>.</v>
          </cell>
        </row>
        <row r="583">
          <cell r="A583">
            <v>407</v>
          </cell>
          <cell r="B583" t="str">
            <v>Korea, Republic of</v>
          </cell>
          <cell r="C583">
            <v>1998</v>
          </cell>
          <cell r="D583">
            <v>90</v>
          </cell>
          <cell r="E583">
            <v>303</v>
          </cell>
          <cell r="F583">
            <v>90</v>
          </cell>
          <cell r="G583">
            <v>716260</v>
          </cell>
          <cell r="H583" t="str">
            <v>;;=SUM(F13:G13);</v>
          </cell>
          <cell r="I583" t="str">
            <v>.</v>
          </cell>
        </row>
        <row r="584">
          <cell r="A584">
            <v>407</v>
          </cell>
          <cell r="B584" t="str">
            <v>Korea, Republic of</v>
          </cell>
          <cell r="C584">
            <v>1998</v>
          </cell>
          <cell r="D584">
            <v>90</v>
          </cell>
          <cell r="E584">
            <v>404</v>
          </cell>
          <cell r="F584">
            <v>90</v>
          </cell>
          <cell r="G584">
            <v>717936</v>
          </cell>
          <cell r="H584" t="str">
            <v>;;=SUM(F14:G14);</v>
          </cell>
          <cell r="I584" t="str">
            <v>.</v>
          </cell>
        </row>
        <row r="585">
          <cell r="A585">
            <v>407</v>
          </cell>
          <cell r="B585" t="str">
            <v>Korea, Republic of</v>
          </cell>
          <cell r="C585">
            <v>1998</v>
          </cell>
          <cell r="D585">
            <v>90</v>
          </cell>
          <cell r="E585">
            <v>505</v>
          </cell>
          <cell r="F585">
            <v>90</v>
          </cell>
          <cell r="G585">
            <v>716861</v>
          </cell>
          <cell r="H585" t="str">
            <v>;;=SUM(F15:G15);</v>
          </cell>
          <cell r="I585" t="str">
            <v>.</v>
          </cell>
        </row>
        <row r="586">
          <cell r="A586">
            <v>407</v>
          </cell>
          <cell r="B586" t="str">
            <v>Korea, Republic of</v>
          </cell>
          <cell r="C586">
            <v>1998</v>
          </cell>
          <cell r="D586">
            <v>90</v>
          </cell>
          <cell r="E586">
            <v>606</v>
          </cell>
          <cell r="F586">
            <v>90</v>
          </cell>
          <cell r="G586">
            <v>704896</v>
          </cell>
          <cell r="H586" t="str">
            <v>;;=SUM(F16:G16);</v>
          </cell>
          <cell r="I586" t="str">
            <v>.</v>
          </cell>
        </row>
        <row r="587">
          <cell r="A587">
            <v>250</v>
          </cell>
          <cell r="B587" t="str">
            <v>France</v>
          </cell>
          <cell r="C587">
            <v>1998</v>
          </cell>
          <cell r="D587">
            <v>90</v>
          </cell>
          <cell r="E587">
            <v>404</v>
          </cell>
          <cell r="F587">
            <v>90</v>
          </cell>
          <cell r="G587">
            <v>703013</v>
          </cell>
          <cell r="H587" t="str">
            <v>;;=SUM(F14:G14);</v>
          </cell>
          <cell r="I587" t="str">
            <v>.</v>
          </cell>
        </row>
        <row r="588">
          <cell r="A588">
            <v>250</v>
          </cell>
          <cell r="B588" t="str">
            <v>France</v>
          </cell>
          <cell r="C588">
            <v>1998</v>
          </cell>
          <cell r="D588">
            <v>90</v>
          </cell>
          <cell r="E588">
            <v>505</v>
          </cell>
          <cell r="F588">
            <v>90</v>
          </cell>
          <cell r="G588">
            <v>737549</v>
          </cell>
          <cell r="H588" t="str">
            <v>;;=SUM(F15:G15);</v>
          </cell>
          <cell r="I588" t="str">
            <v>.</v>
          </cell>
        </row>
        <row r="589">
          <cell r="A589">
            <v>250</v>
          </cell>
          <cell r="B589" t="str">
            <v>France</v>
          </cell>
          <cell r="C589">
            <v>1998</v>
          </cell>
          <cell r="D589">
            <v>90</v>
          </cell>
          <cell r="E589">
            <v>606</v>
          </cell>
          <cell r="F589">
            <v>90</v>
          </cell>
          <cell r="G589">
            <v>754313</v>
          </cell>
          <cell r="H589" t="str">
            <v>;;=SUM(F16:G16);</v>
          </cell>
          <cell r="I589" t="str">
            <v>.</v>
          </cell>
        </row>
        <row r="590">
          <cell r="A590">
            <v>250</v>
          </cell>
          <cell r="B590" t="str">
            <v>France</v>
          </cell>
          <cell r="C590">
            <v>1998</v>
          </cell>
          <cell r="D590">
            <v>90</v>
          </cell>
          <cell r="E590">
            <v>707</v>
          </cell>
          <cell r="F590">
            <v>90</v>
          </cell>
          <cell r="G590">
            <v>758859</v>
          </cell>
          <cell r="H590" t="str">
            <v>;;=SUM(F17:G17);</v>
          </cell>
          <cell r="I590" t="str">
            <v>.</v>
          </cell>
        </row>
        <row r="591">
          <cell r="A591">
            <v>250</v>
          </cell>
          <cell r="B591" t="str">
            <v>France</v>
          </cell>
          <cell r="C591">
            <v>1998</v>
          </cell>
          <cell r="D591">
            <v>90</v>
          </cell>
          <cell r="E591">
            <v>808</v>
          </cell>
          <cell r="F591">
            <v>90</v>
          </cell>
          <cell r="G591">
            <v>763577</v>
          </cell>
          <cell r="H591" t="str">
            <v>;;=SUM(F18:G18);</v>
          </cell>
          <cell r="I591" t="str">
            <v>.</v>
          </cell>
        </row>
        <row r="592">
          <cell r="A592">
            <v>250</v>
          </cell>
          <cell r="B592" t="str">
            <v>France</v>
          </cell>
          <cell r="C592">
            <v>1998</v>
          </cell>
          <cell r="D592">
            <v>90</v>
          </cell>
          <cell r="E592">
            <v>909</v>
          </cell>
          <cell r="F592">
            <v>90</v>
          </cell>
          <cell r="G592">
            <v>771252</v>
          </cell>
          <cell r="H592" t="str">
            <v>;;=SUM(F19:G19);</v>
          </cell>
          <cell r="I592" t="str">
            <v>.</v>
          </cell>
        </row>
        <row r="593">
          <cell r="A593">
            <v>250</v>
          </cell>
          <cell r="B593" t="str">
            <v>France</v>
          </cell>
          <cell r="C593">
            <v>1998</v>
          </cell>
          <cell r="D593">
            <v>90</v>
          </cell>
          <cell r="E593">
            <v>509</v>
          </cell>
          <cell r="F593">
            <v>90</v>
          </cell>
          <cell r="G593">
            <v>3785550</v>
          </cell>
          <cell r="H593" t="str">
            <v>;;=SUM(F20:G20);</v>
          </cell>
          <cell r="I593" t="str">
            <v>.</v>
          </cell>
        </row>
        <row r="594">
          <cell r="A594">
            <v>250</v>
          </cell>
          <cell r="B594" t="str">
            <v>France</v>
          </cell>
          <cell r="C594">
            <v>1998</v>
          </cell>
          <cell r="D594">
            <v>90</v>
          </cell>
          <cell r="E594">
            <v>1010</v>
          </cell>
          <cell r="F594">
            <v>90</v>
          </cell>
          <cell r="G594">
            <v>770887</v>
          </cell>
          <cell r="H594" t="str">
            <v>;;=SUM(F21:G21);</v>
          </cell>
          <cell r="I594" t="str">
            <v>.</v>
          </cell>
        </row>
        <row r="595">
          <cell r="A595">
            <v>250</v>
          </cell>
          <cell r="B595" t="str">
            <v>France</v>
          </cell>
          <cell r="C595">
            <v>1998</v>
          </cell>
          <cell r="D595">
            <v>90</v>
          </cell>
          <cell r="E595">
            <v>1111</v>
          </cell>
          <cell r="F595">
            <v>90</v>
          </cell>
          <cell r="G595">
            <v>781247</v>
          </cell>
          <cell r="H595" t="str">
            <v>;;=SUM(F22:G22);</v>
          </cell>
          <cell r="I595" t="str">
            <v>.</v>
          </cell>
        </row>
        <row r="596">
          <cell r="A596">
            <v>250</v>
          </cell>
          <cell r="B596" t="str">
            <v>France</v>
          </cell>
          <cell r="C596">
            <v>1998</v>
          </cell>
          <cell r="D596">
            <v>90</v>
          </cell>
          <cell r="E596">
            <v>1212</v>
          </cell>
          <cell r="F596">
            <v>90</v>
          </cell>
          <cell r="G596">
            <v>772467</v>
          </cell>
          <cell r="H596" t="str">
            <v>;;=SUM(F23:G23);</v>
          </cell>
          <cell r="I596" t="str">
            <v>.</v>
          </cell>
        </row>
        <row r="597">
          <cell r="A597">
            <v>250</v>
          </cell>
          <cell r="B597" t="str">
            <v>France</v>
          </cell>
          <cell r="C597">
            <v>1998</v>
          </cell>
          <cell r="D597">
            <v>90</v>
          </cell>
          <cell r="E597">
            <v>1313</v>
          </cell>
          <cell r="F597">
            <v>90</v>
          </cell>
          <cell r="G597">
            <v>761432</v>
          </cell>
          <cell r="H597" t="str">
            <v>;;=SUM(F24:G24);</v>
          </cell>
          <cell r="I597" t="str">
            <v>.</v>
          </cell>
        </row>
        <row r="598">
          <cell r="A598">
            <v>250</v>
          </cell>
          <cell r="B598" t="str">
            <v>France</v>
          </cell>
          <cell r="C598">
            <v>1998</v>
          </cell>
          <cell r="D598">
            <v>90</v>
          </cell>
          <cell r="E598">
            <v>1414</v>
          </cell>
          <cell r="F598">
            <v>90</v>
          </cell>
          <cell r="G598">
            <v>750893</v>
          </cell>
          <cell r="H598" t="str">
            <v>;;=SUM(F25:G25);</v>
          </cell>
          <cell r="I598" t="str">
            <v>.</v>
          </cell>
        </row>
        <row r="599">
          <cell r="A599">
            <v>250</v>
          </cell>
          <cell r="B599" t="str">
            <v>France</v>
          </cell>
          <cell r="C599">
            <v>1998</v>
          </cell>
          <cell r="D599">
            <v>90</v>
          </cell>
          <cell r="E599">
            <v>1014</v>
          </cell>
          <cell r="F599">
            <v>90</v>
          </cell>
          <cell r="G599">
            <v>3836926</v>
          </cell>
          <cell r="H599" t="str">
            <v>;;=SUM(F26:G26);</v>
          </cell>
          <cell r="I599" t="str">
            <v>.</v>
          </cell>
        </row>
        <row r="600">
          <cell r="A600">
            <v>250</v>
          </cell>
          <cell r="B600" t="str">
            <v>France</v>
          </cell>
          <cell r="C600">
            <v>1998</v>
          </cell>
          <cell r="D600">
            <v>90</v>
          </cell>
          <cell r="E600">
            <v>1515</v>
          </cell>
          <cell r="F600">
            <v>90</v>
          </cell>
          <cell r="G600">
            <v>804220</v>
          </cell>
          <cell r="H600" t="str">
            <v>;;=SUM(F27:G27);</v>
          </cell>
          <cell r="I600" t="str">
            <v>.</v>
          </cell>
        </row>
        <row r="601">
          <cell r="A601">
            <v>250</v>
          </cell>
          <cell r="B601" t="str">
            <v>France</v>
          </cell>
          <cell r="C601">
            <v>1998</v>
          </cell>
          <cell r="D601">
            <v>90</v>
          </cell>
          <cell r="E601">
            <v>1616</v>
          </cell>
          <cell r="F601">
            <v>90</v>
          </cell>
          <cell r="G601">
            <v>813740</v>
          </cell>
          <cell r="H601" t="str">
            <v>;;=SUM(F28:G28);</v>
          </cell>
          <cell r="I601" t="str">
            <v>.</v>
          </cell>
        </row>
        <row r="602">
          <cell r="A602">
            <v>250</v>
          </cell>
          <cell r="B602" t="str">
            <v>France</v>
          </cell>
          <cell r="C602">
            <v>1998</v>
          </cell>
          <cell r="D602">
            <v>90</v>
          </cell>
          <cell r="E602">
            <v>1717</v>
          </cell>
          <cell r="F602">
            <v>90</v>
          </cell>
          <cell r="G602">
            <v>817853</v>
          </cell>
          <cell r="H602" t="str">
            <v>;;=SUM(F29:G29);</v>
          </cell>
          <cell r="I602" t="str">
            <v>.</v>
          </cell>
        </row>
        <row r="603">
          <cell r="A603">
            <v>250</v>
          </cell>
          <cell r="B603" t="str">
            <v>France</v>
          </cell>
          <cell r="C603">
            <v>1998</v>
          </cell>
          <cell r="D603">
            <v>90</v>
          </cell>
          <cell r="E603">
            <v>1818</v>
          </cell>
          <cell r="F603">
            <v>90</v>
          </cell>
          <cell r="G603">
            <v>773371</v>
          </cell>
          <cell r="H603" t="str">
            <v>;;=SUM(F30:G30);</v>
          </cell>
          <cell r="I603" t="str">
            <v>.</v>
          </cell>
        </row>
        <row r="604">
          <cell r="A604">
            <v>250</v>
          </cell>
          <cell r="B604" t="str">
            <v>France</v>
          </cell>
          <cell r="C604">
            <v>1998</v>
          </cell>
          <cell r="D604">
            <v>90</v>
          </cell>
          <cell r="E604">
            <v>1919</v>
          </cell>
          <cell r="F604">
            <v>90</v>
          </cell>
          <cell r="G604">
            <v>753232</v>
          </cell>
          <cell r="H604" t="str">
            <v>;;=SUM(F31:G31);</v>
          </cell>
          <cell r="I604" t="str">
            <v>.</v>
          </cell>
        </row>
        <row r="605">
          <cell r="A605">
            <v>250</v>
          </cell>
          <cell r="B605" t="str">
            <v>France</v>
          </cell>
          <cell r="C605">
            <v>1998</v>
          </cell>
          <cell r="D605">
            <v>90</v>
          </cell>
          <cell r="E605">
            <v>1519</v>
          </cell>
          <cell r="F605">
            <v>90</v>
          </cell>
          <cell r="G605">
            <v>3962416</v>
          </cell>
          <cell r="H605" t="str">
            <v>;;=SUM(F32:G32);</v>
          </cell>
          <cell r="I605" t="str">
            <v>.</v>
          </cell>
        </row>
        <row r="606">
          <cell r="A606">
            <v>250</v>
          </cell>
          <cell r="B606" t="str">
            <v>France</v>
          </cell>
          <cell r="C606">
            <v>1998</v>
          </cell>
          <cell r="D606">
            <v>90</v>
          </cell>
          <cell r="E606">
            <v>2020</v>
          </cell>
          <cell r="F606">
            <v>90</v>
          </cell>
          <cell r="G606">
            <v>756127</v>
          </cell>
          <cell r="H606" t="str">
            <v>;;=SUM(F33:G33);</v>
          </cell>
          <cell r="I606" t="str">
            <v>.</v>
          </cell>
        </row>
        <row r="607">
          <cell r="A607">
            <v>250</v>
          </cell>
          <cell r="B607" t="str">
            <v>France</v>
          </cell>
          <cell r="C607">
            <v>1998</v>
          </cell>
          <cell r="D607">
            <v>90</v>
          </cell>
          <cell r="E607">
            <v>2121</v>
          </cell>
          <cell r="F607">
            <v>90</v>
          </cell>
          <cell r="G607">
            <v>731138</v>
          </cell>
          <cell r="H607" t="str">
            <v>;;=SUM(F34:G34);</v>
          </cell>
          <cell r="I607" t="str">
            <v>.</v>
          </cell>
        </row>
        <row r="608">
          <cell r="A608">
            <v>250</v>
          </cell>
          <cell r="B608" t="str">
            <v>France</v>
          </cell>
          <cell r="C608">
            <v>1998</v>
          </cell>
          <cell r="D608">
            <v>90</v>
          </cell>
          <cell r="E608">
            <v>2222</v>
          </cell>
          <cell r="F608">
            <v>90</v>
          </cell>
          <cell r="G608">
            <v>753310</v>
          </cell>
          <cell r="H608" t="str">
            <v>;;=SUM(F35:G35);</v>
          </cell>
          <cell r="I608" t="str">
            <v>.</v>
          </cell>
        </row>
        <row r="609">
          <cell r="A609">
            <v>250</v>
          </cell>
          <cell r="B609" t="str">
            <v>France</v>
          </cell>
          <cell r="C609">
            <v>1998</v>
          </cell>
          <cell r="D609">
            <v>90</v>
          </cell>
          <cell r="E609">
            <v>2323</v>
          </cell>
          <cell r="F609">
            <v>90</v>
          </cell>
          <cell r="G609">
            <v>800454</v>
          </cell>
          <cell r="H609" t="str">
            <v>;;=SUM(F36:G36);</v>
          </cell>
          <cell r="I609" t="str">
            <v>.</v>
          </cell>
        </row>
        <row r="610">
          <cell r="A610">
            <v>407</v>
          </cell>
          <cell r="B610" t="str">
            <v>Korea, Republic of</v>
          </cell>
          <cell r="C610">
            <v>1998</v>
          </cell>
          <cell r="D610">
            <v>90</v>
          </cell>
          <cell r="E610">
            <v>707</v>
          </cell>
          <cell r="F610">
            <v>90</v>
          </cell>
          <cell r="G610">
            <v>675788</v>
          </cell>
          <cell r="H610" t="str">
            <v>;;=SUM(F17:G17);</v>
          </cell>
          <cell r="I610" t="str">
            <v>.</v>
          </cell>
        </row>
        <row r="611">
          <cell r="A611">
            <v>407</v>
          </cell>
          <cell r="B611" t="str">
            <v>Korea, Republic of</v>
          </cell>
          <cell r="C611">
            <v>1998</v>
          </cell>
          <cell r="D611">
            <v>90</v>
          </cell>
          <cell r="E611">
            <v>808</v>
          </cell>
          <cell r="F611">
            <v>90</v>
          </cell>
          <cell r="G611">
            <v>645175</v>
          </cell>
          <cell r="H611" t="str">
            <v>;;=SUM(F18:G18);</v>
          </cell>
          <cell r="I611" t="str">
            <v>.</v>
          </cell>
        </row>
        <row r="612">
          <cell r="A612">
            <v>407</v>
          </cell>
          <cell r="B612" t="str">
            <v>Korea, Republic of</v>
          </cell>
          <cell r="C612">
            <v>1998</v>
          </cell>
          <cell r="D612">
            <v>90</v>
          </cell>
          <cell r="E612">
            <v>909</v>
          </cell>
          <cell r="F612">
            <v>90</v>
          </cell>
          <cell r="G612">
            <v>628856</v>
          </cell>
          <cell r="H612" t="str">
            <v>;;=SUM(F19:G19);</v>
          </cell>
          <cell r="I612" t="str">
            <v>.</v>
          </cell>
        </row>
        <row r="613">
          <cell r="A613">
            <v>407</v>
          </cell>
          <cell r="B613" t="str">
            <v>Korea, Republic of</v>
          </cell>
          <cell r="C613">
            <v>1998</v>
          </cell>
          <cell r="D613">
            <v>90</v>
          </cell>
          <cell r="E613">
            <v>509</v>
          </cell>
          <cell r="F613">
            <v>90</v>
          </cell>
          <cell r="G613">
            <v>3371576</v>
          </cell>
          <cell r="H613" t="str">
            <v>;;=SUM(F20:G20);</v>
          </cell>
          <cell r="I613" t="str">
            <v>.</v>
          </cell>
        </row>
        <row r="614">
          <cell r="A614">
            <v>407</v>
          </cell>
          <cell r="B614" t="str">
            <v>Korea, Republic of</v>
          </cell>
          <cell r="C614">
            <v>1998</v>
          </cell>
          <cell r="D614">
            <v>90</v>
          </cell>
          <cell r="E614">
            <v>1010</v>
          </cell>
          <cell r="F614">
            <v>90</v>
          </cell>
          <cell r="G614">
            <v>622333</v>
          </cell>
          <cell r="H614" t="str">
            <v>;;=SUM(F21:G21);</v>
          </cell>
          <cell r="I614" t="str">
            <v>.</v>
          </cell>
        </row>
        <row r="615">
          <cell r="A615">
            <v>407</v>
          </cell>
          <cell r="B615" t="str">
            <v>Korea, Republic of</v>
          </cell>
          <cell r="C615">
            <v>1998</v>
          </cell>
          <cell r="D615">
            <v>90</v>
          </cell>
          <cell r="E615">
            <v>1111</v>
          </cell>
          <cell r="F615">
            <v>90</v>
          </cell>
          <cell r="G615">
            <v>623617</v>
          </cell>
          <cell r="H615" t="str">
            <v>;;=SUM(F22:G22);</v>
          </cell>
          <cell r="I615" t="str">
            <v>.</v>
          </cell>
        </row>
        <row r="616">
          <cell r="A616">
            <v>407</v>
          </cell>
          <cell r="B616" t="str">
            <v>Korea, Republic of</v>
          </cell>
          <cell r="C616">
            <v>1998</v>
          </cell>
          <cell r="D616">
            <v>90</v>
          </cell>
          <cell r="E616">
            <v>1212</v>
          </cell>
          <cell r="F616">
            <v>90</v>
          </cell>
          <cell r="G616">
            <v>636064</v>
          </cell>
          <cell r="H616" t="str">
            <v>;;=SUM(F23:G23);</v>
          </cell>
          <cell r="I616" t="str">
            <v>.</v>
          </cell>
        </row>
        <row r="617">
          <cell r="A617">
            <v>407</v>
          </cell>
          <cell r="B617" t="str">
            <v>Korea, Republic of</v>
          </cell>
          <cell r="C617">
            <v>1998</v>
          </cell>
          <cell r="D617">
            <v>90</v>
          </cell>
          <cell r="E617">
            <v>1313</v>
          </cell>
          <cell r="F617">
            <v>90</v>
          </cell>
          <cell r="G617">
            <v>663201</v>
          </cell>
          <cell r="H617" t="str">
            <v>;;=SUM(F24:G24);</v>
          </cell>
          <cell r="I617" t="str">
            <v>.</v>
          </cell>
        </row>
        <row r="618">
          <cell r="A618">
            <v>407</v>
          </cell>
          <cell r="B618" t="str">
            <v>Korea, Republic of</v>
          </cell>
          <cell r="C618">
            <v>1998</v>
          </cell>
          <cell r="D618">
            <v>90</v>
          </cell>
          <cell r="E618">
            <v>1414</v>
          </cell>
          <cell r="F618">
            <v>90</v>
          </cell>
          <cell r="G618">
            <v>713700</v>
          </cell>
          <cell r="H618" t="str">
            <v>;;=SUM(F25:G25);</v>
          </cell>
          <cell r="I618" t="str">
            <v>.</v>
          </cell>
        </row>
        <row r="619">
          <cell r="A619">
            <v>407</v>
          </cell>
          <cell r="B619" t="str">
            <v>Korea, Republic of</v>
          </cell>
          <cell r="C619">
            <v>1998</v>
          </cell>
          <cell r="D619">
            <v>90</v>
          </cell>
          <cell r="E619">
            <v>1014</v>
          </cell>
          <cell r="F619">
            <v>90</v>
          </cell>
          <cell r="G619">
            <v>3258915</v>
          </cell>
          <cell r="H619" t="str">
            <v>;;=SUM(F26:G26);</v>
          </cell>
          <cell r="I619" t="str">
            <v>.</v>
          </cell>
        </row>
        <row r="620">
          <cell r="A620">
            <v>407</v>
          </cell>
          <cell r="B620" t="str">
            <v>Korea, Republic of</v>
          </cell>
          <cell r="C620">
            <v>1998</v>
          </cell>
          <cell r="D620">
            <v>90</v>
          </cell>
          <cell r="E620">
            <v>1515</v>
          </cell>
          <cell r="F620">
            <v>90</v>
          </cell>
          <cell r="G620">
            <v>778441</v>
          </cell>
          <cell r="H620" t="str">
            <v>;;=SUM(F27:G27);</v>
          </cell>
          <cell r="I620" t="str">
            <v>.</v>
          </cell>
        </row>
        <row r="621">
          <cell r="A621">
            <v>407</v>
          </cell>
          <cell r="B621" t="str">
            <v>Korea, Republic of</v>
          </cell>
          <cell r="C621">
            <v>1998</v>
          </cell>
          <cell r="D621">
            <v>90</v>
          </cell>
          <cell r="E621">
            <v>1616</v>
          </cell>
          <cell r="F621">
            <v>90</v>
          </cell>
          <cell r="G621">
            <v>823583</v>
          </cell>
          <cell r="H621" t="str">
            <v>;;=SUM(F28:G28);</v>
          </cell>
          <cell r="I621" t="str">
            <v>.</v>
          </cell>
        </row>
        <row r="622">
          <cell r="A622">
            <v>407</v>
          </cell>
          <cell r="B622" t="str">
            <v>Korea, Republic of</v>
          </cell>
          <cell r="C622">
            <v>1998</v>
          </cell>
          <cell r="D622">
            <v>90</v>
          </cell>
          <cell r="E622">
            <v>1717</v>
          </cell>
          <cell r="F622">
            <v>90</v>
          </cell>
          <cell r="G622">
            <v>831922</v>
          </cell>
          <cell r="H622" t="str">
            <v>;;=SUM(F29:G29);</v>
          </cell>
          <cell r="I622" t="str">
            <v>.</v>
          </cell>
        </row>
        <row r="623">
          <cell r="A623">
            <v>407</v>
          </cell>
          <cell r="B623" t="str">
            <v>Korea, Republic of</v>
          </cell>
          <cell r="C623">
            <v>1998</v>
          </cell>
          <cell r="D623">
            <v>90</v>
          </cell>
          <cell r="E623">
            <v>1818</v>
          </cell>
          <cell r="F623">
            <v>90</v>
          </cell>
          <cell r="G623">
            <v>810380</v>
          </cell>
          <cell r="H623" t="str">
            <v>;;=SUM(F30:G30);</v>
          </cell>
          <cell r="I623" t="str">
            <v>.</v>
          </cell>
        </row>
        <row r="624">
          <cell r="A624">
            <v>407</v>
          </cell>
          <cell r="B624" t="str">
            <v>Korea, Republic of</v>
          </cell>
          <cell r="C624">
            <v>1998</v>
          </cell>
          <cell r="D624">
            <v>90</v>
          </cell>
          <cell r="E624">
            <v>1919</v>
          </cell>
          <cell r="F624">
            <v>90</v>
          </cell>
          <cell r="G624">
            <v>775195</v>
          </cell>
          <cell r="H624" t="str">
            <v>;;=SUM(F31:G31);</v>
          </cell>
          <cell r="I624" t="str">
            <v>.</v>
          </cell>
        </row>
        <row r="625">
          <cell r="A625">
            <v>407</v>
          </cell>
          <cell r="B625" t="str">
            <v>Korea, Republic of</v>
          </cell>
          <cell r="C625">
            <v>1998</v>
          </cell>
          <cell r="D625">
            <v>90</v>
          </cell>
          <cell r="E625">
            <v>1519</v>
          </cell>
          <cell r="F625">
            <v>90</v>
          </cell>
          <cell r="G625">
            <v>4019521</v>
          </cell>
          <cell r="H625" t="str">
            <v>;;=SUM(F32:G32);</v>
          </cell>
          <cell r="I625" t="str">
            <v>.</v>
          </cell>
        </row>
        <row r="626">
          <cell r="A626">
            <v>407</v>
          </cell>
          <cell r="B626" t="str">
            <v>Korea, Republic of</v>
          </cell>
          <cell r="C626">
            <v>1998</v>
          </cell>
          <cell r="D626">
            <v>90</v>
          </cell>
          <cell r="E626">
            <v>2020</v>
          </cell>
          <cell r="F626">
            <v>90</v>
          </cell>
          <cell r="G626">
            <v>753531</v>
          </cell>
          <cell r="H626" t="str">
            <v>;;=SUM(F33:G33);</v>
          </cell>
          <cell r="I626" t="str">
            <v>.</v>
          </cell>
        </row>
        <row r="627">
          <cell r="A627">
            <v>407</v>
          </cell>
          <cell r="B627" t="str">
            <v>Korea, Republic of</v>
          </cell>
          <cell r="C627">
            <v>1998</v>
          </cell>
          <cell r="D627">
            <v>90</v>
          </cell>
          <cell r="E627">
            <v>2121</v>
          </cell>
          <cell r="F627">
            <v>90</v>
          </cell>
          <cell r="G627">
            <v>758132</v>
          </cell>
          <cell r="H627" t="str">
            <v>;;=SUM(F34:G34);</v>
          </cell>
          <cell r="I627" t="str">
            <v>.</v>
          </cell>
        </row>
        <row r="628">
          <cell r="A628">
            <v>407</v>
          </cell>
          <cell r="B628" t="str">
            <v>Korea, Republic of</v>
          </cell>
          <cell r="C628">
            <v>1998</v>
          </cell>
          <cell r="D628">
            <v>90</v>
          </cell>
          <cell r="E628">
            <v>2222</v>
          </cell>
          <cell r="F628">
            <v>90</v>
          </cell>
          <cell r="G628">
            <v>779734</v>
          </cell>
          <cell r="H628" t="str">
            <v>;;=SUM(F35:G35);</v>
          </cell>
          <cell r="I628" t="str">
            <v>.</v>
          </cell>
        </row>
        <row r="629">
          <cell r="A629">
            <v>407</v>
          </cell>
          <cell r="B629" t="str">
            <v>Korea, Republic of</v>
          </cell>
          <cell r="C629">
            <v>1998</v>
          </cell>
          <cell r="D629">
            <v>90</v>
          </cell>
          <cell r="E629">
            <v>2323</v>
          </cell>
          <cell r="F629">
            <v>90</v>
          </cell>
          <cell r="G629">
            <v>814250</v>
          </cell>
          <cell r="H629" t="str">
            <v>;;=SUM(F36:G36);</v>
          </cell>
          <cell r="I629" t="str">
            <v>.</v>
          </cell>
        </row>
        <row r="630">
          <cell r="A630">
            <v>407</v>
          </cell>
          <cell r="B630" t="str">
            <v>Korea, Republic of</v>
          </cell>
          <cell r="C630">
            <v>1998</v>
          </cell>
          <cell r="D630">
            <v>90</v>
          </cell>
          <cell r="E630">
            <v>2424</v>
          </cell>
          <cell r="F630">
            <v>90</v>
          </cell>
          <cell r="G630">
            <v>851976</v>
          </cell>
          <cell r="H630" t="str">
            <v>;;=SUM(F37:G37);</v>
          </cell>
          <cell r="I630" t="str">
            <v>.</v>
          </cell>
        </row>
        <row r="631">
          <cell r="A631">
            <v>407</v>
          </cell>
          <cell r="B631" t="str">
            <v>Korea, Republic of</v>
          </cell>
          <cell r="C631">
            <v>1998</v>
          </cell>
          <cell r="D631">
            <v>90</v>
          </cell>
          <cell r="E631">
            <v>2024</v>
          </cell>
          <cell r="F631">
            <v>90</v>
          </cell>
          <cell r="G631">
            <v>3957623</v>
          </cell>
          <cell r="H631" t="str">
            <v>;;=SUM(F38:G38);</v>
          </cell>
          <cell r="I631" t="str">
            <v>.</v>
          </cell>
        </row>
        <row r="632">
          <cell r="A632">
            <v>407</v>
          </cell>
          <cell r="B632" t="str">
            <v>Korea, Republic of</v>
          </cell>
          <cell r="C632">
            <v>1998</v>
          </cell>
          <cell r="D632">
            <v>90</v>
          </cell>
          <cell r="E632">
            <v>2525</v>
          </cell>
          <cell r="F632">
            <v>90</v>
          </cell>
          <cell r="G632">
            <v>882872</v>
          </cell>
          <cell r="H632" t="str">
            <v>;;=SUM(F39:G39);</v>
          </cell>
          <cell r="I632" t="str">
            <v>.</v>
          </cell>
        </row>
        <row r="633">
          <cell r="A633">
            <v>407</v>
          </cell>
          <cell r="B633" t="str">
            <v>Korea, Republic of</v>
          </cell>
          <cell r="C633">
            <v>1998</v>
          </cell>
          <cell r="D633">
            <v>90</v>
          </cell>
          <cell r="E633">
            <v>2626</v>
          </cell>
          <cell r="F633">
            <v>90</v>
          </cell>
          <cell r="G633">
            <v>904068</v>
          </cell>
          <cell r="H633" t="str">
            <v>;;=SUM(F40:G40);</v>
          </cell>
          <cell r="I633" t="str">
            <v>.</v>
          </cell>
        </row>
        <row r="634">
          <cell r="A634">
            <v>407</v>
          </cell>
          <cell r="B634" t="str">
            <v>Korea, Republic of</v>
          </cell>
          <cell r="C634">
            <v>1998</v>
          </cell>
          <cell r="D634">
            <v>90</v>
          </cell>
          <cell r="E634">
            <v>2727</v>
          </cell>
          <cell r="F634">
            <v>90</v>
          </cell>
          <cell r="G634">
            <v>909808</v>
          </cell>
          <cell r="H634" t="str">
            <v>;;=SUM(F41:G41);</v>
          </cell>
          <cell r="I634" t="str">
            <v>.</v>
          </cell>
        </row>
        <row r="635">
          <cell r="A635">
            <v>407</v>
          </cell>
          <cell r="B635" t="str">
            <v>Korea, Republic of</v>
          </cell>
          <cell r="C635">
            <v>1998</v>
          </cell>
          <cell r="D635">
            <v>90</v>
          </cell>
          <cell r="E635">
            <v>2828</v>
          </cell>
          <cell r="F635">
            <v>90</v>
          </cell>
          <cell r="G635">
            <v>901125</v>
          </cell>
          <cell r="H635" t="str">
            <v>;;=SUM(F42:G42);</v>
          </cell>
          <cell r="I635" t="str">
            <v>.</v>
          </cell>
        </row>
        <row r="636">
          <cell r="A636">
            <v>407</v>
          </cell>
          <cell r="B636" t="str">
            <v>Korea, Republic of</v>
          </cell>
          <cell r="C636">
            <v>1998</v>
          </cell>
          <cell r="D636">
            <v>90</v>
          </cell>
          <cell r="E636">
            <v>2929</v>
          </cell>
          <cell r="F636">
            <v>90</v>
          </cell>
          <cell r="G636">
            <v>878507</v>
          </cell>
          <cell r="H636" t="str">
            <v>;;=SUM(F43:G43);</v>
          </cell>
          <cell r="I636" t="str">
            <v>.</v>
          </cell>
        </row>
        <row r="637">
          <cell r="A637">
            <v>407</v>
          </cell>
          <cell r="B637" t="str">
            <v>Korea, Republic of</v>
          </cell>
          <cell r="C637">
            <v>1998</v>
          </cell>
          <cell r="D637">
            <v>90</v>
          </cell>
          <cell r="E637">
            <v>2529</v>
          </cell>
          <cell r="F637">
            <v>90</v>
          </cell>
          <cell r="G637">
            <v>4476380</v>
          </cell>
          <cell r="H637" t="str">
            <v>;;=SUM(F44:G44);</v>
          </cell>
          <cell r="I637" t="str">
            <v>.</v>
          </cell>
        </row>
        <row r="638">
          <cell r="A638">
            <v>407</v>
          </cell>
          <cell r="B638" t="str">
            <v>Korea, Republic of</v>
          </cell>
          <cell r="C638">
            <v>1998</v>
          </cell>
          <cell r="D638">
            <v>90</v>
          </cell>
          <cell r="E638">
            <v>3034</v>
          </cell>
          <cell r="F638">
            <v>90</v>
          </cell>
          <cell r="G638">
            <v>4166438</v>
          </cell>
          <cell r="H638" t="str">
            <v>;;=SUM(F45:G45);</v>
          </cell>
          <cell r="I638" t="str">
            <v>.</v>
          </cell>
        </row>
        <row r="639">
          <cell r="A639">
            <v>407</v>
          </cell>
          <cell r="B639" t="str">
            <v>Korea, Republic of</v>
          </cell>
          <cell r="C639">
            <v>1998</v>
          </cell>
          <cell r="D639">
            <v>90</v>
          </cell>
          <cell r="E639">
            <v>3539</v>
          </cell>
          <cell r="F639">
            <v>90</v>
          </cell>
          <cell r="G639">
            <v>4327616</v>
          </cell>
          <cell r="H639" t="str">
            <v>;;=SUM(F46:G46);</v>
          </cell>
          <cell r="I639" t="str">
            <v>.</v>
          </cell>
        </row>
        <row r="640">
          <cell r="A640">
            <v>407</v>
          </cell>
          <cell r="B640" t="str">
            <v>Korea, Republic of</v>
          </cell>
          <cell r="C640">
            <v>1998</v>
          </cell>
          <cell r="D640">
            <v>90</v>
          </cell>
          <cell r="E640">
            <v>4099</v>
          </cell>
          <cell r="F640">
            <v>90</v>
          </cell>
          <cell r="G640">
            <v>15265515</v>
          </cell>
          <cell r="H640" t="str">
            <v>;;=SUM(F47:G47);</v>
          </cell>
          <cell r="I640" t="str">
            <v>.</v>
          </cell>
        </row>
        <row r="641">
          <cell r="A641">
            <v>407</v>
          </cell>
          <cell r="B641" t="str">
            <v>Korea, Republic of</v>
          </cell>
          <cell r="C641">
            <v>1998</v>
          </cell>
          <cell r="D641">
            <v>90</v>
          </cell>
          <cell r="E641">
            <v>990000</v>
          </cell>
          <cell r="F641">
            <v>90</v>
          </cell>
          <cell r="G641">
            <v>0</v>
          </cell>
          <cell r="H641" t="str">
            <v>n;</v>
          </cell>
          <cell r="I641" t="str">
            <v>n</v>
          </cell>
        </row>
        <row r="642">
          <cell r="A642">
            <v>554</v>
          </cell>
          <cell r="B642" t="str">
            <v>New Zealand</v>
          </cell>
          <cell r="C642">
            <v>1998</v>
          </cell>
          <cell r="D642">
            <v>90</v>
          </cell>
          <cell r="E642">
            <v>1616</v>
          </cell>
          <cell r="F642">
            <v>90</v>
          </cell>
          <cell r="G642">
            <v>53930</v>
          </cell>
          <cell r="H642" t="str">
            <v>;;=SUM(F28:G28);</v>
          </cell>
          <cell r="I642" t="str">
            <v>.</v>
          </cell>
        </row>
        <row r="643">
          <cell r="A643">
            <v>554</v>
          </cell>
          <cell r="B643" t="str">
            <v>New Zealand</v>
          </cell>
          <cell r="C643">
            <v>1998</v>
          </cell>
          <cell r="D643">
            <v>90</v>
          </cell>
          <cell r="E643">
            <v>1717</v>
          </cell>
          <cell r="F643">
            <v>90</v>
          </cell>
          <cell r="G643">
            <v>55460</v>
          </cell>
          <cell r="H643" t="str">
            <v>;;=SUM(F29:G29);</v>
          </cell>
          <cell r="I643" t="str">
            <v>.</v>
          </cell>
        </row>
        <row r="644">
          <cell r="A644">
            <v>554</v>
          </cell>
          <cell r="B644" t="str">
            <v>New Zealand</v>
          </cell>
          <cell r="C644">
            <v>1998</v>
          </cell>
          <cell r="D644">
            <v>90</v>
          </cell>
          <cell r="E644">
            <v>1818</v>
          </cell>
          <cell r="F644">
            <v>90</v>
          </cell>
          <cell r="G644">
            <v>54520</v>
          </cell>
          <cell r="H644" t="str">
            <v>;;=SUM(F30:G30);</v>
          </cell>
          <cell r="I644" t="str">
            <v>.</v>
          </cell>
        </row>
        <row r="645">
          <cell r="A645">
            <v>554</v>
          </cell>
          <cell r="B645" t="str">
            <v>New Zealand</v>
          </cell>
          <cell r="C645">
            <v>1998</v>
          </cell>
          <cell r="D645">
            <v>90</v>
          </cell>
          <cell r="E645">
            <v>1919</v>
          </cell>
          <cell r="F645">
            <v>90</v>
          </cell>
          <cell r="G645">
            <v>54150</v>
          </cell>
          <cell r="H645" t="str">
            <v>;;=SUM(F31:G31);</v>
          </cell>
          <cell r="I645" t="str">
            <v>.</v>
          </cell>
        </row>
        <row r="646">
          <cell r="A646">
            <v>554</v>
          </cell>
          <cell r="B646" t="str">
            <v>New Zealand</v>
          </cell>
          <cell r="C646">
            <v>1998</v>
          </cell>
          <cell r="D646">
            <v>90</v>
          </cell>
          <cell r="E646">
            <v>1519</v>
          </cell>
          <cell r="F646">
            <v>90</v>
          </cell>
          <cell r="G646">
            <v>271650</v>
          </cell>
          <cell r="H646" t="str">
            <v>;;=SUM(F32:G32);</v>
          </cell>
          <cell r="I646" t="str">
            <v>.</v>
          </cell>
        </row>
        <row r="647">
          <cell r="A647">
            <v>554</v>
          </cell>
          <cell r="B647" t="str">
            <v>New Zealand</v>
          </cell>
          <cell r="C647">
            <v>1998</v>
          </cell>
          <cell r="D647">
            <v>90</v>
          </cell>
          <cell r="E647">
            <v>2020</v>
          </cell>
          <cell r="F647">
            <v>90</v>
          </cell>
          <cell r="G647">
            <v>52570</v>
          </cell>
          <cell r="H647" t="str">
            <v>;;=SUM(F33:G33);</v>
          </cell>
          <cell r="I647" t="str">
            <v>.</v>
          </cell>
        </row>
        <row r="648">
          <cell r="A648">
            <v>554</v>
          </cell>
          <cell r="B648" t="str">
            <v>New Zealand</v>
          </cell>
          <cell r="C648">
            <v>1998</v>
          </cell>
          <cell r="D648">
            <v>90</v>
          </cell>
          <cell r="E648">
            <v>2121</v>
          </cell>
          <cell r="F648">
            <v>90</v>
          </cell>
          <cell r="G648">
            <v>54000</v>
          </cell>
          <cell r="H648" t="str">
            <v>;;=SUM(F34:G34);</v>
          </cell>
          <cell r="I648" t="str">
            <v>.</v>
          </cell>
        </row>
        <row r="649">
          <cell r="A649">
            <v>554</v>
          </cell>
          <cell r="B649" t="str">
            <v>New Zealand</v>
          </cell>
          <cell r="C649">
            <v>1998</v>
          </cell>
          <cell r="D649">
            <v>90</v>
          </cell>
          <cell r="E649">
            <v>2222</v>
          </cell>
          <cell r="F649">
            <v>90</v>
          </cell>
          <cell r="G649">
            <v>52750</v>
          </cell>
          <cell r="H649" t="str">
            <v>;;=SUM(F35:G35);</v>
          </cell>
          <cell r="I649" t="str">
            <v>.</v>
          </cell>
        </row>
        <row r="650">
          <cell r="A650">
            <v>554</v>
          </cell>
          <cell r="B650" t="str">
            <v>New Zealand</v>
          </cell>
          <cell r="C650">
            <v>1998</v>
          </cell>
          <cell r="D650">
            <v>90</v>
          </cell>
          <cell r="E650">
            <v>2323</v>
          </cell>
          <cell r="F650">
            <v>90</v>
          </cell>
          <cell r="G650">
            <v>52970</v>
          </cell>
          <cell r="H650" t="str">
            <v>;;=SUM(F36:G36);</v>
          </cell>
          <cell r="I650" t="str">
            <v>.</v>
          </cell>
        </row>
        <row r="651">
          <cell r="A651">
            <v>554</v>
          </cell>
          <cell r="B651" t="str">
            <v>New Zealand</v>
          </cell>
          <cell r="C651">
            <v>1998</v>
          </cell>
          <cell r="D651">
            <v>90</v>
          </cell>
          <cell r="E651">
            <v>2424</v>
          </cell>
          <cell r="F651">
            <v>90</v>
          </cell>
          <cell r="G651">
            <v>53740</v>
          </cell>
          <cell r="H651" t="str">
            <v>;;=SUM(F37:G37);</v>
          </cell>
          <cell r="I651" t="str">
            <v>.</v>
          </cell>
        </row>
        <row r="652">
          <cell r="A652">
            <v>554</v>
          </cell>
          <cell r="B652" t="str">
            <v>New Zealand</v>
          </cell>
          <cell r="C652">
            <v>1998</v>
          </cell>
          <cell r="D652">
            <v>90</v>
          </cell>
          <cell r="E652">
            <v>2024</v>
          </cell>
          <cell r="F652">
            <v>90</v>
          </cell>
          <cell r="G652">
            <v>266030</v>
          </cell>
          <cell r="H652" t="str">
            <v>;;=SUM(F38:G38);</v>
          </cell>
          <cell r="I652" t="str">
            <v>.</v>
          </cell>
        </row>
        <row r="653">
          <cell r="A653">
            <v>554</v>
          </cell>
          <cell r="B653" t="str">
            <v>New Zealand</v>
          </cell>
          <cell r="C653">
            <v>1998</v>
          </cell>
          <cell r="D653">
            <v>90</v>
          </cell>
          <cell r="E653">
            <v>2525</v>
          </cell>
          <cell r="F653">
            <v>90</v>
          </cell>
          <cell r="G653">
            <v>53790</v>
          </cell>
          <cell r="H653" t="str">
            <v>;;=SUM(F39:G39);</v>
          </cell>
          <cell r="I653" t="str">
            <v>.</v>
          </cell>
        </row>
        <row r="654">
          <cell r="A654">
            <v>554</v>
          </cell>
          <cell r="B654" t="str">
            <v>New Zealand</v>
          </cell>
          <cell r="C654">
            <v>1998</v>
          </cell>
          <cell r="D654">
            <v>90</v>
          </cell>
          <cell r="E654">
            <v>2626</v>
          </cell>
          <cell r="F654">
            <v>90</v>
          </cell>
          <cell r="G654">
            <v>55890</v>
          </cell>
          <cell r="H654" t="str">
            <v>;;=SUM(F40:G40);</v>
          </cell>
          <cell r="I654" t="str">
            <v>.</v>
          </cell>
        </row>
        <row r="655">
          <cell r="A655">
            <v>554</v>
          </cell>
          <cell r="B655" t="str">
            <v>New Zealand</v>
          </cell>
          <cell r="C655">
            <v>1998</v>
          </cell>
          <cell r="D655">
            <v>90</v>
          </cell>
          <cell r="E655">
            <v>2727</v>
          </cell>
          <cell r="F655">
            <v>90</v>
          </cell>
          <cell r="G655">
            <v>57060</v>
          </cell>
          <cell r="H655" t="str">
            <v>;;=SUM(F41:G41);</v>
          </cell>
          <cell r="I655" t="str">
            <v>.</v>
          </cell>
        </row>
        <row r="656">
          <cell r="A656">
            <v>554</v>
          </cell>
          <cell r="B656" t="str">
            <v>New Zealand</v>
          </cell>
          <cell r="C656">
            <v>1998</v>
          </cell>
          <cell r="D656">
            <v>90</v>
          </cell>
          <cell r="E656">
            <v>2828</v>
          </cell>
          <cell r="F656">
            <v>90</v>
          </cell>
          <cell r="G656">
            <v>56730</v>
          </cell>
          <cell r="H656" t="str">
            <v>;;=SUM(F42:G42);</v>
          </cell>
          <cell r="I656" t="str">
            <v>.</v>
          </cell>
        </row>
        <row r="657">
          <cell r="A657">
            <v>554</v>
          </cell>
          <cell r="B657" t="str">
            <v>New Zealand</v>
          </cell>
          <cell r="C657">
            <v>1998</v>
          </cell>
          <cell r="D657">
            <v>90</v>
          </cell>
          <cell r="E657">
            <v>2929</v>
          </cell>
          <cell r="F657">
            <v>90</v>
          </cell>
          <cell r="G657">
            <v>57880</v>
          </cell>
          <cell r="H657" t="str">
            <v>;;=SUM(F43:G43);</v>
          </cell>
          <cell r="I657" t="str">
            <v>.</v>
          </cell>
        </row>
        <row r="658">
          <cell r="A658">
            <v>554</v>
          </cell>
          <cell r="B658" t="str">
            <v>New Zealand</v>
          </cell>
          <cell r="C658">
            <v>1998</v>
          </cell>
          <cell r="D658">
            <v>90</v>
          </cell>
          <cell r="E658">
            <v>2529</v>
          </cell>
          <cell r="F658">
            <v>90</v>
          </cell>
          <cell r="G658">
            <v>281350</v>
          </cell>
          <cell r="H658" t="str">
            <v>;;=SUM(F44:G44);</v>
          </cell>
          <cell r="I658" t="str">
            <v>.</v>
          </cell>
        </row>
        <row r="659">
          <cell r="A659">
            <v>554</v>
          </cell>
          <cell r="B659" t="str">
            <v>New Zealand</v>
          </cell>
          <cell r="C659">
            <v>1998</v>
          </cell>
          <cell r="D659">
            <v>90</v>
          </cell>
          <cell r="E659">
            <v>3034</v>
          </cell>
          <cell r="F659">
            <v>90</v>
          </cell>
          <cell r="G659">
            <v>293840</v>
          </cell>
          <cell r="H659" t="str">
            <v>;;=SUM(F45:G45);</v>
          </cell>
          <cell r="I659" t="str">
            <v>.</v>
          </cell>
        </row>
        <row r="660">
          <cell r="A660">
            <v>554</v>
          </cell>
          <cell r="B660" t="str">
            <v>New Zealand</v>
          </cell>
          <cell r="C660">
            <v>1998</v>
          </cell>
          <cell r="D660">
            <v>90</v>
          </cell>
          <cell r="E660">
            <v>3539</v>
          </cell>
          <cell r="F660">
            <v>90</v>
          </cell>
          <cell r="G660">
            <v>310440</v>
          </cell>
          <cell r="H660" t="str">
            <v>;;=SUM(F46:G46);</v>
          </cell>
          <cell r="I660" t="str">
            <v>.</v>
          </cell>
        </row>
        <row r="661">
          <cell r="A661">
            <v>250</v>
          </cell>
          <cell r="B661" t="str">
            <v>France</v>
          </cell>
          <cell r="C661">
            <v>1998</v>
          </cell>
          <cell r="D661">
            <v>90</v>
          </cell>
          <cell r="E661">
            <v>2424</v>
          </cell>
          <cell r="F661">
            <v>90</v>
          </cell>
          <cell r="G661">
            <v>849816</v>
          </cell>
          <cell r="H661" t="str">
            <v>;;=SUM(F37:G37);</v>
          </cell>
          <cell r="I661" t="str">
            <v>.</v>
          </cell>
        </row>
        <row r="662">
          <cell r="A662">
            <v>250</v>
          </cell>
          <cell r="B662" t="str">
            <v>France</v>
          </cell>
          <cell r="C662">
            <v>1998</v>
          </cell>
          <cell r="D662">
            <v>90</v>
          </cell>
          <cell r="E662">
            <v>2024</v>
          </cell>
          <cell r="F662">
            <v>90</v>
          </cell>
          <cell r="G662">
            <v>3890845</v>
          </cell>
          <cell r="H662" t="str">
            <v>;;=SUM(F38:G38);</v>
          </cell>
          <cell r="I662" t="str">
            <v>.</v>
          </cell>
        </row>
        <row r="663">
          <cell r="A663">
            <v>250</v>
          </cell>
          <cell r="B663" t="str">
            <v>France</v>
          </cell>
          <cell r="C663">
            <v>1998</v>
          </cell>
          <cell r="D663">
            <v>90</v>
          </cell>
          <cell r="E663">
            <v>2525</v>
          </cell>
          <cell r="F663">
            <v>90</v>
          </cell>
          <cell r="G663">
            <v>872427</v>
          </cell>
          <cell r="H663" t="str">
            <v>;;=SUM(F39:G39);</v>
          </cell>
          <cell r="I663" t="str">
            <v>.</v>
          </cell>
        </row>
        <row r="664">
          <cell r="A664">
            <v>250</v>
          </cell>
          <cell r="B664" t="str">
            <v>France</v>
          </cell>
          <cell r="C664">
            <v>1998</v>
          </cell>
          <cell r="D664">
            <v>90</v>
          </cell>
          <cell r="E664">
            <v>2626</v>
          </cell>
          <cell r="F664">
            <v>90</v>
          </cell>
          <cell r="G664">
            <v>877983</v>
          </cell>
          <cell r="H664" t="str">
            <v>;;=SUM(F40:G40);</v>
          </cell>
          <cell r="I664" t="str">
            <v>.</v>
          </cell>
        </row>
        <row r="665">
          <cell r="A665">
            <v>250</v>
          </cell>
          <cell r="B665" t="str">
            <v>France</v>
          </cell>
          <cell r="C665">
            <v>1998</v>
          </cell>
          <cell r="D665">
            <v>90</v>
          </cell>
          <cell r="E665">
            <v>2727</v>
          </cell>
          <cell r="F665">
            <v>90</v>
          </cell>
          <cell r="G665">
            <v>863009</v>
          </cell>
          <cell r="H665" t="str">
            <v>;;=SUM(F41:G41);</v>
          </cell>
          <cell r="I665" t="str">
            <v>.</v>
          </cell>
        </row>
        <row r="666">
          <cell r="A666">
            <v>250</v>
          </cell>
          <cell r="B666" t="str">
            <v>France</v>
          </cell>
          <cell r="C666">
            <v>1998</v>
          </cell>
          <cell r="D666">
            <v>90</v>
          </cell>
          <cell r="E666">
            <v>2828</v>
          </cell>
          <cell r="F666">
            <v>90</v>
          </cell>
          <cell r="G666">
            <v>856684</v>
          </cell>
          <cell r="H666" t="str">
            <v>;;=SUM(F42:G42);</v>
          </cell>
          <cell r="I666" t="str">
            <v>.</v>
          </cell>
        </row>
        <row r="667">
          <cell r="A667">
            <v>250</v>
          </cell>
          <cell r="B667" t="str">
            <v>France</v>
          </cell>
          <cell r="C667">
            <v>1998</v>
          </cell>
          <cell r="D667">
            <v>90</v>
          </cell>
          <cell r="E667">
            <v>2929</v>
          </cell>
          <cell r="F667">
            <v>90</v>
          </cell>
          <cell r="G667">
            <v>848154</v>
          </cell>
          <cell r="H667" t="str">
            <v>;;=SUM(F43:G43);</v>
          </cell>
          <cell r="I667" t="str">
            <v>.</v>
          </cell>
        </row>
        <row r="668">
          <cell r="A668">
            <v>250</v>
          </cell>
          <cell r="B668" t="str">
            <v>France</v>
          </cell>
          <cell r="C668">
            <v>1998</v>
          </cell>
          <cell r="D668">
            <v>90</v>
          </cell>
          <cell r="E668">
            <v>2529</v>
          </cell>
          <cell r="F668">
            <v>90</v>
          </cell>
          <cell r="G668">
            <v>4318257</v>
          </cell>
          <cell r="H668" t="str">
            <v>;;=SUM(F44:G44);</v>
          </cell>
          <cell r="I668" t="str">
            <v>.</v>
          </cell>
        </row>
        <row r="669">
          <cell r="A669">
            <v>250</v>
          </cell>
          <cell r="B669" t="str">
            <v>France</v>
          </cell>
          <cell r="C669">
            <v>1998</v>
          </cell>
          <cell r="D669">
            <v>90</v>
          </cell>
          <cell r="E669">
            <v>3034</v>
          </cell>
          <cell r="F669">
            <v>90</v>
          </cell>
          <cell r="G669">
            <v>4380046</v>
          </cell>
          <cell r="H669" t="str">
            <v>;;=SUM(F45:G45);</v>
          </cell>
          <cell r="I669" t="str">
            <v>.</v>
          </cell>
        </row>
        <row r="670">
          <cell r="A670">
            <v>250</v>
          </cell>
          <cell r="B670" t="str">
            <v>France</v>
          </cell>
          <cell r="C670">
            <v>1998</v>
          </cell>
          <cell r="D670">
            <v>90</v>
          </cell>
          <cell r="E670">
            <v>3539</v>
          </cell>
          <cell r="F670">
            <v>90</v>
          </cell>
          <cell r="G670">
            <v>4328099</v>
          </cell>
          <cell r="H670" t="str">
            <v>;;=SUM(F46:G46);</v>
          </cell>
          <cell r="I670" t="str">
            <v>.</v>
          </cell>
        </row>
        <row r="671">
          <cell r="A671">
            <v>250</v>
          </cell>
          <cell r="B671" t="str">
            <v>France</v>
          </cell>
          <cell r="C671">
            <v>1998</v>
          </cell>
          <cell r="D671">
            <v>90</v>
          </cell>
          <cell r="E671">
            <v>4099</v>
          </cell>
          <cell r="F671">
            <v>90</v>
          </cell>
          <cell r="G671">
            <v>26663267</v>
          </cell>
          <cell r="H671" t="str">
            <v>;;=SUM(F47:G47);</v>
          </cell>
          <cell r="I671" t="str">
            <v>.</v>
          </cell>
        </row>
        <row r="672">
          <cell r="A672">
            <v>250</v>
          </cell>
          <cell r="B672" t="str">
            <v>France</v>
          </cell>
          <cell r="C672">
            <v>1998</v>
          </cell>
          <cell r="D672">
            <v>90</v>
          </cell>
          <cell r="E672">
            <v>990000</v>
          </cell>
          <cell r="F672">
            <v>90</v>
          </cell>
          <cell r="G672">
            <v>0</v>
          </cell>
          <cell r="H672" t="str">
            <v>n;</v>
          </cell>
          <cell r="I672" t="str">
            <v>n</v>
          </cell>
        </row>
        <row r="673">
          <cell r="A673">
            <v>300</v>
          </cell>
          <cell r="B673" t="str">
            <v>Greece</v>
          </cell>
          <cell r="C673">
            <v>1998</v>
          </cell>
          <cell r="D673">
            <v>90</v>
          </cell>
          <cell r="E673">
            <v>900000</v>
          </cell>
          <cell r="F673">
            <v>90</v>
          </cell>
          <cell r="G673">
            <v>10510965</v>
          </cell>
          <cell r="H673" t="str">
            <v>;;=SUM(F11:G11);</v>
          </cell>
          <cell r="I673" t="str">
            <v>.</v>
          </cell>
        </row>
        <row r="674">
          <cell r="A674">
            <v>300</v>
          </cell>
          <cell r="B674" t="str">
            <v>Greece</v>
          </cell>
          <cell r="C674">
            <v>1998</v>
          </cell>
          <cell r="D674">
            <v>90</v>
          </cell>
          <cell r="E674">
            <v>300</v>
          </cell>
          <cell r="F674">
            <v>90</v>
          </cell>
          <cell r="G674">
            <v>302204</v>
          </cell>
          <cell r="H674" t="str">
            <v>;;=SUM(F12:G12);</v>
          </cell>
          <cell r="I674" t="str">
            <v>.</v>
          </cell>
        </row>
        <row r="675">
          <cell r="A675">
            <v>300</v>
          </cell>
          <cell r="B675" t="str">
            <v>Greece</v>
          </cell>
          <cell r="C675">
            <v>1998</v>
          </cell>
          <cell r="D675">
            <v>90</v>
          </cell>
          <cell r="E675">
            <v>303</v>
          </cell>
          <cell r="F675">
            <v>90</v>
          </cell>
          <cell r="G675">
            <v>102733</v>
          </cell>
          <cell r="H675" t="str">
            <v>;;=SUM(F13:G13);</v>
          </cell>
          <cell r="I675" t="str">
            <v>.</v>
          </cell>
        </row>
        <row r="676">
          <cell r="A676">
            <v>300</v>
          </cell>
          <cell r="B676" t="str">
            <v>Greece</v>
          </cell>
          <cell r="C676">
            <v>1998</v>
          </cell>
          <cell r="D676">
            <v>90</v>
          </cell>
          <cell r="E676">
            <v>404</v>
          </cell>
          <cell r="F676">
            <v>90</v>
          </cell>
          <cell r="G676">
            <v>102304</v>
          </cell>
          <cell r="H676" t="str">
            <v>;;=SUM(F14:G14);</v>
          </cell>
          <cell r="I676" t="str">
            <v>.</v>
          </cell>
        </row>
        <row r="677">
          <cell r="A677">
            <v>300</v>
          </cell>
          <cell r="B677" t="str">
            <v>Greece</v>
          </cell>
          <cell r="C677">
            <v>1998</v>
          </cell>
          <cell r="D677">
            <v>90</v>
          </cell>
          <cell r="E677">
            <v>505</v>
          </cell>
          <cell r="F677">
            <v>90</v>
          </cell>
          <cell r="G677">
            <v>103429</v>
          </cell>
          <cell r="H677" t="str">
            <v>;;=SUM(F15:G15);</v>
          </cell>
          <cell r="I677" t="str">
            <v>.</v>
          </cell>
        </row>
        <row r="678">
          <cell r="A678">
            <v>300</v>
          </cell>
          <cell r="B678" t="str">
            <v>Greece</v>
          </cell>
          <cell r="C678">
            <v>1998</v>
          </cell>
          <cell r="D678">
            <v>90</v>
          </cell>
          <cell r="E678">
            <v>606</v>
          </cell>
          <cell r="F678">
            <v>90</v>
          </cell>
          <cell r="G678">
            <v>104256</v>
          </cell>
          <cell r="H678" t="str">
            <v>;;=SUM(F16:G16);</v>
          </cell>
          <cell r="I678" t="str">
            <v>.</v>
          </cell>
        </row>
        <row r="679">
          <cell r="A679">
            <v>300</v>
          </cell>
          <cell r="B679" t="str">
            <v>Greece</v>
          </cell>
          <cell r="C679">
            <v>1998</v>
          </cell>
          <cell r="D679">
            <v>90</v>
          </cell>
          <cell r="E679">
            <v>707</v>
          </cell>
          <cell r="F679">
            <v>90</v>
          </cell>
          <cell r="G679">
            <v>106702</v>
          </cell>
          <cell r="H679" t="str">
            <v>;;=SUM(F17:G17);</v>
          </cell>
          <cell r="I679" t="str">
            <v>.</v>
          </cell>
        </row>
        <row r="680">
          <cell r="A680">
            <v>300</v>
          </cell>
          <cell r="B680" t="str">
            <v>Greece</v>
          </cell>
          <cell r="C680">
            <v>1998</v>
          </cell>
          <cell r="D680">
            <v>90</v>
          </cell>
          <cell r="E680">
            <v>808</v>
          </cell>
          <cell r="F680">
            <v>90</v>
          </cell>
          <cell r="G680">
            <v>108306</v>
          </cell>
          <cell r="H680" t="str">
            <v>;;=SUM(F18:G18);</v>
          </cell>
          <cell r="I680" t="str">
            <v>.</v>
          </cell>
        </row>
        <row r="681">
          <cell r="A681">
            <v>300</v>
          </cell>
          <cell r="B681" t="str">
            <v>Greece</v>
          </cell>
          <cell r="C681">
            <v>1998</v>
          </cell>
          <cell r="D681">
            <v>90</v>
          </cell>
          <cell r="E681">
            <v>909</v>
          </cell>
          <cell r="F681">
            <v>90</v>
          </cell>
          <cell r="G681">
            <v>110403</v>
          </cell>
          <cell r="H681" t="str">
            <v>;;=SUM(F19:G19);</v>
          </cell>
          <cell r="I681" t="str">
            <v>.</v>
          </cell>
        </row>
        <row r="682">
          <cell r="A682">
            <v>300</v>
          </cell>
          <cell r="B682" t="str">
            <v>Greece</v>
          </cell>
          <cell r="C682">
            <v>1998</v>
          </cell>
          <cell r="D682">
            <v>90</v>
          </cell>
          <cell r="E682">
            <v>509</v>
          </cell>
          <cell r="F682">
            <v>90</v>
          </cell>
          <cell r="G682">
            <v>533096</v>
          </cell>
          <cell r="H682" t="str">
            <v>;;=SUM(F20:G20);</v>
          </cell>
          <cell r="I682" t="str">
            <v>.</v>
          </cell>
        </row>
        <row r="683">
          <cell r="A683">
            <v>300</v>
          </cell>
          <cell r="B683" t="str">
            <v>Greece</v>
          </cell>
          <cell r="C683">
            <v>1998</v>
          </cell>
          <cell r="D683">
            <v>90</v>
          </cell>
          <cell r="E683">
            <v>1010</v>
          </cell>
          <cell r="F683">
            <v>90</v>
          </cell>
          <cell r="G683">
            <v>113349</v>
          </cell>
          <cell r="H683" t="str">
            <v>;;=SUM(F21:G21);</v>
          </cell>
          <cell r="I683" t="str">
            <v>.</v>
          </cell>
        </row>
        <row r="684">
          <cell r="A684">
            <v>300</v>
          </cell>
          <cell r="B684" t="str">
            <v>Greece</v>
          </cell>
          <cell r="C684">
            <v>1998</v>
          </cell>
          <cell r="D684">
            <v>90</v>
          </cell>
          <cell r="E684">
            <v>1111</v>
          </cell>
          <cell r="F684">
            <v>90</v>
          </cell>
          <cell r="G684">
            <v>117811</v>
          </cell>
          <cell r="H684" t="str">
            <v>;;=SUM(F22:G22);</v>
          </cell>
          <cell r="I684" t="str">
            <v>.</v>
          </cell>
        </row>
        <row r="685">
          <cell r="A685">
            <v>300</v>
          </cell>
          <cell r="B685" t="str">
            <v>Greece</v>
          </cell>
          <cell r="C685">
            <v>1998</v>
          </cell>
          <cell r="D685">
            <v>90</v>
          </cell>
          <cell r="E685">
            <v>1212</v>
          </cell>
          <cell r="F685">
            <v>90</v>
          </cell>
          <cell r="G685">
            <v>123058</v>
          </cell>
          <cell r="H685" t="str">
            <v>;;=SUM(F23:G23);</v>
          </cell>
          <cell r="I685" t="str">
            <v>.</v>
          </cell>
        </row>
        <row r="686">
          <cell r="A686">
            <v>300</v>
          </cell>
          <cell r="B686" t="str">
            <v>Greece</v>
          </cell>
          <cell r="C686">
            <v>1998</v>
          </cell>
          <cell r="D686">
            <v>90</v>
          </cell>
          <cell r="E686">
            <v>1313</v>
          </cell>
          <cell r="F686">
            <v>90</v>
          </cell>
          <cell r="G686">
            <v>128160</v>
          </cell>
          <cell r="H686" t="str">
            <v>;;=SUM(F24:G24);</v>
          </cell>
          <cell r="I686" t="str">
            <v>.</v>
          </cell>
        </row>
        <row r="687">
          <cell r="A687">
            <v>300</v>
          </cell>
          <cell r="B687" t="str">
            <v>Greece</v>
          </cell>
          <cell r="C687">
            <v>1998</v>
          </cell>
          <cell r="D687">
            <v>90</v>
          </cell>
          <cell r="E687">
            <v>1414</v>
          </cell>
          <cell r="F687">
            <v>90</v>
          </cell>
          <cell r="G687">
            <v>133663</v>
          </cell>
          <cell r="H687" t="str">
            <v>;;=SUM(F25:G25);</v>
          </cell>
          <cell r="I687" t="str">
            <v>.</v>
          </cell>
        </row>
        <row r="688">
          <cell r="A688">
            <v>300</v>
          </cell>
          <cell r="B688" t="str">
            <v>Greece</v>
          </cell>
          <cell r="C688">
            <v>1998</v>
          </cell>
          <cell r="D688">
            <v>90</v>
          </cell>
          <cell r="E688">
            <v>1014</v>
          </cell>
          <cell r="F688">
            <v>90</v>
          </cell>
          <cell r="G688">
            <v>616041</v>
          </cell>
          <cell r="H688" t="str">
            <v>;;=SUM(F26:G26);</v>
          </cell>
          <cell r="I688" t="str">
            <v>.</v>
          </cell>
        </row>
        <row r="689">
          <cell r="A689">
            <v>300</v>
          </cell>
          <cell r="B689" t="str">
            <v>Greece</v>
          </cell>
          <cell r="C689">
            <v>1998</v>
          </cell>
          <cell r="D689">
            <v>90</v>
          </cell>
          <cell r="E689">
            <v>1515</v>
          </cell>
          <cell r="F689">
            <v>90</v>
          </cell>
          <cell r="G689">
            <v>139244</v>
          </cell>
          <cell r="H689" t="str">
            <v>;;=SUM(F27:G27);</v>
          </cell>
          <cell r="I689" t="str">
            <v>.</v>
          </cell>
        </row>
        <row r="690">
          <cell r="A690">
            <v>578</v>
          </cell>
          <cell r="B690" t="str">
            <v>Norway</v>
          </cell>
          <cell r="C690">
            <v>1998</v>
          </cell>
          <cell r="D690">
            <v>90</v>
          </cell>
          <cell r="E690">
            <v>900000</v>
          </cell>
          <cell r="F690">
            <v>90</v>
          </cell>
          <cell r="G690">
            <v>4417599</v>
          </cell>
          <cell r="H690" t="str">
            <v>;;=SUM(F11:G11);</v>
          </cell>
          <cell r="I690" t="str">
            <v>.</v>
          </cell>
        </row>
        <row r="691">
          <cell r="A691">
            <v>578</v>
          </cell>
          <cell r="B691" t="str">
            <v>Norway</v>
          </cell>
          <cell r="C691">
            <v>1998</v>
          </cell>
          <cell r="D691">
            <v>90</v>
          </cell>
          <cell r="E691">
            <v>300</v>
          </cell>
          <cell r="F691">
            <v>90</v>
          </cell>
          <cell r="G691">
            <v>181761</v>
          </cell>
          <cell r="H691" t="str">
            <v>;;=SUM(F12:G12);</v>
          </cell>
          <cell r="I691" t="str">
            <v>.</v>
          </cell>
        </row>
        <row r="692">
          <cell r="A692">
            <v>578</v>
          </cell>
          <cell r="B692" t="str">
            <v>Norway</v>
          </cell>
          <cell r="C692">
            <v>1998</v>
          </cell>
          <cell r="D692">
            <v>90</v>
          </cell>
          <cell r="E692">
            <v>303</v>
          </cell>
          <cell r="F692">
            <v>90</v>
          </cell>
          <cell r="G692">
            <v>60601</v>
          </cell>
          <cell r="H692" t="str">
            <v>;;=SUM(F13:G13);</v>
          </cell>
          <cell r="I692" t="str">
            <v>.</v>
          </cell>
        </row>
        <row r="693">
          <cell r="A693">
            <v>578</v>
          </cell>
          <cell r="B693" t="str">
            <v>Norway</v>
          </cell>
          <cell r="C693">
            <v>1998</v>
          </cell>
          <cell r="D693">
            <v>90</v>
          </cell>
          <cell r="E693">
            <v>404</v>
          </cell>
          <cell r="F693">
            <v>90</v>
          </cell>
          <cell r="G693">
            <v>60435</v>
          </cell>
          <cell r="H693" t="str">
            <v>;;=SUM(F14:G14);</v>
          </cell>
          <cell r="I693" t="str">
            <v>.</v>
          </cell>
        </row>
        <row r="694">
          <cell r="A694">
            <v>578</v>
          </cell>
          <cell r="B694" t="str">
            <v>Norway</v>
          </cell>
          <cell r="C694">
            <v>1998</v>
          </cell>
          <cell r="D694">
            <v>90</v>
          </cell>
          <cell r="E694">
            <v>505</v>
          </cell>
          <cell r="F694">
            <v>90</v>
          </cell>
          <cell r="G694">
            <v>61210</v>
          </cell>
          <cell r="H694" t="str">
            <v>;;=SUM(F15:G15);</v>
          </cell>
          <cell r="I694" t="str">
            <v>.</v>
          </cell>
        </row>
        <row r="695">
          <cell r="A695">
            <v>578</v>
          </cell>
          <cell r="B695" t="str">
            <v>Norway</v>
          </cell>
          <cell r="C695">
            <v>1998</v>
          </cell>
          <cell r="D695">
            <v>90</v>
          </cell>
          <cell r="E695">
            <v>606</v>
          </cell>
          <cell r="F695">
            <v>90</v>
          </cell>
          <cell r="G695">
            <v>62046</v>
          </cell>
          <cell r="H695" t="str">
            <v>;;=SUM(F16:G16);</v>
          </cell>
          <cell r="I695" t="str">
            <v>.</v>
          </cell>
        </row>
        <row r="696">
          <cell r="A696">
            <v>578</v>
          </cell>
          <cell r="B696" t="str">
            <v>Norway</v>
          </cell>
          <cell r="C696">
            <v>1998</v>
          </cell>
          <cell r="D696">
            <v>90</v>
          </cell>
          <cell r="E696">
            <v>707</v>
          </cell>
          <cell r="F696">
            <v>90</v>
          </cell>
          <cell r="G696">
            <v>62052</v>
          </cell>
          <cell r="H696" t="str">
            <v>;;=SUM(F17:G17);</v>
          </cell>
          <cell r="I696" t="str">
            <v>.</v>
          </cell>
        </row>
        <row r="697">
          <cell r="A697">
            <v>554</v>
          </cell>
          <cell r="B697" t="str">
            <v>New Zealand</v>
          </cell>
          <cell r="C697">
            <v>1998</v>
          </cell>
          <cell r="D697">
            <v>90</v>
          </cell>
          <cell r="E697">
            <v>4099</v>
          </cell>
          <cell r="F697">
            <v>90</v>
          </cell>
          <cell r="G697">
            <v>1506840</v>
          </cell>
          <cell r="H697" t="str">
            <v>;;=SUM(F47:G47);</v>
          </cell>
          <cell r="I697" t="str">
            <v>.</v>
          </cell>
        </row>
        <row r="698">
          <cell r="A698">
            <v>554</v>
          </cell>
          <cell r="B698" t="str">
            <v>New Zealand</v>
          </cell>
          <cell r="C698">
            <v>1998</v>
          </cell>
          <cell r="D698">
            <v>90</v>
          </cell>
          <cell r="E698">
            <v>990000</v>
          </cell>
          <cell r="F698">
            <v>90</v>
          </cell>
          <cell r="G698">
            <v>0</v>
          </cell>
          <cell r="H698" t="str">
            <v>n;</v>
          </cell>
          <cell r="I698" t="str">
            <v>n</v>
          </cell>
        </row>
        <row r="699">
          <cell r="A699">
            <v>616</v>
          </cell>
          <cell r="B699" t="str">
            <v>Poland</v>
          </cell>
          <cell r="C699">
            <v>1998</v>
          </cell>
          <cell r="D699">
            <v>90</v>
          </cell>
          <cell r="E699">
            <v>2424</v>
          </cell>
          <cell r="F699">
            <v>90</v>
          </cell>
          <cell r="G699">
            <v>566986</v>
          </cell>
          <cell r="H699"/>
          <cell r="I699" t="str">
            <v>.</v>
          </cell>
        </row>
        <row r="700">
          <cell r="A700">
            <v>616</v>
          </cell>
          <cell r="B700" t="str">
            <v>Poland</v>
          </cell>
          <cell r="C700">
            <v>1998</v>
          </cell>
          <cell r="D700">
            <v>90</v>
          </cell>
          <cell r="E700">
            <v>2024</v>
          </cell>
          <cell r="F700">
            <v>90</v>
          </cell>
          <cell r="G700">
            <v>3042845</v>
          </cell>
          <cell r="H700"/>
          <cell r="I700" t="str">
            <v>.</v>
          </cell>
        </row>
        <row r="701">
          <cell r="A701">
            <v>616</v>
          </cell>
          <cell r="B701" t="str">
            <v>Poland</v>
          </cell>
          <cell r="C701">
            <v>1998</v>
          </cell>
          <cell r="D701">
            <v>90</v>
          </cell>
          <cell r="E701">
            <v>2525</v>
          </cell>
          <cell r="F701">
            <v>90</v>
          </cell>
          <cell r="G701">
            <v>556467</v>
          </cell>
          <cell r="H701"/>
          <cell r="I701" t="str">
            <v>.</v>
          </cell>
        </row>
        <row r="702">
          <cell r="A702">
            <v>616</v>
          </cell>
          <cell r="B702" t="str">
            <v>Poland</v>
          </cell>
          <cell r="C702">
            <v>1998</v>
          </cell>
          <cell r="D702">
            <v>90</v>
          </cell>
          <cell r="E702">
            <v>2626</v>
          </cell>
          <cell r="F702">
            <v>90</v>
          </cell>
          <cell r="G702">
            <v>533137</v>
          </cell>
          <cell r="H702"/>
          <cell r="I702" t="str">
            <v>.</v>
          </cell>
        </row>
        <row r="703">
          <cell r="A703">
            <v>616</v>
          </cell>
          <cell r="B703" t="str">
            <v>Poland</v>
          </cell>
          <cell r="C703">
            <v>1998</v>
          </cell>
          <cell r="D703">
            <v>90</v>
          </cell>
          <cell r="E703">
            <v>2727</v>
          </cell>
          <cell r="F703">
            <v>90</v>
          </cell>
          <cell r="G703">
            <v>515580</v>
          </cell>
          <cell r="H703"/>
          <cell r="I703" t="str">
            <v>.</v>
          </cell>
        </row>
        <row r="704">
          <cell r="A704">
            <v>616</v>
          </cell>
          <cell r="B704" t="str">
            <v>Poland</v>
          </cell>
          <cell r="C704">
            <v>1998</v>
          </cell>
          <cell r="D704">
            <v>90</v>
          </cell>
          <cell r="E704">
            <v>2828</v>
          </cell>
          <cell r="F704">
            <v>90</v>
          </cell>
          <cell r="G704">
            <v>488328</v>
          </cell>
          <cell r="H704"/>
          <cell r="I704" t="str">
            <v>.</v>
          </cell>
        </row>
        <row r="705">
          <cell r="A705">
            <v>616</v>
          </cell>
          <cell r="B705" t="str">
            <v>Poland</v>
          </cell>
          <cell r="C705">
            <v>1998</v>
          </cell>
          <cell r="D705">
            <v>90</v>
          </cell>
          <cell r="E705">
            <v>2929</v>
          </cell>
          <cell r="F705">
            <v>90</v>
          </cell>
          <cell r="G705">
            <v>487449</v>
          </cell>
          <cell r="H705"/>
          <cell r="I705" t="str">
            <v>.</v>
          </cell>
        </row>
        <row r="706">
          <cell r="A706">
            <v>616</v>
          </cell>
          <cell r="B706" t="str">
            <v>Poland</v>
          </cell>
          <cell r="C706">
            <v>1998</v>
          </cell>
          <cell r="D706">
            <v>90</v>
          </cell>
          <cell r="E706">
            <v>2529</v>
          </cell>
          <cell r="F706">
            <v>90</v>
          </cell>
          <cell r="G706">
            <v>2580961</v>
          </cell>
          <cell r="H706"/>
          <cell r="I706" t="str">
            <v>.</v>
          </cell>
        </row>
        <row r="707">
          <cell r="A707">
            <v>616</v>
          </cell>
          <cell r="B707" t="str">
            <v>Poland</v>
          </cell>
          <cell r="C707">
            <v>1998</v>
          </cell>
          <cell r="D707">
            <v>90</v>
          </cell>
          <cell r="E707">
            <v>3034</v>
          </cell>
          <cell r="F707">
            <v>90</v>
          </cell>
          <cell r="G707">
            <v>2477387</v>
          </cell>
          <cell r="H707"/>
          <cell r="I707" t="str">
            <v>.</v>
          </cell>
        </row>
        <row r="708">
          <cell r="A708">
            <v>616</v>
          </cell>
          <cell r="B708" t="str">
            <v>Poland</v>
          </cell>
          <cell r="C708">
            <v>1998</v>
          </cell>
          <cell r="D708">
            <v>90</v>
          </cell>
          <cell r="E708">
            <v>3539</v>
          </cell>
          <cell r="F708">
            <v>90</v>
          </cell>
          <cell r="G708">
            <v>2923901</v>
          </cell>
          <cell r="H708"/>
          <cell r="I708" t="str">
            <v>.</v>
          </cell>
        </row>
        <row r="709">
          <cell r="A709">
            <v>616</v>
          </cell>
          <cell r="B709" t="str">
            <v>Poland</v>
          </cell>
          <cell r="C709">
            <v>1998</v>
          </cell>
          <cell r="D709">
            <v>90</v>
          </cell>
          <cell r="E709">
            <v>4099</v>
          </cell>
          <cell r="F709">
            <v>90</v>
          </cell>
          <cell r="G709">
            <v>16172889</v>
          </cell>
          <cell r="H709"/>
          <cell r="I709" t="str">
            <v>.</v>
          </cell>
        </row>
        <row r="710">
          <cell r="A710">
            <v>616</v>
          </cell>
          <cell r="B710" t="str">
            <v>Poland</v>
          </cell>
          <cell r="C710">
            <v>1998</v>
          </cell>
          <cell r="D710">
            <v>90</v>
          </cell>
          <cell r="E710">
            <v>990000</v>
          </cell>
          <cell r="F710">
            <v>90</v>
          </cell>
          <cell r="G710">
            <v>0</v>
          </cell>
          <cell r="H710" t="str">
            <v>n;</v>
          </cell>
          <cell r="I710" t="str">
            <v>n</v>
          </cell>
        </row>
        <row r="711">
          <cell r="A711">
            <v>724</v>
          </cell>
          <cell r="B711" t="str">
            <v>Spain</v>
          </cell>
          <cell r="C711">
            <v>1998</v>
          </cell>
          <cell r="D711">
            <v>90</v>
          </cell>
          <cell r="E711">
            <v>900000</v>
          </cell>
          <cell r="F711">
            <v>90</v>
          </cell>
          <cell r="G711">
            <v>39347936</v>
          </cell>
          <cell r="H711" t="str">
            <v>;;=SUM(F11:G11);</v>
          </cell>
          <cell r="I711" t="str">
            <v>.</v>
          </cell>
        </row>
        <row r="712">
          <cell r="A712">
            <v>724</v>
          </cell>
          <cell r="B712" t="str">
            <v>Spain</v>
          </cell>
          <cell r="C712">
            <v>1998</v>
          </cell>
          <cell r="D712">
            <v>90</v>
          </cell>
          <cell r="E712">
            <v>300</v>
          </cell>
          <cell r="F712">
            <v>90</v>
          </cell>
          <cell r="G712">
            <v>1153667</v>
          </cell>
          <cell r="H712" t="str">
            <v>;;=SUM(F12:G12);</v>
          </cell>
          <cell r="I712" t="str">
            <v>.</v>
          </cell>
        </row>
        <row r="713">
          <cell r="A713">
            <v>724</v>
          </cell>
          <cell r="B713" t="str">
            <v>Spain</v>
          </cell>
          <cell r="C713">
            <v>1998</v>
          </cell>
          <cell r="D713">
            <v>90</v>
          </cell>
          <cell r="E713">
            <v>303</v>
          </cell>
          <cell r="F713">
            <v>90</v>
          </cell>
          <cell r="G713">
            <v>374212</v>
          </cell>
          <cell r="H713" t="str">
            <v>;;=SUM(F13:G13);</v>
          </cell>
          <cell r="I713" t="str">
            <v>.</v>
          </cell>
        </row>
        <row r="714">
          <cell r="A714">
            <v>724</v>
          </cell>
          <cell r="B714" t="str">
            <v>Spain</v>
          </cell>
          <cell r="C714">
            <v>1998</v>
          </cell>
          <cell r="D714">
            <v>90</v>
          </cell>
          <cell r="E714">
            <v>404</v>
          </cell>
          <cell r="F714">
            <v>90</v>
          </cell>
          <cell r="G714">
            <v>384591</v>
          </cell>
          <cell r="H714" t="str">
            <v>;;=SUM(F14:G14);</v>
          </cell>
          <cell r="I714" t="str">
            <v>.</v>
          </cell>
        </row>
        <row r="715">
          <cell r="A715">
            <v>724</v>
          </cell>
          <cell r="B715" t="str">
            <v>Spain</v>
          </cell>
          <cell r="C715">
            <v>1998</v>
          </cell>
          <cell r="D715">
            <v>90</v>
          </cell>
          <cell r="E715">
            <v>505</v>
          </cell>
          <cell r="F715">
            <v>90</v>
          </cell>
          <cell r="G715">
            <v>394866</v>
          </cell>
          <cell r="H715" t="str">
            <v>;;=SUM(F15:G15);</v>
          </cell>
          <cell r="I715" t="str">
            <v>.</v>
          </cell>
        </row>
        <row r="716">
          <cell r="A716">
            <v>724</v>
          </cell>
          <cell r="B716" t="str">
            <v>Spain</v>
          </cell>
          <cell r="C716">
            <v>1998</v>
          </cell>
          <cell r="D716">
            <v>90</v>
          </cell>
          <cell r="E716">
            <v>606</v>
          </cell>
          <cell r="F716">
            <v>90</v>
          </cell>
          <cell r="G716">
            <v>394298</v>
          </cell>
          <cell r="H716" t="str">
            <v>;;=SUM(F16:G16);</v>
          </cell>
          <cell r="I716" t="str">
            <v>.</v>
          </cell>
        </row>
        <row r="717">
          <cell r="A717">
            <v>724</v>
          </cell>
          <cell r="B717" t="str">
            <v>Spain</v>
          </cell>
          <cell r="C717">
            <v>1998</v>
          </cell>
          <cell r="D717">
            <v>90</v>
          </cell>
          <cell r="E717">
            <v>707</v>
          </cell>
          <cell r="F717">
            <v>90</v>
          </cell>
          <cell r="G717">
            <v>390534</v>
          </cell>
          <cell r="H717" t="str">
            <v>;;=SUM(F17:G17);</v>
          </cell>
          <cell r="I717" t="str">
            <v>.</v>
          </cell>
        </row>
        <row r="718">
          <cell r="A718">
            <v>724</v>
          </cell>
          <cell r="B718" t="str">
            <v>Spain</v>
          </cell>
          <cell r="C718">
            <v>1998</v>
          </cell>
          <cell r="D718">
            <v>90</v>
          </cell>
          <cell r="E718">
            <v>808</v>
          </cell>
          <cell r="F718">
            <v>90</v>
          </cell>
          <cell r="G718">
            <v>397711</v>
          </cell>
          <cell r="H718" t="str">
            <v>;;=SUM(F18:G18);</v>
          </cell>
          <cell r="I718" t="str">
            <v>.</v>
          </cell>
        </row>
        <row r="719">
          <cell r="A719">
            <v>724</v>
          </cell>
          <cell r="B719" t="str">
            <v>Spain</v>
          </cell>
          <cell r="C719">
            <v>1998</v>
          </cell>
          <cell r="D719">
            <v>90</v>
          </cell>
          <cell r="E719">
            <v>909</v>
          </cell>
          <cell r="F719">
            <v>90</v>
          </cell>
          <cell r="G719">
            <v>399393</v>
          </cell>
          <cell r="H719" t="str">
            <v>;;=SUM(F19:G19);</v>
          </cell>
          <cell r="I719" t="str">
            <v>.</v>
          </cell>
        </row>
        <row r="720">
          <cell r="A720">
            <v>724</v>
          </cell>
          <cell r="B720" t="str">
            <v>Spain</v>
          </cell>
          <cell r="C720">
            <v>1998</v>
          </cell>
          <cell r="D720">
            <v>90</v>
          </cell>
          <cell r="E720">
            <v>509</v>
          </cell>
          <cell r="F720">
            <v>90</v>
          </cell>
          <cell r="G720">
            <v>1976802</v>
          </cell>
          <cell r="H720" t="str">
            <v>;;=SUM(F20:G20);</v>
          </cell>
          <cell r="I720" t="str">
            <v>.</v>
          </cell>
        </row>
        <row r="721">
          <cell r="A721">
            <v>724</v>
          </cell>
          <cell r="B721" t="str">
            <v>Spain</v>
          </cell>
          <cell r="C721">
            <v>1998</v>
          </cell>
          <cell r="D721">
            <v>90</v>
          </cell>
          <cell r="E721">
            <v>1010</v>
          </cell>
          <cell r="F721">
            <v>90</v>
          </cell>
          <cell r="G721">
            <v>413591</v>
          </cell>
          <cell r="H721" t="str">
            <v>;;=SUM(F21:G21);</v>
          </cell>
          <cell r="I721" t="str">
            <v>.</v>
          </cell>
        </row>
        <row r="722">
          <cell r="A722">
            <v>724</v>
          </cell>
          <cell r="B722" t="str">
            <v>Spain</v>
          </cell>
          <cell r="C722">
            <v>1998</v>
          </cell>
          <cell r="D722">
            <v>90</v>
          </cell>
          <cell r="E722">
            <v>1111</v>
          </cell>
          <cell r="F722">
            <v>90</v>
          </cell>
          <cell r="G722">
            <v>427768</v>
          </cell>
          <cell r="H722" t="str">
            <v>;;=SUM(F22:G22);</v>
          </cell>
          <cell r="I722" t="str">
            <v>.</v>
          </cell>
        </row>
        <row r="723">
          <cell r="A723">
            <v>724</v>
          </cell>
          <cell r="B723" t="str">
            <v>Spain</v>
          </cell>
          <cell r="C723">
            <v>1998</v>
          </cell>
          <cell r="D723">
            <v>90</v>
          </cell>
          <cell r="E723">
            <v>1212</v>
          </cell>
          <cell r="F723">
            <v>90</v>
          </cell>
          <cell r="G723">
            <v>448700</v>
          </cell>
          <cell r="H723" t="str">
            <v>;;=SUM(F23:G23);</v>
          </cell>
          <cell r="I723" t="str">
            <v>.</v>
          </cell>
        </row>
        <row r="724">
          <cell r="A724">
            <v>724</v>
          </cell>
          <cell r="B724" t="str">
            <v>Spain</v>
          </cell>
          <cell r="C724">
            <v>1998</v>
          </cell>
          <cell r="D724">
            <v>90</v>
          </cell>
          <cell r="E724">
            <v>1313</v>
          </cell>
          <cell r="F724">
            <v>90</v>
          </cell>
          <cell r="G724">
            <v>469640</v>
          </cell>
          <cell r="H724" t="str">
            <v>;;=SUM(F24:G24);</v>
          </cell>
          <cell r="I724" t="str">
            <v>.</v>
          </cell>
        </row>
        <row r="725">
          <cell r="A725">
            <v>724</v>
          </cell>
          <cell r="B725" t="str">
            <v>Spain</v>
          </cell>
          <cell r="C725">
            <v>1998</v>
          </cell>
          <cell r="D725">
            <v>90</v>
          </cell>
          <cell r="E725">
            <v>1414</v>
          </cell>
          <cell r="F725">
            <v>90</v>
          </cell>
          <cell r="G725">
            <v>492615</v>
          </cell>
          <cell r="H725" t="str">
            <v>;;=SUM(F25:G25);</v>
          </cell>
          <cell r="I725" t="str">
            <v>.</v>
          </cell>
        </row>
        <row r="726">
          <cell r="A726">
            <v>724</v>
          </cell>
          <cell r="B726" t="str">
            <v>Spain</v>
          </cell>
          <cell r="C726">
            <v>1998</v>
          </cell>
          <cell r="D726">
            <v>90</v>
          </cell>
          <cell r="E726">
            <v>1014</v>
          </cell>
          <cell r="F726">
            <v>90</v>
          </cell>
          <cell r="G726">
            <v>2252314</v>
          </cell>
          <cell r="H726" t="str">
            <v>;;=SUM(F26:G26);</v>
          </cell>
          <cell r="I726" t="str">
            <v>.</v>
          </cell>
        </row>
        <row r="727">
          <cell r="A727">
            <v>724</v>
          </cell>
          <cell r="B727" t="str">
            <v>Spain</v>
          </cell>
          <cell r="C727">
            <v>1998</v>
          </cell>
          <cell r="D727">
            <v>90</v>
          </cell>
          <cell r="E727">
            <v>1515</v>
          </cell>
          <cell r="F727">
            <v>90</v>
          </cell>
          <cell r="G727">
            <v>517255</v>
          </cell>
          <cell r="H727" t="str">
            <v>;;=SUM(F27:G27);</v>
          </cell>
          <cell r="I727" t="str">
            <v>.</v>
          </cell>
        </row>
        <row r="728">
          <cell r="A728">
            <v>724</v>
          </cell>
          <cell r="B728" t="str">
            <v>Spain</v>
          </cell>
          <cell r="C728">
            <v>1998</v>
          </cell>
          <cell r="D728">
            <v>90</v>
          </cell>
          <cell r="E728">
            <v>1616</v>
          </cell>
          <cell r="F728">
            <v>90</v>
          </cell>
          <cell r="G728">
            <v>541666</v>
          </cell>
          <cell r="H728" t="str">
            <v>;;=SUM(F28:G28);</v>
          </cell>
          <cell r="I728" t="str">
            <v>.</v>
          </cell>
        </row>
        <row r="729">
          <cell r="A729">
            <v>724</v>
          </cell>
          <cell r="B729" t="str">
            <v>Spain</v>
          </cell>
          <cell r="C729">
            <v>1998</v>
          </cell>
          <cell r="D729">
            <v>90</v>
          </cell>
          <cell r="E729">
            <v>1717</v>
          </cell>
          <cell r="F729">
            <v>90</v>
          </cell>
          <cell r="G729">
            <v>571247</v>
          </cell>
          <cell r="H729" t="str">
            <v>;;=SUM(F29:G29);</v>
          </cell>
          <cell r="I729" t="str">
            <v>.</v>
          </cell>
        </row>
        <row r="730">
          <cell r="A730">
            <v>724</v>
          </cell>
          <cell r="B730" t="str">
            <v>Spain</v>
          </cell>
          <cell r="C730">
            <v>1998</v>
          </cell>
          <cell r="D730">
            <v>90</v>
          </cell>
          <cell r="E730">
            <v>1818</v>
          </cell>
          <cell r="F730">
            <v>90</v>
          </cell>
          <cell r="G730">
            <v>596023</v>
          </cell>
          <cell r="H730" t="str">
            <v>;;=SUM(F30:G30);</v>
          </cell>
          <cell r="I730" t="str">
            <v>.</v>
          </cell>
        </row>
        <row r="731">
          <cell r="A731">
            <v>756</v>
          </cell>
          <cell r="B731" t="str">
            <v>Switzerland</v>
          </cell>
          <cell r="C731">
            <v>1998</v>
          </cell>
          <cell r="D731">
            <v>90</v>
          </cell>
          <cell r="E731">
            <v>900000</v>
          </cell>
          <cell r="F731">
            <v>90</v>
          </cell>
          <cell r="G731">
            <v>7096465</v>
          </cell>
          <cell r="H731"/>
          <cell r="I731" t="str">
            <v>.</v>
          </cell>
        </row>
        <row r="732">
          <cell r="A732">
            <v>756</v>
          </cell>
          <cell r="B732" t="str">
            <v>Switzerland</v>
          </cell>
          <cell r="C732">
            <v>1998</v>
          </cell>
          <cell r="D732">
            <v>90</v>
          </cell>
          <cell r="E732">
            <v>300</v>
          </cell>
          <cell r="F732">
            <v>90</v>
          </cell>
          <cell r="G732">
            <v>243663</v>
          </cell>
          <cell r="H732"/>
          <cell r="I732" t="str">
            <v>.</v>
          </cell>
        </row>
        <row r="733">
          <cell r="A733">
            <v>756</v>
          </cell>
          <cell r="B733" t="str">
            <v>Switzerland</v>
          </cell>
          <cell r="C733">
            <v>1998</v>
          </cell>
          <cell r="D733">
            <v>90</v>
          </cell>
          <cell r="E733">
            <v>303</v>
          </cell>
          <cell r="F733">
            <v>90</v>
          </cell>
          <cell r="G733">
            <v>82405</v>
          </cell>
          <cell r="H733"/>
          <cell r="I733" t="str">
            <v>.</v>
          </cell>
        </row>
        <row r="734">
          <cell r="A734">
            <v>756</v>
          </cell>
          <cell r="B734" t="str">
            <v>Switzerland</v>
          </cell>
          <cell r="C734">
            <v>1998</v>
          </cell>
          <cell r="D734">
            <v>90</v>
          </cell>
          <cell r="E734">
            <v>404</v>
          </cell>
          <cell r="F734">
            <v>90</v>
          </cell>
          <cell r="G734">
            <v>83533</v>
          </cell>
          <cell r="H734"/>
          <cell r="I734" t="str">
            <v>.</v>
          </cell>
        </row>
        <row r="735">
          <cell r="A735">
            <v>756</v>
          </cell>
          <cell r="B735" t="str">
            <v>Switzerland</v>
          </cell>
          <cell r="C735">
            <v>1998</v>
          </cell>
          <cell r="D735">
            <v>90</v>
          </cell>
          <cell r="E735">
            <v>505</v>
          </cell>
          <cell r="F735">
            <v>90</v>
          </cell>
          <cell r="G735">
            <v>86784</v>
          </cell>
          <cell r="H735"/>
          <cell r="I735" t="str">
            <v>.</v>
          </cell>
        </row>
        <row r="736">
          <cell r="A736">
            <v>756</v>
          </cell>
          <cell r="B736" t="str">
            <v>Switzerland</v>
          </cell>
          <cell r="C736">
            <v>1998</v>
          </cell>
          <cell r="D736">
            <v>90</v>
          </cell>
          <cell r="E736">
            <v>606</v>
          </cell>
          <cell r="F736">
            <v>90</v>
          </cell>
          <cell r="G736">
            <v>86947</v>
          </cell>
          <cell r="H736"/>
          <cell r="I736" t="str">
            <v>.</v>
          </cell>
        </row>
        <row r="737">
          <cell r="A737">
            <v>756</v>
          </cell>
          <cell r="B737" t="str">
            <v>Switzerland</v>
          </cell>
          <cell r="C737">
            <v>1998</v>
          </cell>
          <cell r="D737">
            <v>90</v>
          </cell>
          <cell r="E737">
            <v>707</v>
          </cell>
          <cell r="F737">
            <v>90</v>
          </cell>
          <cell r="G737">
            <v>86695</v>
          </cell>
          <cell r="H737"/>
          <cell r="I737" t="str">
            <v>.</v>
          </cell>
        </row>
        <row r="738">
          <cell r="A738">
            <v>756</v>
          </cell>
          <cell r="B738" t="str">
            <v>Switzerland</v>
          </cell>
          <cell r="C738">
            <v>1998</v>
          </cell>
          <cell r="D738">
            <v>90</v>
          </cell>
          <cell r="E738">
            <v>808</v>
          </cell>
          <cell r="F738">
            <v>90</v>
          </cell>
          <cell r="G738">
            <v>84731</v>
          </cell>
          <cell r="H738"/>
          <cell r="I738" t="str">
            <v>.</v>
          </cell>
        </row>
        <row r="739">
          <cell r="A739">
            <v>756</v>
          </cell>
          <cell r="B739" t="str">
            <v>Switzerland</v>
          </cell>
          <cell r="C739">
            <v>1998</v>
          </cell>
          <cell r="D739">
            <v>90</v>
          </cell>
          <cell r="E739">
            <v>909</v>
          </cell>
          <cell r="F739">
            <v>90</v>
          </cell>
          <cell r="G739">
            <v>85031</v>
          </cell>
          <cell r="H739"/>
          <cell r="I739" t="str">
            <v>.</v>
          </cell>
        </row>
        <row r="740">
          <cell r="A740">
            <v>756</v>
          </cell>
          <cell r="B740" t="str">
            <v>Switzerland</v>
          </cell>
          <cell r="C740">
            <v>1998</v>
          </cell>
          <cell r="D740">
            <v>90</v>
          </cell>
          <cell r="E740">
            <v>509</v>
          </cell>
          <cell r="F740">
            <v>90</v>
          </cell>
          <cell r="G740">
            <v>430188</v>
          </cell>
          <cell r="H740"/>
          <cell r="I740" t="str">
            <v>.</v>
          </cell>
        </row>
        <row r="741">
          <cell r="A741">
            <v>756</v>
          </cell>
          <cell r="B741" t="str">
            <v>Switzerland</v>
          </cell>
          <cell r="C741">
            <v>1998</v>
          </cell>
          <cell r="D741">
            <v>90</v>
          </cell>
          <cell r="E741">
            <v>1010</v>
          </cell>
          <cell r="F741">
            <v>90</v>
          </cell>
          <cell r="G741">
            <v>81884</v>
          </cell>
          <cell r="H741"/>
          <cell r="I741" t="str">
            <v>.</v>
          </cell>
        </row>
        <row r="742">
          <cell r="A742">
            <v>756</v>
          </cell>
          <cell r="B742" t="str">
            <v>Switzerland</v>
          </cell>
          <cell r="C742">
            <v>1998</v>
          </cell>
          <cell r="D742">
            <v>90</v>
          </cell>
          <cell r="E742">
            <v>1111</v>
          </cell>
          <cell r="F742">
            <v>90</v>
          </cell>
          <cell r="G742">
            <v>82436</v>
          </cell>
          <cell r="H742"/>
          <cell r="I742" t="str">
            <v>.</v>
          </cell>
        </row>
        <row r="743">
          <cell r="A743">
            <v>756</v>
          </cell>
          <cell r="B743" t="str">
            <v>Switzerland</v>
          </cell>
          <cell r="C743">
            <v>1998</v>
          </cell>
          <cell r="D743">
            <v>90</v>
          </cell>
          <cell r="E743">
            <v>1212</v>
          </cell>
          <cell r="F743">
            <v>90</v>
          </cell>
          <cell r="G743">
            <v>81726</v>
          </cell>
          <cell r="H743"/>
          <cell r="I743" t="str">
            <v>.</v>
          </cell>
        </row>
        <row r="744">
          <cell r="A744">
            <v>300</v>
          </cell>
          <cell r="B744" t="str">
            <v>Greece</v>
          </cell>
          <cell r="C744">
            <v>1998</v>
          </cell>
          <cell r="D744">
            <v>90</v>
          </cell>
          <cell r="E744">
            <v>1616</v>
          </cell>
          <cell r="F744">
            <v>90</v>
          </cell>
          <cell r="G744">
            <v>144465</v>
          </cell>
          <cell r="H744" t="str">
            <v>;;=SUM(F28:G28);</v>
          </cell>
          <cell r="I744" t="str">
            <v>.</v>
          </cell>
        </row>
        <row r="745">
          <cell r="A745">
            <v>300</v>
          </cell>
          <cell r="B745" t="str">
            <v>Greece</v>
          </cell>
          <cell r="C745">
            <v>1998</v>
          </cell>
          <cell r="D745">
            <v>90</v>
          </cell>
          <cell r="E745">
            <v>1717</v>
          </cell>
          <cell r="F745">
            <v>90</v>
          </cell>
          <cell r="G745">
            <v>149281</v>
          </cell>
          <cell r="H745" t="str">
            <v>;;=SUM(F29:G29);</v>
          </cell>
          <cell r="I745" t="str">
            <v>.</v>
          </cell>
        </row>
        <row r="746">
          <cell r="A746">
            <v>300</v>
          </cell>
          <cell r="B746" t="str">
            <v>Greece</v>
          </cell>
          <cell r="C746">
            <v>1998</v>
          </cell>
          <cell r="D746">
            <v>90</v>
          </cell>
          <cell r="E746">
            <v>1818</v>
          </cell>
          <cell r="F746">
            <v>90</v>
          </cell>
          <cell r="G746">
            <v>151858</v>
          </cell>
          <cell r="H746" t="str">
            <v>;;=SUM(F30:G30);</v>
          </cell>
          <cell r="I746" t="str">
            <v>.</v>
          </cell>
        </row>
        <row r="747">
          <cell r="A747">
            <v>300</v>
          </cell>
          <cell r="B747" t="str">
            <v>Greece</v>
          </cell>
          <cell r="C747">
            <v>1998</v>
          </cell>
          <cell r="D747">
            <v>90</v>
          </cell>
          <cell r="E747">
            <v>1919</v>
          </cell>
          <cell r="F747">
            <v>90</v>
          </cell>
          <cell r="G747">
            <v>153589</v>
          </cell>
          <cell r="H747" t="str">
            <v>;;=SUM(F31:G31);</v>
          </cell>
          <cell r="I747" t="str">
            <v>.</v>
          </cell>
        </row>
        <row r="748">
          <cell r="A748">
            <v>300</v>
          </cell>
          <cell r="B748" t="str">
            <v>Greece</v>
          </cell>
          <cell r="C748">
            <v>1998</v>
          </cell>
          <cell r="D748">
            <v>90</v>
          </cell>
          <cell r="E748">
            <v>1519</v>
          </cell>
          <cell r="F748">
            <v>90</v>
          </cell>
          <cell r="G748">
            <v>738437</v>
          </cell>
          <cell r="H748" t="str">
            <v>;;=SUM(F32:G32);</v>
          </cell>
          <cell r="I748" t="str">
            <v>.</v>
          </cell>
        </row>
        <row r="749">
          <cell r="A749">
            <v>300</v>
          </cell>
          <cell r="B749" t="str">
            <v>Greece</v>
          </cell>
          <cell r="C749">
            <v>1998</v>
          </cell>
          <cell r="D749">
            <v>90</v>
          </cell>
          <cell r="E749">
            <v>2020</v>
          </cell>
          <cell r="F749">
            <v>90</v>
          </cell>
          <cell r="G749">
            <v>154346</v>
          </cell>
          <cell r="H749" t="str">
            <v>;;=SUM(F33:G33);</v>
          </cell>
          <cell r="I749" t="str">
            <v>.</v>
          </cell>
        </row>
        <row r="750">
          <cell r="A750">
            <v>300</v>
          </cell>
          <cell r="B750" t="str">
            <v>Greece</v>
          </cell>
          <cell r="C750">
            <v>1998</v>
          </cell>
          <cell r="D750">
            <v>90</v>
          </cell>
          <cell r="E750">
            <v>2121</v>
          </cell>
          <cell r="F750">
            <v>90</v>
          </cell>
          <cell r="G750">
            <v>155914</v>
          </cell>
          <cell r="H750" t="str">
            <v>;;=SUM(F34:G34);</v>
          </cell>
          <cell r="I750" t="str">
            <v>.</v>
          </cell>
        </row>
        <row r="751">
          <cell r="A751">
            <v>300</v>
          </cell>
          <cell r="B751" t="str">
            <v>Greece</v>
          </cell>
          <cell r="C751">
            <v>1998</v>
          </cell>
          <cell r="D751">
            <v>90</v>
          </cell>
          <cell r="E751">
            <v>2222</v>
          </cell>
          <cell r="F751">
            <v>90</v>
          </cell>
          <cell r="G751">
            <v>157564</v>
          </cell>
          <cell r="H751" t="str">
            <v>;;=SUM(F35:G35);</v>
          </cell>
          <cell r="I751" t="str">
            <v>.</v>
          </cell>
        </row>
        <row r="752">
          <cell r="A752">
            <v>300</v>
          </cell>
          <cell r="B752" t="str">
            <v>Greece</v>
          </cell>
          <cell r="C752">
            <v>1998</v>
          </cell>
          <cell r="D752">
            <v>90</v>
          </cell>
          <cell r="E752">
            <v>2323</v>
          </cell>
          <cell r="F752">
            <v>90</v>
          </cell>
          <cell r="G752">
            <v>159201</v>
          </cell>
          <cell r="H752" t="str">
            <v>;;=SUM(F36:G36);</v>
          </cell>
          <cell r="I752" t="str">
            <v>.</v>
          </cell>
        </row>
        <row r="753">
          <cell r="A753">
            <v>300</v>
          </cell>
          <cell r="B753" t="str">
            <v>Greece</v>
          </cell>
          <cell r="C753">
            <v>1998</v>
          </cell>
          <cell r="D753">
            <v>90</v>
          </cell>
          <cell r="E753">
            <v>2424</v>
          </cell>
          <cell r="F753">
            <v>90</v>
          </cell>
          <cell r="G753">
            <v>159488</v>
          </cell>
          <cell r="H753" t="str">
            <v>;;=SUM(F37:G37);</v>
          </cell>
          <cell r="I753" t="str">
            <v>.</v>
          </cell>
        </row>
        <row r="754">
          <cell r="A754">
            <v>300</v>
          </cell>
          <cell r="B754" t="str">
            <v>Greece</v>
          </cell>
          <cell r="C754">
            <v>1998</v>
          </cell>
          <cell r="D754">
            <v>90</v>
          </cell>
          <cell r="E754">
            <v>2024</v>
          </cell>
          <cell r="F754">
            <v>90</v>
          </cell>
          <cell r="G754">
            <v>786513</v>
          </cell>
          <cell r="H754" t="str">
            <v>;;=SUM(F38:G38);</v>
          </cell>
          <cell r="I754" t="str">
            <v>.</v>
          </cell>
        </row>
        <row r="755">
          <cell r="A755">
            <v>300</v>
          </cell>
          <cell r="B755" t="str">
            <v>Greece</v>
          </cell>
          <cell r="C755">
            <v>1998</v>
          </cell>
          <cell r="D755">
            <v>90</v>
          </cell>
          <cell r="E755">
            <v>2525</v>
          </cell>
          <cell r="F755">
            <v>90</v>
          </cell>
          <cell r="G755">
            <v>160250</v>
          </cell>
          <cell r="H755" t="str">
            <v>;;=SUM(F39:G39);</v>
          </cell>
          <cell r="I755" t="str">
            <v>.</v>
          </cell>
        </row>
        <row r="756">
          <cell r="A756">
            <v>300</v>
          </cell>
          <cell r="B756" t="str">
            <v>Greece</v>
          </cell>
          <cell r="C756">
            <v>1998</v>
          </cell>
          <cell r="D756">
            <v>90</v>
          </cell>
          <cell r="E756">
            <v>2626</v>
          </cell>
          <cell r="F756">
            <v>90</v>
          </cell>
          <cell r="G756">
            <v>161217</v>
          </cell>
          <cell r="H756" t="str">
            <v>;;=SUM(F40:G40);</v>
          </cell>
          <cell r="I756" t="str">
            <v>.</v>
          </cell>
        </row>
        <row r="757">
          <cell r="A757">
            <v>300</v>
          </cell>
          <cell r="B757" t="str">
            <v>Greece</v>
          </cell>
          <cell r="C757">
            <v>1998</v>
          </cell>
          <cell r="D757">
            <v>90</v>
          </cell>
          <cell r="E757">
            <v>2727</v>
          </cell>
          <cell r="F757">
            <v>90</v>
          </cell>
          <cell r="G757">
            <v>162162</v>
          </cell>
          <cell r="H757" t="str">
            <v>;;=SUM(F41:G41);</v>
          </cell>
          <cell r="I757" t="str">
            <v>.</v>
          </cell>
        </row>
        <row r="758">
          <cell r="A758">
            <v>300</v>
          </cell>
          <cell r="B758" t="str">
            <v>Greece</v>
          </cell>
          <cell r="C758">
            <v>1998</v>
          </cell>
          <cell r="D758">
            <v>90</v>
          </cell>
          <cell r="E758">
            <v>2828</v>
          </cell>
          <cell r="F758">
            <v>90</v>
          </cell>
          <cell r="G758">
            <v>162227</v>
          </cell>
          <cell r="H758" t="str">
            <v>;;=SUM(F42:G42);</v>
          </cell>
          <cell r="I758" t="str">
            <v>.</v>
          </cell>
        </row>
        <row r="759">
          <cell r="A759">
            <v>300</v>
          </cell>
          <cell r="B759" t="str">
            <v>Greece</v>
          </cell>
          <cell r="C759">
            <v>1998</v>
          </cell>
          <cell r="D759">
            <v>90</v>
          </cell>
          <cell r="E759">
            <v>2929</v>
          </cell>
          <cell r="F759">
            <v>90</v>
          </cell>
          <cell r="G759">
            <v>162969</v>
          </cell>
          <cell r="H759" t="str">
            <v>;;=SUM(F43:G43);</v>
          </cell>
          <cell r="I759" t="str">
            <v>.</v>
          </cell>
        </row>
        <row r="760">
          <cell r="A760">
            <v>300</v>
          </cell>
          <cell r="B760" t="str">
            <v>Greece</v>
          </cell>
          <cell r="C760">
            <v>1998</v>
          </cell>
          <cell r="D760">
            <v>90</v>
          </cell>
          <cell r="E760">
            <v>2529</v>
          </cell>
          <cell r="F760">
            <v>90</v>
          </cell>
          <cell r="G760">
            <v>808825</v>
          </cell>
          <cell r="H760" t="str">
            <v>;;=SUM(F44:G44);</v>
          </cell>
          <cell r="I760" t="str">
            <v>.</v>
          </cell>
        </row>
        <row r="761">
          <cell r="A761">
            <v>300</v>
          </cell>
          <cell r="B761" t="str">
            <v>Greece</v>
          </cell>
          <cell r="C761">
            <v>1998</v>
          </cell>
          <cell r="D761">
            <v>90</v>
          </cell>
          <cell r="E761">
            <v>3034</v>
          </cell>
          <cell r="F761">
            <v>90</v>
          </cell>
          <cell r="G761">
            <v>789883</v>
          </cell>
          <cell r="H761" t="str">
            <v>;;=SUM(F45:G45);</v>
          </cell>
          <cell r="I761" t="str">
            <v>.</v>
          </cell>
        </row>
        <row r="762">
          <cell r="A762">
            <v>300</v>
          </cell>
          <cell r="B762" t="str">
            <v>Greece</v>
          </cell>
          <cell r="C762">
            <v>1998</v>
          </cell>
          <cell r="D762">
            <v>90</v>
          </cell>
          <cell r="E762">
            <v>3539</v>
          </cell>
          <cell r="F762">
            <v>90</v>
          </cell>
          <cell r="G762">
            <v>747957</v>
          </cell>
          <cell r="H762" t="str">
            <v>;;=SUM(F46:G46);</v>
          </cell>
          <cell r="I762" t="str">
            <v>.</v>
          </cell>
        </row>
        <row r="763">
          <cell r="A763">
            <v>300</v>
          </cell>
          <cell r="B763" t="str">
            <v>Greece</v>
          </cell>
          <cell r="C763">
            <v>1998</v>
          </cell>
          <cell r="D763">
            <v>90</v>
          </cell>
          <cell r="E763">
            <v>4099</v>
          </cell>
          <cell r="F763">
            <v>90</v>
          </cell>
          <cell r="G763">
            <v>4982972</v>
          </cell>
          <cell r="H763" t="str">
            <v>;;=SUM(F47:G47);</v>
          </cell>
          <cell r="I763" t="str">
            <v>.</v>
          </cell>
        </row>
        <row r="764">
          <cell r="A764">
            <v>300</v>
          </cell>
          <cell r="B764" t="str">
            <v>Greece</v>
          </cell>
          <cell r="C764">
            <v>1998</v>
          </cell>
          <cell r="D764">
            <v>90</v>
          </cell>
          <cell r="E764">
            <v>990000</v>
          </cell>
          <cell r="F764">
            <v>90</v>
          </cell>
          <cell r="G764">
            <v>0</v>
          </cell>
          <cell r="H764" t="str">
            <v>n;</v>
          </cell>
          <cell r="I764" t="str">
            <v>n</v>
          </cell>
        </row>
        <row r="765">
          <cell r="A765">
            <v>578</v>
          </cell>
          <cell r="B765" t="str">
            <v>Norway</v>
          </cell>
          <cell r="C765">
            <v>1998</v>
          </cell>
          <cell r="D765">
            <v>90</v>
          </cell>
          <cell r="E765">
            <v>808</v>
          </cell>
          <cell r="F765">
            <v>90</v>
          </cell>
          <cell r="G765">
            <v>60317</v>
          </cell>
          <cell r="H765" t="str">
            <v>;;=SUM(F18:G18);</v>
          </cell>
          <cell r="I765" t="str">
            <v>.</v>
          </cell>
        </row>
        <row r="766">
          <cell r="A766">
            <v>578</v>
          </cell>
          <cell r="B766" t="str">
            <v>Norway</v>
          </cell>
          <cell r="C766">
            <v>1998</v>
          </cell>
          <cell r="D766">
            <v>90</v>
          </cell>
          <cell r="E766">
            <v>909</v>
          </cell>
          <cell r="F766">
            <v>90</v>
          </cell>
          <cell r="G766">
            <v>58614</v>
          </cell>
          <cell r="H766" t="str">
            <v>;;=SUM(F19:G19);</v>
          </cell>
          <cell r="I766" t="str">
            <v>.</v>
          </cell>
        </row>
        <row r="767">
          <cell r="A767">
            <v>578</v>
          </cell>
          <cell r="B767" t="str">
            <v>Norway</v>
          </cell>
          <cell r="C767">
            <v>1998</v>
          </cell>
          <cell r="D767">
            <v>90</v>
          </cell>
          <cell r="E767">
            <v>509</v>
          </cell>
          <cell r="F767">
            <v>90</v>
          </cell>
          <cell r="G767">
            <v>304239</v>
          </cell>
          <cell r="H767" t="str">
            <v>;;=SUM(F20:G20);</v>
          </cell>
          <cell r="I767" t="str">
            <v>.</v>
          </cell>
        </row>
        <row r="768">
          <cell r="A768">
            <v>578</v>
          </cell>
          <cell r="B768" t="str">
            <v>Norway</v>
          </cell>
          <cell r="C768">
            <v>1998</v>
          </cell>
          <cell r="D768">
            <v>90</v>
          </cell>
          <cell r="E768">
            <v>1010</v>
          </cell>
          <cell r="F768">
            <v>90</v>
          </cell>
          <cell r="G768">
            <v>55377</v>
          </cell>
          <cell r="H768" t="str">
            <v>;;=SUM(F21:G21);</v>
          </cell>
          <cell r="I768" t="str">
            <v>.</v>
          </cell>
        </row>
        <row r="769">
          <cell r="A769">
            <v>578</v>
          </cell>
          <cell r="B769" t="str">
            <v>Norway</v>
          </cell>
          <cell r="C769">
            <v>1998</v>
          </cell>
          <cell r="D769">
            <v>90</v>
          </cell>
          <cell r="E769">
            <v>1111</v>
          </cell>
          <cell r="F769">
            <v>90</v>
          </cell>
          <cell r="G769">
            <v>54064</v>
          </cell>
          <cell r="H769" t="str">
            <v>;;=SUM(F22:G22);</v>
          </cell>
          <cell r="I769" t="str">
            <v>.</v>
          </cell>
        </row>
        <row r="770">
          <cell r="A770">
            <v>578</v>
          </cell>
          <cell r="B770" t="str">
            <v>Norway</v>
          </cell>
          <cell r="C770">
            <v>1998</v>
          </cell>
          <cell r="D770">
            <v>90</v>
          </cell>
          <cell r="E770">
            <v>1212</v>
          </cell>
          <cell r="F770">
            <v>90</v>
          </cell>
          <cell r="G770">
            <v>52728</v>
          </cell>
          <cell r="H770" t="str">
            <v>;;=SUM(F23:G23);</v>
          </cell>
          <cell r="I770" t="str">
            <v>.</v>
          </cell>
        </row>
        <row r="771">
          <cell r="A771">
            <v>578</v>
          </cell>
          <cell r="B771" t="str">
            <v>Norway</v>
          </cell>
          <cell r="C771">
            <v>1998</v>
          </cell>
          <cell r="D771">
            <v>90</v>
          </cell>
          <cell r="E771">
            <v>1313</v>
          </cell>
          <cell r="F771">
            <v>90</v>
          </cell>
          <cell r="G771">
            <v>52034</v>
          </cell>
          <cell r="H771" t="str">
            <v>;;=SUM(F24:G24);</v>
          </cell>
          <cell r="I771" t="str">
            <v>.</v>
          </cell>
        </row>
        <row r="772">
          <cell r="A772">
            <v>578</v>
          </cell>
          <cell r="B772" t="str">
            <v>Norway</v>
          </cell>
          <cell r="C772">
            <v>1998</v>
          </cell>
          <cell r="D772">
            <v>90</v>
          </cell>
          <cell r="E772">
            <v>1414</v>
          </cell>
          <cell r="F772">
            <v>90</v>
          </cell>
          <cell r="G772">
            <v>51680</v>
          </cell>
          <cell r="H772" t="str">
            <v>;;=SUM(F25:G25);</v>
          </cell>
          <cell r="I772" t="str">
            <v>.</v>
          </cell>
        </row>
        <row r="773">
          <cell r="A773">
            <v>578</v>
          </cell>
          <cell r="B773" t="str">
            <v>Norway</v>
          </cell>
          <cell r="C773">
            <v>1998</v>
          </cell>
          <cell r="D773">
            <v>90</v>
          </cell>
          <cell r="E773">
            <v>1014</v>
          </cell>
          <cell r="F773">
            <v>90</v>
          </cell>
          <cell r="G773">
            <v>265883</v>
          </cell>
          <cell r="H773" t="str">
            <v>;;=SUM(F26:G26);</v>
          </cell>
          <cell r="I773" t="str">
            <v>.</v>
          </cell>
        </row>
        <row r="774">
          <cell r="A774">
            <v>578</v>
          </cell>
          <cell r="B774" t="str">
            <v>Norway</v>
          </cell>
          <cell r="C774">
            <v>1998</v>
          </cell>
          <cell r="D774">
            <v>90</v>
          </cell>
          <cell r="E774">
            <v>1515</v>
          </cell>
          <cell r="F774">
            <v>90</v>
          </cell>
          <cell r="G774">
            <v>52885</v>
          </cell>
          <cell r="H774" t="str">
            <v>;;=SUM(F27:G27);</v>
          </cell>
          <cell r="I774" t="str">
            <v>.</v>
          </cell>
        </row>
        <row r="775">
          <cell r="A775">
            <v>578</v>
          </cell>
          <cell r="B775" t="str">
            <v>Norway</v>
          </cell>
          <cell r="C775">
            <v>1998</v>
          </cell>
          <cell r="D775">
            <v>90</v>
          </cell>
          <cell r="E775">
            <v>1616</v>
          </cell>
          <cell r="F775">
            <v>90</v>
          </cell>
          <cell r="G775">
            <v>52654</v>
          </cell>
          <cell r="H775" t="str">
            <v>;;=SUM(F28:G28);</v>
          </cell>
          <cell r="I775" t="str">
            <v>.</v>
          </cell>
        </row>
        <row r="776">
          <cell r="A776">
            <v>578</v>
          </cell>
          <cell r="B776" t="str">
            <v>Norway</v>
          </cell>
          <cell r="C776">
            <v>1998</v>
          </cell>
          <cell r="D776">
            <v>90</v>
          </cell>
          <cell r="E776">
            <v>1717</v>
          </cell>
          <cell r="F776">
            <v>90</v>
          </cell>
          <cell r="G776">
            <v>53078</v>
          </cell>
          <cell r="H776" t="str">
            <v>;;=SUM(F29:G29);</v>
          </cell>
          <cell r="I776" t="str">
            <v>.</v>
          </cell>
        </row>
        <row r="777">
          <cell r="A777">
            <v>578</v>
          </cell>
          <cell r="B777" t="str">
            <v>Norway</v>
          </cell>
          <cell r="C777">
            <v>1998</v>
          </cell>
          <cell r="D777">
            <v>90</v>
          </cell>
          <cell r="E777">
            <v>1818</v>
          </cell>
          <cell r="F777">
            <v>90</v>
          </cell>
          <cell r="G777">
            <v>53473</v>
          </cell>
          <cell r="H777" t="str">
            <v>;;=SUM(F30:G30);</v>
          </cell>
          <cell r="I777" t="str">
            <v>.</v>
          </cell>
        </row>
        <row r="778">
          <cell r="A778">
            <v>578</v>
          </cell>
          <cell r="B778" t="str">
            <v>Norway</v>
          </cell>
          <cell r="C778">
            <v>1998</v>
          </cell>
          <cell r="D778">
            <v>90</v>
          </cell>
          <cell r="E778">
            <v>1919</v>
          </cell>
          <cell r="F778">
            <v>90</v>
          </cell>
          <cell r="G778">
            <v>53723</v>
          </cell>
          <cell r="H778" t="str">
            <v>;;=SUM(F31:G31);</v>
          </cell>
          <cell r="I778" t="str">
            <v>.</v>
          </cell>
        </row>
        <row r="779">
          <cell r="A779">
            <v>578</v>
          </cell>
          <cell r="B779" t="str">
            <v>Norway</v>
          </cell>
          <cell r="C779">
            <v>1998</v>
          </cell>
          <cell r="D779">
            <v>90</v>
          </cell>
          <cell r="E779">
            <v>1519</v>
          </cell>
          <cell r="F779">
            <v>90</v>
          </cell>
          <cell r="G779">
            <v>265813</v>
          </cell>
          <cell r="H779" t="str">
            <v>;;=SUM(F32:G32);</v>
          </cell>
          <cell r="I779" t="str">
            <v>.</v>
          </cell>
        </row>
        <row r="780">
          <cell r="A780">
            <v>578</v>
          </cell>
          <cell r="B780" t="str">
            <v>Norway</v>
          </cell>
          <cell r="C780">
            <v>1998</v>
          </cell>
          <cell r="D780">
            <v>90</v>
          </cell>
          <cell r="E780">
            <v>2020</v>
          </cell>
          <cell r="F780">
            <v>90</v>
          </cell>
          <cell r="G780">
            <v>53080</v>
          </cell>
          <cell r="H780" t="str">
            <v>;;=SUM(F33:G33);</v>
          </cell>
          <cell r="I780" t="str">
            <v>.</v>
          </cell>
        </row>
        <row r="781">
          <cell r="A781">
            <v>578</v>
          </cell>
          <cell r="B781" t="str">
            <v>Norway</v>
          </cell>
          <cell r="C781">
            <v>1998</v>
          </cell>
          <cell r="D781">
            <v>90</v>
          </cell>
          <cell r="E781">
            <v>2121</v>
          </cell>
          <cell r="F781">
            <v>90</v>
          </cell>
          <cell r="G781">
            <v>55471</v>
          </cell>
          <cell r="H781" t="str">
            <v>;;=SUM(F34:G34);</v>
          </cell>
          <cell r="I781" t="str">
            <v>.</v>
          </cell>
        </row>
        <row r="782">
          <cell r="A782">
            <v>578</v>
          </cell>
          <cell r="B782" t="str">
            <v>Norway</v>
          </cell>
          <cell r="C782">
            <v>1998</v>
          </cell>
          <cell r="D782">
            <v>90</v>
          </cell>
          <cell r="E782">
            <v>2222</v>
          </cell>
          <cell r="F782">
            <v>90</v>
          </cell>
          <cell r="G782">
            <v>58467</v>
          </cell>
          <cell r="H782" t="str">
            <v>;;=SUM(F35:G35);</v>
          </cell>
          <cell r="I782" t="str">
            <v>.</v>
          </cell>
        </row>
        <row r="783">
          <cell r="A783">
            <v>578</v>
          </cell>
          <cell r="B783" t="str">
            <v>Norway</v>
          </cell>
          <cell r="C783">
            <v>1998</v>
          </cell>
          <cell r="D783">
            <v>90</v>
          </cell>
          <cell r="E783">
            <v>2323</v>
          </cell>
          <cell r="F783">
            <v>90</v>
          </cell>
          <cell r="G783">
            <v>61953</v>
          </cell>
          <cell r="H783" t="str">
            <v>;;=SUM(F36:G36);</v>
          </cell>
          <cell r="I783" t="str">
            <v>.</v>
          </cell>
        </row>
        <row r="784">
          <cell r="A784">
            <v>578</v>
          </cell>
          <cell r="B784" t="str">
            <v>Norway</v>
          </cell>
          <cell r="C784">
            <v>1998</v>
          </cell>
          <cell r="D784">
            <v>90</v>
          </cell>
          <cell r="E784">
            <v>2424</v>
          </cell>
          <cell r="F784">
            <v>90</v>
          </cell>
          <cell r="G784">
            <v>63615</v>
          </cell>
          <cell r="H784" t="str">
            <v>;;=SUM(F37:G37);</v>
          </cell>
          <cell r="I784" t="str">
            <v>.</v>
          </cell>
        </row>
        <row r="785">
          <cell r="A785">
            <v>578</v>
          </cell>
          <cell r="B785" t="str">
            <v>Norway</v>
          </cell>
          <cell r="C785">
            <v>1998</v>
          </cell>
          <cell r="D785">
            <v>90</v>
          </cell>
          <cell r="E785">
            <v>2024</v>
          </cell>
          <cell r="F785">
            <v>90</v>
          </cell>
          <cell r="G785">
            <v>292586</v>
          </cell>
          <cell r="H785" t="str">
            <v>;;=SUM(F38:G38);</v>
          </cell>
          <cell r="I785" t="str">
            <v>.</v>
          </cell>
        </row>
        <row r="786">
          <cell r="A786">
            <v>578</v>
          </cell>
          <cell r="B786" t="str">
            <v>Norway</v>
          </cell>
          <cell r="C786">
            <v>1998</v>
          </cell>
          <cell r="D786">
            <v>90</v>
          </cell>
          <cell r="E786">
            <v>2525</v>
          </cell>
          <cell r="F786">
            <v>90</v>
          </cell>
          <cell r="G786">
            <v>66688</v>
          </cell>
          <cell r="H786" t="str">
            <v>;;=SUM(F39:G39);</v>
          </cell>
          <cell r="I786" t="str">
            <v>.</v>
          </cell>
        </row>
        <row r="787">
          <cell r="A787">
            <v>578</v>
          </cell>
          <cell r="B787" t="str">
            <v>Norway</v>
          </cell>
          <cell r="C787">
            <v>1998</v>
          </cell>
          <cell r="D787">
            <v>90</v>
          </cell>
          <cell r="E787">
            <v>2626</v>
          </cell>
          <cell r="F787">
            <v>90</v>
          </cell>
          <cell r="G787">
            <v>67938</v>
          </cell>
          <cell r="H787" t="str">
            <v>;;=SUM(F40:G40);</v>
          </cell>
          <cell r="I787" t="str">
            <v>.</v>
          </cell>
        </row>
        <row r="788">
          <cell r="A788">
            <v>578</v>
          </cell>
          <cell r="B788" t="str">
            <v>Norway</v>
          </cell>
          <cell r="C788">
            <v>1998</v>
          </cell>
          <cell r="D788">
            <v>90</v>
          </cell>
          <cell r="E788">
            <v>2727</v>
          </cell>
          <cell r="F788">
            <v>90</v>
          </cell>
          <cell r="G788">
            <v>67356</v>
          </cell>
          <cell r="H788" t="str">
            <v>;;=SUM(F41:G41);</v>
          </cell>
          <cell r="I788" t="str">
            <v>.</v>
          </cell>
        </row>
        <row r="789">
          <cell r="A789">
            <v>578</v>
          </cell>
          <cell r="B789" t="str">
            <v>Norway</v>
          </cell>
          <cell r="C789">
            <v>1998</v>
          </cell>
          <cell r="D789">
            <v>90</v>
          </cell>
          <cell r="E789">
            <v>2828</v>
          </cell>
          <cell r="F789">
            <v>90</v>
          </cell>
          <cell r="G789">
            <v>70468</v>
          </cell>
          <cell r="H789" t="str">
            <v>;;=SUM(F42:G42);</v>
          </cell>
          <cell r="I789" t="str">
            <v>.</v>
          </cell>
        </row>
        <row r="790">
          <cell r="A790">
            <v>578</v>
          </cell>
          <cell r="B790" t="str">
            <v>Norway</v>
          </cell>
          <cell r="C790">
            <v>1998</v>
          </cell>
          <cell r="D790">
            <v>90</v>
          </cell>
          <cell r="E790">
            <v>2929</v>
          </cell>
          <cell r="F790">
            <v>90</v>
          </cell>
          <cell r="G790">
            <v>70220</v>
          </cell>
          <cell r="H790" t="str">
            <v>;;=SUM(F43:G43);</v>
          </cell>
          <cell r="I790" t="str">
            <v>.</v>
          </cell>
        </row>
        <row r="791">
          <cell r="A791">
            <v>578</v>
          </cell>
          <cell r="B791" t="str">
            <v>Norway</v>
          </cell>
          <cell r="C791">
            <v>1998</v>
          </cell>
          <cell r="D791">
            <v>90</v>
          </cell>
          <cell r="E791">
            <v>2529</v>
          </cell>
          <cell r="F791">
            <v>90</v>
          </cell>
          <cell r="G791">
            <v>342670</v>
          </cell>
          <cell r="H791" t="str">
            <v>;;=SUM(F44:G44);</v>
          </cell>
          <cell r="I791" t="str">
            <v>.</v>
          </cell>
        </row>
        <row r="792">
          <cell r="A792">
            <v>578</v>
          </cell>
          <cell r="B792" t="str">
            <v>Norway</v>
          </cell>
          <cell r="C792">
            <v>1998</v>
          </cell>
          <cell r="D792">
            <v>90</v>
          </cell>
          <cell r="E792">
            <v>3034</v>
          </cell>
          <cell r="F792">
            <v>90</v>
          </cell>
          <cell r="G792">
            <v>340831</v>
          </cell>
          <cell r="H792" t="str">
            <v>;;=SUM(F45:G45);</v>
          </cell>
          <cell r="I792" t="str">
            <v>.</v>
          </cell>
        </row>
        <row r="793">
          <cell r="A793">
            <v>578</v>
          </cell>
          <cell r="B793" t="str">
            <v>Norway</v>
          </cell>
          <cell r="C793">
            <v>1998</v>
          </cell>
          <cell r="D793">
            <v>90</v>
          </cell>
          <cell r="E793">
            <v>3539</v>
          </cell>
          <cell r="F793">
            <v>90</v>
          </cell>
          <cell r="G793">
            <v>319938</v>
          </cell>
          <cell r="H793" t="str">
            <v>;;=SUM(F46:G46);</v>
          </cell>
          <cell r="I793" t="str">
            <v>.</v>
          </cell>
        </row>
        <row r="794">
          <cell r="A794">
            <v>578</v>
          </cell>
          <cell r="B794" t="str">
            <v>Norway</v>
          </cell>
          <cell r="C794">
            <v>1998</v>
          </cell>
          <cell r="D794">
            <v>90</v>
          </cell>
          <cell r="E794">
            <v>4099</v>
          </cell>
          <cell r="F794">
            <v>90</v>
          </cell>
          <cell r="G794">
            <v>1982842</v>
          </cell>
          <cell r="H794" t="str">
            <v>;;=SUM(F47:G47);</v>
          </cell>
          <cell r="I794" t="str">
            <v>.</v>
          </cell>
        </row>
        <row r="795">
          <cell r="A795">
            <v>578</v>
          </cell>
          <cell r="B795" t="str">
            <v>Norway</v>
          </cell>
          <cell r="C795">
            <v>1998</v>
          </cell>
          <cell r="D795">
            <v>90</v>
          </cell>
          <cell r="E795">
            <v>990000</v>
          </cell>
          <cell r="F795">
            <v>90</v>
          </cell>
          <cell r="G795">
            <v>0</v>
          </cell>
          <cell r="H795" t="str">
            <v>n;</v>
          </cell>
          <cell r="I795" t="str">
            <v>n</v>
          </cell>
        </row>
        <row r="796">
          <cell r="A796">
            <v>616</v>
          </cell>
          <cell r="B796" t="str">
            <v>Poland</v>
          </cell>
          <cell r="C796">
            <v>1998</v>
          </cell>
          <cell r="D796">
            <v>90</v>
          </cell>
          <cell r="E796">
            <v>900000</v>
          </cell>
          <cell r="F796">
            <v>90</v>
          </cell>
          <cell r="G796">
            <v>38659979</v>
          </cell>
          <cell r="H796"/>
          <cell r="I796" t="str">
            <v>.</v>
          </cell>
        </row>
        <row r="797">
          <cell r="A797">
            <v>616</v>
          </cell>
          <cell r="B797" t="str">
            <v>Poland</v>
          </cell>
          <cell r="C797">
            <v>1998</v>
          </cell>
          <cell r="D797">
            <v>90</v>
          </cell>
          <cell r="E797">
            <v>300</v>
          </cell>
          <cell r="F797">
            <v>90</v>
          </cell>
          <cell r="G797">
            <v>1259019</v>
          </cell>
          <cell r="H797"/>
          <cell r="I797" t="str">
            <v>.</v>
          </cell>
        </row>
        <row r="798">
          <cell r="A798">
            <v>616</v>
          </cell>
          <cell r="B798" t="str">
            <v>Poland</v>
          </cell>
          <cell r="C798">
            <v>1998</v>
          </cell>
          <cell r="D798">
            <v>90</v>
          </cell>
          <cell r="E798">
            <v>303</v>
          </cell>
          <cell r="F798">
            <v>90</v>
          </cell>
          <cell r="G798">
            <v>473419</v>
          </cell>
          <cell r="H798"/>
          <cell r="I798" t="str">
            <v>.</v>
          </cell>
        </row>
        <row r="799">
          <cell r="A799">
            <v>616</v>
          </cell>
          <cell r="B799" t="str">
            <v>Poland</v>
          </cell>
          <cell r="C799">
            <v>1998</v>
          </cell>
          <cell r="D799">
            <v>90</v>
          </cell>
          <cell r="E799">
            <v>404</v>
          </cell>
          <cell r="F799">
            <v>90</v>
          </cell>
          <cell r="G799">
            <v>485630</v>
          </cell>
          <cell r="H799"/>
          <cell r="I799" t="str">
            <v>.</v>
          </cell>
        </row>
        <row r="800">
          <cell r="A800">
            <v>616</v>
          </cell>
          <cell r="B800" t="str">
            <v>Poland</v>
          </cell>
          <cell r="C800">
            <v>1998</v>
          </cell>
          <cell r="D800">
            <v>90</v>
          </cell>
          <cell r="E800">
            <v>505</v>
          </cell>
          <cell r="F800">
            <v>90</v>
          </cell>
          <cell r="G800">
            <v>505358</v>
          </cell>
          <cell r="H800"/>
          <cell r="I800" t="str">
            <v>.</v>
          </cell>
        </row>
        <row r="801">
          <cell r="A801">
            <v>616</v>
          </cell>
          <cell r="B801" t="str">
            <v>Poland</v>
          </cell>
          <cell r="C801">
            <v>1998</v>
          </cell>
          <cell r="D801">
            <v>90</v>
          </cell>
          <cell r="E801">
            <v>606</v>
          </cell>
          <cell r="F801">
            <v>90</v>
          </cell>
          <cell r="G801">
            <v>536587</v>
          </cell>
          <cell r="H801"/>
          <cell r="I801" t="str">
            <v>.</v>
          </cell>
        </row>
        <row r="802">
          <cell r="A802">
            <v>616</v>
          </cell>
          <cell r="B802" t="str">
            <v>Poland</v>
          </cell>
          <cell r="C802">
            <v>1998</v>
          </cell>
          <cell r="D802">
            <v>90</v>
          </cell>
          <cell r="E802">
            <v>707</v>
          </cell>
          <cell r="F802">
            <v>90</v>
          </cell>
          <cell r="G802">
            <v>535531</v>
          </cell>
          <cell r="H802"/>
          <cell r="I802" t="str">
            <v>.</v>
          </cell>
        </row>
        <row r="803">
          <cell r="A803">
            <v>616</v>
          </cell>
          <cell r="B803" t="str">
            <v>Poland</v>
          </cell>
          <cell r="C803">
            <v>1998</v>
          </cell>
          <cell r="D803">
            <v>90</v>
          </cell>
          <cell r="E803">
            <v>808</v>
          </cell>
          <cell r="F803">
            <v>90</v>
          </cell>
          <cell r="G803">
            <v>551948</v>
          </cell>
          <cell r="H803"/>
          <cell r="I803" t="str">
            <v>.</v>
          </cell>
        </row>
        <row r="804">
          <cell r="A804">
            <v>616</v>
          </cell>
          <cell r="B804" t="str">
            <v>Poland</v>
          </cell>
          <cell r="C804">
            <v>1998</v>
          </cell>
          <cell r="D804">
            <v>90</v>
          </cell>
          <cell r="E804">
            <v>909</v>
          </cell>
          <cell r="F804">
            <v>90</v>
          </cell>
          <cell r="G804">
            <v>575461</v>
          </cell>
          <cell r="H804"/>
          <cell r="I804" t="str">
            <v>.</v>
          </cell>
        </row>
        <row r="805">
          <cell r="A805">
            <v>616</v>
          </cell>
          <cell r="B805" t="str">
            <v>Poland</v>
          </cell>
          <cell r="C805">
            <v>1998</v>
          </cell>
          <cell r="D805">
            <v>90</v>
          </cell>
          <cell r="E805">
            <v>509</v>
          </cell>
          <cell r="F805">
            <v>90</v>
          </cell>
          <cell r="G805">
            <v>2704885</v>
          </cell>
          <cell r="H805"/>
          <cell r="I805" t="str">
            <v>.</v>
          </cell>
        </row>
        <row r="806">
          <cell r="A806">
            <v>616</v>
          </cell>
          <cell r="B806" t="str">
            <v>Poland</v>
          </cell>
          <cell r="C806">
            <v>1998</v>
          </cell>
          <cell r="D806">
            <v>90</v>
          </cell>
          <cell r="E806">
            <v>1010</v>
          </cell>
          <cell r="F806">
            <v>90</v>
          </cell>
          <cell r="G806">
            <v>590973</v>
          </cell>
          <cell r="H806"/>
          <cell r="I806" t="str">
            <v>.</v>
          </cell>
        </row>
        <row r="807">
          <cell r="A807">
            <v>616</v>
          </cell>
          <cell r="B807" t="str">
            <v>Poland</v>
          </cell>
          <cell r="C807">
            <v>1998</v>
          </cell>
          <cell r="D807">
            <v>90</v>
          </cell>
          <cell r="E807">
            <v>1111</v>
          </cell>
          <cell r="F807">
            <v>90</v>
          </cell>
          <cell r="G807">
            <v>618415</v>
          </cell>
          <cell r="H807"/>
          <cell r="I807" t="str">
            <v>.</v>
          </cell>
        </row>
        <row r="808">
          <cell r="A808">
            <v>616</v>
          </cell>
          <cell r="B808" t="str">
            <v>Poland</v>
          </cell>
          <cell r="C808">
            <v>1998</v>
          </cell>
          <cell r="D808">
            <v>90</v>
          </cell>
          <cell r="E808">
            <v>1212</v>
          </cell>
          <cell r="F808">
            <v>90</v>
          </cell>
          <cell r="G808">
            <v>658666</v>
          </cell>
          <cell r="H808"/>
          <cell r="I808" t="str">
            <v>.</v>
          </cell>
        </row>
        <row r="809">
          <cell r="A809">
            <v>616</v>
          </cell>
          <cell r="B809" t="str">
            <v>Poland</v>
          </cell>
          <cell r="C809">
            <v>1998</v>
          </cell>
          <cell r="D809">
            <v>90</v>
          </cell>
          <cell r="E809">
            <v>1313</v>
          </cell>
          <cell r="F809">
            <v>90</v>
          </cell>
          <cell r="G809">
            <v>680610</v>
          </cell>
          <cell r="H809"/>
          <cell r="I809" t="str">
            <v>.</v>
          </cell>
        </row>
        <row r="810">
          <cell r="A810">
            <v>616</v>
          </cell>
          <cell r="B810" t="str">
            <v>Poland</v>
          </cell>
          <cell r="C810">
            <v>1998</v>
          </cell>
          <cell r="D810">
            <v>90</v>
          </cell>
          <cell r="E810">
            <v>1414</v>
          </cell>
          <cell r="F810">
            <v>90</v>
          </cell>
          <cell r="G810">
            <v>697899</v>
          </cell>
          <cell r="H810"/>
          <cell r="I810" t="str">
            <v>.</v>
          </cell>
        </row>
        <row r="811">
          <cell r="A811">
            <v>616</v>
          </cell>
          <cell r="B811" t="str">
            <v>Poland</v>
          </cell>
          <cell r="C811">
            <v>1998</v>
          </cell>
          <cell r="D811">
            <v>90</v>
          </cell>
          <cell r="E811">
            <v>1014</v>
          </cell>
          <cell r="F811">
            <v>90</v>
          </cell>
          <cell r="G811">
            <v>3246563</v>
          </cell>
          <cell r="H811"/>
          <cell r="I811" t="str">
            <v>.</v>
          </cell>
        </row>
        <row r="812">
          <cell r="A812">
            <v>616</v>
          </cell>
          <cell r="B812" t="str">
            <v>Poland</v>
          </cell>
          <cell r="C812">
            <v>1998</v>
          </cell>
          <cell r="D812">
            <v>90</v>
          </cell>
          <cell r="E812">
            <v>1515</v>
          </cell>
          <cell r="F812">
            <v>90</v>
          </cell>
          <cell r="G812">
            <v>681410</v>
          </cell>
          <cell r="H812"/>
          <cell r="I812" t="str">
            <v>.</v>
          </cell>
        </row>
        <row r="813">
          <cell r="A813">
            <v>616</v>
          </cell>
          <cell r="B813" t="str">
            <v>Poland</v>
          </cell>
          <cell r="C813">
            <v>1998</v>
          </cell>
          <cell r="D813">
            <v>90</v>
          </cell>
          <cell r="E813">
            <v>1616</v>
          </cell>
          <cell r="F813">
            <v>90</v>
          </cell>
          <cell r="G813">
            <v>650224</v>
          </cell>
          <cell r="H813"/>
          <cell r="I813" t="str">
            <v>.</v>
          </cell>
        </row>
        <row r="814">
          <cell r="A814">
            <v>616</v>
          </cell>
          <cell r="B814" t="str">
            <v>Poland</v>
          </cell>
          <cell r="C814">
            <v>1998</v>
          </cell>
          <cell r="D814">
            <v>90</v>
          </cell>
          <cell r="E814">
            <v>1717</v>
          </cell>
          <cell r="F814">
            <v>90</v>
          </cell>
          <cell r="G814">
            <v>664388</v>
          </cell>
          <cell r="H814"/>
          <cell r="I814" t="str">
            <v>.</v>
          </cell>
        </row>
        <row r="815">
          <cell r="A815">
            <v>616</v>
          </cell>
          <cell r="B815" t="str">
            <v>Poland</v>
          </cell>
          <cell r="C815">
            <v>1998</v>
          </cell>
          <cell r="D815">
            <v>90</v>
          </cell>
          <cell r="E815">
            <v>1818</v>
          </cell>
          <cell r="F815">
            <v>90</v>
          </cell>
          <cell r="G815">
            <v>654264</v>
          </cell>
          <cell r="H815"/>
          <cell r="I815" t="str">
            <v>.</v>
          </cell>
        </row>
        <row r="816">
          <cell r="A816">
            <v>616</v>
          </cell>
          <cell r="B816" t="str">
            <v>Poland</v>
          </cell>
          <cell r="C816">
            <v>1998</v>
          </cell>
          <cell r="D816">
            <v>90</v>
          </cell>
          <cell r="E816">
            <v>1919</v>
          </cell>
          <cell r="F816">
            <v>90</v>
          </cell>
          <cell r="G816">
            <v>642194</v>
          </cell>
          <cell r="H816"/>
          <cell r="I816" t="str">
            <v>.</v>
          </cell>
        </row>
        <row r="817">
          <cell r="A817">
            <v>616</v>
          </cell>
          <cell r="B817" t="str">
            <v>Poland</v>
          </cell>
          <cell r="C817">
            <v>1998</v>
          </cell>
          <cell r="D817">
            <v>90</v>
          </cell>
          <cell r="E817">
            <v>1519</v>
          </cell>
          <cell r="F817">
            <v>90</v>
          </cell>
          <cell r="G817">
            <v>3292480</v>
          </cell>
          <cell r="H817"/>
          <cell r="I817" t="str">
            <v>.</v>
          </cell>
        </row>
        <row r="818">
          <cell r="A818">
            <v>616</v>
          </cell>
          <cell r="B818" t="str">
            <v>Poland</v>
          </cell>
          <cell r="C818">
            <v>1998</v>
          </cell>
          <cell r="D818">
            <v>90</v>
          </cell>
          <cell r="E818">
            <v>2020</v>
          </cell>
          <cell r="F818">
            <v>90</v>
          </cell>
          <cell r="G818">
            <v>628826</v>
          </cell>
          <cell r="H818"/>
          <cell r="I818" t="str">
            <v>.</v>
          </cell>
        </row>
        <row r="819">
          <cell r="A819">
            <v>616</v>
          </cell>
          <cell r="B819" t="str">
            <v>Poland</v>
          </cell>
          <cell r="C819">
            <v>1998</v>
          </cell>
          <cell r="D819">
            <v>90</v>
          </cell>
          <cell r="E819">
            <v>2121</v>
          </cell>
          <cell r="F819">
            <v>90</v>
          </cell>
          <cell r="G819">
            <v>636926</v>
          </cell>
          <cell r="H819"/>
          <cell r="I819" t="str">
            <v>.</v>
          </cell>
        </row>
        <row r="820">
          <cell r="A820">
            <v>616</v>
          </cell>
          <cell r="B820" t="str">
            <v>Poland</v>
          </cell>
          <cell r="C820">
            <v>1998</v>
          </cell>
          <cell r="D820">
            <v>90</v>
          </cell>
          <cell r="E820">
            <v>2222</v>
          </cell>
          <cell r="F820">
            <v>90</v>
          </cell>
          <cell r="G820">
            <v>616774</v>
          </cell>
          <cell r="H820"/>
          <cell r="I820" t="str">
            <v>.</v>
          </cell>
        </row>
        <row r="821">
          <cell r="A821">
            <v>616</v>
          </cell>
          <cell r="B821" t="str">
            <v>Poland</v>
          </cell>
          <cell r="C821">
            <v>1998</v>
          </cell>
          <cell r="D821">
            <v>90</v>
          </cell>
          <cell r="E821">
            <v>2323</v>
          </cell>
          <cell r="F821">
            <v>90</v>
          </cell>
          <cell r="G821">
            <v>593333</v>
          </cell>
          <cell r="H821"/>
          <cell r="I821" t="str">
            <v>.</v>
          </cell>
        </row>
        <row r="822">
          <cell r="A822">
            <v>724</v>
          </cell>
          <cell r="B822" t="str">
            <v>Spain</v>
          </cell>
          <cell r="C822">
            <v>1998</v>
          </cell>
          <cell r="D822">
            <v>90</v>
          </cell>
          <cell r="E822">
            <v>1919</v>
          </cell>
          <cell r="F822">
            <v>90</v>
          </cell>
          <cell r="G822">
            <v>621869</v>
          </cell>
          <cell r="H822" t="str">
            <v>;;=SUM(F31:G31);</v>
          </cell>
          <cell r="I822" t="str">
            <v>.</v>
          </cell>
        </row>
        <row r="823">
          <cell r="A823">
            <v>724</v>
          </cell>
          <cell r="B823" t="str">
            <v>Spain</v>
          </cell>
          <cell r="C823">
            <v>1998</v>
          </cell>
          <cell r="D823">
            <v>90</v>
          </cell>
          <cell r="E823">
            <v>1519</v>
          </cell>
          <cell r="F823">
            <v>90</v>
          </cell>
          <cell r="G823">
            <v>2848060</v>
          </cell>
          <cell r="H823" t="str">
            <v>;;=SUM(F32:G32);</v>
          </cell>
          <cell r="I823" t="str">
            <v>.</v>
          </cell>
        </row>
        <row r="824">
          <cell r="A824">
            <v>724</v>
          </cell>
          <cell r="B824" t="str">
            <v>Spain</v>
          </cell>
          <cell r="C824">
            <v>1998</v>
          </cell>
          <cell r="D824">
            <v>90</v>
          </cell>
          <cell r="E824">
            <v>2020</v>
          </cell>
          <cell r="F824">
            <v>90</v>
          </cell>
          <cell r="G824">
            <v>642764</v>
          </cell>
          <cell r="H824" t="str">
            <v>;;=SUM(F33:G33);</v>
          </cell>
          <cell r="I824" t="str">
            <v>.</v>
          </cell>
        </row>
        <row r="825">
          <cell r="A825">
            <v>724</v>
          </cell>
          <cell r="B825" t="str">
            <v>Spain</v>
          </cell>
          <cell r="C825">
            <v>1998</v>
          </cell>
          <cell r="D825">
            <v>90</v>
          </cell>
          <cell r="E825">
            <v>2121</v>
          </cell>
          <cell r="F825">
            <v>90</v>
          </cell>
          <cell r="G825">
            <v>657285</v>
          </cell>
          <cell r="H825" t="str">
            <v>;;=SUM(F34:G34);</v>
          </cell>
          <cell r="I825" t="str">
            <v>.</v>
          </cell>
        </row>
        <row r="826">
          <cell r="A826">
            <v>724</v>
          </cell>
          <cell r="B826" t="str">
            <v>Spain</v>
          </cell>
          <cell r="C826">
            <v>1998</v>
          </cell>
          <cell r="D826">
            <v>90</v>
          </cell>
          <cell r="E826">
            <v>2222</v>
          </cell>
          <cell r="F826">
            <v>90</v>
          </cell>
          <cell r="G826">
            <v>663300</v>
          </cell>
          <cell r="H826" t="str">
            <v>;;=SUM(F35:G35);</v>
          </cell>
          <cell r="I826" t="str">
            <v>.</v>
          </cell>
        </row>
        <row r="827">
          <cell r="A827">
            <v>724</v>
          </cell>
          <cell r="B827" t="str">
            <v>Spain</v>
          </cell>
          <cell r="C827">
            <v>1998</v>
          </cell>
          <cell r="D827">
            <v>90</v>
          </cell>
          <cell r="E827">
            <v>2323</v>
          </cell>
          <cell r="F827">
            <v>90</v>
          </cell>
          <cell r="G827">
            <v>668406</v>
          </cell>
          <cell r="H827" t="str">
            <v>;;=SUM(F36:G36);</v>
          </cell>
          <cell r="I827" t="str">
            <v>.</v>
          </cell>
        </row>
        <row r="828">
          <cell r="A828">
            <v>724</v>
          </cell>
          <cell r="B828" t="str">
            <v>Spain</v>
          </cell>
          <cell r="C828">
            <v>1998</v>
          </cell>
          <cell r="D828">
            <v>90</v>
          </cell>
          <cell r="E828">
            <v>2424</v>
          </cell>
          <cell r="F828">
            <v>90</v>
          </cell>
          <cell r="G828">
            <v>666333</v>
          </cell>
          <cell r="H828" t="str">
            <v>;;=SUM(F37:G37);</v>
          </cell>
          <cell r="I828" t="str">
            <v>.</v>
          </cell>
        </row>
        <row r="829">
          <cell r="A829">
            <v>724</v>
          </cell>
          <cell r="B829" t="str">
            <v>Spain</v>
          </cell>
          <cell r="C829">
            <v>1998</v>
          </cell>
          <cell r="D829">
            <v>90</v>
          </cell>
          <cell r="E829">
            <v>2024</v>
          </cell>
          <cell r="F829">
            <v>90</v>
          </cell>
          <cell r="G829">
            <v>3298088</v>
          </cell>
          <cell r="H829" t="str">
            <v>;;=SUM(F38:G38);</v>
          </cell>
          <cell r="I829" t="str">
            <v>.</v>
          </cell>
        </row>
        <row r="830">
          <cell r="A830">
            <v>724</v>
          </cell>
          <cell r="B830" t="str">
            <v>Spain</v>
          </cell>
          <cell r="C830">
            <v>1998</v>
          </cell>
          <cell r="D830">
            <v>90</v>
          </cell>
          <cell r="E830">
            <v>2525</v>
          </cell>
          <cell r="F830">
            <v>90</v>
          </cell>
          <cell r="G830">
            <v>662459</v>
          </cell>
          <cell r="H830" t="str">
            <v>;;=SUM(F39:G39);</v>
          </cell>
          <cell r="I830" t="str">
            <v>.</v>
          </cell>
        </row>
        <row r="831">
          <cell r="A831">
            <v>724</v>
          </cell>
          <cell r="B831" t="str">
            <v>Spain</v>
          </cell>
          <cell r="C831">
            <v>1998</v>
          </cell>
          <cell r="D831">
            <v>90</v>
          </cell>
          <cell r="E831">
            <v>2626</v>
          </cell>
          <cell r="F831">
            <v>90</v>
          </cell>
          <cell r="G831">
            <v>657803</v>
          </cell>
          <cell r="H831" t="str">
            <v>;;=SUM(F40:G40);</v>
          </cell>
          <cell r="I831" t="str">
            <v>.</v>
          </cell>
        </row>
        <row r="832">
          <cell r="A832">
            <v>724</v>
          </cell>
          <cell r="B832" t="str">
            <v>Spain</v>
          </cell>
          <cell r="C832">
            <v>1998</v>
          </cell>
          <cell r="D832">
            <v>90</v>
          </cell>
          <cell r="E832">
            <v>2727</v>
          </cell>
          <cell r="F832">
            <v>90</v>
          </cell>
          <cell r="G832">
            <v>653577</v>
          </cell>
          <cell r="H832" t="str">
            <v>;;=SUM(F41:G41);</v>
          </cell>
          <cell r="I832" t="str">
            <v>.</v>
          </cell>
        </row>
        <row r="833">
          <cell r="A833">
            <v>724</v>
          </cell>
          <cell r="B833" t="str">
            <v>Spain</v>
          </cell>
          <cell r="C833">
            <v>1998</v>
          </cell>
          <cell r="D833">
            <v>90</v>
          </cell>
          <cell r="E833">
            <v>2828</v>
          </cell>
          <cell r="F833">
            <v>90</v>
          </cell>
          <cell r="G833">
            <v>650342</v>
          </cell>
          <cell r="H833" t="str">
            <v>;;=SUM(F42:G42);</v>
          </cell>
          <cell r="I833" t="str">
            <v>.</v>
          </cell>
        </row>
        <row r="834">
          <cell r="A834">
            <v>724</v>
          </cell>
          <cell r="B834" t="str">
            <v>Spain</v>
          </cell>
          <cell r="C834">
            <v>1998</v>
          </cell>
          <cell r="D834">
            <v>90</v>
          </cell>
          <cell r="E834">
            <v>2929</v>
          </cell>
          <cell r="F834">
            <v>90</v>
          </cell>
          <cell r="G834">
            <v>646848</v>
          </cell>
          <cell r="H834" t="str">
            <v>;;=SUM(F43:G43);</v>
          </cell>
          <cell r="I834" t="str">
            <v>.</v>
          </cell>
        </row>
        <row r="835">
          <cell r="A835">
            <v>724</v>
          </cell>
          <cell r="B835" t="str">
            <v>Spain</v>
          </cell>
          <cell r="C835">
            <v>1998</v>
          </cell>
          <cell r="D835">
            <v>90</v>
          </cell>
          <cell r="E835">
            <v>2529</v>
          </cell>
          <cell r="F835">
            <v>90</v>
          </cell>
          <cell r="G835">
            <v>3271029</v>
          </cell>
          <cell r="H835" t="str">
            <v>;;=SUM(F44:G44);</v>
          </cell>
          <cell r="I835" t="str">
            <v>.</v>
          </cell>
        </row>
        <row r="836">
          <cell r="A836">
            <v>724</v>
          </cell>
          <cell r="B836" t="str">
            <v>Spain</v>
          </cell>
          <cell r="C836">
            <v>1998</v>
          </cell>
          <cell r="D836">
            <v>90</v>
          </cell>
          <cell r="E836">
            <v>3034</v>
          </cell>
          <cell r="F836">
            <v>90</v>
          </cell>
          <cell r="G836">
            <v>3179559</v>
          </cell>
          <cell r="H836" t="str">
            <v>;;=SUM(F45:G45);</v>
          </cell>
          <cell r="I836" t="str">
            <v>.</v>
          </cell>
        </row>
        <row r="837">
          <cell r="A837">
            <v>724</v>
          </cell>
          <cell r="B837" t="str">
            <v>Spain</v>
          </cell>
          <cell r="C837">
            <v>1998</v>
          </cell>
          <cell r="D837">
            <v>90</v>
          </cell>
          <cell r="E837">
            <v>3539</v>
          </cell>
          <cell r="F837">
            <v>90</v>
          </cell>
          <cell r="G837">
            <v>2957053</v>
          </cell>
          <cell r="H837" t="str">
            <v>;;=SUM(F46:G46);</v>
          </cell>
          <cell r="I837" t="str">
            <v>.</v>
          </cell>
        </row>
        <row r="838">
          <cell r="A838">
            <v>724</v>
          </cell>
          <cell r="B838" t="str">
            <v>Spain</v>
          </cell>
          <cell r="C838">
            <v>1998</v>
          </cell>
          <cell r="D838">
            <v>90</v>
          </cell>
          <cell r="E838">
            <v>4099</v>
          </cell>
          <cell r="F838">
            <v>90</v>
          </cell>
          <cell r="G838">
            <v>17652561</v>
          </cell>
          <cell r="H838" t="str">
            <v>;;=SUM(F47:G47);</v>
          </cell>
          <cell r="I838" t="str">
            <v>.</v>
          </cell>
        </row>
        <row r="839">
          <cell r="A839">
            <v>724</v>
          </cell>
          <cell r="B839" t="str">
            <v>Spain</v>
          </cell>
          <cell r="C839">
            <v>1998</v>
          </cell>
          <cell r="D839">
            <v>90</v>
          </cell>
          <cell r="E839">
            <v>990000</v>
          </cell>
          <cell r="F839">
            <v>90</v>
          </cell>
          <cell r="G839">
            <v>0</v>
          </cell>
          <cell r="H839" t="str">
            <v>;;=SUM(F48:G48);</v>
          </cell>
          <cell r="I839" t="str">
            <v>.</v>
          </cell>
        </row>
        <row r="840">
          <cell r="A840">
            <v>756</v>
          </cell>
          <cell r="B840" t="str">
            <v>Switzerland</v>
          </cell>
          <cell r="C840">
            <v>1998</v>
          </cell>
          <cell r="D840">
            <v>90</v>
          </cell>
          <cell r="E840">
            <v>1313</v>
          </cell>
          <cell r="F840">
            <v>90</v>
          </cell>
          <cell r="G840">
            <v>81842</v>
          </cell>
          <cell r="H840"/>
          <cell r="I840" t="str">
            <v>.</v>
          </cell>
        </row>
        <row r="841">
          <cell r="A841">
            <v>756</v>
          </cell>
          <cell r="B841" t="str">
            <v>Switzerland</v>
          </cell>
          <cell r="C841">
            <v>1998</v>
          </cell>
          <cell r="D841">
            <v>90</v>
          </cell>
          <cell r="E841">
            <v>1414</v>
          </cell>
          <cell r="F841">
            <v>90</v>
          </cell>
          <cell r="G841">
            <v>80887</v>
          </cell>
          <cell r="H841"/>
          <cell r="I841" t="str">
            <v>.</v>
          </cell>
        </row>
        <row r="842">
          <cell r="A842">
            <v>756</v>
          </cell>
          <cell r="B842" t="str">
            <v>Switzerland</v>
          </cell>
          <cell r="C842">
            <v>1998</v>
          </cell>
          <cell r="D842">
            <v>90</v>
          </cell>
          <cell r="E842">
            <v>1014</v>
          </cell>
          <cell r="F842">
            <v>90</v>
          </cell>
          <cell r="G842">
            <v>408775</v>
          </cell>
          <cell r="H842"/>
          <cell r="I842" t="str">
            <v>.</v>
          </cell>
        </row>
        <row r="843">
          <cell r="A843">
            <v>756</v>
          </cell>
          <cell r="B843" t="str">
            <v>Switzerland</v>
          </cell>
          <cell r="C843">
            <v>1998</v>
          </cell>
          <cell r="D843">
            <v>90</v>
          </cell>
          <cell r="E843">
            <v>1515</v>
          </cell>
          <cell r="F843">
            <v>90</v>
          </cell>
          <cell r="G843">
            <v>82194</v>
          </cell>
          <cell r="H843"/>
          <cell r="I843" t="str">
            <v>.</v>
          </cell>
        </row>
        <row r="844">
          <cell r="A844">
            <v>756</v>
          </cell>
          <cell r="B844" t="str">
            <v>Switzerland</v>
          </cell>
          <cell r="C844">
            <v>1998</v>
          </cell>
          <cell r="D844">
            <v>90</v>
          </cell>
          <cell r="E844">
            <v>1616</v>
          </cell>
          <cell r="F844">
            <v>90</v>
          </cell>
          <cell r="G844">
            <v>81742</v>
          </cell>
          <cell r="H844"/>
          <cell r="I844" t="str">
            <v>.</v>
          </cell>
        </row>
        <row r="845">
          <cell r="A845">
            <v>756</v>
          </cell>
          <cell r="B845" t="str">
            <v>Switzerland</v>
          </cell>
          <cell r="C845">
            <v>1998</v>
          </cell>
          <cell r="D845">
            <v>90</v>
          </cell>
          <cell r="E845">
            <v>1717</v>
          </cell>
          <cell r="F845">
            <v>90</v>
          </cell>
          <cell r="G845">
            <v>82279</v>
          </cell>
          <cell r="H845"/>
          <cell r="I845" t="str">
            <v>.</v>
          </cell>
        </row>
        <row r="846">
          <cell r="A846">
            <v>756</v>
          </cell>
          <cell r="B846" t="str">
            <v>Switzerland</v>
          </cell>
          <cell r="C846">
            <v>1998</v>
          </cell>
          <cell r="D846">
            <v>90</v>
          </cell>
          <cell r="E846">
            <v>1818</v>
          </cell>
          <cell r="F846">
            <v>90</v>
          </cell>
          <cell r="G846">
            <v>80324</v>
          </cell>
          <cell r="H846"/>
          <cell r="I846" t="str">
            <v>.</v>
          </cell>
        </row>
        <row r="847">
          <cell r="A847">
            <v>756</v>
          </cell>
          <cell r="B847" t="str">
            <v>Switzerland</v>
          </cell>
          <cell r="C847">
            <v>1998</v>
          </cell>
          <cell r="D847">
            <v>90</v>
          </cell>
          <cell r="E847">
            <v>1919</v>
          </cell>
          <cell r="F847">
            <v>90</v>
          </cell>
          <cell r="G847">
            <v>79467</v>
          </cell>
          <cell r="H847"/>
          <cell r="I847" t="str">
            <v>.</v>
          </cell>
        </row>
        <row r="848">
          <cell r="A848">
            <v>756</v>
          </cell>
          <cell r="B848" t="str">
            <v>Switzerland</v>
          </cell>
          <cell r="C848">
            <v>1998</v>
          </cell>
          <cell r="D848">
            <v>90</v>
          </cell>
          <cell r="E848">
            <v>1519</v>
          </cell>
          <cell r="F848">
            <v>90</v>
          </cell>
          <cell r="G848">
            <v>406006</v>
          </cell>
          <cell r="H848"/>
          <cell r="I848" t="str">
            <v>.</v>
          </cell>
        </row>
        <row r="849">
          <cell r="A849">
            <v>756</v>
          </cell>
          <cell r="B849" t="str">
            <v>Switzerland</v>
          </cell>
          <cell r="C849">
            <v>1998</v>
          </cell>
          <cell r="D849">
            <v>90</v>
          </cell>
          <cell r="E849">
            <v>2020</v>
          </cell>
          <cell r="F849">
            <v>90</v>
          </cell>
          <cell r="G849">
            <v>80607</v>
          </cell>
          <cell r="H849"/>
          <cell r="I849" t="str">
            <v>.</v>
          </cell>
        </row>
        <row r="850">
          <cell r="A850">
            <v>756</v>
          </cell>
          <cell r="B850" t="str">
            <v>Switzerland</v>
          </cell>
          <cell r="C850">
            <v>1998</v>
          </cell>
          <cell r="D850">
            <v>90</v>
          </cell>
          <cell r="E850">
            <v>2121</v>
          </cell>
          <cell r="F850">
            <v>90</v>
          </cell>
          <cell r="G850">
            <v>80795</v>
          </cell>
          <cell r="H850"/>
          <cell r="I850" t="str">
            <v>.</v>
          </cell>
        </row>
        <row r="851">
          <cell r="A851">
            <v>756</v>
          </cell>
          <cell r="B851" t="str">
            <v>Switzerland</v>
          </cell>
          <cell r="C851">
            <v>1998</v>
          </cell>
          <cell r="D851">
            <v>90</v>
          </cell>
          <cell r="E851">
            <v>2222</v>
          </cell>
          <cell r="F851">
            <v>90</v>
          </cell>
          <cell r="G851">
            <v>82073</v>
          </cell>
          <cell r="H851"/>
          <cell r="I851" t="str">
            <v>.</v>
          </cell>
        </row>
        <row r="852">
          <cell r="A852">
            <v>756</v>
          </cell>
          <cell r="B852" t="str">
            <v>Switzerland</v>
          </cell>
          <cell r="C852">
            <v>1998</v>
          </cell>
          <cell r="D852">
            <v>90</v>
          </cell>
          <cell r="E852">
            <v>2323</v>
          </cell>
          <cell r="F852">
            <v>90</v>
          </cell>
          <cell r="G852">
            <v>85855</v>
          </cell>
          <cell r="H852"/>
          <cell r="I852" t="str">
            <v>.</v>
          </cell>
        </row>
        <row r="853">
          <cell r="A853">
            <v>756</v>
          </cell>
          <cell r="B853" t="str">
            <v>Switzerland</v>
          </cell>
          <cell r="C853">
            <v>1998</v>
          </cell>
          <cell r="D853">
            <v>90</v>
          </cell>
          <cell r="E853">
            <v>2424</v>
          </cell>
          <cell r="F853">
            <v>90</v>
          </cell>
          <cell r="G853">
            <v>88688</v>
          </cell>
          <cell r="H853"/>
          <cell r="I853" t="str">
            <v>.</v>
          </cell>
        </row>
        <row r="854">
          <cell r="A854">
            <v>756</v>
          </cell>
          <cell r="B854" t="str">
            <v>Switzerland</v>
          </cell>
          <cell r="C854">
            <v>1998</v>
          </cell>
          <cell r="D854">
            <v>90</v>
          </cell>
          <cell r="E854">
            <v>2024</v>
          </cell>
          <cell r="F854">
            <v>90</v>
          </cell>
          <cell r="G854">
            <v>418018</v>
          </cell>
          <cell r="H854"/>
          <cell r="I854" t="str">
            <v>.</v>
          </cell>
        </row>
        <row r="855">
          <cell r="A855">
            <v>756</v>
          </cell>
          <cell r="B855" t="str">
            <v>Switzerland</v>
          </cell>
          <cell r="C855">
            <v>1998</v>
          </cell>
          <cell r="D855">
            <v>90</v>
          </cell>
          <cell r="E855">
            <v>2525</v>
          </cell>
          <cell r="F855">
            <v>90</v>
          </cell>
          <cell r="G855">
            <v>93780</v>
          </cell>
          <cell r="H855"/>
          <cell r="I855" t="str">
            <v>.</v>
          </cell>
        </row>
        <row r="856">
          <cell r="A856">
            <v>756</v>
          </cell>
          <cell r="B856" t="str">
            <v>Switzerland</v>
          </cell>
          <cell r="C856">
            <v>1998</v>
          </cell>
          <cell r="D856">
            <v>90</v>
          </cell>
          <cell r="E856">
            <v>2626</v>
          </cell>
          <cell r="F856">
            <v>90</v>
          </cell>
          <cell r="G856">
            <v>98555</v>
          </cell>
          <cell r="H856"/>
          <cell r="I856" t="str">
            <v>.</v>
          </cell>
        </row>
        <row r="857">
          <cell r="A857">
            <v>756</v>
          </cell>
          <cell r="B857" t="str">
            <v>Switzerland</v>
          </cell>
          <cell r="C857">
            <v>1998</v>
          </cell>
          <cell r="D857">
            <v>90</v>
          </cell>
          <cell r="E857">
            <v>2727</v>
          </cell>
          <cell r="F857">
            <v>90</v>
          </cell>
          <cell r="G857">
            <v>102470</v>
          </cell>
          <cell r="H857"/>
          <cell r="I857" t="str">
            <v>.</v>
          </cell>
        </row>
        <row r="858">
          <cell r="A858">
            <v>756</v>
          </cell>
          <cell r="B858" t="str">
            <v>Switzerland</v>
          </cell>
          <cell r="C858">
            <v>1998</v>
          </cell>
          <cell r="D858">
            <v>90</v>
          </cell>
          <cell r="E858">
            <v>2828</v>
          </cell>
          <cell r="F858">
            <v>90</v>
          </cell>
          <cell r="G858">
            <v>107483</v>
          </cell>
          <cell r="H858"/>
          <cell r="I858" t="str">
            <v>.</v>
          </cell>
        </row>
        <row r="859">
          <cell r="A859">
            <v>756</v>
          </cell>
          <cell r="B859" t="str">
            <v>Switzerland</v>
          </cell>
          <cell r="C859">
            <v>1998</v>
          </cell>
          <cell r="D859">
            <v>90</v>
          </cell>
          <cell r="E859">
            <v>2929</v>
          </cell>
          <cell r="F859">
            <v>90</v>
          </cell>
          <cell r="G859">
            <v>112096</v>
          </cell>
          <cell r="H859"/>
          <cell r="I859" t="str">
            <v>.</v>
          </cell>
        </row>
        <row r="860">
          <cell r="A860">
            <v>756</v>
          </cell>
          <cell r="B860" t="str">
            <v>Switzerland</v>
          </cell>
          <cell r="C860">
            <v>1998</v>
          </cell>
          <cell r="D860">
            <v>90</v>
          </cell>
          <cell r="E860">
            <v>2529</v>
          </cell>
          <cell r="F860">
            <v>90</v>
          </cell>
          <cell r="G860">
            <v>514384</v>
          </cell>
          <cell r="H860"/>
          <cell r="I860" t="str">
            <v>.</v>
          </cell>
        </row>
        <row r="861">
          <cell r="A861">
            <v>756</v>
          </cell>
          <cell r="B861" t="str">
            <v>Switzerland</v>
          </cell>
          <cell r="C861">
            <v>1998</v>
          </cell>
          <cell r="D861">
            <v>90</v>
          </cell>
          <cell r="E861">
            <v>3034</v>
          </cell>
          <cell r="F861">
            <v>90</v>
          </cell>
          <cell r="G861">
            <v>611286</v>
          </cell>
          <cell r="H861"/>
          <cell r="I861" t="str">
            <v>.</v>
          </cell>
        </row>
        <row r="862">
          <cell r="A862">
            <v>756</v>
          </cell>
          <cell r="B862" t="str">
            <v>Switzerland</v>
          </cell>
          <cell r="C862">
            <v>1998</v>
          </cell>
          <cell r="D862">
            <v>90</v>
          </cell>
          <cell r="E862">
            <v>3539</v>
          </cell>
          <cell r="F862">
            <v>90</v>
          </cell>
          <cell r="G862">
            <v>583335</v>
          </cell>
          <cell r="H862"/>
          <cell r="I862" t="str">
            <v>.</v>
          </cell>
        </row>
        <row r="863">
          <cell r="A863">
            <v>756</v>
          </cell>
          <cell r="B863" t="str">
            <v>Switzerland</v>
          </cell>
          <cell r="C863">
            <v>1998</v>
          </cell>
          <cell r="D863">
            <v>90</v>
          </cell>
          <cell r="E863">
            <v>4099</v>
          </cell>
          <cell r="F863">
            <v>90</v>
          </cell>
          <cell r="G863">
            <v>3314872</v>
          </cell>
          <cell r="H863"/>
          <cell r="I863" t="str">
            <v>.</v>
          </cell>
        </row>
        <row r="864">
          <cell r="A864">
            <v>756</v>
          </cell>
          <cell r="B864" t="str">
            <v>Switzerland</v>
          </cell>
          <cell r="C864">
            <v>1998</v>
          </cell>
          <cell r="D864">
            <v>90</v>
          </cell>
          <cell r="E864">
            <v>990000</v>
          </cell>
          <cell r="F864">
            <v>90</v>
          </cell>
          <cell r="G864">
            <v>0</v>
          </cell>
          <cell r="H864" t="str">
            <v>n;</v>
          </cell>
          <cell r="I864" t="str">
            <v>n</v>
          </cell>
        </row>
        <row r="865">
          <cell r="A865">
            <v>376</v>
          </cell>
          <cell r="B865" t="str">
            <v>Israel</v>
          </cell>
          <cell r="C865">
            <v>1998</v>
          </cell>
          <cell r="D865">
            <v>90</v>
          </cell>
          <cell r="E865">
            <v>509</v>
          </cell>
          <cell r="F865">
            <v>90</v>
          </cell>
          <cell r="G865">
            <v>561299</v>
          </cell>
          <cell r="H865"/>
          <cell r="I865" t="str">
            <v>.</v>
          </cell>
        </row>
        <row r="866">
          <cell r="A866">
            <v>376</v>
          </cell>
          <cell r="B866" t="str">
            <v>Israel</v>
          </cell>
          <cell r="C866">
            <v>1998</v>
          </cell>
          <cell r="D866">
            <v>90</v>
          </cell>
          <cell r="E866">
            <v>1010</v>
          </cell>
          <cell r="F866">
            <v>90</v>
          </cell>
          <cell r="G866">
            <v>109283</v>
          </cell>
          <cell r="H866"/>
          <cell r="I866" t="str">
            <v>.</v>
          </cell>
        </row>
        <row r="867">
          <cell r="A867">
            <v>376</v>
          </cell>
          <cell r="B867" t="str">
            <v>Israel</v>
          </cell>
          <cell r="C867">
            <v>1998</v>
          </cell>
          <cell r="D867">
            <v>90</v>
          </cell>
          <cell r="E867">
            <v>1111</v>
          </cell>
          <cell r="F867">
            <v>90</v>
          </cell>
          <cell r="G867">
            <v>109805</v>
          </cell>
          <cell r="H867"/>
          <cell r="I867" t="str">
            <v>.</v>
          </cell>
        </row>
        <row r="868">
          <cell r="A868">
            <v>376</v>
          </cell>
          <cell r="B868" t="str">
            <v>Israel</v>
          </cell>
          <cell r="C868">
            <v>1998</v>
          </cell>
          <cell r="D868">
            <v>90</v>
          </cell>
          <cell r="E868">
            <v>1212</v>
          </cell>
          <cell r="F868">
            <v>90</v>
          </cell>
          <cell r="G868">
            <v>109353</v>
          </cell>
          <cell r="H868"/>
          <cell r="I868" t="str">
            <v>.</v>
          </cell>
        </row>
        <row r="869">
          <cell r="A869">
            <v>376</v>
          </cell>
          <cell r="B869" t="str">
            <v>Israel</v>
          </cell>
          <cell r="C869">
            <v>1998</v>
          </cell>
          <cell r="D869">
            <v>90</v>
          </cell>
          <cell r="E869">
            <v>1313</v>
          </cell>
          <cell r="F869">
            <v>90</v>
          </cell>
          <cell r="G869">
            <v>108820</v>
          </cell>
          <cell r="H869"/>
          <cell r="I869" t="str">
            <v>.</v>
          </cell>
        </row>
        <row r="870">
          <cell r="A870">
            <v>376</v>
          </cell>
          <cell r="B870" t="str">
            <v>Israel</v>
          </cell>
          <cell r="C870">
            <v>1998</v>
          </cell>
          <cell r="D870">
            <v>90</v>
          </cell>
          <cell r="E870">
            <v>1414</v>
          </cell>
          <cell r="F870">
            <v>90</v>
          </cell>
          <cell r="G870">
            <v>109224</v>
          </cell>
          <cell r="H870"/>
          <cell r="I870" t="str">
            <v>.</v>
          </cell>
        </row>
        <row r="871">
          <cell r="A871">
            <v>376</v>
          </cell>
          <cell r="B871" t="str">
            <v>Israel</v>
          </cell>
          <cell r="C871">
            <v>1998</v>
          </cell>
          <cell r="D871">
            <v>90</v>
          </cell>
          <cell r="E871">
            <v>1014</v>
          </cell>
          <cell r="F871">
            <v>90</v>
          </cell>
          <cell r="G871">
            <v>546485</v>
          </cell>
          <cell r="H871"/>
          <cell r="I871" t="str">
            <v>.</v>
          </cell>
        </row>
        <row r="872">
          <cell r="A872">
            <v>376</v>
          </cell>
          <cell r="B872" t="str">
            <v>Israel</v>
          </cell>
          <cell r="C872">
            <v>1998</v>
          </cell>
          <cell r="D872">
            <v>90</v>
          </cell>
          <cell r="E872">
            <v>1515</v>
          </cell>
          <cell r="F872">
            <v>90</v>
          </cell>
          <cell r="G872">
            <v>105755</v>
          </cell>
          <cell r="H872"/>
          <cell r="I872" t="str">
            <v>.</v>
          </cell>
        </row>
        <row r="873">
          <cell r="A873">
            <v>376</v>
          </cell>
          <cell r="B873" t="str">
            <v>Israel</v>
          </cell>
          <cell r="C873">
            <v>1998</v>
          </cell>
          <cell r="D873">
            <v>90</v>
          </cell>
          <cell r="E873">
            <v>1616</v>
          </cell>
          <cell r="F873">
            <v>90</v>
          </cell>
          <cell r="G873">
            <v>103055</v>
          </cell>
          <cell r="H873"/>
          <cell r="I873" t="str">
            <v>.</v>
          </cell>
        </row>
        <row r="874">
          <cell r="A874">
            <v>376</v>
          </cell>
          <cell r="B874" t="str">
            <v>Israel</v>
          </cell>
          <cell r="C874">
            <v>1998</v>
          </cell>
          <cell r="D874">
            <v>90</v>
          </cell>
          <cell r="E874">
            <v>1717</v>
          </cell>
          <cell r="F874">
            <v>90</v>
          </cell>
          <cell r="G874">
            <v>103669</v>
          </cell>
          <cell r="H874"/>
          <cell r="I874" t="str">
            <v>.</v>
          </cell>
        </row>
        <row r="875">
          <cell r="A875">
            <v>376</v>
          </cell>
          <cell r="B875" t="str">
            <v>Israel</v>
          </cell>
          <cell r="C875">
            <v>1998</v>
          </cell>
          <cell r="D875">
            <v>90</v>
          </cell>
          <cell r="E875">
            <v>1818</v>
          </cell>
          <cell r="F875">
            <v>90</v>
          </cell>
          <cell r="G875">
            <v>104002</v>
          </cell>
          <cell r="H875"/>
          <cell r="I875" t="str">
            <v>.</v>
          </cell>
        </row>
        <row r="876">
          <cell r="A876">
            <v>376</v>
          </cell>
          <cell r="B876" t="str">
            <v>Israel</v>
          </cell>
          <cell r="C876">
            <v>1998</v>
          </cell>
          <cell r="D876">
            <v>90</v>
          </cell>
          <cell r="E876">
            <v>1919</v>
          </cell>
          <cell r="F876">
            <v>90</v>
          </cell>
          <cell r="G876">
            <v>104074</v>
          </cell>
          <cell r="H876"/>
          <cell r="I876" t="str">
            <v>.</v>
          </cell>
        </row>
        <row r="877">
          <cell r="A877">
            <v>376</v>
          </cell>
          <cell r="B877" t="str">
            <v>Israel</v>
          </cell>
          <cell r="C877">
            <v>1998</v>
          </cell>
          <cell r="D877">
            <v>90</v>
          </cell>
          <cell r="E877">
            <v>1519</v>
          </cell>
          <cell r="F877">
            <v>90</v>
          </cell>
          <cell r="G877">
            <v>520555</v>
          </cell>
          <cell r="H877"/>
          <cell r="I877" t="str">
            <v>.</v>
          </cell>
        </row>
        <row r="878">
          <cell r="A878">
            <v>376</v>
          </cell>
          <cell r="B878" t="str">
            <v>Israel</v>
          </cell>
          <cell r="C878">
            <v>1998</v>
          </cell>
          <cell r="D878">
            <v>90</v>
          </cell>
          <cell r="E878">
            <v>2020</v>
          </cell>
          <cell r="F878">
            <v>90</v>
          </cell>
          <cell r="G878">
            <v>104345</v>
          </cell>
          <cell r="H878"/>
          <cell r="I878" t="str">
            <v>.</v>
          </cell>
        </row>
        <row r="879">
          <cell r="A879">
            <v>376</v>
          </cell>
          <cell r="B879" t="str">
            <v>Israel</v>
          </cell>
          <cell r="C879">
            <v>1998</v>
          </cell>
          <cell r="D879">
            <v>90</v>
          </cell>
          <cell r="E879">
            <v>2121</v>
          </cell>
          <cell r="F879">
            <v>90</v>
          </cell>
          <cell r="G879">
            <v>107066</v>
          </cell>
          <cell r="H879"/>
          <cell r="I879" t="str">
            <v>.</v>
          </cell>
        </row>
        <row r="880">
          <cell r="A880">
            <v>376</v>
          </cell>
          <cell r="B880" t="str">
            <v>Israel</v>
          </cell>
          <cell r="C880">
            <v>1998</v>
          </cell>
          <cell r="D880">
            <v>90</v>
          </cell>
          <cell r="E880">
            <v>2222</v>
          </cell>
          <cell r="F880">
            <v>90</v>
          </cell>
          <cell r="G880">
            <v>105256</v>
          </cell>
          <cell r="H880"/>
          <cell r="I880" t="str">
            <v>.</v>
          </cell>
        </row>
        <row r="881">
          <cell r="A881">
            <v>376</v>
          </cell>
          <cell r="B881" t="str">
            <v>Israel</v>
          </cell>
          <cell r="C881">
            <v>1998</v>
          </cell>
          <cell r="D881">
            <v>90</v>
          </cell>
          <cell r="E881">
            <v>2323</v>
          </cell>
          <cell r="F881">
            <v>90</v>
          </cell>
          <cell r="G881">
            <v>100401</v>
          </cell>
          <cell r="H881"/>
          <cell r="I881" t="str">
            <v>.</v>
          </cell>
        </row>
        <row r="882">
          <cell r="A882">
            <v>376</v>
          </cell>
          <cell r="B882" t="str">
            <v>Israel</v>
          </cell>
          <cell r="C882">
            <v>1998</v>
          </cell>
          <cell r="D882">
            <v>90</v>
          </cell>
          <cell r="E882">
            <v>2424</v>
          </cell>
          <cell r="F882">
            <v>90</v>
          </cell>
          <cell r="G882">
            <v>97276</v>
          </cell>
          <cell r="H882"/>
          <cell r="I882" t="str">
            <v>.</v>
          </cell>
        </row>
        <row r="883">
          <cell r="A883">
            <v>376</v>
          </cell>
          <cell r="B883" t="str">
            <v>Israel</v>
          </cell>
          <cell r="C883">
            <v>1998</v>
          </cell>
          <cell r="D883">
            <v>90</v>
          </cell>
          <cell r="E883">
            <v>2024</v>
          </cell>
          <cell r="F883">
            <v>90</v>
          </cell>
          <cell r="G883">
            <v>514344</v>
          </cell>
          <cell r="H883"/>
          <cell r="I883" t="str">
            <v>.</v>
          </cell>
        </row>
        <row r="884">
          <cell r="A884">
            <v>376</v>
          </cell>
          <cell r="B884" t="str">
            <v>Israel</v>
          </cell>
          <cell r="C884">
            <v>1998</v>
          </cell>
          <cell r="D884">
            <v>90</v>
          </cell>
          <cell r="E884">
            <v>2525</v>
          </cell>
          <cell r="F884">
            <v>90</v>
          </cell>
          <cell r="G884">
            <v>94482</v>
          </cell>
          <cell r="H884"/>
          <cell r="I884" t="str">
            <v>.</v>
          </cell>
        </row>
        <row r="885">
          <cell r="A885">
            <v>376</v>
          </cell>
          <cell r="B885" t="str">
            <v>Israel</v>
          </cell>
          <cell r="C885">
            <v>1998</v>
          </cell>
          <cell r="D885">
            <v>90</v>
          </cell>
          <cell r="E885">
            <v>2626</v>
          </cell>
          <cell r="F885">
            <v>90</v>
          </cell>
          <cell r="G885">
            <v>93755</v>
          </cell>
          <cell r="H885"/>
          <cell r="I885" t="str">
            <v>.</v>
          </cell>
        </row>
        <row r="886">
          <cell r="A886">
            <v>376</v>
          </cell>
          <cell r="B886" t="str">
            <v>Israel</v>
          </cell>
          <cell r="C886">
            <v>1998</v>
          </cell>
          <cell r="D886">
            <v>90</v>
          </cell>
          <cell r="E886">
            <v>2727</v>
          </cell>
          <cell r="F886">
            <v>90</v>
          </cell>
          <cell r="G886">
            <v>90820</v>
          </cell>
          <cell r="H886"/>
          <cell r="I886" t="str">
            <v>.</v>
          </cell>
        </row>
        <row r="887">
          <cell r="A887">
            <v>376</v>
          </cell>
          <cell r="B887" t="str">
            <v>Israel</v>
          </cell>
          <cell r="C887">
            <v>1998</v>
          </cell>
          <cell r="D887">
            <v>90</v>
          </cell>
          <cell r="E887">
            <v>2828</v>
          </cell>
          <cell r="F887">
            <v>90</v>
          </cell>
          <cell r="G887">
            <v>84831</v>
          </cell>
          <cell r="H887"/>
          <cell r="I887" t="str">
            <v>.</v>
          </cell>
        </row>
        <row r="888">
          <cell r="A888">
            <v>376</v>
          </cell>
          <cell r="B888" t="str">
            <v>Israel</v>
          </cell>
          <cell r="C888">
            <v>1998</v>
          </cell>
          <cell r="D888">
            <v>90</v>
          </cell>
          <cell r="E888">
            <v>2929</v>
          </cell>
          <cell r="F888">
            <v>90</v>
          </cell>
          <cell r="G888">
            <v>81698</v>
          </cell>
          <cell r="H888"/>
          <cell r="I888" t="str">
            <v>.</v>
          </cell>
        </row>
        <row r="889">
          <cell r="A889">
            <v>376</v>
          </cell>
          <cell r="B889" t="str">
            <v>Israel</v>
          </cell>
          <cell r="C889">
            <v>1998</v>
          </cell>
          <cell r="D889">
            <v>90</v>
          </cell>
          <cell r="E889">
            <v>2529</v>
          </cell>
          <cell r="F889">
            <v>90</v>
          </cell>
          <cell r="G889">
            <v>445586</v>
          </cell>
          <cell r="H889"/>
          <cell r="I889" t="str">
            <v>.</v>
          </cell>
        </row>
        <row r="890">
          <cell r="A890">
            <v>376</v>
          </cell>
          <cell r="B890" t="str">
            <v>Israel</v>
          </cell>
          <cell r="C890">
            <v>1998</v>
          </cell>
          <cell r="D890">
            <v>90</v>
          </cell>
          <cell r="E890">
            <v>3034</v>
          </cell>
          <cell r="F890">
            <v>90</v>
          </cell>
          <cell r="G890">
            <v>381340</v>
          </cell>
          <cell r="H890"/>
          <cell r="I890" t="str">
            <v>.</v>
          </cell>
        </row>
        <row r="891">
          <cell r="A891">
            <v>376</v>
          </cell>
          <cell r="B891" t="str">
            <v>Israel</v>
          </cell>
          <cell r="C891">
            <v>1998</v>
          </cell>
          <cell r="D891">
            <v>90</v>
          </cell>
          <cell r="E891">
            <v>3539</v>
          </cell>
          <cell r="F891">
            <v>90</v>
          </cell>
          <cell r="G891">
            <v>370969</v>
          </cell>
          <cell r="H891"/>
          <cell r="I891" t="str">
            <v>.</v>
          </cell>
        </row>
        <row r="892">
          <cell r="A892">
            <v>376</v>
          </cell>
          <cell r="B892" t="str">
            <v>Israel</v>
          </cell>
          <cell r="C892">
            <v>1998</v>
          </cell>
          <cell r="D892">
            <v>90</v>
          </cell>
          <cell r="E892">
            <v>4099</v>
          </cell>
          <cell r="F892">
            <v>90</v>
          </cell>
          <cell r="G892">
            <v>1957335</v>
          </cell>
          <cell r="H892"/>
          <cell r="I892" t="str">
            <v>.</v>
          </cell>
        </row>
        <row r="893">
          <cell r="A893">
            <v>376</v>
          </cell>
          <cell r="B893" t="str">
            <v>Israel</v>
          </cell>
          <cell r="C893">
            <v>1998</v>
          </cell>
          <cell r="D893">
            <v>90</v>
          </cell>
          <cell r="E893">
            <v>990000</v>
          </cell>
          <cell r="F893">
            <v>90</v>
          </cell>
          <cell r="G893"/>
          <cell r="H893"/>
          <cell r="I893" t="str">
            <v>.</v>
          </cell>
        </row>
        <row r="894">
          <cell r="A894">
            <v>528</v>
          </cell>
          <cell r="B894" t="str">
            <v>Netherlands</v>
          </cell>
          <cell r="C894">
            <v>1998</v>
          </cell>
          <cell r="D894">
            <v>90</v>
          </cell>
          <cell r="E894">
            <v>900000</v>
          </cell>
          <cell r="F894">
            <v>90</v>
          </cell>
          <cell r="G894">
            <v>15654192</v>
          </cell>
          <cell r="H894" t="str">
            <v>;;=SUM(F11:G11);</v>
          </cell>
          <cell r="I894" t="str">
            <v>.</v>
          </cell>
        </row>
        <row r="895">
          <cell r="A895">
            <v>528</v>
          </cell>
          <cell r="B895" t="str">
            <v>Netherlands</v>
          </cell>
          <cell r="C895">
            <v>1998</v>
          </cell>
          <cell r="D895">
            <v>90</v>
          </cell>
          <cell r="E895">
            <v>300</v>
          </cell>
          <cell r="F895">
            <v>90</v>
          </cell>
          <cell r="G895">
            <v>575389</v>
          </cell>
          <cell r="H895" t="str">
            <v>;;=SUM(F12:G12);</v>
          </cell>
          <cell r="I895" t="str">
            <v>.</v>
          </cell>
        </row>
        <row r="896">
          <cell r="A896">
            <v>528</v>
          </cell>
          <cell r="B896" t="str">
            <v>Netherlands</v>
          </cell>
          <cell r="C896">
            <v>1998</v>
          </cell>
          <cell r="D896">
            <v>90</v>
          </cell>
          <cell r="E896">
            <v>303</v>
          </cell>
          <cell r="F896">
            <v>90</v>
          </cell>
          <cell r="G896">
            <v>197246</v>
          </cell>
          <cell r="H896" t="str">
            <v>;;=SUM(F13:G13);</v>
          </cell>
          <cell r="I896" t="str">
            <v>.</v>
          </cell>
        </row>
        <row r="897">
          <cell r="A897">
            <v>528</v>
          </cell>
          <cell r="B897" t="str">
            <v>Netherlands</v>
          </cell>
          <cell r="C897">
            <v>1998</v>
          </cell>
          <cell r="D897">
            <v>90</v>
          </cell>
          <cell r="E897">
            <v>404</v>
          </cell>
          <cell r="F897">
            <v>90</v>
          </cell>
          <cell r="G897">
            <v>196732</v>
          </cell>
          <cell r="H897" t="str">
            <v>;;=SUM(F14:G14);</v>
          </cell>
          <cell r="I897" t="str">
            <v>.</v>
          </cell>
        </row>
        <row r="898">
          <cell r="A898">
            <v>528</v>
          </cell>
          <cell r="B898" t="str">
            <v>Netherlands</v>
          </cell>
          <cell r="C898">
            <v>1998</v>
          </cell>
          <cell r="D898">
            <v>90</v>
          </cell>
          <cell r="E898">
            <v>505</v>
          </cell>
          <cell r="F898">
            <v>90</v>
          </cell>
          <cell r="G898">
            <v>198600</v>
          </cell>
          <cell r="H898" t="str">
            <v>;;=SUM(F15:G15);</v>
          </cell>
          <cell r="I898" t="str">
            <v>.</v>
          </cell>
        </row>
        <row r="899">
          <cell r="A899">
            <v>528</v>
          </cell>
          <cell r="B899" t="str">
            <v>Netherlands</v>
          </cell>
          <cell r="C899">
            <v>1998</v>
          </cell>
          <cell r="D899">
            <v>90</v>
          </cell>
          <cell r="E899">
            <v>606</v>
          </cell>
          <cell r="F899">
            <v>90</v>
          </cell>
          <cell r="G899">
            <v>201177</v>
          </cell>
          <cell r="H899" t="str">
            <v>;;=SUM(F16:G16);</v>
          </cell>
          <cell r="I899" t="str">
            <v>.</v>
          </cell>
        </row>
        <row r="900">
          <cell r="A900">
            <v>528</v>
          </cell>
          <cell r="B900" t="str">
            <v>Netherlands</v>
          </cell>
          <cell r="C900">
            <v>1998</v>
          </cell>
          <cell r="D900">
            <v>90</v>
          </cell>
          <cell r="E900">
            <v>707</v>
          </cell>
          <cell r="F900">
            <v>90</v>
          </cell>
          <cell r="G900">
            <v>201520</v>
          </cell>
          <cell r="H900" t="str">
            <v>;;=SUM(F17:G17);</v>
          </cell>
          <cell r="I900" t="str">
            <v>.</v>
          </cell>
        </row>
        <row r="901">
          <cell r="A901">
            <v>528</v>
          </cell>
          <cell r="B901" t="str">
            <v>Netherlands</v>
          </cell>
          <cell r="C901">
            <v>1998</v>
          </cell>
          <cell r="D901">
            <v>90</v>
          </cell>
          <cell r="E901">
            <v>808</v>
          </cell>
          <cell r="F901">
            <v>90</v>
          </cell>
          <cell r="G901">
            <v>193410</v>
          </cell>
          <cell r="H901" t="str">
            <v>;;=SUM(F18:G18);</v>
          </cell>
          <cell r="I901" t="str">
            <v>.</v>
          </cell>
        </row>
        <row r="902">
          <cell r="A902">
            <v>528</v>
          </cell>
          <cell r="B902" t="str">
            <v>Netherlands</v>
          </cell>
          <cell r="C902">
            <v>1998</v>
          </cell>
          <cell r="D902">
            <v>90</v>
          </cell>
          <cell r="E902">
            <v>909</v>
          </cell>
          <cell r="F902">
            <v>90</v>
          </cell>
          <cell r="G902">
            <v>191403</v>
          </cell>
          <cell r="H902" t="str">
            <v>;;=SUM(F19:G19);</v>
          </cell>
          <cell r="I902" t="str">
            <v>.</v>
          </cell>
        </row>
        <row r="903">
          <cell r="A903">
            <v>528</v>
          </cell>
          <cell r="B903" t="str">
            <v>Netherlands</v>
          </cell>
          <cell r="C903">
            <v>1998</v>
          </cell>
          <cell r="D903">
            <v>90</v>
          </cell>
          <cell r="E903">
            <v>509</v>
          </cell>
          <cell r="F903">
            <v>90</v>
          </cell>
          <cell r="G903">
            <v>986110</v>
          </cell>
          <cell r="H903" t="str">
            <v>;;=SUM(F20:G20);</v>
          </cell>
          <cell r="I903" t="str">
            <v>.</v>
          </cell>
        </row>
        <row r="904">
          <cell r="A904">
            <v>528</v>
          </cell>
          <cell r="B904" t="str">
            <v>Netherlands</v>
          </cell>
          <cell r="C904">
            <v>1998</v>
          </cell>
          <cell r="D904">
            <v>90</v>
          </cell>
          <cell r="E904">
            <v>1010</v>
          </cell>
          <cell r="F904">
            <v>90</v>
          </cell>
          <cell r="G904">
            <v>192255</v>
          </cell>
          <cell r="H904" t="str">
            <v>;;=SUM(F21:G21);</v>
          </cell>
          <cell r="I904" t="str">
            <v>.</v>
          </cell>
        </row>
        <row r="905">
          <cell r="A905">
            <v>528</v>
          </cell>
          <cell r="B905" t="str">
            <v>Netherlands</v>
          </cell>
          <cell r="C905">
            <v>1998</v>
          </cell>
          <cell r="D905">
            <v>90</v>
          </cell>
          <cell r="E905">
            <v>1111</v>
          </cell>
          <cell r="F905">
            <v>90</v>
          </cell>
          <cell r="G905">
            <v>190796</v>
          </cell>
          <cell r="H905" t="str">
            <v>;;=SUM(F22:G22);</v>
          </cell>
          <cell r="I905" t="str">
            <v>.</v>
          </cell>
        </row>
        <row r="906">
          <cell r="A906">
            <v>528</v>
          </cell>
          <cell r="B906" t="str">
            <v>Netherlands</v>
          </cell>
          <cell r="C906">
            <v>1998</v>
          </cell>
          <cell r="D906">
            <v>90</v>
          </cell>
          <cell r="E906">
            <v>1212</v>
          </cell>
          <cell r="F906">
            <v>90</v>
          </cell>
          <cell r="G906">
            <v>185351</v>
          </cell>
          <cell r="H906" t="str">
            <v>;;=SUM(F23:G23);</v>
          </cell>
          <cell r="I906" t="str">
            <v>.</v>
          </cell>
        </row>
        <row r="907">
          <cell r="A907">
            <v>484</v>
          </cell>
          <cell r="B907" t="str">
            <v>Mexico</v>
          </cell>
          <cell r="C907">
            <v>1998</v>
          </cell>
          <cell r="D907">
            <v>90</v>
          </cell>
          <cell r="E907">
            <v>303</v>
          </cell>
          <cell r="F907">
            <v>90</v>
          </cell>
          <cell r="G907">
            <v>2237117</v>
          </cell>
          <cell r="H907" t="str">
            <v>;;=SUM(F13:G13);</v>
          </cell>
          <cell r="I907" t="str">
            <v>.</v>
          </cell>
        </row>
        <row r="908">
          <cell r="A908">
            <v>484</v>
          </cell>
          <cell r="B908" t="str">
            <v>Mexico</v>
          </cell>
          <cell r="C908">
            <v>1998</v>
          </cell>
          <cell r="D908">
            <v>90</v>
          </cell>
          <cell r="E908">
            <v>404</v>
          </cell>
          <cell r="F908">
            <v>90</v>
          </cell>
          <cell r="G908">
            <v>2253647</v>
          </cell>
          <cell r="H908" t="str">
            <v>;;=SUM(F14:G14);</v>
          </cell>
          <cell r="I908" t="str">
            <v>.</v>
          </cell>
        </row>
        <row r="909">
          <cell r="A909">
            <v>484</v>
          </cell>
          <cell r="B909" t="str">
            <v>Mexico</v>
          </cell>
          <cell r="C909">
            <v>1998</v>
          </cell>
          <cell r="D909">
            <v>90</v>
          </cell>
          <cell r="E909">
            <v>505</v>
          </cell>
          <cell r="F909">
            <v>90</v>
          </cell>
          <cell r="G909">
            <v>2255990</v>
          </cell>
          <cell r="H909" t="str">
            <v>;;=SUM(F15:G15);</v>
          </cell>
          <cell r="I909" t="str">
            <v>.</v>
          </cell>
        </row>
        <row r="910">
          <cell r="A910">
            <v>484</v>
          </cell>
          <cell r="B910" t="str">
            <v>Mexico</v>
          </cell>
          <cell r="C910">
            <v>1998</v>
          </cell>
          <cell r="D910">
            <v>90</v>
          </cell>
          <cell r="E910">
            <v>606</v>
          </cell>
          <cell r="F910">
            <v>90</v>
          </cell>
          <cell r="G910">
            <v>2255545</v>
          </cell>
          <cell r="H910" t="str">
            <v>;;=SUM(F16:G16);</v>
          </cell>
          <cell r="I910" t="str">
            <v>.</v>
          </cell>
        </row>
        <row r="911">
          <cell r="A911">
            <v>484</v>
          </cell>
          <cell r="B911" t="str">
            <v>Mexico</v>
          </cell>
          <cell r="C911">
            <v>1998</v>
          </cell>
          <cell r="D911">
            <v>90</v>
          </cell>
          <cell r="E911">
            <v>707</v>
          </cell>
          <cell r="F911">
            <v>90</v>
          </cell>
          <cell r="G911">
            <v>2249174</v>
          </cell>
          <cell r="H911" t="str">
            <v>;;=SUM(F17:G17);</v>
          </cell>
          <cell r="I911" t="str">
            <v>.</v>
          </cell>
        </row>
        <row r="912">
          <cell r="A912">
            <v>484</v>
          </cell>
          <cell r="B912" t="str">
            <v>Mexico</v>
          </cell>
          <cell r="C912">
            <v>1998</v>
          </cell>
          <cell r="D912">
            <v>90</v>
          </cell>
          <cell r="E912">
            <v>808</v>
          </cell>
          <cell r="F912">
            <v>90</v>
          </cell>
          <cell r="G912">
            <v>2243327</v>
          </cell>
          <cell r="H912" t="str">
            <v>;;=SUM(F18:G18);</v>
          </cell>
          <cell r="I912" t="str">
            <v>.</v>
          </cell>
        </row>
        <row r="913">
          <cell r="A913">
            <v>484</v>
          </cell>
          <cell r="B913" t="str">
            <v>Mexico</v>
          </cell>
          <cell r="C913">
            <v>1998</v>
          </cell>
          <cell r="D913">
            <v>90</v>
          </cell>
          <cell r="E913">
            <v>909</v>
          </cell>
          <cell r="F913">
            <v>90</v>
          </cell>
          <cell r="G913">
            <v>2239034</v>
          </cell>
          <cell r="H913" t="str">
            <v>;;=SUM(F19:G19);</v>
          </cell>
          <cell r="I913" t="str">
            <v>.</v>
          </cell>
        </row>
        <row r="914">
          <cell r="A914">
            <v>484</v>
          </cell>
          <cell r="B914" t="str">
            <v>Mexico</v>
          </cell>
          <cell r="C914">
            <v>1998</v>
          </cell>
          <cell r="D914">
            <v>90</v>
          </cell>
          <cell r="E914">
            <v>509</v>
          </cell>
          <cell r="F914">
            <v>90</v>
          </cell>
          <cell r="G914">
            <v>11243070</v>
          </cell>
          <cell r="H914" t="str">
            <v>;;=SUM(F20:G20);</v>
          </cell>
          <cell r="I914" t="str">
            <v>.</v>
          </cell>
        </row>
        <row r="915">
          <cell r="A915">
            <v>484</v>
          </cell>
          <cell r="B915" t="str">
            <v>Mexico</v>
          </cell>
          <cell r="C915">
            <v>1998</v>
          </cell>
          <cell r="D915">
            <v>90</v>
          </cell>
          <cell r="E915">
            <v>1010</v>
          </cell>
          <cell r="F915">
            <v>90</v>
          </cell>
          <cell r="G915">
            <v>2235194</v>
          </cell>
          <cell r="H915" t="str">
            <v>;;=SUM(F21:G21);</v>
          </cell>
          <cell r="I915" t="str">
            <v>.</v>
          </cell>
        </row>
        <row r="916">
          <cell r="A916">
            <v>484</v>
          </cell>
          <cell r="B916" t="str">
            <v>Mexico</v>
          </cell>
          <cell r="C916">
            <v>1998</v>
          </cell>
          <cell r="D916">
            <v>90</v>
          </cell>
          <cell r="E916">
            <v>1111</v>
          </cell>
          <cell r="F916">
            <v>90</v>
          </cell>
          <cell r="G916">
            <v>2230912</v>
          </cell>
          <cell r="H916" t="str">
            <v>;;=SUM(F22:G22);</v>
          </cell>
          <cell r="I916" t="str">
            <v>.</v>
          </cell>
        </row>
        <row r="917">
          <cell r="A917">
            <v>484</v>
          </cell>
          <cell r="B917" t="str">
            <v>Mexico</v>
          </cell>
          <cell r="C917">
            <v>1998</v>
          </cell>
          <cell r="D917">
            <v>90</v>
          </cell>
          <cell r="E917">
            <v>1212</v>
          </cell>
          <cell r="F917">
            <v>90</v>
          </cell>
          <cell r="G917">
            <v>2225923</v>
          </cell>
          <cell r="H917" t="str">
            <v>;;=SUM(F23:G23);</v>
          </cell>
          <cell r="I917" t="str">
            <v>.</v>
          </cell>
        </row>
        <row r="918">
          <cell r="A918">
            <v>484</v>
          </cell>
          <cell r="B918" t="str">
            <v>Mexico</v>
          </cell>
          <cell r="C918">
            <v>1998</v>
          </cell>
          <cell r="D918">
            <v>90</v>
          </cell>
          <cell r="E918">
            <v>1313</v>
          </cell>
          <cell r="F918">
            <v>90</v>
          </cell>
          <cell r="G918">
            <v>2197652</v>
          </cell>
          <cell r="H918" t="str">
            <v>;;=SUM(F24:G24);</v>
          </cell>
          <cell r="I918" t="str">
            <v>.</v>
          </cell>
        </row>
        <row r="919">
          <cell r="A919">
            <v>484</v>
          </cell>
          <cell r="B919" t="str">
            <v>Mexico</v>
          </cell>
          <cell r="C919">
            <v>1998</v>
          </cell>
          <cell r="D919">
            <v>90</v>
          </cell>
          <cell r="E919">
            <v>1414</v>
          </cell>
          <cell r="F919">
            <v>90</v>
          </cell>
          <cell r="G919">
            <v>2162518</v>
          </cell>
          <cell r="H919" t="str">
            <v>;;=SUM(F25:G25);</v>
          </cell>
          <cell r="I919" t="str">
            <v>.</v>
          </cell>
        </row>
        <row r="920">
          <cell r="A920">
            <v>484</v>
          </cell>
          <cell r="B920" t="str">
            <v>Mexico</v>
          </cell>
          <cell r="C920">
            <v>1998</v>
          </cell>
          <cell r="D920">
            <v>90</v>
          </cell>
          <cell r="E920">
            <v>1014</v>
          </cell>
          <cell r="F920">
            <v>90</v>
          </cell>
          <cell r="G920">
            <v>11052199</v>
          </cell>
          <cell r="H920" t="str">
            <v>;;=SUM(F26:G26);</v>
          </cell>
          <cell r="I920" t="str">
            <v>.</v>
          </cell>
        </row>
        <row r="921">
          <cell r="A921">
            <v>484</v>
          </cell>
          <cell r="B921" t="str">
            <v>Mexico</v>
          </cell>
          <cell r="C921">
            <v>1998</v>
          </cell>
          <cell r="D921">
            <v>90</v>
          </cell>
          <cell r="E921">
            <v>1515</v>
          </cell>
          <cell r="F921">
            <v>90</v>
          </cell>
          <cell r="G921">
            <v>2118498</v>
          </cell>
          <cell r="H921" t="str">
            <v>;;=SUM(F27:G27);</v>
          </cell>
          <cell r="I921" t="str">
            <v>.</v>
          </cell>
        </row>
        <row r="922">
          <cell r="A922">
            <v>484</v>
          </cell>
          <cell r="B922" t="str">
            <v>Mexico</v>
          </cell>
          <cell r="C922">
            <v>1998</v>
          </cell>
          <cell r="D922">
            <v>90</v>
          </cell>
          <cell r="E922">
            <v>1616</v>
          </cell>
          <cell r="F922">
            <v>90</v>
          </cell>
          <cell r="G922">
            <v>2071683</v>
          </cell>
          <cell r="H922" t="str">
            <v>;;=SUM(F28:G28);</v>
          </cell>
          <cell r="I922" t="str">
            <v>.</v>
          </cell>
        </row>
        <row r="923">
          <cell r="A923">
            <v>484</v>
          </cell>
          <cell r="B923" t="str">
            <v>Mexico</v>
          </cell>
          <cell r="C923">
            <v>1998</v>
          </cell>
          <cell r="D923">
            <v>90</v>
          </cell>
          <cell r="E923">
            <v>1717</v>
          </cell>
          <cell r="F923">
            <v>90</v>
          </cell>
          <cell r="G923">
            <v>2043451</v>
          </cell>
          <cell r="H923" t="str">
            <v>;;=SUM(F29:G29);</v>
          </cell>
          <cell r="I923" t="str">
            <v>.</v>
          </cell>
        </row>
        <row r="924">
          <cell r="A924">
            <v>484</v>
          </cell>
          <cell r="B924" t="str">
            <v>Mexico</v>
          </cell>
          <cell r="C924">
            <v>1998</v>
          </cell>
          <cell r="D924">
            <v>90</v>
          </cell>
          <cell r="E924">
            <v>1818</v>
          </cell>
          <cell r="F924">
            <v>90</v>
          </cell>
          <cell r="G924">
            <v>2011912</v>
          </cell>
          <cell r="H924" t="str">
            <v>;;=SUM(F30:G30);</v>
          </cell>
          <cell r="I924" t="str">
            <v>.</v>
          </cell>
        </row>
        <row r="925">
          <cell r="A925">
            <v>484</v>
          </cell>
          <cell r="B925" t="str">
            <v>Mexico</v>
          </cell>
          <cell r="C925">
            <v>1998</v>
          </cell>
          <cell r="D925">
            <v>90</v>
          </cell>
          <cell r="E925">
            <v>1919</v>
          </cell>
          <cell r="F925">
            <v>90</v>
          </cell>
          <cell r="G925">
            <v>1990779</v>
          </cell>
          <cell r="H925" t="str">
            <v>;;=SUM(F31:G31);</v>
          </cell>
          <cell r="I925" t="str">
            <v>.</v>
          </cell>
        </row>
        <row r="926">
          <cell r="A926">
            <v>484</v>
          </cell>
          <cell r="B926" t="str">
            <v>Mexico</v>
          </cell>
          <cell r="C926">
            <v>1998</v>
          </cell>
          <cell r="D926">
            <v>90</v>
          </cell>
          <cell r="E926">
            <v>1519</v>
          </cell>
          <cell r="F926">
            <v>90</v>
          </cell>
          <cell r="G926">
            <v>10236323</v>
          </cell>
          <cell r="H926" t="str">
            <v>;;=SUM(F32:G32);</v>
          </cell>
          <cell r="I926" t="str">
            <v>.</v>
          </cell>
        </row>
        <row r="927">
          <cell r="A927">
            <v>484</v>
          </cell>
          <cell r="B927" t="str">
            <v>Mexico</v>
          </cell>
          <cell r="C927">
            <v>1998</v>
          </cell>
          <cell r="D927">
            <v>90</v>
          </cell>
          <cell r="E927">
            <v>2020</v>
          </cell>
          <cell r="F927">
            <v>90</v>
          </cell>
          <cell r="G927">
            <v>1973641</v>
          </cell>
          <cell r="H927" t="str">
            <v>;;=SUM(F33:G33);</v>
          </cell>
          <cell r="I927" t="str">
            <v>.</v>
          </cell>
        </row>
        <row r="928">
          <cell r="A928">
            <v>484</v>
          </cell>
          <cell r="B928" t="str">
            <v>Mexico</v>
          </cell>
          <cell r="C928">
            <v>1998</v>
          </cell>
          <cell r="D928">
            <v>90</v>
          </cell>
          <cell r="E928">
            <v>2121</v>
          </cell>
          <cell r="F928">
            <v>90</v>
          </cell>
          <cell r="G928">
            <v>1959103</v>
          </cell>
          <cell r="H928" t="str">
            <v>;;=SUM(F34:G34);</v>
          </cell>
          <cell r="I928" t="str">
            <v>.</v>
          </cell>
        </row>
        <row r="929">
          <cell r="A929">
            <v>484</v>
          </cell>
          <cell r="B929" t="str">
            <v>Mexico</v>
          </cell>
          <cell r="C929">
            <v>1998</v>
          </cell>
          <cell r="D929">
            <v>90</v>
          </cell>
          <cell r="E929">
            <v>2222</v>
          </cell>
          <cell r="F929">
            <v>90</v>
          </cell>
          <cell r="G929">
            <v>1938129</v>
          </cell>
          <cell r="H929" t="str">
            <v>;;=SUM(F35:G35);</v>
          </cell>
          <cell r="I929" t="str">
            <v>.</v>
          </cell>
        </row>
        <row r="930">
          <cell r="A930">
            <v>484</v>
          </cell>
          <cell r="B930" t="str">
            <v>Mexico</v>
          </cell>
          <cell r="C930">
            <v>1998</v>
          </cell>
          <cell r="D930">
            <v>90</v>
          </cell>
          <cell r="E930">
            <v>2323</v>
          </cell>
          <cell r="F930">
            <v>90</v>
          </cell>
          <cell r="G930">
            <v>1904385</v>
          </cell>
          <cell r="H930" t="str">
            <v>;;=SUM(F36:G36);</v>
          </cell>
          <cell r="I930" t="str">
            <v>.</v>
          </cell>
        </row>
        <row r="931">
          <cell r="A931">
            <v>484</v>
          </cell>
          <cell r="B931" t="str">
            <v>Mexico</v>
          </cell>
          <cell r="C931">
            <v>1998</v>
          </cell>
          <cell r="D931">
            <v>90</v>
          </cell>
          <cell r="E931">
            <v>2424</v>
          </cell>
          <cell r="F931">
            <v>90</v>
          </cell>
          <cell r="G931">
            <v>1867442</v>
          </cell>
          <cell r="H931" t="str">
            <v>;;=SUM(F37:G37);</v>
          </cell>
          <cell r="I931" t="str">
            <v>.</v>
          </cell>
        </row>
        <row r="932">
          <cell r="A932">
            <v>484</v>
          </cell>
          <cell r="B932" t="str">
            <v>Mexico</v>
          </cell>
          <cell r="C932">
            <v>1998</v>
          </cell>
          <cell r="D932">
            <v>90</v>
          </cell>
          <cell r="E932">
            <v>2024</v>
          </cell>
          <cell r="F932">
            <v>90</v>
          </cell>
          <cell r="G932">
            <v>9642700</v>
          </cell>
          <cell r="H932" t="str">
            <v>;;=SUM(F38:G38);</v>
          </cell>
          <cell r="I932" t="str">
            <v>.</v>
          </cell>
        </row>
        <row r="933">
          <cell r="A933">
            <v>484</v>
          </cell>
          <cell r="B933" t="str">
            <v>Mexico</v>
          </cell>
          <cell r="C933">
            <v>1998</v>
          </cell>
          <cell r="D933">
            <v>90</v>
          </cell>
          <cell r="E933">
            <v>2525</v>
          </cell>
          <cell r="F933">
            <v>90</v>
          </cell>
          <cell r="G933">
            <v>1817375</v>
          </cell>
          <cell r="H933" t="str">
            <v>;;=SUM(F39:G39);</v>
          </cell>
          <cell r="I933" t="str">
            <v>.</v>
          </cell>
        </row>
        <row r="934">
          <cell r="A934">
            <v>484</v>
          </cell>
          <cell r="B934" t="str">
            <v>Mexico</v>
          </cell>
          <cell r="C934">
            <v>1998</v>
          </cell>
          <cell r="D934">
            <v>90</v>
          </cell>
          <cell r="E934">
            <v>2626</v>
          </cell>
          <cell r="F934">
            <v>90</v>
          </cell>
          <cell r="G934">
            <v>1773021</v>
          </cell>
          <cell r="H934" t="str">
            <v>;;=SUM(F40:G40);</v>
          </cell>
          <cell r="I934" t="str">
            <v>.</v>
          </cell>
        </row>
        <row r="935">
          <cell r="A935">
            <v>484</v>
          </cell>
          <cell r="B935" t="str">
            <v>Mexico</v>
          </cell>
          <cell r="C935">
            <v>1998</v>
          </cell>
          <cell r="D935">
            <v>90</v>
          </cell>
          <cell r="E935">
            <v>2727</v>
          </cell>
          <cell r="F935">
            <v>90</v>
          </cell>
          <cell r="G935">
            <v>1725348</v>
          </cell>
          <cell r="H935" t="str">
            <v>;;=SUM(F41:G41);</v>
          </cell>
          <cell r="I935" t="str">
            <v>.</v>
          </cell>
        </row>
        <row r="936">
          <cell r="A936">
            <v>484</v>
          </cell>
          <cell r="B936" t="str">
            <v>Mexico</v>
          </cell>
          <cell r="C936">
            <v>1998</v>
          </cell>
          <cell r="D936">
            <v>90</v>
          </cell>
          <cell r="E936">
            <v>2828</v>
          </cell>
          <cell r="F936">
            <v>90</v>
          </cell>
          <cell r="G936">
            <v>1676435</v>
          </cell>
          <cell r="H936" t="str">
            <v>;;=SUM(F42:G42);</v>
          </cell>
          <cell r="I936" t="str">
            <v>.</v>
          </cell>
        </row>
        <row r="937">
          <cell r="A937">
            <v>484</v>
          </cell>
          <cell r="B937" t="str">
            <v>Mexico</v>
          </cell>
          <cell r="C937">
            <v>1998</v>
          </cell>
          <cell r="D937">
            <v>90</v>
          </cell>
          <cell r="E937">
            <v>2929</v>
          </cell>
          <cell r="F937">
            <v>90</v>
          </cell>
          <cell r="G937">
            <v>1632216</v>
          </cell>
          <cell r="H937" t="str">
            <v>;;=SUM(F43:G43);</v>
          </cell>
          <cell r="I937" t="str">
            <v>.</v>
          </cell>
        </row>
        <row r="938">
          <cell r="A938">
            <v>484</v>
          </cell>
          <cell r="B938" t="str">
            <v>Mexico</v>
          </cell>
          <cell r="C938">
            <v>1998</v>
          </cell>
          <cell r="D938">
            <v>90</v>
          </cell>
          <cell r="E938">
            <v>2529</v>
          </cell>
          <cell r="F938">
            <v>90</v>
          </cell>
          <cell r="G938">
            <v>8624395</v>
          </cell>
          <cell r="H938" t="str">
            <v>;;=SUM(F44:G44);</v>
          </cell>
          <cell r="I938" t="str">
            <v>.</v>
          </cell>
        </row>
        <row r="939">
          <cell r="A939">
            <v>484</v>
          </cell>
          <cell r="B939" t="str">
            <v>Mexico</v>
          </cell>
          <cell r="C939">
            <v>1998</v>
          </cell>
          <cell r="D939">
            <v>90</v>
          </cell>
          <cell r="E939">
            <v>3034</v>
          </cell>
          <cell r="F939">
            <v>90</v>
          </cell>
          <cell r="G939">
            <v>7423564</v>
          </cell>
          <cell r="H939" t="str">
            <v>;;=SUM(F45:G45);</v>
          </cell>
          <cell r="I939" t="str">
            <v>.</v>
          </cell>
        </row>
        <row r="940">
          <cell r="A940">
            <v>484</v>
          </cell>
          <cell r="B940" t="str">
            <v>Mexico</v>
          </cell>
          <cell r="C940">
            <v>1998</v>
          </cell>
          <cell r="D940">
            <v>90</v>
          </cell>
          <cell r="E940">
            <v>3539</v>
          </cell>
          <cell r="F940">
            <v>90</v>
          </cell>
          <cell r="G940">
            <v>6091569</v>
          </cell>
          <cell r="H940" t="str">
            <v>;;=SUM(F46:G46);</v>
          </cell>
          <cell r="I940" t="str">
            <v>.</v>
          </cell>
        </row>
        <row r="941">
          <cell r="A941">
            <v>484</v>
          </cell>
          <cell r="B941" t="str">
            <v>Mexico</v>
          </cell>
          <cell r="C941">
            <v>1998</v>
          </cell>
          <cell r="D941">
            <v>90</v>
          </cell>
          <cell r="E941">
            <v>4099</v>
          </cell>
          <cell r="F941">
            <v>90</v>
          </cell>
          <cell r="G941">
            <v>20475368</v>
          </cell>
          <cell r="H941" t="str">
            <v>;;=SUM(F47:G47);</v>
          </cell>
          <cell r="I941" t="str">
            <v>.</v>
          </cell>
        </row>
        <row r="942">
          <cell r="A942">
            <v>484</v>
          </cell>
          <cell r="B942" t="str">
            <v>Mexico</v>
          </cell>
          <cell r="C942">
            <v>1998</v>
          </cell>
          <cell r="D942">
            <v>90</v>
          </cell>
          <cell r="E942">
            <v>990000</v>
          </cell>
          <cell r="F942">
            <v>90</v>
          </cell>
          <cell r="G942">
            <v>0</v>
          </cell>
          <cell r="H942" t="str">
            <v>n;</v>
          </cell>
          <cell r="I942" t="str">
            <v>n</v>
          </cell>
        </row>
        <row r="943">
          <cell r="A943">
            <v>752</v>
          </cell>
          <cell r="B943" t="str">
            <v>Sweden</v>
          </cell>
          <cell r="C943">
            <v>1998</v>
          </cell>
          <cell r="D943">
            <v>90</v>
          </cell>
          <cell r="E943">
            <v>900000</v>
          </cell>
          <cell r="F943">
            <v>90</v>
          </cell>
          <cell r="G943">
            <v>8847625</v>
          </cell>
          <cell r="H943" t="str">
            <v>;;=SUM(F11:G11);</v>
          </cell>
          <cell r="I943" t="str">
            <v>.</v>
          </cell>
        </row>
        <row r="944">
          <cell r="A944">
            <v>752</v>
          </cell>
          <cell r="B944" t="str">
            <v>Sweden</v>
          </cell>
          <cell r="C944">
            <v>1998</v>
          </cell>
          <cell r="D944">
            <v>90</v>
          </cell>
          <cell r="E944">
            <v>300</v>
          </cell>
          <cell r="F944">
            <v>90</v>
          </cell>
          <cell r="G944">
            <v>288818</v>
          </cell>
          <cell r="H944" t="str">
            <v>;;=SUM(F12:G12);</v>
          </cell>
          <cell r="I944" t="str">
            <v>.</v>
          </cell>
        </row>
        <row r="945">
          <cell r="A945">
            <v>752</v>
          </cell>
          <cell r="B945" t="str">
            <v>Sweden</v>
          </cell>
          <cell r="C945">
            <v>1998</v>
          </cell>
          <cell r="D945">
            <v>90</v>
          </cell>
          <cell r="E945">
            <v>303</v>
          </cell>
          <cell r="F945">
            <v>90</v>
          </cell>
          <cell r="G945">
            <v>112328</v>
          </cell>
          <cell r="H945" t="str">
            <v>;;=SUM(F13:G13);</v>
          </cell>
          <cell r="I945" t="str">
            <v>.</v>
          </cell>
        </row>
        <row r="946">
          <cell r="A946">
            <v>752</v>
          </cell>
          <cell r="B946" t="str">
            <v>Sweden</v>
          </cell>
          <cell r="C946">
            <v>1998</v>
          </cell>
          <cell r="D946">
            <v>90</v>
          </cell>
          <cell r="E946">
            <v>404</v>
          </cell>
          <cell r="F946">
            <v>90</v>
          </cell>
          <cell r="G946">
            <v>117386</v>
          </cell>
          <cell r="H946" t="str">
            <v>;;=SUM(F14:G14);</v>
          </cell>
          <cell r="I946" t="str">
            <v>.</v>
          </cell>
        </row>
        <row r="947">
          <cell r="A947">
            <v>752</v>
          </cell>
          <cell r="B947" t="str">
            <v>Sweden</v>
          </cell>
          <cell r="C947">
            <v>1998</v>
          </cell>
          <cell r="D947">
            <v>90</v>
          </cell>
          <cell r="E947">
            <v>505</v>
          </cell>
          <cell r="F947">
            <v>90</v>
          </cell>
          <cell r="G947">
            <v>123424</v>
          </cell>
          <cell r="H947" t="str">
            <v>;;=SUM(F15:G15);</v>
          </cell>
          <cell r="I947" t="str">
            <v>.</v>
          </cell>
        </row>
        <row r="948">
          <cell r="A948">
            <v>752</v>
          </cell>
          <cell r="B948" t="str">
            <v>Sweden</v>
          </cell>
          <cell r="C948">
            <v>1998</v>
          </cell>
          <cell r="D948">
            <v>90</v>
          </cell>
          <cell r="E948">
            <v>606</v>
          </cell>
          <cell r="F948">
            <v>90</v>
          </cell>
          <cell r="G948">
            <v>125895</v>
          </cell>
          <cell r="H948" t="str">
            <v>;;=SUM(F16:G16);</v>
          </cell>
          <cell r="I948" t="str">
            <v>.</v>
          </cell>
        </row>
        <row r="949">
          <cell r="A949">
            <v>752</v>
          </cell>
          <cell r="B949" t="str">
            <v>Sweden</v>
          </cell>
          <cell r="C949">
            <v>1998</v>
          </cell>
          <cell r="D949">
            <v>90</v>
          </cell>
          <cell r="E949">
            <v>707</v>
          </cell>
          <cell r="F949">
            <v>90</v>
          </cell>
          <cell r="G949">
            <v>127066</v>
          </cell>
          <cell r="H949" t="str">
            <v>;;=SUM(F17:G17);</v>
          </cell>
          <cell r="I949" t="str">
            <v>.</v>
          </cell>
        </row>
        <row r="950">
          <cell r="A950">
            <v>752</v>
          </cell>
          <cell r="B950" t="str">
            <v>Sweden</v>
          </cell>
          <cell r="C950">
            <v>1998</v>
          </cell>
          <cell r="D950">
            <v>90</v>
          </cell>
          <cell r="E950">
            <v>808</v>
          </cell>
          <cell r="F950">
            <v>90</v>
          </cell>
          <cell r="G950">
            <v>120151</v>
          </cell>
          <cell r="H950" t="str">
            <v>;;=SUM(F18:G18);</v>
          </cell>
          <cell r="I950" t="str">
            <v>.</v>
          </cell>
        </row>
        <row r="951">
          <cell r="A951">
            <v>752</v>
          </cell>
          <cell r="B951" t="str">
            <v>Sweden</v>
          </cell>
          <cell r="C951">
            <v>1998</v>
          </cell>
          <cell r="D951">
            <v>90</v>
          </cell>
          <cell r="E951">
            <v>909</v>
          </cell>
          <cell r="F951">
            <v>90</v>
          </cell>
          <cell r="G951">
            <v>116968</v>
          </cell>
          <cell r="H951" t="str">
            <v>;;=SUM(F19:G19);</v>
          </cell>
          <cell r="I951" t="str">
            <v>.</v>
          </cell>
        </row>
        <row r="952">
          <cell r="A952">
            <v>752</v>
          </cell>
          <cell r="B952" t="str">
            <v>Sweden</v>
          </cell>
          <cell r="C952">
            <v>1998</v>
          </cell>
          <cell r="D952">
            <v>90</v>
          </cell>
          <cell r="E952">
            <v>509</v>
          </cell>
          <cell r="F952">
            <v>90</v>
          </cell>
          <cell r="G952">
            <v>613504</v>
          </cell>
          <cell r="H952" t="str">
            <v>;;=SUM(F20:G20);</v>
          </cell>
          <cell r="I952" t="str">
            <v>.</v>
          </cell>
        </row>
        <row r="953">
          <cell r="A953">
            <v>752</v>
          </cell>
          <cell r="B953" t="str">
            <v>Sweden</v>
          </cell>
          <cell r="C953">
            <v>1998</v>
          </cell>
          <cell r="D953">
            <v>90</v>
          </cell>
          <cell r="E953">
            <v>1010</v>
          </cell>
          <cell r="F953">
            <v>90</v>
          </cell>
          <cell r="G953">
            <v>110168</v>
          </cell>
          <cell r="H953" t="str">
            <v>;;=SUM(F21:G21);</v>
          </cell>
          <cell r="I953" t="str">
            <v>.</v>
          </cell>
        </row>
        <row r="954">
          <cell r="A954">
            <v>752</v>
          </cell>
          <cell r="B954" t="str">
            <v>Sweden</v>
          </cell>
          <cell r="C954">
            <v>1998</v>
          </cell>
          <cell r="D954">
            <v>90</v>
          </cell>
          <cell r="E954">
            <v>1111</v>
          </cell>
          <cell r="F954">
            <v>90</v>
          </cell>
          <cell r="G954">
            <v>108129</v>
          </cell>
          <cell r="H954" t="str">
            <v>;;=SUM(F22:G22);</v>
          </cell>
          <cell r="I954" t="str">
            <v>.</v>
          </cell>
        </row>
        <row r="955">
          <cell r="A955">
            <v>752</v>
          </cell>
          <cell r="B955" t="str">
            <v>Sweden</v>
          </cell>
          <cell r="C955">
            <v>1998</v>
          </cell>
          <cell r="D955">
            <v>90</v>
          </cell>
          <cell r="E955">
            <v>1212</v>
          </cell>
          <cell r="F955">
            <v>90</v>
          </cell>
          <cell r="G955">
            <v>104952</v>
          </cell>
          <cell r="H955" t="str">
            <v>;;=SUM(F23:G23);</v>
          </cell>
          <cell r="I955" t="str">
            <v>.</v>
          </cell>
        </row>
        <row r="956">
          <cell r="A956">
            <v>752</v>
          </cell>
          <cell r="B956" t="str">
            <v>Sweden</v>
          </cell>
          <cell r="C956">
            <v>1998</v>
          </cell>
          <cell r="D956">
            <v>90</v>
          </cell>
          <cell r="E956">
            <v>1313</v>
          </cell>
          <cell r="F956">
            <v>90</v>
          </cell>
          <cell r="G956">
            <v>100670</v>
          </cell>
          <cell r="H956" t="str">
            <v>;;=SUM(F24:G24);</v>
          </cell>
          <cell r="I956" t="str">
            <v>.</v>
          </cell>
        </row>
        <row r="957">
          <cell r="A957">
            <v>752</v>
          </cell>
          <cell r="B957" t="str">
            <v>Sweden</v>
          </cell>
          <cell r="C957">
            <v>1998</v>
          </cell>
          <cell r="D957">
            <v>90</v>
          </cell>
          <cell r="E957">
            <v>1414</v>
          </cell>
          <cell r="F957">
            <v>90</v>
          </cell>
          <cell r="G957">
            <v>98497</v>
          </cell>
          <cell r="H957" t="str">
            <v>;;=SUM(F25:G25);</v>
          </cell>
          <cell r="I957" t="str">
            <v>.</v>
          </cell>
        </row>
        <row r="958">
          <cell r="A958">
            <v>752</v>
          </cell>
          <cell r="B958" t="str">
            <v>Sweden</v>
          </cell>
          <cell r="C958">
            <v>1998</v>
          </cell>
          <cell r="D958">
            <v>90</v>
          </cell>
          <cell r="E958">
            <v>1014</v>
          </cell>
          <cell r="F958">
            <v>90</v>
          </cell>
          <cell r="G958">
            <v>522416</v>
          </cell>
          <cell r="H958" t="str">
            <v>;;=SUM(F26:G26);</v>
          </cell>
          <cell r="I958" t="str">
            <v>.</v>
          </cell>
        </row>
        <row r="959">
          <cell r="A959">
            <v>752</v>
          </cell>
          <cell r="B959" t="str">
            <v>Sweden</v>
          </cell>
          <cell r="C959">
            <v>1998</v>
          </cell>
          <cell r="D959">
            <v>90</v>
          </cell>
          <cell r="E959">
            <v>1515</v>
          </cell>
          <cell r="F959">
            <v>90</v>
          </cell>
          <cell r="G959">
            <v>99418</v>
          </cell>
          <cell r="H959" t="str">
            <v>;;=SUM(F27:G27);</v>
          </cell>
          <cell r="I959" t="str">
            <v>.</v>
          </cell>
        </row>
        <row r="960">
          <cell r="A960">
            <v>752</v>
          </cell>
          <cell r="B960" t="str">
            <v>Sweden</v>
          </cell>
          <cell r="C960">
            <v>1998</v>
          </cell>
          <cell r="D960">
            <v>90</v>
          </cell>
          <cell r="E960">
            <v>1616</v>
          </cell>
          <cell r="F960">
            <v>90</v>
          </cell>
          <cell r="G960">
            <v>100006</v>
          </cell>
          <cell r="H960" t="str">
            <v>;;=SUM(F28:G28);</v>
          </cell>
          <cell r="I960" t="str">
            <v>.</v>
          </cell>
        </row>
        <row r="961">
          <cell r="A961">
            <v>752</v>
          </cell>
          <cell r="B961" t="str">
            <v>Sweden</v>
          </cell>
          <cell r="C961">
            <v>1998</v>
          </cell>
          <cell r="D961">
            <v>90</v>
          </cell>
          <cell r="E961">
            <v>1717</v>
          </cell>
          <cell r="F961">
            <v>90</v>
          </cell>
          <cell r="G961">
            <v>102950</v>
          </cell>
          <cell r="H961" t="str">
            <v>;;=SUM(F29:G29);</v>
          </cell>
          <cell r="I961" t="str">
            <v>.</v>
          </cell>
        </row>
        <row r="962">
          <cell r="A962">
            <v>752</v>
          </cell>
          <cell r="B962" t="str">
            <v>Sweden</v>
          </cell>
          <cell r="C962">
            <v>1998</v>
          </cell>
          <cell r="D962">
            <v>90</v>
          </cell>
          <cell r="E962">
            <v>1818</v>
          </cell>
          <cell r="F962">
            <v>90</v>
          </cell>
          <cell r="G962">
            <v>101661</v>
          </cell>
          <cell r="H962" t="str">
            <v>;;=SUM(F30:G30);</v>
          </cell>
          <cell r="I962" t="str">
            <v>.</v>
          </cell>
        </row>
        <row r="963">
          <cell r="A963">
            <v>752</v>
          </cell>
          <cell r="B963" t="str">
            <v>Sweden</v>
          </cell>
          <cell r="C963">
            <v>1998</v>
          </cell>
          <cell r="D963">
            <v>90</v>
          </cell>
          <cell r="E963">
            <v>1919</v>
          </cell>
          <cell r="F963">
            <v>90</v>
          </cell>
          <cell r="G963">
            <v>98590</v>
          </cell>
          <cell r="H963" t="str">
            <v>;;=SUM(F31:G31);</v>
          </cell>
          <cell r="I963" t="str">
            <v>.</v>
          </cell>
        </row>
        <row r="964">
          <cell r="A964">
            <v>752</v>
          </cell>
          <cell r="B964" t="str">
            <v>Sweden</v>
          </cell>
          <cell r="C964">
            <v>1998</v>
          </cell>
          <cell r="D964">
            <v>90</v>
          </cell>
          <cell r="E964">
            <v>1519</v>
          </cell>
          <cell r="F964">
            <v>90</v>
          </cell>
          <cell r="G964">
            <v>502625</v>
          </cell>
          <cell r="H964" t="str">
            <v>;;=SUM(F32:G32);</v>
          </cell>
          <cell r="I964" t="str">
            <v>.</v>
          </cell>
        </row>
        <row r="965">
          <cell r="A965">
            <v>752</v>
          </cell>
          <cell r="B965" t="str">
            <v>Sweden</v>
          </cell>
          <cell r="C965">
            <v>1998</v>
          </cell>
          <cell r="D965">
            <v>90</v>
          </cell>
          <cell r="E965">
            <v>2020</v>
          </cell>
          <cell r="F965">
            <v>90</v>
          </cell>
          <cell r="G965">
            <v>101627</v>
          </cell>
          <cell r="H965" t="str">
            <v>;;=SUM(F33:G33);</v>
          </cell>
          <cell r="I965" t="str">
            <v>.</v>
          </cell>
        </row>
        <row r="966">
          <cell r="A966">
            <v>752</v>
          </cell>
          <cell r="B966" t="str">
            <v>Sweden</v>
          </cell>
          <cell r="C966">
            <v>1998</v>
          </cell>
          <cell r="D966">
            <v>90</v>
          </cell>
          <cell r="E966">
            <v>2121</v>
          </cell>
          <cell r="F966">
            <v>90</v>
          </cell>
          <cell r="G966">
            <v>104501</v>
          </cell>
          <cell r="H966" t="str">
            <v>;;=SUM(F34:G34);</v>
          </cell>
          <cell r="I966" t="str">
            <v>.</v>
          </cell>
        </row>
        <row r="967">
          <cell r="A967">
            <v>752</v>
          </cell>
          <cell r="B967" t="str">
            <v>Sweden</v>
          </cell>
          <cell r="C967">
            <v>1998</v>
          </cell>
          <cell r="D967">
            <v>90</v>
          </cell>
          <cell r="E967">
            <v>2222</v>
          </cell>
          <cell r="F967">
            <v>90</v>
          </cell>
          <cell r="G967">
            <v>110221</v>
          </cell>
          <cell r="H967" t="str">
            <v>;;=SUM(F35:G35);</v>
          </cell>
          <cell r="I967" t="str">
            <v>.</v>
          </cell>
        </row>
        <row r="968">
          <cell r="A968">
            <v>752</v>
          </cell>
          <cell r="B968" t="str">
            <v>Sweden</v>
          </cell>
          <cell r="C968">
            <v>1998</v>
          </cell>
          <cell r="D968">
            <v>90</v>
          </cell>
          <cell r="E968">
            <v>2323</v>
          </cell>
          <cell r="F968">
            <v>90</v>
          </cell>
          <cell r="G968">
            <v>116730</v>
          </cell>
          <cell r="H968" t="str">
            <v>;;=SUM(F36:G36);</v>
          </cell>
          <cell r="I968" t="str">
            <v>.</v>
          </cell>
        </row>
        <row r="969">
          <cell r="A969">
            <v>752</v>
          </cell>
          <cell r="B969" t="str">
            <v>Sweden</v>
          </cell>
          <cell r="C969">
            <v>1998</v>
          </cell>
          <cell r="D969">
            <v>90</v>
          </cell>
          <cell r="E969">
            <v>2424</v>
          </cell>
          <cell r="F969">
            <v>90</v>
          </cell>
          <cell r="G969">
            <v>116383</v>
          </cell>
          <cell r="H969" t="str">
            <v>;;=SUM(F37:G37);</v>
          </cell>
          <cell r="I969" t="str">
            <v>.</v>
          </cell>
        </row>
        <row r="970">
          <cell r="A970">
            <v>752</v>
          </cell>
          <cell r="B970" t="str">
            <v>Sweden</v>
          </cell>
          <cell r="C970">
            <v>1998</v>
          </cell>
          <cell r="D970">
            <v>90</v>
          </cell>
          <cell r="E970">
            <v>2024</v>
          </cell>
          <cell r="F970">
            <v>90</v>
          </cell>
          <cell r="G970">
            <v>549462</v>
          </cell>
          <cell r="H970" t="str">
            <v>;;=SUM(F38:G38);</v>
          </cell>
          <cell r="I970" t="str">
            <v>.</v>
          </cell>
        </row>
        <row r="971">
          <cell r="A971">
            <v>752</v>
          </cell>
          <cell r="B971" t="str">
            <v>Sweden</v>
          </cell>
          <cell r="C971">
            <v>1998</v>
          </cell>
          <cell r="D971">
            <v>90</v>
          </cell>
          <cell r="E971">
            <v>2525</v>
          </cell>
          <cell r="F971">
            <v>90</v>
          </cell>
          <cell r="G971">
            <v>119247</v>
          </cell>
          <cell r="H971" t="str">
            <v>;;=SUM(F39:G39);</v>
          </cell>
          <cell r="I971" t="str">
            <v>.</v>
          </cell>
        </row>
        <row r="972">
          <cell r="A972">
            <v>752</v>
          </cell>
          <cell r="B972" t="str">
            <v>Sweden</v>
          </cell>
          <cell r="C972">
            <v>1998</v>
          </cell>
          <cell r="D972">
            <v>90</v>
          </cell>
          <cell r="E972">
            <v>2626</v>
          </cell>
          <cell r="F972">
            <v>90</v>
          </cell>
          <cell r="G972">
            <v>120789</v>
          </cell>
          <cell r="H972" t="str">
            <v>;;=SUM(F40:G40);</v>
          </cell>
          <cell r="I972" t="str">
            <v>.</v>
          </cell>
        </row>
        <row r="973">
          <cell r="A973">
            <v>752</v>
          </cell>
          <cell r="B973" t="str">
            <v>Sweden</v>
          </cell>
          <cell r="C973">
            <v>1998</v>
          </cell>
          <cell r="D973">
            <v>90</v>
          </cell>
          <cell r="E973">
            <v>2727</v>
          </cell>
          <cell r="F973">
            <v>90</v>
          </cell>
          <cell r="G973">
            <v>117501</v>
          </cell>
          <cell r="H973" t="str">
            <v>;;=SUM(F41:G41);</v>
          </cell>
          <cell r="I973" t="str">
            <v>.</v>
          </cell>
        </row>
        <row r="974">
          <cell r="A974">
            <v>752</v>
          </cell>
          <cell r="B974" t="str">
            <v>Sweden</v>
          </cell>
          <cell r="C974">
            <v>1998</v>
          </cell>
          <cell r="D974">
            <v>90</v>
          </cell>
          <cell r="E974">
            <v>2828</v>
          </cell>
          <cell r="F974">
            <v>90</v>
          </cell>
          <cell r="G974">
            <v>116970</v>
          </cell>
          <cell r="H974" t="str">
            <v>;;=SUM(F42:G42);</v>
          </cell>
          <cell r="I974" t="str">
            <v>.</v>
          </cell>
        </row>
        <row r="975">
          <cell r="A975">
            <v>752</v>
          </cell>
          <cell r="B975" t="str">
            <v>Sweden</v>
          </cell>
          <cell r="C975">
            <v>1998</v>
          </cell>
          <cell r="D975">
            <v>90</v>
          </cell>
          <cell r="E975">
            <v>2929</v>
          </cell>
          <cell r="F975">
            <v>90</v>
          </cell>
          <cell r="G975">
            <v>123485</v>
          </cell>
          <cell r="H975" t="str">
            <v>;;=SUM(F43:G43);</v>
          </cell>
          <cell r="I975" t="str">
            <v>.</v>
          </cell>
        </row>
        <row r="976">
          <cell r="A976">
            <v>752</v>
          </cell>
          <cell r="B976" t="str">
            <v>Sweden</v>
          </cell>
          <cell r="C976">
            <v>1998</v>
          </cell>
          <cell r="D976">
            <v>90</v>
          </cell>
          <cell r="E976">
            <v>2529</v>
          </cell>
          <cell r="F976">
            <v>90</v>
          </cell>
          <cell r="G976">
            <v>597992</v>
          </cell>
          <cell r="H976" t="str">
            <v>;;=SUM(F44:G44);</v>
          </cell>
          <cell r="I976" t="str">
            <v>.</v>
          </cell>
        </row>
        <row r="977">
          <cell r="A977">
            <v>752</v>
          </cell>
          <cell r="B977" t="str">
            <v>Sweden</v>
          </cell>
          <cell r="C977">
            <v>1998</v>
          </cell>
          <cell r="D977">
            <v>90</v>
          </cell>
          <cell r="E977">
            <v>3034</v>
          </cell>
          <cell r="F977">
            <v>90</v>
          </cell>
          <cell r="G977">
            <v>658337</v>
          </cell>
          <cell r="H977" t="str">
            <v>;;=SUM(F45:G45);</v>
          </cell>
          <cell r="I977" t="str">
            <v>.</v>
          </cell>
        </row>
        <row r="978">
          <cell r="A978">
            <v>752</v>
          </cell>
          <cell r="B978" t="str">
            <v>Sweden</v>
          </cell>
          <cell r="C978">
            <v>1998</v>
          </cell>
          <cell r="D978">
            <v>90</v>
          </cell>
          <cell r="E978">
            <v>3539</v>
          </cell>
          <cell r="F978">
            <v>90</v>
          </cell>
          <cell r="G978">
            <v>584485</v>
          </cell>
          <cell r="H978" t="str">
            <v>;;=SUM(F46:G46);</v>
          </cell>
          <cell r="I978" t="str">
            <v>.</v>
          </cell>
        </row>
        <row r="979">
          <cell r="A979">
            <v>752</v>
          </cell>
          <cell r="B979" t="str">
            <v>Sweden</v>
          </cell>
          <cell r="C979">
            <v>1998</v>
          </cell>
          <cell r="D979">
            <v>90</v>
          </cell>
          <cell r="E979">
            <v>4099</v>
          </cell>
          <cell r="F979">
            <v>90</v>
          </cell>
          <cell r="G979">
            <v>4300272</v>
          </cell>
          <cell r="H979" t="str">
            <v>;;=SUM(F47:G47);</v>
          </cell>
          <cell r="I979" t="str">
            <v>.</v>
          </cell>
        </row>
        <row r="980">
          <cell r="A980">
            <v>752</v>
          </cell>
          <cell r="B980" t="str">
            <v>Sweden</v>
          </cell>
          <cell r="C980">
            <v>1998</v>
          </cell>
          <cell r="D980">
            <v>90</v>
          </cell>
          <cell r="E980">
            <v>990000</v>
          </cell>
          <cell r="F980">
            <v>90</v>
          </cell>
          <cell r="G980">
            <v>0</v>
          </cell>
          <cell r="H980" t="str">
            <v>n;</v>
          </cell>
          <cell r="I980" t="str">
            <v>n</v>
          </cell>
        </row>
        <row r="981">
          <cell r="A981">
            <v>528</v>
          </cell>
          <cell r="B981" t="str">
            <v>Netherlands</v>
          </cell>
          <cell r="C981">
            <v>1998</v>
          </cell>
          <cell r="D981">
            <v>90</v>
          </cell>
          <cell r="E981">
            <v>1313</v>
          </cell>
          <cell r="F981">
            <v>90</v>
          </cell>
          <cell r="G981">
            <v>181681</v>
          </cell>
          <cell r="H981" t="str">
            <v>;;=SUM(F24:G24);</v>
          </cell>
          <cell r="I981" t="str">
            <v>.</v>
          </cell>
        </row>
        <row r="982">
          <cell r="A982">
            <v>528</v>
          </cell>
          <cell r="B982" t="str">
            <v>Netherlands</v>
          </cell>
          <cell r="C982">
            <v>1998</v>
          </cell>
          <cell r="D982">
            <v>90</v>
          </cell>
          <cell r="E982">
            <v>1414</v>
          </cell>
          <cell r="F982">
            <v>90</v>
          </cell>
          <cell r="G982">
            <v>177370</v>
          </cell>
          <cell r="H982" t="str">
            <v>;;=SUM(F25:G25);</v>
          </cell>
          <cell r="I982" t="str">
            <v>.</v>
          </cell>
        </row>
        <row r="983">
          <cell r="A983">
            <v>528</v>
          </cell>
          <cell r="B983" t="str">
            <v>Netherlands</v>
          </cell>
          <cell r="C983">
            <v>1998</v>
          </cell>
          <cell r="D983">
            <v>90</v>
          </cell>
          <cell r="E983">
            <v>1014</v>
          </cell>
          <cell r="F983">
            <v>90</v>
          </cell>
          <cell r="G983">
            <v>927453</v>
          </cell>
          <cell r="H983" t="str">
            <v>;;=SUM(F26:G26);</v>
          </cell>
          <cell r="I983" t="str">
            <v>.</v>
          </cell>
        </row>
        <row r="984">
          <cell r="A984">
            <v>528</v>
          </cell>
          <cell r="B984" t="str">
            <v>Netherlands</v>
          </cell>
          <cell r="C984">
            <v>1998</v>
          </cell>
          <cell r="D984">
            <v>90</v>
          </cell>
          <cell r="E984">
            <v>1515</v>
          </cell>
          <cell r="F984">
            <v>90</v>
          </cell>
          <cell r="G984">
            <v>179402</v>
          </cell>
          <cell r="H984" t="str">
            <v>;;=SUM(F27:G27);</v>
          </cell>
          <cell r="I984" t="str">
            <v>.</v>
          </cell>
        </row>
        <row r="985">
          <cell r="A985">
            <v>528</v>
          </cell>
          <cell r="B985" t="str">
            <v>Netherlands</v>
          </cell>
          <cell r="C985">
            <v>1998</v>
          </cell>
          <cell r="D985">
            <v>90</v>
          </cell>
          <cell r="E985">
            <v>1616</v>
          </cell>
          <cell r="F985">
            <v>90</v>
          </cell>
          <cell r="G985">
            <v>185892</v>
          </cell>
          <cell r="H985" t="str">
            <v>;;=SUM(F28:G28);</v>
          </cell>
          <cell r="I985" t="str">
            <v>.</v>
          </cell>
        </row>
        <row r="986">
          <cell r="A986">
            <v>528</v>
          </cell>
          <cell r="B986" t="str">
            <v>Netherlands</v>
          </cell>
          <cell r="C986">
            <v>1998</v>
          </cell>
          <cell r="D986">
            <v>90</v>
          </cell>
          <cell r="E986">
            <v>1717</v>
          </cell>
          <cell r="F986">
            <v>90</v>
          </cell>
          <cell r="G986">
            <v>189578</v>
          </cell>
          <cell r="H986" t="str">
            <v>;;=SUM(F29:G29);</v>
          </cell>
          <cell r="I986" t="str">
            <v>.</v>
          </cell>
        </row>
        <row r="987">
          <cell r="A987">
            <v>528</v>
          </cell>
          <cell r="B987" t="str">
            <v>Netherlands</v>
          </cell>
          <cell r="C987">
            <v>1998</v>
          </cell>
          <cell r="D987">
            <v>90</v>
          </cell>
          <cell r="E987">
            <v>1818</v>
          </cell>
          <cell r="F987">
            <v>90</v>
          </cell>
          <cell r="G987">
            <v>184621</v>
          </cell>
          <cell r="H987" t="str">
            <v>;;=SUM(F30:G30);</v>
          </cell>
          <cell r="I987" t="str">
            <v>.</v>
          </cell>
        </row>
        <row r="988">
          <cell r="A988">
            <v>528</v>
          </cell>
          <cell r="B988" t="str">
            <v>Netherlands</v>
          </cell>
          <cell r="C988">
            <v>1998</v>
          </cell>
          <cell r="D988">
            <v>90</v>
          </cell>
          <cell r="E988">
            <v>1919</v>
          </cell>
          <cell r="F988">
            <v>90</v>
          </cell>
          <cell r="G988">
            <v>186747</v>
          </cell>
          <cell r="H988" t="str">
            <v>;;=SUM(F31:G31);</v>
          </cell>
          <cell r="I988" t="str">
            <v>.</v>
          </cell>
        </row>
        <row r="989">
          <cell r="A989">
            <v>528</v>
          </cell>
          <cell r="B989" t="str">
            <v>Netherlands</v>
          </cell>
          <cell r="C989">
            <v>1998</v>
          </cell>
          <cell r="D989">
            <v>90</v>
          </cell>
          <cell r="E989">
            <v>1519</v>
          </cell>
          <cell r="F989">
            <v>90</v>
          </cell>
          <cell r="G989">
            <v>926240</v>
          </cell>
          <cell r="H989" t="str">
            <v>;;=SUM(F32:G32);</v>
          </cell>
          <cell r="I989" t="str">
            <v>.</v>
          </cell>
        </row>
        <row r="990">
          <cell r="A990">
            <v>528</v>
          </cell>
          <cell r="B990" t="str">
            <v>Netherlands</v>
          </cell>
          <cell r="C990">
            <v>1998</v>
          </cell>
          <cell r="D990">
            <v>90</v>
          </cell>
          <cell r="E990">
            <v>2020</v>
          </cell>
          <cell r="F990">
            <v>90</v>
          </cell>
          <cell r="G990">
            <v>185675</v>
          </cell>
          <cell r="H990" t="str">
            <v>;;=SUM(F33:G33);</v>
          </cell>
          <cell r="I990" t="str">
            <v>.</v>
          </cell>
        </row>
        <row r="991">
          <cell r="A991">
            <v>528</v>
          </cell>
          <cell r="B991" t="str">
            <v>Netherlands</v>
          </cell>
          <cell r="C991">
            <v>1998</v>
          </cell>
          <cell r="D991">
            <v>90</v>
          </cell>
          <cell r="E991">
            <v>2121</v>
          </cell>
          <cell r="F991">
            <v>90</v>
          </cell>
          <cell r="G991">
            <v>189590</v>
          </cell>
          <cell r="H991" t="str">
            <v>;;=SUM(F34:G34);</v>
          </cell>
          <cell r="I991" t="str">
            <v>.</v>
          </cell>
        </row>
        <row r="992">
          <cell r="A992">
            <v>528</v>
          </cell>
          <cell r="B992" t="str">
            <v>Netherlands</v>
          </cell>
          <cell r="C992">
            <v>1998</v>
          </cell>
          <cell r="D992">
            <v>90</v>
          </cell>
          <cell r="E992">
            <v>2222</v>
          </cell>
          <cell r="F992">
            <v>90</v>
          </cell>
          <cell r="G992">
            <v>192712</v>
          </cell>
          <cell r="H992" t="str">
            <v>;;=SUM(F35:G35);</v>
          </cell>
          <cell r="I992" t="str">
            <v>.</v>
          </cell>
        </row>
        <row r="993">
          <cell r="A993">
            <v>528</v>
          </cell>
          <cell r="B993" t="str">
            <v>Netherlands</v>
          </cell>
          <cell r="C993">
            <v>1998</v>
          </cell>
          <cell r="D993">
            <v>90</v>
          </cell>
          <cell r="E993">
            <v>2323</v>
          </cell>
          <cell r="F993">
            <v>90</v>
          </cell>
          <cell r="G993">
            <v>203801</v>
          </cell>
          <cell r="H993" t="str">
            <v>;;=SUM(F36:G36);</v>
          </cell>
          <cell r="I993" t="str">
            <v>.</v>
          </cell>
        </row>
        <row r="994">
          <cell r="A994">
            <v>528</v>
          </cell>
          <cell r="B994" t="str">
            <v>Netherlands</v>
          </cell>
          <cell r="C994">
            <v>1998</v>
          </cell>
          <cell r="D994">
            <v>90</v>
          </cell>
          <cell r="E994">
            <v>2424</v>
          </cell>
          <cell r="F994">
            <v>90</v>
          </cell>
          <cell r="G994">
            <v>213755</v>
          </cell>
          <cell r="H994" t="str">
            <v>;;=SUM(F37:G37);</v>
          </cell>
          <cell r="I994" t="str">
            <v>.</v>
          </cell>
        </row>
        <row r="995">
          <cell r="A995">
            <v>528</v>
          </cell>
          <cell r="B995" t="str">
            <v>Netherlands</v>
          </cell>
          <cell r="C995">
            <v>1998</v>
          </cell>
          <cell r="D995">
            <v>90</v>
          </cell>
          <cell r="E995">
            <v>2024</v>
          </cell>
          <cell r="F995">
            <v>90</v>
          </cell>
          <cell r="G995">
            <v>985533</v>
          </cell>
          <cell r="H995" t="str">
            <v>;;=SUM(F38:G38);</v>
          </cell>
          <cell r="I995" t="str">
            <v>.</v>
          </cell>
        </row>
        <row r="996">
          <cell r="A996">
            <v>528</v>
          </cell>
          <cell r="B996" t="str">
            <v>Netherlands</v>
          </cell>
          <cell r="C996">
            <v>1998</v>
          </cell>
          <cell r="D996">
            <v>90</v>
          </cell>
          <cell r="E996">
            <v>2525</v>
          </cell>
          <cell r="F996">
            <v>90</v>
          </cell>
          <cell r="G996">
            <v>234662</v>
          </cell>
          <cell r="H996" t="str">
            <v>;;=SUM(F39:G39);</v>
          </cell>
          <cell r="I996" t="str">
            <v>.</v>
          </cell>
        </row>
        <row r="997">
          <cell r="A997">
            <v>528</v>
          </cell>
          <cell r="B997" t="str">
            <v>Netherlands</v>
          </cell>
          <cell r="C997">
            <v>1998</v>
          </cell>
          <cell r="D997">
            <v>90</v>
          </cell>
          <cell r="E997">
            <v>2626</v>
          </cell>
          <cell r="F997">
            <v>90</v>
          </cell>
          <cell r="G997">
            <v>248371</v>
          </cell>
          <cell r="H997" t="str">
            <v>;;=SUM(F40:G40);</v>
          </cell>
          <cell r="I997" t="str">
            <v>.</v>
          </cell>
        </row>
        <row r="998">
          <cell r="A998">
            <v>528</v>
          </cell>
          <cell r="B998" t="str">
            <v>Netherlands</v>
          </cell>
          <cell r="C998">
            <v>1998</v>
          </cell>
          <cell r="D998">
            <v>90</v>
          </cell>
          <cell r="E998">
            <v>2727</v>
          </cell>
          <cell r="F998">
            <v>90</v>
          </cell>
          <cell r="G998">
            <v>261013</v>
          </cell>
          <cell r="H998" t="str">
            <v>;;=SUM(F41:G41);</v>
          </cell>
          <cell r="I998" t="str">
            <v>.</v>
          </cell>
        </row>
        <row r="999">
          <cell r="A999">
            <v>528</v>
          </cell>
          <cell r="B999" t="str">
            <v>Netherlands</v>
          </cell>
          <cell r="C999">
            <v>1998</v>
          </cell>
          <cell r="D999">
            <v>90</v>
          </cell>
          <cell r="E999">
            <v>2828</v>
          </cell>
          <cell r="F999">
            <v>90</v>
          </cell>
          <cell r="G999">
            <v>269265</v>
          </cell>
          <cell r="H999" t="str">
            <v>;;=SUM(F42:G42);</v>
          </cell>
          <cell r="I999" t="str">
            <v>.</v>
          </cell>
        </row>
        <row r="1000">
          <cell r="A1000">
            <v>528</v>
          </cell>
          <cell r="B1000" t="str">
            <v>Netherlands</v>
          </cell>
          <cell r="C1000">
            <v>1998</v>
          </cell>
          <cell r="D1000">
            <v>90</v>
          </cell>
          <cell r="E1000">
            <v>2929</v>
          </cell>
          <cell r="F1000">
            <v>90</v>
          </cell>
          <cell r="G1000">
            <v>258183</v>
          </cell>
          <cell r="H1000" t="str">
            <v>;;=SUM(F43:G43);</v>
          </cell>
          <cell r="I1000" t="str">
            <v>.</v>
          </cell>
        </row>
        <row r="1001">
          <cell r="A1001">
            <v>528</v>
          </cell>
          <cell r="B1001" t="str">
            <v>Netherlands</v>
          </cell>
          <cell r="C1001">
            <v>1998</v>
          </cell>
          <cell r="D1001">
            <v>90</v>
          </cell>
          <cell r="E1001">
            <v>2529</v>
          </cell>
          <cell r="F1001">
            <v>90</v>
          </cell>
          <cell r="G1001">
            <v>1271494</v>
          </cell>
          <cell r="H1001" t="str">
            <v>;;=SUM(F44:G44);</v>
          </cell>
          <cell r="I1001" t="str">
            <v>.</v>
          </cell>
        </row>
        <row r="1002">
          <cell r="A1002">
            <v>528</v>
          </cell>
          <cell r="B1002" t="str">
            <v>Netherlands</v>
          </cell>
          <cell r="C1002">
            <v>1998</v>
          </cell>
          <cell r="D1002">
            <v>90</v>
          </cell>
          <cell r="E1002">
            <v>3034</v>
          </cell>
          <cell r="F1002">
            <v>90</v>
          </cell>
          <cell r="G1002">
            <v>1316203</v>
          </cell>
          <cell r="H1002" t="str">
            <v>;;=SUM(F45:G45);</v>
          </cell>
          <cell r="I1002" t="str">
            <v>.</v>
          </cell>
        </row>
        <row r="1003">
          <cell r="A1003">
            <v>528</v>
          </cell>
          <cell r="B1003" t="str">
            <v>Netherlands</v>
          </cell>
          <cell r="C1003">
            <v>1998</v>
          </cell>
          <cell r="D1003">
            <v>90</v>
          </cell>
          <cell r="E1003">
            <v>3539</v>
          </cell>
          <cell r="F1003">
            <v>90</v>
          </cell>
          <cell r="G1003">
            <v>1275395</v>
          </cell>
          <cell r="H1003" t="str">
            <v>;;=SUM(F46:G46);</v>
          </cell>
          <cell r="I1003" t="str">
            <v>.</v>
          </cell>
        </row>
        <row r="1004">
          <cell r="A1004">
            <v>528</v>
          </cell>
          <cell r="B1004" t="str">
            <v>Netherlands</v>
          </cell>
          <cell r="C1004">
            <v>1998</v>
          </cell>
          <cell r="D1004">
            <v>90</v>
          </cell>
          <cell r="E1004">
            <v>4099</v>
          </cell>
          <cell r="F1004">
            <v>90</v>
          </cell>
          <cell r="G1004">
            <v>3383804</v>
          </cell>
          <cell r="H1004"/>
          <cell r="I1004" t="str">
            <v>.</v>
          </cell>
        </row>
        <row r="1005">
          <cell r="A1005">
            <v>528</v>
          </cell>
          <cell r="B1005" t="str">
            <v>Netherlands</v>
          </cell>
          <cell r="C1005">
            <v>1998</v>
          </cell>
          <cell r="D1005">
            <v>90</v>
          </cell>
          <cell r="E1005">
            <v>990000</v>
          </cell>
          <cell r="F1005">
            <v>90</v>
          </cell>
          <cell r="G1005">
            <v>0</v>
          </cell>
          <cell r="H1005" t="str">
            <v>n;</v>
          </cell>
          <cell r="I1005" t="str">
            <v>n</v>
          </cell>
        </row>
        <row r="1006">
          <cell r="A1006">
            <v>250</v>
          </cell>
          <cell r="B1006" t="str">
            <v>France</v>
          </cell>
          <cell r="C1006">
            <v>1998</v>
          </cell>
          <cell r="D1006">
            <v>90</v>
          </cell>
          <cell r="E1006">
            <v>900000</v>
          </cell>
          <cell r="F1006">
            <v>90</v>
          </cell>
          <cell r="G1006">
            <v>58722571</v>
          </cell>
          <cell r="H1006" t="str">
            <v>;;=SUM(F11:G11);</v>
          </cell>
          <cell r="I1006" t="str">
            <v>.</v>
          </cell>
        </row>
        <row r="1007">
          <cell r="A1007">
            <v>250</v>
          </cell>
          <cell r="B1007" t="str">
            <v>France</v>
          </cell>
          <cell r="C1007">
            <v>1998</v>
          </cell>
          <cell r="D1007">
            <v>90</v>
          </cell>
          <cell r="E1007">
            <v>300</v>
          </cell>
          <cell r="F1007">
            <v>90</v>
          </cell>
          <cell r="G1007">
            <v>2153674</v>
          </cell>
          <cell r="H1007" t="str">
            <v>;;=SUM(F12:G12);</v>
          </cell>
          <cell r="I1007" t="str">
            <v>.</v>
          </cell>
        </row>
        <row r="1008">
          <cell r="A1008">
            <v>250</v>
          </cell>
          <cell r="B1008" t="str">
            <v>France</v>
          </cell>
          <cell r="C1008">
            <v>1998</v>
          </cell>
          <cell r="D1008">
            <v>90</v>
          </cell>
          <cell r="E1008">
            <v>303</v>
          </cell>
          <cell r="F1008">
            <v>90</v>
          </cell>
          <cell r="G1008">
            <v>700478</v>
          </cell>
          <cell r="H1008" t="str">
            <v>;;=SUM(F13:G13);</v>
          </cell>
          <cell r="I1008" t="str">
            <v>.</v>
          </cell>
        </row>
        <row r="1009">
          <cell r="A1009">
            <v>208</v>
          </cell>
          <cell r="B1009" t="str">
            <v>Denmark</v>
          </cell>
          <cell r="C1009">
            <v>1998</v>
          </cell>
          <cell r="D1009">
            <v>90</v>
          </cell>
          <cell r="E1009">
            <v>900000</v>
          </cell>
          <cell r="F1009">
            <v>90</v>
          </cell>
          <cell r="G1009">
            <v>5294860</v>
          </cell>
          <cell r="H1009" t="str">
            <v>;;=SUM(F11:G11);</v>
          </cell>
          <cell r="I1009" t="str">
            <v>.</v>
          </cell>
        </row>
        <row r="1010">
          <cell r="A1010">
            <v>208</v>
          </cell>
          <cell r="B1010" t="str">
            <v>Denmark</v>
          </cell>
          <cell r="C1010">
            <v>1998</v>
          </cell>
          <cell r="D1010">
            <v>90</v>
          </cell>
          <cell r="E1010">
            <v>300</v>
          </cell>
          <cell r="F1010">
            <v>90</v>
          </cell>
          <cell r="G1010">
            <v>206606</v>
          </cell>
          <cell r="H1010" t="str">
            <v>;;=SUM(F12:G12);</v>
          </cell>
          <cell r="I1010" t="str">
            <v>.</v>
          </cell>
        </row>
        <row r="1011">
          <cell r="A1011">
            <v>208</v>
          </cell>
          <cell r="B1011" t="str">
            <v>Denmark</v>
          </cell>
          <cell r="C1011">
            <v>1998</v>
          </cell>
          <cell r="D1011">
            <v>90</v>
          </cell>
          <cell r="E1011">
            <v>303</v>
          </cell>
          <cell r="F1011">
            <v>90</v>
          </cell>
          <cell r="G1011">
            <v>71000</v>
          </cell>
          <cell r="H1011" t="str">
            <v>;;=SUM(F13:G13);</v>
          </cell>
          <cell r="I1011" t="str">
            <v>.</v>
          </cell>
        </row>
        <row r="1012">
          <cell r="A1012">
            <v>208</v>
          </cell>
          <cell r="B1012" t="str">
            <v>Denmark</v>
          </cell>
          <cell r="C1012">
            <v>1998</v>
          </cell>
          <cell r="D1012">
            <v>90</v>
          </cell>
          <cell r="E1012">
            <v>404</v>
          </cell>
          <cell r="F1012">
            <v>90</v>
          </cell>
          <cell r="G1012">
            <v>68686</v>
          </cell>
          <cell r="H1012" t="str">
            <v>;;=SUM(F14:G14);</v>
          </cell>
          <cell r="I1012" t="str">
            <v>.</v>
          </cell>
        </row>
        <row r="1013">
          <cell r="A1013">
            <v>208</v>
          </cell>
          <cell r="B1013" t="str">
            <v>Denmark</v>
          </cell>
          <cell r="C1013">
            <v>1998</v>
          </cell>
          <cell r="D1013">
            <v>90</v>
          </cell>
          <cell r="E1013">
            <v>505</v>
          </cell>
          <cell r="F1013">
            <v>90</v>
          </cell>
          <cell r="G1013">
            <v>69281</v>
          </cell>
          <cell r="H1013" t="str">
            <v>;;=SUM(F15:G15);</v>
          </cell>
          <cell r="I1013" t="str">
            <v>.</v>
          </cell>
        </row>
        <row r="1014">
          <cell r="A1014">
            <v>208</v>
          </cell>
          <cell r="B1014" t="str">
            <v>Denmark</v>
          </cell>
          <cell r="C1014">
            <v>1998</v>
          </cell>
          <cell r="D1014">
            <v>90</v>
          </cell>
          <cell r="E1014">
            <v>606</v>
          </cell>
          <cell r="F1014">
            <v>90</v>
          </cell>
          <cell r="G1014">
            <v>66139</v>
          </cell>
          <cell r="H1014" t="str">
            <v>;;=SUM(F16:G16);</v>
          </cell>
          <cell r="I1014" t="str">
            <v>.</v>
          </cell>
        </row>
        <row r="1015">
          <cell r="A1015">
            <v>208</v>
          </cell>
          <cell r="B1015" t="str">
            <v>Denmark</v>
          </cell>
          <cell r="C1015">
            <v>1998</v>
          </cell>
          <cell r="D1015">
            <v>90</v>
          </cell>
          <cell r="E1015">
            <v>707</v>
          </cell>
          <cell r="F1015">
            <v>90</v>
          </cell>
          <cell r="G1015">
            <v>65440</v>
          </cell>
          <cell r="H1015" t="str">
            <v>;;=SUM(F17:G17);</v>
          </cell>
          <cell r="I1015" t="str">
            <v>.</v>
          </cell>
        </row>
        <row r="1016">
          <cell r="A1016">
            <v>208</v>
          </cell>
          <cell r="B1016" t="str">
            <v>Denmark</v>
          </cell>
          <cell r="C1016">
            <v>1998</v>
          </cell>
          <cell r="D1016">
            <v>90</v>
          </cell>
          <cell r="E1016">
            <v>808</v>
          </cell>
          <cell r="F1016">
            <v>90</v>
          </cell>
          <cell r="G1016">
            <v>63407</v>
          </cell>
          <cell r="H1016" t="str">
            <v>;;=SUM(F18:G18);</v>
          </cell>
          <cell r="I1016" t="str">
            <v>.</v>
          </cell>
        </row>
        <row r="1017">
          <cell r="A1017">
            <v>208</v>
          </cell>
          <cell r="B1017" t="str">
            <v>Denmark</v>
          </cell>
          <cell r="C1017">
            <v>1998</v>
          </cell>
          <cell r="D1017">
            <v>90</v>
          </cell>
          <cell r="E1017">
            <v>909</v>
          </cell>
          <cell r="F1017">
            <v>90</v>
          </cell>
          <cell r="G1017">
            <v>61050</v>
          </cell>
          <cell r="H1017" t="str">
            <v>;;=SUM(F19:G19);</v>
          </cell>
          <cell r="I1017" t="str">
            <v>.</v>
          </cell>
        </row>
        <row r="1018">
          <cell r="A1018">
            <v>208</v>
          </cell>
          <cell r="B1018" t="str">
            <v>Denmark</v>
          </cell>
          <cell r="C1018">
            <v>1998</v>
          </cell>
          <cell r="D1018">
            <v>90</v>
          </cell>
          <cell r="E1018">
            <v>509</v>
          </cell>
          <cell r="F1018">
            <v>90</v>
          </cell>
          <cell r="G1018">
            <v>325317</v>
          </cell>
          <cell r="H1018" t="str">
            <v>;;=SUM(F20:G20);</v>
          </cell>
          <cell r="I1018" t="str">
            <v>.</v>
          </cell>
        </row>
        <row r="1019">
          <cell r="A1019">
            <v>208</v>
          </cell>
          <cell r="B1019" t="str">
            <v>Denmark</v>
          </cell>
          <cell r="C1019">
            <v>1998</v>
          </cell>
          <cell r="D1019">
            <v>90</v>
          </cell>
          <cell r="E1019">
            <v>1010</v>
          </cell>
          <cell r="F1019">
            <v>90</v>
          </cell>
          <cell r="G1019">
            <v>58400</v>
          </cell>
          <cell r="H1019" t="str">
            <v>;;=SUM(F21:G21);</v>
          </cell>
          <cell r="I1019" t="str">
            <v>.</v>
          </cell>
        </row>
        <row r="1020">
          <cell r="A1020">
            <v>208</v>
          </cell>
          <cell r="B1020" t="str">
            <v>Denmark</v>
          </cell>
          <cell r="C1020">
            <v>1998</v>
          </cell>
          <cell r="D1020">
            <v>90</v>
          </cell>
          <cell r="E1020">
            <v>1111</v>
          </cell>
          <cell r="F1020">
            <v>90</v>
          </cell>
          <cell r="G1020">
            <v>57811</v>
          </cell>
          <cell r="H1020" t="str">
            <v>;;=SUM(F22:G22);</v>
          </cell>
          <cell r="I1020" t="str">
            <v>.</v>
          </cell>
        </row>
        <row r="1021">
          <cell r="A1021">
            <v>208</v>
          </cell>
          <cell r="B1021" t="str">
            <v>Denmark</v>
          </cell>
          <cell r="C1021">
            <v>1998</v>
          </cell>
          <cell r="D1021">
            <v>90</v>
          </cell>
          <cell r="E1021">
            <v>1212</v>
          </cell>
          <cell r="F1021">
            <v>90</v>
          </cell>
          <cell r="G1021">
            <v>56437</v>
          </cell>
          <cell r="H1021" t="str">
            <v>;;=SUM(F23:G23);</v>
          </cell>
          <cell r="I1021" t="str">
            <v>.</v>
          </cell>
        </row>
        <row r="1022">
          <cell r="A1022">
            <v>208</v>
          </cell>
          <cell r="B1022" t="str">
            <v>Denmark</v>
          </cell>
          <cell r="C1022">
            <v>1998</v>
          </cell>
          <cell r="D1022">
            <v>90</v>
          </cell>
          <cell r="E1022">
            <v>1313</v>
          </cell>
          <cell r="F1022">
            <v>90</v>
          </cell>
          <cell r="G1022">
            <v>54494</v>
          </cell>
          <cell r="H1022" t="str">
            <v>;;=SUM(F24:G24);</v>
          </cell>
          <cell r="I1022" t="str">
            <v>.</v>
          </cell>
        </row>
        <row r="1023">
          <cell r="A1023">
            <v>208</v>
          </cell>
          <cell r="B1023" t="str">
            <v>Denmark</v>
          </cell>
          <cell r="C1023">
            <v>1998</v>
          </cell>
          <cell r="D1023">
            <v>90</v>
          </cell>
          <cell r="E1023">
            <v>1414</v>
          </cell>
          <cell r="F1023">
            <v>90</v>
          </cell>
          <cell r="G1023">
            <v>53437</v>
          </cell>
          <cell r="H1023" t="str">
            <v>;;=SUM(F25:G25);</v>
          </cell>
          <cell r="I1023" t="str">
            <v>.</v>
          </cell>
        </row>
        <row r="1024">
          <cell r="A1024">
            <v>208</v>
          </cell>
          <cell r="B1024" t="str">
            <v>Denmark</v>
          </cell>
          <cell r="C1024">
            <v>1998</v>
          </cell>
          <cell r="D1024">
            <v>90</v>
          </cell>
          <cell r="E1024">
            <v>1014</v>
          </cell>
          <cell r="F1024">
            <v>90</v>
          </cell>
          <cell r="G1024">
            <v>280579</v>
          </cell>
          <cell r="H1024" t="str">
            <v>;;=SUM(F26:G26);</v>
          </cell>
          <cell r="I1024" t="str">
            <v>.</v>
          </cell>
        </row>
        <row r="1025">
          <cell r="A1025">
            <v>208</v>
          </cell>
          <cell r="B1025" t="str">
            <v>Denmark</v>
          </cell>
          <cell r="C1025">
            <v>1998</v>
          </cell>
          <cell r="D1025">
            <v>90</v>
          </cell>
          <cell r="E1025">
            <v>1515</v>
          </cell>
          <cell r="F1025">
            <v>90</v>
          </cell>
          <cell r="G1025">
            <v>55325</v>
          </cell>
          <cell r="H1025" t="str">
            <v>;;=SUM(F27:G27);</v>
          </cell>
          <cell r="I1025" t="str">
            <v>.</v>
          </cell>
        </row>
        <row r="1026">
          <cell r="A1026">
            <v>208</v>
          </cell>
          <cell r="B1026" t="str">
            <v>Denmark</v>
          </cell>
          <cell r="C1026">
            <v>1998</v>
          </cell>
          <cell r="D1026">
            <v>90</v>
          </cell>
          <cell r="E1026">
            <v>1616</v>
          </cell>
          <cell r="F1026">
            <v>90</v>
          </cell>
          <cell r="G1026">
            <v>55628</v>
          </cell>
          <cell r="H1026" t="str">
            <v>;;=SUM(F28:G28);</v>
          </cell>
          <cell r="I1026" t="str">
            <v>.</v>
          </cell>
        </row>
        <row r="1027">
          <cell r="A1027">
            <v>208</v>
          </cell>
          <cell r="B1027" t="str">
            <v>Denmark</v>
          </cell>
          <cell r="C1027">
            <v>1998</v>
          </cell>
          <cell r="D1027">
            <v>90</v>
          </cell>
          <cell r="E1027">
            <v>1717</v>
          </cell>
          <cell r="F1027">
            <v>90</v>
          </cell>
          <cell r="G1027">
            <v>60017</v>
          </cell>
          <cell r="H1027" t="str">
            <v>;;=SUM(F29:G29);</v>
          </cell>
          <cell r="I1027" t="str">
            <v>.</v>
          </cell>
        </row>
        <row r="1028">
          <cell r="A1028">
            <v>208</v>
          </cell>
          <cell r="B1028" t="str">
            <v>Denmark</v>
          </cell>
          <cell r="C1028">
            <v>1998</v>
          </cell>
          <cell r="D1028">
            <v>90</v>
          </cell>
          <cell r="E1028">
            <v>1818</v>
          </cell>
          <cell r="F1028">
            <v>90</v>
          </cell>
          <cell r="G1028">
            <v>62015</v>
          </cell>
          <cell r="H1028" t="str">
            <v>;;=SUM(F30:G30);</v>
          </cell>
          <cell r="I1028" t="str">
            <v>.</v>
          </cell>
        </row>
        <row r="1029">
          <cell r="A1029">
            <v>208</v>
          </cell>
          <cell r="B1029" t="str">
            <v>Denmark</v>
          </cell>
          <cell r="C1029">
            <v>1998</v>
          </cell>
          <cell r="D1029">
            <v>90</v>
          </cell>
          <cell r="E1029">
            <v>1919</v>
          </cell>
          <cell r="F1029">
            <v>90</v>
          </cell>
          <cell r="G1029">
            <v>64472</v>
          </cell>
          <cell r="H1029" t="str">
            <v>;;=SUM(F31:G31);</v>
          </cell>
          <cell r="I1029" t="str">
            <v>.</v>
          </cell>
        </row>
        <row r="1030">
          <cell r="A1030">
            <v>208</v>
          </cell>
          <cell r="B1030" t="str">
            <v>Denmark</v>
          </cell>
          <cell r="C1030">
            <v>1998</v>
          </cell>
          <cell r="D1030">
            <v>90</v>
          </cell>
          <cell r="E1030">
            <v>1519</v>
          </cell>
          <cell r="F1030">
            <v>90</v>
          </cell>
          <cell r="G1030">
            <v>297457</v>
          </cell>
          <cell r="H1030" t="str">
            <v>;;=SUM(F32:G32);</v>
          </cell>
          <cell r="I1030" t="str">
            <v>.</v>
          </cell>
        </row>
        <row r="1031">
          <cell r="A1031">
            <v>208</v>
          </cell>
          <cell r="B1031" t="str">
            <v>Denmark</v>
          </cell>
          <cell r="C1031">
            <v>1998</v>
          </cell>
          <cell r="D1031">
            <v>90</v>
          </cell>
          <cell r="E1031">
            <v>2020</v>
          </cell>
          <cell r="F1031">
            <v>90</v>
          </cell>
          <cell r="G1031">
            <v>64599</v>
          </cell>
          <cell r="H1031" t="str">
            <v>;;=SUM(F33:G33);</v>
          </cell>
          <cell r="I1031" t="str">
            <v>.</v>
          </cell>
        </row>
        <row r="1032">
          <cell r="A1032">
            <v>208</v>
          </cell>
          <cell r="B1032" t="str">
            <v>Denmark</v>
          </cell>
          <cell r="C1032">
            <v>1998</v>
          </cell>
          <cell r="D1032">
            <v>90</v>
          </cell>
          <cell r="E1032">
            <v>2121</v>
          </cell>
          <cell r="F1032">
            <v>90</v>
          </cell>
          <cell r="G1032">
            <v>68402</v>
          </cell>
          <cell r="H1032" t="str">
            <v>;;=SUM(F34:G34);</v>
          </cell>
          <cell r="I1032" t="str">
            <v>.</v>
          </cell>
        </row>
        <row r="1033">
          <cell r="A1033">
            <v>208</v>
          </cell>
          <cell r="B1033" t="str">
            <v>Denmark</v>
          </cell>
          <cell r="C1033">
            <v>1998</v>
          </cell>
          <cell r="D1033">
            <v>90</v>
          </cell>
          <cell r="E1033">
            <v>2222</v>
          </cell>
          <cell r="F1033">
            <v>90</v>
          </cell>
          <cell r="G1033">
            <v>75239</v>
          </cell>
          <cell r="H1033" t="str">
            <v>;;=SUM(F35:G35);</v>
          </cell>
          <cell r="I1033" t="str">
            <v>.</v>
          </cell>
        </row>
        <row r="1034">
          <cell r="A1034">
            <v>208</v>
          </cell>
          <cell r="B1034" t="str">
            <v>Denmark</v>
          </cell>
          <cell r="C1034">
            <v>1998</v>
          </cell>
          <cell r="D1034">
            <v>90</v>
          </cell>
          <cell r="E1034">
            <v>2323</v>
          </cell>
          <cell r="F1034">
            <v>90</v>
          </cell>
          <cell r="G1034">
            <v>74748</v>
          </cell>
          <cell r="H1034" t="str">
            <v>;;=SUM(F36:G36);</v>
          </cell>
          <cell r="I1034" t="str">
            <v>.</v>
          </cell>
        </row>
        <row r="1035">
          <cell r="A1035">
            <v>208</v>
          </cell>
          <cell r="B1035" t="str">
            <v>Denmark</v>
          </cell>
          <cell r="C1035">
            <v>1998</v>
          </cell>
          <cell r="D1035">
            <v>90</v>
          </cell>
          <cell r="E1035">
            <v>2424</v>
          </cell>
          <cell r="F1035">
            <v>90</v>
          </cell>
          <cell r="G1035">
            <v>74932</v>
          </cell>
          <cell r="H1035" t="str">
            <v>;;=SUM(F37:G37);</v>
          </cell>
          <cell r="I1035" t="str">
            <v>.</v>
          </cell>
        </row>
        <row r="1036">
          <cell r="A1036">
            <v>208</v>
          </cell>
          <cell r="B1036" t="str">
            <v>Denmark</v>
          </cell>
          <cell r="C1036">
            <v>1998</v>
          </cell>
          <cell r="D1036">
            <v>90</v>
          </cell>
          <cell r="E1036">
            <v>2024</v>
          </cell>
          <cell r="F1036">
            <v>90</v>
          </cell>
          <cell r="G1036">
            <v>357920</v>
          </cell>
          <cell r="H1036" t="str">
            <v>;;=SUM(F38:G38);</v>
          </cell>
          <cell r="I1036" t="str">
            <v>.</v>
          </cell>
        </row>
        <row r="1037">
          <cell r="A1037">
            <v>208</v>
          </cell>
          <cell r="B1037" t="str">
            <v>Denmark</v>
          </cell>
          <cell r="C1037">
            <v>1998</v>
          </cell>
          <cell r="D1037">
            <v>90</v>
          </cell>
          <cell r="E1037">
            <v>2525</v>
          </cell>
          <cell r="F1037">
            <v>90</v>
          </cell>
          <cell r="G1037">
            <v>78732</v>
          </cell>
          <cell r="H1037" t="str">
            <v>;;=SUM(F39:G39);</v>
          </cell>
          <cell r="I1037" t="str">
            <v>.</v>
          </cell>
        </row>
        <row r="1038">
          <cell r="A1038">
            <v>208</v>
          </cell>
          <cell r="B1038" t="str">
            <v>Denmark</v>
          </cell>
          <cell r="C1038">
            <v>1998</v>
          </cell>
          <cell r="D1038">
            <v>90</v>
          </cell>
          <cell r="E1038">
            <v>2626</v>
          </cell>
          <cell r="F1038">
            <v>90</v>
          </cell>
          <cell r="G1038">
            <v>78240</v>
          </cell>
          <cell r="H1038" t="str">
            <v>;;=SUM(F40:G40);</v>
          </cell>
          <cell r="I1038" t="str">
            <v>.</v>
          </cell>
        </row>
        <row r="1039">
          <cell r="A1039">
            <v>208</v>
          </cell>
          <cell r="B1039" t="str">
            <v>Denmark</v>
          </cell>
          <cell r="C1039">
            <v>1998</v>
          </cell>
          <cell r="D1039">
            <v>90</v>
          </cell>
          <cell r="E1039">
            <v>2727</v>
          </cell>
          <cell r="F1039">
            <v>90</v>
          </cell>
          <cell r="G1039">
            <v>74876</v>
          </cell>
          <cell r="H1039" t="str">
            <v>;;=SUM(F41:G41);</v>
          </cell>
          <cell r="I1039" t="str">
            <v>.</v>
          </cell>
        </row>
        <row r="1040">
          <cell r="A1040">
            <v>208</v>
          </cell>
          <cell r="B1040" t="str">
            <v>Denmark</v>
          </cell>
          <cell r="C1040">
            <v>1998</v>
          </cell>
          <cell r="D1040">
            <v>90</v>
          </cell>
          <cell r="E1040">
            <v>2828</v>
          </cell>
          <cell r="F1040">
            <v>90</v>
          </cell>
          <cell r="G1040">
            <v>74784</v>
          </cell>
          <cell r="H1040" t="str">
            <v>;;=SUM(F42:G42);</v>
          </cell>
          <cell r="I1040" t="str">
            <v>.</v>
          </cell>
        </row>
        <row r="1041">
          <cell r="A1041">
            <v>208</v>
          </cell>
          <cell r="B1041" t="str">
            <v>Denmark</v>
          </cell>
          <cell r="C1041">
            <v>1998</v>
          </cell>
          <cell r="D1041">
            <v>90</v>
          </cell>
          <cell r="E1041">
            <v>2929</v>
          </cell>
          <cell r="F1041">
            <v>90</v>
          </cell>
          <cell r="G1041">
            <v>77765</v>
          </cell>
          <cell r="H1041" t="str">
            <v>;;=SUM(F43:G43);</v>
          </cell>
          <cell r="I1041" t="str">
            <v>.</v>
          </cell>
        </row>
        <row r="1042">
          <cell r="A1042">
            <v>208</v>
          </cell>
          <cell r="B1042" t="str">
            <v>Denmark</v>
          </cell>
          <cell r="C1042">
            <v>1998</v>
          </cell>
          <cell r="D1042">
            <v>90</v>
          </cell>
          <cell r="E1042">
            <v>2529</v>
          </cell>
          <cell r="F1042">
            <v>90</v>
          </cell>
          <cell r="G1042">
            <v>384397</v>
          </cell>
          <cell r="H1042" t="str">
            <v>;;=SUM(F44:G44);</v>
          </cell>
          <cell r="I1042" t="str">
            <v>.</v>
          </cell>
        </row>
        <row r="1043">
          <cell r="A1043">
            <v>208</v>
          </cell>
          <cell r="B1043" t="str">
            <v>Denmark</v>
          </cell>
          <cell r="C1043">
            <v>1998</v>
          </cell>
          <cell r="D1043">
            <v>90</v>
          </cell>
          <cell r="E1043">
            <v>3034</v>
          </cell>
          <cell r="F1043">
            <v>90</v>
          </cell>
          <cell r="G1043">
            <v>429897</v>
          </cell>
          <cell r="H1043" t="str">
            <v>;;=SUM(F45:G45);</v>
          </cell>
          <cell r="I1043" t="str">
            <v>.</v>
          </cell>
        </row>
        <row r="1044">
          <cell r="A1044">
            <v>208</v>
          </cell>
          <cell r="B1044" t="str">
            <v>Denmark</v>
          </cell>
          <cell r="C1044">
            <v>1998</v>
          </cell>
          <cell r="D1044">
            <v>90</v>
          </cell>
          <cell r="E1044">
            <v>3539</v>
          </cell>
          <cell r="F1044">
            <v>90</v>
          </cell>
          <cell r="G1044">
            <v>383552</v>
          </cell>
          <cell r="H1044" t="str">
            <v>;;=SUM(F46:G46);</v>
          </cell>
          <cell r="I1044" t="str">
            <v>.</v>
          </cell>
        </row>
        <row r="1045">
          <cell r="A1045">
            <v>208</v>
          </cell>
          <cell r="B1045" t="str">
            <v>Denmark</v>
          </cell>
          <cell r="C1045">
            <v>1998</v>
          </cell>
          <cell r="D1045">
            <v>90</v>
          </cell>
          <cell r="E1045">
            <v>4099</v>
          </cell>
          <cell r="F1045">
            <v>90</v>
          </cell>
          <cell r="G1045">
            <v>2489449</v>
          </cell>
          <cell r="H1045" t="str">
            <v>;;=SUM(F47:G47);</v>
          </cell>
          <cell r="I1045" t="str">
            <v>.</v>
          </cell>
        </row>
        <row r="1046">
          <cell r="A1046">
            <v>208</v>
          </cell>
          <cell r="B1046" t="str">
            <v>Denmark</v>
          </cell>
          <cell r="C1046">
            <v>1998</v>
          </cell>
          <cell r="D1046">
            <v>90</v>
          </cell>
          <cell r="E1046">
            <v>990000</v>
          </cell>
          <cell r="F1046">
            <v>90</v>
          </cell>
          <cell r="G1046">
            <v>0</v>
          </cell>
          <cell r="H1046" t="str">
            <v>n;</v>
          </cell>
          <cell r="I1046" t="str">
            <v>n</v>
          </cell>
        </row>
        <row r="1047">
          <cell r="A1047">
            <v>36</v>
          </cell>
          <cell r="B1047" t="str">
            <v>Australia</v>
          </cell>
          <cell r="C1047">
            <v>1998</v>
          </cell>
          <cell r="D1047">
            <v>90</v>
          </cell>
          <cell r="E1047">
            <v>900000</v>
          </cell>
          <cell r="F1047">
            <v>90</v>
          </cell>
          <cell r="G1047">
            <v>18623034</v>
          </cell>
          <cell r="H1047" t="str">
            <v>;;=SUM(F11:G11);</v>
          </cell>
          <cell r="I1047" t="str">
            <v>.</v>
          </cell>
        </row>
        <row r="1048">
          <cell r="A1048">
            <v>36</v>
          </cell>
          <cell r="B1048" t="str">
            <v>Australia</v>
          </cell>
          <cell r="C1048">
            <v>1998</v>
          </cell>
          <cell r="D1048">
            <v>90</v>
          </cell>
          <cell r="E1048">
            <v>300</v>
          </cell>
          <cell r="F1048">
            <v>90</v>
          </cell>
          <cell r="G1048">
            <v>766376</v>
          </cell>
          <cell r="H1048" t="str">
            <v>;;=SUM(F12:G12);</v>
          </cell>
          <cell r="I1048" t="str">
            <v>.</v>
          </cell>
        </row>
        <row r="1049">
          <cell r="A1049">
            <v>36</v>
          </cell>
          <cell r="B1049" t="str">
            <v>Australia</v>
          </cell>
          <cell r="C1049">
            <v>1998</v>
          </cell>
          <cell r="D1049">
            <v>90</v>
          </cell>
          <cell r="E1049">
            <v>303</v>
          </cell>
          <cell r="F1049">
            <v>90</v>
          </cell>
          <cell r="G1049">
            <v>261445</v>
          </cell>
          <cell r="H1049" t="str">
            <v>;;=SUM(F13:G13);</v>
          </cell>
          <cell r="I1049" t="str">
            <v>.</v>
          </cell>
        </row>
        <row r="1050">
          <cell r="A1050">
            <v>36</v>
          </cell>
          <cell r="B1050" t="str">
            <v>Australia</v>
          </cell>
          <cell r="C1050">
            <v>1998</v>
          </cell>
          <cell r="D1050">
            <v>90</v>
          </cell>
          <cell r="E1050">
            <v>404</v>
          </cell>
          <cell r="F1050">
            <v>90</v>
          </cell>
          <cell r="G1050">
            <v>262334</v>
          </cell>
          <cell r="H1050" t="str">
            <v>;;=SUM(F14:G14);</v>
          </cell>
          <cell r="I1050" t="str">
            <v>.</v>
          </cell>
        </row>
        <row r="1051">
          <cell r="A1051">
            <v>36</v>
          </cell>
          <cell r="B1051" t="str">
            <v>Australia</v>
          </cell>
          <cell r="C1051">
            <v>1998</v>
          </cell>
          <cell r="D1051">
            <v>90</v>
          </cell>
          <cell r="E1051">
            <v>505</v>
          </cell>
          <cell r="F1051">
            <v>90</v>
          </cell>
          <cell r="G1051">
            <v>262670</v>
          </cell>
          <cell r="H1051" t="str">
            <v>;;=SUM(F15:G15);</v>
          </cell>
          <cell r="I1051" t="str">
            <v>.</v>
          </cell>
        </row>
        <row r="1052">
          <cell r="A1052">
            <v>36</v>
          </cell>
          <cell r="B1052" t="str">
            <v>Australia</v>
          </cell>
          <cell r="C1052">
            <v>1998</v>
          </cell>
          <cell r="D1052">
            <v>90</v>
          </cell>
          <cell r="E1052">
            <v>606</v>
          </cell>
          <cell r="F1052">
            <v>90</v>
          </cell>
          <cell r="G1052">
            <v>264814</v>
          </cell>
          <cell r="H1052" t="str">
            <v>;;=SUM(F16:G16);</v>
          </cell>
          <cell r="I1052" t="str">
            <v>.</v>
          </cell>
        </row>
        <row r="1053">
          <cell r="A1053">
            <v>36</v>
          </cell>
          <cell r="B1053" t="str">
            <v>Australia</v>
          </cell>
          <cell r="C1053">
            <v>1998</v>
          </cell>
          <cell r="D1053">
            <v>90</v>
          </cell>
          <cell r="E1053">
            <v>707</v>
          </cell>
          <cell r="F1053">
            <v>90</v>
          </cell>
          <cell r="G1053">
            <v>267170</v>
          </cell>
          <cell r="H1053" t="str">
            <v>;;=SUM(F17:G17);</v>
          </cell>
          <cell r="I1053" t="str">
            <v>.</v>
          </cell>
        </row>
        <row r="1054">
          <cell r="A1054">
            <v>36</v>
          </cell>
          <cell r="B1054" t="str">
            <v>Australia</v>
          </cell>
          <cell r="C1054">
            <v>1998</v>
          </cell>
          <cell r="D1054">
            <v>90</v>
          </cell>
          <cell r="E1054">
            <v>808</v>
          </cell>
          <cell r="F1054">
            <v>90</v>
          </cell>
          <cell r="G1054">
            <v>264264</v>
          </cell>
          <cell r="H1054" t="str">
            <v>;;=SUM(F18:G18);</v>
          </cell>
          <cell r="I1054" t="str">
            <v>.</v>
          </cell>
        </row>
        <row r="1055">
          <cell r="A1055">
            <v>36</v>
          </cell>
          <cell r="B1055" t="str">
            <v>Australia</v>
          </cell>
          <cell r="C1055">
            <v>1998</v>
          </cell>
          <cell r="D1055">
            <v>90</v>
          </cell>
          <cell r="E1055">
            <v>909</v>
          </cell>
          <cell r="F1055">
            <v>90</v>
          </cell>
          <cell r="G1055">
            <v>260493</v>
          </cell>
          <cell r="H1055" t="str">
            <v>;;=SUM(F19:G19);</v>
          </cell>
          <cell r="I1055" t="str">
            <v>.</v>
          </cell>
        </row>
        <row r="1056">
          <cell r="A1056">
            <v>36</v>
          </cell>
          <cell r="B1056" t="str">
            <v>Australia</v>
          </cell>
          <cell r="C1056">
            <v>1998</v>
          </cell>
          <cell r="D1056">
            <v>90</v>
          </cell>
          <cell r="E1056">
            <v>509</v>
          </cell>
          <cell r="F1056">
            <v>90</v>
          </cell>
          <cell r="G1056">
            <v>1319411</v>
          </cell>
          <cell r="H1056" t="str">
            <v>;;=SUM(F20:G20);</v>
          </cell>
          <cell r="I1056" t="str">
            <v>.</v>
          </cell>
        </row>
        <row r="1057">
          <cell r="A1057">
            <v>36</v>
          </cell>
          <cell r="B1057" t="str">
            <v>Australia</v>
          </cell>
          <cell r="C1057">
            <v>1998</v>
          </cell>
          <cell r="D1057">
            <v>90</v>
          </cell>
          <cell r="E1057">
            <v>1010</v>
          </cell>
          <cell r="F1057">
            <v>90</v>
          </cell>
          <cell r="G1057">
            <v>259444</v>
          </cell>
          <cell r="H1057" t="str">
            <v>;;=SUM(F21:G21);</v>
          </cell>
          <cell r="I1057" t="str">
            <v>.</v>
          </cell>
        </row>
        <row r="1058">
          <cell r="A1058">
            <v>36</v>
          </cell>
          <cell r="B1058" t="str">
            <v>Australia</v>
          </cell>
          <cell r="C1058">
            <v>1998</v>
          </cell>
          <cell r="D1058">
            <v>90</v>
          </cell>
          <cell r="E1058">
            <v>1111</v>
          </cell>
          <cell r="F1058">
            <v>90</v>
          </cell>
          <cell r="G1058">
            <v>261214</v>
          </cell>
          <cell r="H1058" t="str">
            <v>;;=SUM(F22:G22);</v>
          </cell>
          <cell r="I1058" t="str">
            <v>.</v>
          </cell>
        </row>
        <row r="1059">
          <cell r="A1059">
            <v>36</v>
          </cell>
          <cell r="B1059" t="str">
            <v>Australia</v>
          </cell>
          <cell r="C1059">
            <v>1998</v>
          </cell>
          <cell r="D1059">
            <v>90</v>
          </cell>
          <cell r="E1059">
            <v>1212</v>
          </cell>
          <cell r="F1059">
            <v>90</v>
          </cell>
          <cell r="G1059">
            <v>262982</v>
          </cell>
          <cell r="H1059" t="str">
            <v>;;=SUM(F23:G23);</v>
          </cell>
          <cell r="I1059" t="str">
            <v>.</v>
          </cell>
        </row>
        <row r="1060">
          <cell r="A1060">
            <v>36</v>
          </cell>
          <cell r="B1060" t="str">
            <v>Australia</v>
          </cell>
          <cell r="C1060">
            <v>1998</v>
          </cell>
          <cell r="D1060">
            <v>90</v>
          </cell>
          <cell r="E1060">
            <v>1313</v>
          </cell>
          <cell r="F1060">
            <v>90</v>
          </cell>
          <cell r="G1060">
            <v>263468</v>
          </cell>
          <cell r="H1060" t="str">
            <v>;;=SUM(F24:G24);</v>
          </cell>
          <cell r="I1060" t="str">
            <v>.</v>
          </cell>
        </row>
        <row r="1061">
          <cell r="A1061">
            <v>36</v>
          </cell>
          <cell r="B1061" t="str">
            <v>Australia</v>
          </cell>
          <cell r="C1061">
            <v>1998</v>
          </cell>
          <cell r="D1061">
            <v>90</v>
          </cell>
          <cell r="E1061">
            <v>1414</v>
          </cell>
          <cell r="F1061">
            <v>90</v>
          </cell>
          <cell r="G1061">
            <v>264958</v>
          </cell>
          <cell r="H1061" t="str">
            <v>;;=SUM(F25:G25);</v>
          </cell>
          <cell r="I1061" t="str">
            <v>.</v>
          </cell>
        </row>
        <row r="1062">
          <cell r="A1062">
            <v>36</v>
          </cell>
          <cell r="B1062" t="str">
            <v>Australia</v>
          </cell>
          <cell r="C1062">
            <v>1998</v>
          </cell>
          <cell r="D1062">
            <v>90</v>
          </cell>
          <cell r="E1062">
            <v>1014</v>
          </cell>
          <cell r="F1062">
            <v>90</v>
          </cell>
          <cell r="G1062">
            <v>1312066</v>
          </cell>
          <cell r="H1062" t="str">
            <v>;;=SUM(F26:G26);</v>
          </cell>
          <cell r="I1062" t="str">
            <v>.</v>
          </cell>
        </row>
        <row r="1063">
          <cell r="A1063">
            <v>36</v>
          </cell>
          <cell r="B1063" t="str">
            <v>Australia</v>
          </cell>
          <cell r="C1063">
            <v>1998</v>
          </cell>
          <cell r="D1063">
            <v>90</v>
          </cell>
          <cell r="E1063">
            <v>1515</v>
          </cell>
          <cell r="F1063">
            <v>90</v>
          </cell>
          <cell r="G1063">
            <v>264139</v>
          </cell>
          <cell r="H1063" t="str">
            <v>;;=SUM(F27:G27);</v>
          </cell>
          <cell r="I1063" t="str">
            <v>.</v>
          </cell>
        </row>
        <row r="1064">
          <cell r="A1064">
            <v>36</v>
          </cell>
          <cell r="B1064" t="str">
            <v>Australia</v>
          </cell>
          <cell r="C1064">
            <v>1998</v>
          </cell>
          <cell r="D1064">
            <v>90</v>
          </cell>
          <cell r="E1064">
            <v>1616</v>
          </cell>
          <cell r="F1064">
            <v>90</v>
          </cell>
          <cell r="G1064">
            <v>261729</v>
          </cell>
          <cell r="H1064" t="str">
            <v>;;=SUM(F28:G28);</v>
          </cell>
          <cell r="I1064" t="str">
            <v>.</v>
          </cell>
        </row>
        <row r="1065">
          <cell r="A1065">
            <v>36</v>
          </cell>
          <cell r="B1065" t="str">
            <v>Australia</v>
          </cell>
          <cell r="C1065">
            <v>1998</v>
          </cell>
          <cell r="D1065">
            <v>90</v>
          </cell>
          <cell r="E1065">
            <v>1717</v>
          </cell>
          <cell r="F1065">
            <v>90</v>
          </cell>
          <cell r="G1065">
            <v>259051</v>
          </cell>
          <cell r="H1065" t="str">
            <v>;;=SUM(F29:G29);</v>
          </cell>
          <cell r="I1065" t="str">
            <v>.</v>
          </cell>
        </row>
        <row r="1066">
          <cell r="A1066">
            <v>36</v>
          </cell>
          <cell r="B1066" t="str">
            <v>Australia</v>
          </cell>
          <cell r="C1066">
            <v>1998</v>
          </cell>
          <cell r="D1066">
            <v>90</v>
          </cell>
          <cell r="E1066">
            <v>1818</v>
          </cell>
          <cell r="F1066">
            <v>90</v>
          </cell>
          <cell r="G1066">
            <v>257562</v>
          </cell>
          <cell r="H1066" t="str">
            <v>;;=SUM(F30:G30);</v>
          </cell>
          <cell r="I1066" t="str">
            <v>.</v>
          </cell>
        </row>
        <row r="1067">
          <cell r="A1067">
            <v>36</v>
          </cell>
          <cell r="B1067" t="str">
            <v>Australia</v>
          </cell>
          <cell r="C1067">
            <v>1998</v>
          </cell>
          <cell r="D1067">
            <v>90</v>
          </cell>
          <cell r="E1067">
            <v>1919</v>
          </cell>
          <cell r="F1067">
            <v>90</v>
          </cell>
          <cell r="G1067">
            <v>259087</v>
          </cell>
          <cell r="H1067" t="str">
            <v>;;=SUM(F31:G31);</v>
          </cell>
          <cell r="I1067" t="str">
            <v>.</v>
          </cell>
        </row>
        <row r="1068">
          <cell r="A1068">
            <v>36</v>
          </cell>
          <cell r="B1068" t="str">
            <v>Australia</v>
          </cell>
          <cell r="C1068">
            <v>1998</v>
          </cell>
          <cell r="D1068">
            <v>90</v>
          </cell>
          <cell r="E1068">
            <v>1519</v>
          </cell>
          <cell r="F1068">
            <v>90</v>
          </cell>
          <cell r="G1068">
            <v>1301568</v>
          </cell>
          <cell r="H1068" t="str">
            <v>;;=SUM(F32:G32);</v>
          </cell>
          <cell r="I1068" t="str">
            <v>.</v>
          </cell>
        </row>
        <row r="1069">
          <cell r="A1069">
            <v>36</v>
          </cell>
          <cell r="B1069" t="str">
            <v>Australia</v>
          </cell>
          <cell r="C1069">
            <v>1998</v>
          </cell>
          <cell r="D1069">
            <v>90</v>
          </cell>
          <cell r="E1069">
            <v>2020</v>
          </cell>
          <cell r="F1069">
            <v>90</v>
          </cell>
          <cell r="G1069">
            <v>262233</v>
          </cell>
          <cell r="H1069" t="str">
            <v>;;=SUM(F33:G33);</v>
          </cell>
          <cell r="I1069" t="str">
            <v>.</v>
          </cell>
        </row>
        <row r="1070">
          <cell r="A1070">
            <v>36</v>
          </cell>
          <cell r="B1070" t="str">
            <v>Australia</v>
          </cell>
          <cell r="C1070">
            <v>1998</v>
          </cell>
          <cell r="D1070">
            <v>90</v>
          </cell>
          <cell r="E1070">
            <v>2121</v>
          </cell>
          <cell r="F1070">
            <v>90</v>
          </cell>
          <cell r="G1070">
            <v>265792</v>
          </cell>
          <cell r="H1070" t="str">
            <v>;;=SUM(F34:G34);</v>
          </cell>
          <cell r="I1070" t="str">
            <v>.</v>
          </cell>
        </row>
        <row r="1071">
          <cell r="A1071">
            <v>36</v>
          </cell>
          <cell r="B1071" t="str">
            <v>Australia</v>
          </cell>
          <cell r="C1071">
            <v>1998</v>
          </cell>
          <cell r="D1071">
            <v>90</v>
          </cell>
          <cell r="E1071">
            <v>2222</v>
          </cell>
          <cell r="F1071">
            <v>90</v>
          </cell>
          <cell r="G1071">
            <v>271484</v>
          </cell>
          <cell r="H1071" t="str">
            <v>;;=SUM(F35:G35);</v>
          </cell>
          <cell r="I1071" t="str">
            <v>.</v>
          </cell>
        </row>
        <row r="1072">
          <cell r="A1072">
            <v>36</v>
          </cell>
          <cell r="B1072" t="str">
            <v>Australia</v>
          </cell>
          <cell r="C1072">
            <v>1998</v>
          </cell>
          <cell r="D1072">
            <v>90</v>
          </cell>
          <cell r="E1072">
            <v>2323</v>
          </cell>
          <cell r="F1072">
            <v>90</v>
          </cell>
          <cell r="G1072">
            <v>277401</v>
          </cell>
          <cell r="H1072" t="str">
            <v>;;=SUM(F36:G36);</v>
          </cell>
          <cell r="I1072" t="str">
            <v>.</v>
          </cell>
        </row>
        <row r="1073">
          <cell r="A1073">
            <v>36</v>
          </cell>
          <cell r="B1073" t="str">
            <v>Australia</v>
          </cell>
          <cell r="C1073">
            <v>1998</v>
          </cell>
          <cell r="D1073">
            <v>90</v>
          </cell>
          <cell r="E1073">
            <v>2424</v>
          </cell>
          <cell r="F1073">
            <v>90</v>
          </cell>
          <cell r="G1073">
            <v>284115</v>
          </cell>
          <cell r="H1073" t="str">
            <v>;;=SUM(F37:G37);</v>
          </cell>
          <cell r="I1073" t="str">
            <v>.</v>
          </cell>
        </row>
        <row r="1074">
          <cell r="A1074">
            <v>36</v>
          </cell>
          <cell r="B1074" t="str">
            <v>Australia</v>
          </cell>
          <cell r="C1074">
            <v>1998</v>
          </cell>
          <cell r="D1074">
            <v>90</v>
          </cell>
          <cell r="E1074">
            <v>2024</v>
          </cell>
          <cell r="F1074">
            <v>90</v>
          </cell>
          <cell r="G1074">
            <v>1361025</v>
          </cell>
          <cell r="H1074" t="str">
            <v>;;=SUM(F38:G38);</v>
          </cell>
          <cell r="I1074" t="str">
            <v>.</v>
          </cell>
        </row>
        <row r="1075">
          <cell r="A1075">
            <v>36</v>
          </cell>
          <cell r="B1075" t="str">
            <v>Australia</v>
          </cell>
          <cell r="C1075">
            <v>1998</v>
          </cell>
          <cell r="D1075">
            <v>90</v>
          </cell>
          <cell r="E1075">
            <v>2525</v>
          </cell>
          <cell r="F1075">
            <v>90</v>
          </cell>
          <cell r="G1075">
            <v>294913</v>
          </cell>
          <cell r="H1075" t="str">
            <v>;;=SUM(F39:G39);</v>
          </cell>
          <cell r="I1075" t="str">
            <v>.</v>
          </cell>
        </row>
        <row r="1076">
          <cell r="A1076">
            <v>36</v>
          </cell>
          <cell r="B1076" t="str">
            <v>Australia</v>
          </cell>
          <cell r="C1076">
            <v>1998</v>
          </cell>
          <cell r="D1076">
            <v>90</v>
          </cell>
          <cell r="E1076">
            <v>2626</v>
          </cell>
          <cell r="F1076">
            <v>90</v>
          </cell>
          <cell r="G1076">
            <v>303568</v>
          </cell>
          <cell r="H1076" t="str">
            <v>;;=SUM(F40:G40);</v>
          </cell>
          <cell r="I1076" t="str">
            <v>.</v>
          </cell>
        </row>
        <row r="1077">
          <cell r="A1077">
            <v>36</v>
          </cell>
          <cell r="B1077" t="str">
            <v>Australia</v>
          </cell>
          <cell r="C1077">
            <v>1998</v>
          </cell>
          <cell r="D1077">
            <v>90</v>
          </cell>
          <cell r="E1077">
            <v>2727</v>
          </cell>
          <cell r="F1077">
            <v>90</v>
          </cell>
          <cell r="G1077">
            <v>296764</v>
          </cell>
          <cell r="H1077" t="str">
            <v>;;=SUM(F41:G41);</v>
          </cell>
          <cell r="I1077" t="str">
            <v>.</v>
          </cell>
        </row>
        <row r="1078">
          <cell r="A1078">
            <v>36</v>
          </cell>
          <cell r="B1078" t="str">
            <v>Australia</v>
          </cell>
          <cell r="C1078">
            <v>1998</v>
          </cell>
          <cell r="D1078">
            <v>90</v>
          </cell>
          <cell r="E1078">
            <v>2828</v>
          </cell>
          <cell r="F1078">
            <v>90</v>
          </cell>
          <cell r="G1078">
            <v>286039</v>
          </cell>
          <cell r="H1078" t="str">
            <v>;;=SUM(F42:G42);</v>
          </cell>
          <cell r="I1078" t="str">
            <v>.</v>
          </cell>
        </row>
        <row r="1079">
          <cell r="A1079">
            <v>36</v>
          </cell>
          <cell r="B1079" t="str">
            <v>Australia</v>
          </cell>
          <cell r="C1079">
            <v>1998</v>
          </cell>
          <cell r="D1079">
            <v>90</v>
          </cell>
          <cell r="E1079">
            <v>2929</v>
          </cell>
          <cell r="F1079">
            <v>90</v>
          </cell>
          <cell r="G1079">
            <v>281316</v>
          </cell>
          <cell r="H1079" t="str">
            <v>;;=SUM(F43:G43);</v>
          </cell>
          <cell r="I1079" t="str">
            <v>.</v>
          </cell>
        </row>
        <row r="1080">
          <cell r="A1080">
            <v>36</v>
          </cell>
          <cell r="B1080" t="str">
            <v>Australia</v>
          </cell>
          <cell r="C1080">
            <v>1998</v>
          </cell>
          <cell r="D1080">
            <v>90</v>
          </cell>
          <cell r="E1080">
            <v>2529</v>
          </cell>
          <cell r="F1080">
            <v>90</v>
          </cell>
          <cell r="G1080">
            <v>1462600</v>
          </cell>
          <cell r="H1080" t="str">
            <v>;;=SUM(F44:G44);</v>
          </cell>
          <cell r="I1080" t="str">
            <v>.</v>
          </cell>
        </row>
        <row r="1081">
          <cell r="A1081">
            <v>36</v>
          </cell>
          <cell r="B1081" t="str">
            <v>Australia</v>
          </cell>
          <cell r="C1081">
            <v>1998</v>
          </cell>
          <cell r="D1081">
            <v>90</v>
          </cell>
          <cell r="E1081">
            <v>3034</v>
          </cell>
          <cell r="F1081">
            <v>90</v>
          </cell>
          <cell r="G1081">
            <v>1417849</v>
          </cell>
          <cell r="H1081" t="str">
            <v>;;=SUM(F45:G45);</v>
          </cell>
          <cell r="I1081" t="str">
            <v>.</v>
          </cell>
        </row>
        <row r="1082">
          <cell r="A1082">
            <v>36</v>
          </cell>
          <cell r="B1082" t="str">
            <v>Australia</v>
          </cell>
          <cell r="C1082">
            <v>1998</v>
          </cell>
          <cell r="D1082">
            <v>90</v>
          </cell>
          <cell r="E1082">
            <v>3539</v>
          </cell>
          <cell r="F1082">
            <v>90</v>
          </cell>
          <cell r="G1082">
            <v>1486366</v>
          </cell>
          <cell r="H1082" t="str">
            <v>;;=SUM(F46:G46);</v>
          </cell>
          <cell r="I1082" t="str">
            <v>.</v>
          </cell>
        </row>
        <row r="1083">
          <cell r="A1083">
            <v>36</v>
          </cell>
          <cell r="B1083" t="str">
            <v>Australia</v>
          </cell>
          <cell r="C1083">
            <v>1998</v>
          </cell>
          <cell r="D1083">
            <v>90</v>
          </cell>
          <cell r="E1083">
            <v>4099</v>
          </cell>
          <cell r="F1083">
            <v>90</v>
          </cell>
          <cell r="G1083">
            <v>7671994</v>
          </cell>
          <cell r="H1083" t="str">
            <v>;;=SUM(F47:G47);</v>
          </cell>
          <cell r="I1083" t="str">
            <v>.</v>
          </cell>
        </row>
        <row r="1084">
          <cell r="A1084">
            <v>36</v>
          </cell>
          <cell r="B1084" t="str">
            <v>Australia</v>
          </cell>
          <cell r="C1084">
            <v>1998</v>
          </cell>
          <cell r="D1084">
            <v>90</v>
          </cell>
          <cell r="E1084">
            <v>990000</v>
          </cell>
          <cell r="F1084">
            <v>90</v>
          </cell>
          <cell r="G1084">
            <v>0</v>
          </cell>
          <cell r="H1084" t="str">
            <v>n;</v>
          </cell>
          <cell r="I1084" t="str">
            <v>n</v>
          </cell>
        </row>
        <row r="1085">
          <cell r="A1085">
            <v>826</v>
          </cell>
          <cell r="B1085" t="str">
            <v>United Kingdom</v>
          </cell>
          <cell r="C1085">
            <v>1998</v>
          </cell>
          <cell r="D1085">
            <v>90</v>
          </cell>
          <cell r="E1085">
            <v>900000</v>
          </cell>
          <cell r="F1085">
            <v>90</v>
          </cell>
          <cell r="G1085">
            <v>58325068.58177375</v>
          </cell>
          <cell r="H1085" t="str">
            <v>;;=SUM(F11:G11);</v>
          </cell>
          <cell r="I1085" t="str">
            <v>.</v>
          </cell>
        </row>
        <row r="1086">
          <cell r="A1086">
            <v>826</v>
          </cell>
          <cell r="B1086" t="str">
            <v>United Kingdom</v>
          </cell>
          <cell r="C1086">
            <v>1998</v>
          </cell>
          <cell r="D1086">
            <v>90</v>
          </cell>
          <cell r="E1086">
            <v>300</v>
          </cell>
          <cell r="F1086">
            <v>90</v>
          </cell>
          <cell r="G1086">
            <v>1454440.9154947808</v>
          </cell>
          <cell r="H1086" t="str">
            <v>;;=SUM(F12:G12);</v>
          </cell>
          <cell r="I1086" t="str">
            <v>.</v>
          </cell>
        </row>
        <row r="1087">
          <cell r="A1087">
            <v>826</v>
          </cell>
          <cell r="B1087" t="str">
            <v>United Kingdom</v>
          </cell>
          <cell r="C1087">
            <v>1998</v>
          </cell>
          <cell r="D1087">
            <v>90</v>
          </cell>
          <cell r="E1087">
            <v>303</v>
          </cell>
          <cell r="F1087">
            <v>90</v>
          </cell>
          <cell r="G1087">
            <v>756578.94446491811</v>
          </cell>
          <cell r="H1087" t="str">
            <v>;;=SUM(F13:G13);</v>
          </cell>
          <cell r="I1087" t="str">
            <v>.</v>
          </cell>
        </row>
        <row r="1088">
          <cell r="A1088">
            <v>826</v>
          </cell>
          <cell r="B1088" t="str">
            <v>United Kingdom</v>
          </cell>
          <cell r="C1088">
            <v>1998</v>
          </cell>
          <cell r="D1088">
            <v>90</v>
          </cell>
          <cell r="E1088">
            <v>404</v>
          </cell>
          <cell r="F1088">
            <v>90</v>
          </cell>
          <cell r="G1088">
            <v>757684.91908370331</v>
          </cell>
          <cell r="H1088" t="str">
            <v>;;=SUM(F14:G14);</v>
          </cell>
          <cell r="I1088" t="str">
            <v>.</v>
          </cell>
        </row>
        <row r="1089">
          <cell r="A1089">
            <v>826</v>
          </cell>
          <cell r="B1089" t="str">
            <v>United Kingdom</v>
          </cell>
          <cell r="C1089">
            <v>1998</v>
          </cell>
          <cell r="D1089">
            <v>90</v>
          </cell>
          <cell r="E1089">
            <v>505</v>
          </cell>
          <cell r="F1089">
            <v>90</v>
          </cell>
          <cell r="G1089">
            <v>787565.81847944472</v>
          </cell>
          <cell r="H1089" t="str">
            <v>;;=SUM(F15:G15);</v>
          </cell>
          <cell r="I1089" t="str">
            <v>.</v>
          </cell>
        </row>
        <row r="1090">
          <cell r="A1090">
            <v>826</v>
          </cell>
          <cell r="B1090" t="str">
            <v>United Kingdom</v>
          </cell>
          <cell r="C1090">
            <v>1998</v>
          </cell>
          <cell r="D1090">
            <v>90</v>
          </cell>
          <cell r="E1090">
            <v>606</v>
          </cell>
          <cell r="F1090">
            <v>90</v>
          </cell>
          <cell r="G1090">
            <v>796722.59804956522</v>
          </cell>
          <cell r="H1090" t="str">
            <v>;;=SUM(F16:G16);</v>
          </cell>
          <cell r="I1090" t="str">
            <v>.</v>
          </cell>
        </row>
        <row r="1091">
          <cell r="A1091">
            <v>826</v>
          </cell>
          <cell r="B1091" t="str">
            <v>United Kingdom</v>
          </cell>
          <cell r="C1091">
            <v>1998</v>
          </cell>
          <cell r="D1091">
            <v>90</v>
          </cell>
          <cell r="E1091">
            <v>707</v>
          </cell>
          <cell r="F1091">
            <v>90</v>
          </cell>
          <cell r="G1091">
            <v>786433.60572457209</v>
          </cell>
          <cell r="H1091" t="str">
            <v>;;=SUM(F17:G17);</v>
          </cell>
          <cell r="I1091" t="str">
            <v>.</v>
          </cell>
        </row>
        <row r="1092">
          <cell r="A1092">
            <v>826</v>
          </cell>
          <cell r="B1092" t="str">
            <v>United Kingdom</v>
          </cell>
          <cell r="C1092">
            <v>1998</v>
          </cell>
          <cell r="D1092">
            <v>90</v>
          </cell>
          <cell r="E1092">
            <v>808</v>
          </cell>
          <cell r="F1092">
            <v>90</v>
          </cell>
          <cell r="G1092">
            <v>775899.3717534265</v>
          </cell>
          <cell r="H1092" t="str">
            <v>;;=SUM(F18:G18);</v>
          </cell>
          <cell r="I1092" t="str">
            <v>.</v>
          </cell>
        </row>
        <row r="1093">
          <cell r="A1093">
            <v>826</v>
          </cell>
          <cell r="B1093" t="str">
            <v>United Kingdom</v>
          </cell>
          <cell r="C1093">
            <v>1998</v>
          </cell>
          <cell r="D1093">
            <v>90</v>
          </cell>
          <cell r="E1093">
            <v>909</v>
          </cell>
          <cell r="F1093">
            <v>90</v>
          </cell>
          <cell r="G1093">
            <v>789378.97692827729</v>
          </cell>
          <cell r="H1093" t="str">
            <v>;;=SUM(F19:G19);</v>
          </cell>
          <cell r="I1093" t="str">
            <v>.</v>
          </cell>
        </row>
        <row r="1094">
          <cell r="A1094">
            <v>826</v>
          </cell>
          <cell r="B1094" t="str">
            <v>United Kingdom</v>
          </cell>
          <cell r="C1094">
            <v>1998</v>
          </cell>
          <cell r="D1094">
            <v>90</v>
          </cell>
          <cell r="E1094">
            <v>509</v>
          </cell>
          <cell r="F1094">
            <v>90</v>
          </cell>
          <cell r="G1094">
            <v>3936000.3709352855</v>
          </cell>
          <cell r="H1094" t="str">
            <v>;;=SUM(F20:G20);</v>
          </cell>
          <cell r="I1094" t="str">
            <v>.</v>
          </cell>
        </row>
        <row r="1095">
          <cell r="A1095">
            <v>826</v>
          </cell>
          <cell r="B1095" t="str">
            <v>United Kingdom</v>
          </cell>
          <cell r="C1095">
            <v>1998</v>
          </cell>
          <cell r="D1095">
            <v>90</v>
          </cell>
          <cell r="E1095">
            <v>1010</v>
          </cell>
          <cell r="F1095">
            <v>90</v>
          </cell>
          <cell r="G1095">
            <v>769316.77162760112</v>
          </cell>
          <cell r="H1095" t="str">
            <v>;;=SUM(F21:G21);</v>
          </cell>
          <cell r="I1095" t="str">
            <v>.</v>
          </cell>
        </row>
        <row r="1096">
          <cell r="A1096">
            <v>826</v>
          </cell>
          <cell r="B1096" t="str">
            <v>United Kingdom</v>
          </cell>
          <cell r="C1096">
            <v>1998</v>
          </cell>
          <cell r="D1096">
            <v>90</v>
          </cell>
          <cell r="E1096">
            <v>1111</v>
          </cell>
          <cell r="F1096">
            <v>90</v>
          </cell>
          <cell r="G1096">
            <v>755934.93822702835</v>
          </cell>
          <cell r="H1096" t="str">
            <v>;;=SUM(F22:G22);</v>
          </cell>
          <cell r="I1096" t="str">
            <v>.</v>
          </cell>
        </row>
        <row r="1097">
          <cell r="A1097">
            <v>826</v>
          </cell>
          <cell r="B1097" t="str">
            <v>United Kingdom</v>
          </cell>
          <cell r="C1097">
            <v>1998</v>
          </cell>
          <cell r="D1097">
            <v>90</v>
          </cell>
          <cell r="E1097">
            <v>1212</v>
          </cell>
          <cell r="F1097">
            <v>90</v>
          </cell>
          <cell r="G1097">
            <v>756339.22565090528</v>
          </cell>
          <cell r="H1097" t="str">
            <v>;;=SUM(F23:G23);</v>
          </cell>
          <cell r="I1097" t="str">
            <v>.</v>
          </cell>
        </row>
        <row r="1098">
          <cell r="A1098">
            <v>826</v>
          </cell>
          <cell r="B1098" t="str">
            <v>United Kingdom</v>
          </cell>
          <cell r="C1098">
            <v>1998</v>
          </cell>
          <cell r="D1098">
            <v>90</v>
          </cell>
          <cell r="E1098">
            <v>1313</v>
          </cell>
          <cell r="F1098">
            <v>90</v>
          </cell>
          <cell r="G1098">
            <v>728392.27788295329</v>
          </cell>
          <cell r="H1098" t="str">
            <v>;;=SUM(F24:G24);</v>
          </cell>
          <cell r="I1098" t="str">
            <v>.</v>
          </cell>
        </row>
        <row r="1099">
          <cell r="A1099">
            <v>826</v>
          </cell>
          <cell r="B1099" t="str">
            <v>United Kingdom</v>
          </cell>
          <cell r="C1099">
            <v>1998</v>
          </cell>
          <cell r="D1099">
            <v>90</v>
          </cell>
          <cell r="E1099">
            <v>1414</v>
          </cell>
          <cell r="F1099">
            <v>90</v>
          </cell>
          <cell r="G1099">
            <v>730618.51425246545</v>
          </cell>
          <cell r="H1099" t="str">
            <v>;;=SUM(F25:G25);</v>
          </cell>
          <cell r="I1099" t="str">
            <v>.</v>
          </cell>
        </row>
        <row r="1100">
          <cell r="A1100">
            <v>826</v>
          </cell>
          <cell r="B1100" t="str">
            <v>United Kingdom</v>
          </cell>
          <cell r="C1100">
            <v>1998</v>
          </cell>
          <cell r="D1100">
            <v>90</v>
          </cell>
          <cell r="E1100">
            <v>1014</v>
          </cell>
          <cell r="F1100">
            <v>90</v>
          </cell>
          <cell r="G1100">
            <v>3740601.7276409534</v>
          </cell>
          <cell r="H1100" t="str">
            <v>;;=SUM(F26:G26);</v>
          </cell>
          <cell r="I1100" t="str">
            <v>.</v>
          </cell>
        </row>
        <row r="1101">
          <cell r="A1101">
            <v>826</v>
          </cell>
          <cell r="B1101" t="str">
            <v>United Kingdom</v>
          </cell>
          <cell r="C1101">
            <v>1998</v>
          </cell>
          <cell r="D1101">
            <v>90</v>
          </cell>
          <cell r="E1101">
            <v>1515</v>
          </cell>
          <cell r="F1101">
            <v>90</v>
          </cell>
          <cell r="G1101">
            <v>725285.66500930907</v>
          </cell>
          <cell r="H1101" t="str">
            <v>;;=SUM(F27:G27);</v>
          </cell>
          <cell r="I1101" t="str">
            <v>.</v>
          </cell>
        </row>
        <row r="1102">
          <cell r="A1102">
            <v>826</v>
          </cell>
          <cell r="B1102" t="str">
            <v>United Kingdom</v>
          </cell>
          <cell r="C1102">
            <v>1998</v>
          </cell>
          <cell r="D1102">
            <v>90</v>
          </cell>
          <cell r="E1102">
            <v>1616</v>
          </cell>
          <cell r="F1102">
            <v>90</v>
          </cell>
          <cell r="G1102">
            <v>740598.30870614748</v>
          </cell>
          <cell r="H1102" t="str">
            <v>;;=SUM(F28:G28);</v>
          </cell>
          <cell r="I1102" t="str">
            <v>.</v>
          </cell>
        </row>
        <row r="1103">
          <cell r="A1103">
            <v>826</v>
          </cell>
          <cell r="B1103" t="str">
            <v>United Kingdom</v>
          </cell>
          <cell r="C1103">
            <v>1998</v>
          </cell>
          <cell r="D1103">
            <v>90</v>
          </cell>
          <cell r="E1103">
            <v>1717</v>
          </cell>
          <cell r="F1103">
            <v>90</v>
          </cell>
          <cell r="G1103">
            <v>750124.73443811666</v>
          </cell>
          <cell r="H1103" t="str">
            <v>;;=SUM(F29:G29);</v>
          </cell>
          <cell r="I1103" t="str">
            <v>.</v>
          </cell>
        </row>
        <row r="1104">
          <cell r="A1104">
            <v>826</v>
          </cell>
          <cell r="B1104" t="str">
            <v>United Kingdom</v>
          </cell>
          <cell r="C1104">
            <v>1998</v>
          </cell>
          <cell r="D1104">
            <v>90</v>
          </cell>
          <cell r="E1104">
            <v>1818</v>
          </cell>
          <cell r="F1104">
            <v>90</v>
          </cell>
          <cell r="G1104">
            <v>730953.32727544429</v>
          </cell>
          <cell r="H1104" t="str">
            <v>;;=SUM(F30:G30);</v>
          </cell>
          <cell r="I1104" t="str">
            <v>.</v>
          </cell>
        </row>
        <row r="1105">
          <cell r="A1105">
            <v>826</v>
          </cell>
          <cell r="B1105" t="str">
            <v>United Kingdom</v>
          </cell>
          <cell r="C1105">
            <v>1998</v>
          </cell>
          <cell r="D1105">
            <v>90</v>
          </cell>
          <cell r="E1105">
            <v>1919</v>
          </cell>
          <cell r="F1105">
            <v>90</v>
          </cell>
          <cell r="G1105">
            <v>673790.38792081038</v>
          </cell>
          <cell r="H1105" t="str">
            <v>;;=SUM(F31:G31);</v>
          </cell>
          <cell r="I1105" t="str">
            <v>.</v>
          </cell>
        </row>
        <row r="1106">
          <cell r="A1106">
            <v>826</v>
          </cell>
          <cell r="B1106" t="str">
            <v>United Kingdom</v>
          </cell>
          <cell r="C1106">
            <v>1998</v>
          </cell>
          <cell r="D1106">
            <v>90</v>
          </cell>
          <cell r="E1106">
            <v>1519</v>
          </cell>
          <cell r="F1106">
            <v>90</v>
          </cell>
          <cell r="G1106">
            <v>3620752.423349828</v>
          </cell>
          <cell r="H1106" t="str">
            <v>;;=SUM(F32:G32);</v>
          </cell>
          <cell r="I1106" t="str">
            <v>.</v>
          </cell>
        </row>
        <row r="1107">
          <cell r="A1107">
            <v>826</v>
          </cell>
          <cell r="B1107" t="str">
            <v>United Kingdom</v>
          </cell>
          <cell r="C1107">
            <v>1998</v>
          </cell>
          <cell r="D1107">
            <v>90</v>
          </cell>
          <cell r="E1107">
            <v>2020</v>
          </cell>
          <cell r="F1107">
            <v>90</v>
          </cell>
          <cell r="G1107">
            <v>660578.0018557891</v>
          </cell>
          <cell r="H1107" t="str">
            <v>;;=SUM(F33:G33);</v>
          </cell>
          <cell r="I1107" t="str">
            <v>.</v>
          </cell>
        </row>
        <row r="1108">
          <cell r="A1108">
            <v>826</v>
          </cell>
          <cell r="B1108" t="str">
            <v>United Kingdom</v>
          </cell>
          <cell r="C1108">
            <v>1998</v>
          </cell>
          <cell r="D1108">
            <v>90</v>
          </cell>
          <cell r="E1108">
            <v>2121</v>
          </cell>
          <cell r="F1108">
            <v>90</v>
          </cell>
          <cell r="G1108">
            <v>690265.57302628201</v>
          </cell>
          <cell r="H1108" t="str">
            <v>;;=SUM(F34:G34);</v>
          </cell>
          <cell r="I1108" t="str">
            <v>.</v>
          </cell>
        </row>
        <row r="1109">
          <cell r="A1109">
            <v>826</v>
          </cell>
          <cell r="B1109" t="str">
            <v>United Kingdom</v>
          </cell>
          <cell r="C1109">
            <v>1998</v>
          </cell>
          <cell r="D1109">
            <v>90</v>
          </cell>
          <cell r="E1109">
            <v>2222</v>
          </cell>
          <cell r="F1109">
            <v>90</v>
          </cell>
          <cell r="G1109">
            <v>716986.56286063418</v>
          </cell>
          <cell r="H1109" t="str">
            <v>;;=SUM(F35:G35);</v>
          </cell>
          <cell r="I1109" t="str">
            <v>.</v>
          </cell>
        </row>
        <row r="1110">
          <cell r="A1110">
            <v>826</v>
          </cell>
          <cell r="B1110" t="str">
            <v>United Kingdom</v>
          </cell>
          <cell r="C1110">
            <v>1998</v>
          </cell>
          <cell r="D1110">
            <v>90</v>
          </cell>
          <cell r="E1110">
            <v>2323</v>
          </cell>
          <cell r="F1110">
            <v>90</v>
          </cell>
          <cell r="G1110">
            <v>749040.96156961785</v>
          </cell>
          <cell r="H1110" t="str">
            <v>;;=SUM(F36:G36);</v>
          </cell>
          <cell r="I1110" t="str">
            <v>.</v>
          </cell>
        </row>
        <row r="1111">
          <cell r="A1111">
            <v>826</v>
          </cell>
          <cell r="B1111" t="str">
            <v>United Kingdom</v>
          </cell>
          <cell r="C1111">
            <v>1998</v>
          </cell>
          <cell r="D1111">
            <v>90</v>
          </cell>
          <cell r="E1111">
            <v>2424</v>
          </cell>
          <cell r="F1111">
            <v>90</v>
          </cell>
          <cell r="G1111">
            <v>793396.34394512058</v>
          </cell>
          <cell r="H1111" t="str">
            <v>;;=SUM(F37:G37);</v>
          </cell>
          <cell r="I1111" t="str">
            <v>.</v>
          </cell>
        </row>
        <row r="1112">
          <cell r="A1112">
            <v>826</v>
          </cell>
          <cell r="B1112" t="str">
            <v>United Kingdom</v>
          </cell>
          <cell r="C1112">
            <v>1998</v>
          </cell>
          <cell r="D1112">
            <v>90</v>
          </cell>
          <cell r="E1112">
            <v>2024</v>
          </cell>
          <cell r="F1112">
            <v>90</v>
          </cell>
          <cell r="G1112">
            <v>3610267.4432574441</v>
          </cell>
          <cell r="H1112" t="str">
            <v>;;=SUM(F38:G38);</v>
          </cell>
          <cell r="I1112" t="str">
            <v>.</v>
          </cell>
        </row>
        <row r="1113">
          <cell r="A1113">
            <v>826</v>
          </cell>
          <cell r="B1113" t="str">
            <v>United Kingdom</v>
          </cell>
          <cell r="C1113">
            <v>1998</v>
          </cell>
          <cell r="D1113">
            <v>90</v>
          </cell>
          <cell r="E1113">
            <v>2525</v>
          </cell>
          <cell r="F1113">
            <v>90</v>
          </cell>
          <cell r="G1113">
            <v>843871.63014137966</v>
          </cell>
          <cell r="H1113" t="str">
            <v>;;=SUM(F39:G39);</v>
          </cell>
          <cell r="I1113" t="str">
            <v>.</v>
          </cell>
        </row>
        <row r="1114">
          <cell r="A1114">
            <v>826</v>
          </cell>
          <cell r="B1114" t="str">
            <v>United Kingdom</v>
          </cell>
          <cell r="C1114">
            <v>1998</v>
          </cell>
          <cell r="D1114">
            <v>90</v>
          </cell>
          <cell r="E1114">
            <v>2626</v>
          </cell>
          <cell r="F1114">
            <v>90</v>
          </cell>
          <cell r="G1114">
            <v>897114.06592255027</v>
          </cell>
          <cell r="H1114" t="str">
            <v>;;=SUM(F40:G40);</v>
          </cell>
          <cell r="I1114" t="str">
            <v>.</v>
          </cell>
        </row>
        <row r="1115">
          <cell r="A1115">
            <v>826</v>
          </cell>
          <cell r="B1115" t="str">
            <v>United Kingdom</v>
          </cell>
          <cell r="C1115">
            <v>1998</v>
          </cell>
          <cell r="D1115">
            <v>90</v>
          </cell>
          <cell r="E1115">
            <v>2727</v>
          </cell>
          <cell r="F1115">
            <v>90</v>
          </cell>
          <cell r="G1115">
            <v>889124.22074761405</v>
          </cell>
          <cell r="H1115" t="str">
            <v>;;=SUM(F41:G41);</v>
          </cell>
          <cell r="I1115" t="str">
            <v>.</v>
          </cell>
        </row>
        <row r="1116">
          <cell r="A1116">
            <v>826</v>
          </cell>
          <cell r="B1116" t="str">
            <v>United Kingdom</v>
          </cell>
          <cell r="C1116">
            <v>1998</v>
          </cell>
          <cell r="D1116">
            <v>90</v>
          </cell>
          <cell r="E1116">
            <v>2828</v>
          </cell>
          <cell r="F1116">
            <v>90</v>
          </cell>
          <cell r="G1116">
            <v>916228.26470844366</v>
          </cell>
          <cell r="H1116" t="str">
            <v>;;=SUM(F42:G42);</v>
          </cell>
          <cell r="I1116" t="str">
            <v>.</v>
          </cell>
        </row>
        <row r="1117">
          <cell r="A1117">
            <v>826</v>
          </cell>
          <cell r="B1117" t="str">
            <v>United Kingdom</v>
          </cell>
          <cell r="C1117">
            <v>1998</v>
          </cell>
          <cell r="D1117">
            <v>90</v>
          </cell>
          <cell r="E1117">
            <v>2929</v>
          </cell>
          <cell r="F1117">
            <v>90</v>
          </cell>
          <cell r="G1117">
            <v>931040.08444784908</v>
          </cell>
          <cell r="H1117" t="str">
            <v>;;=SUM(F43:G43);</v>
          </cell>
          <cell r="I1117" t="str">
            <v>.</v>
          </cell>
        </row>
        <row r="1118">
          <cell r="A1118">
            <v>826</v>
          </cell>
          <cell r="B1118" t="str">
            <v>United Kingdom</v>
          </cell>
          <cell r="C1118">
            <v>1998</v>
          </cell>
          <cell r="D1118">
            <v>90</v>
          </cell>
          <cell r="E1118">
            <v>2529</v>
          </cell>
          <cell r="F1118">
            <v>90</v>
          </cell>
          <cell r="G1118">
            <v>4477378.2659678366</v>
          </cell>
          <cell r="H1118" t="str">
            <v>;;=SUM(F44:G44);</v>
          </cell>
          <cell r="I1118" t="str">
            <v>.</v>
          </cell>
        </row>
        <row r="1119">
          <cell r="A1119">
            <v>826</v>
          </cell>
          <cell r="B1119" t="str">
            <v>United Kingdom</v>
          </cell>
          <cell r="C1119">
            <v>1998</v>
          </cell>
          <cell r="D1119">
            <v>90</v>
          </cell>
          <cell r="E1119">
            <v>3034</v>
          </cell>
          <cell r="F1119">
            <v>90</v>
          </cell>
          <cell r="G1119">
            <v>4862462.7382456809</v>
          </cell>
          <cell r="H1119" t="str">
            <v>;;=SUM(F45:G45);</v>
          </cell>
          <cell r="I1119" t="str">
            <v>.</v>
          </cell>
        </row>
        <row r="1120">
          <cell r="A1120">
            <v>826</v>
          </cell>
          <cell r="B1120" t="str">
            <v>United Kingdom</v>
          </cell>
          <cell r="C1120">
            <v>1998</v>
          </cell>
          <cell r="D1120">
            <v>90</v>
          </cell>
          <cell r="E1120">
            <v>3539</v>
          </cell>
          <cell r="F1120">
            <v>90</v>
          </cell>
          <cell r="G1120">
            <v>4448968.6666666679</v>
          </cell>
          <cell r="H1120" t="str">
            <v>;;=SUM(F46:G46);</v>
          </cell>
          <cell r="I1120" t="str">
            <v>.</v>
          </cell>
        </row>
        <row r="1121">
          <cell r="A1121">
            <v>826</v>
          </cell>
          <cell r="B1121" t="str">
            <v>United Kingdom</v>
          </cell>
          <cell r="C1121">
            <v>1998</v>
          </cell>
          <cell r="D1121">
            <v>90</v>
          </cell>
          <cell r="E1121">
            <v>4099</v>
          </cell>
          <cell r="F1121">
            <v>90</v>
          </cell>
          <cell r="G1121">
            <v>26659932.166666664</v>
          </cell>
          <cell r="H1121" t="str">
            <v>;;=SUM(F47:G47);</v>
          </cell>
          <cell r="I1121" t="str">
            <v>.</v>
          </cell>
        </row>
        <row r="1122">
          <cell r="A1122">
            <v>826</v>
          </cell>
          <cell r="B1122" t="str">
            <v>United Kingdom</v>
          </cell>
          <cell r="C1122">
            <v>1998</v>
          </cell>
          <cell r="D1122">
            <v>90</v>
          </cell>
          <cell r="E1122">
            <v>990000</v>
          </cell>
          <cell r="F1122">
            <v>90</v>
          </cell>
          <cell r="G1122">
            <v>0</v>
          </cell>
          <cell r="H1122" t="str">
            <v>n;</v>
          </cell>
          <cell r="I1122" t="str">
            <v>n</v>
          </cell>
        </row>
        <row r="1123">
          <cell r="A1123">
            <v>484</v>
          </cell>
          <cell r="B1123" t="str">
            <v>Mexico</v>
          </cell>
          <cell r="C1123">
            <v>1998</v>
          </cell>
          <cell r="D1123">
            <v>90</v>
          </cell>
          <cell r="E1123">
            <v>900000</v>
          </cell>
          <cell r="F1123">
            <v>90</v>
          </cell>
          <cell r="G1123">
            <v>95898809</v>
          </cell>
          <cell r="H1123" t="str">
            <v>;;=SUM(F11:G11);</v>
          </cell>
          <cell r="I1123" t="str">
            <v>.</v>
          </cell>
        </row>
        <row r="1124">
          <cell r="A1124">
            <v>484</v>
          </cell>
          <cell r="B1124" t="str">
            <v>Mexico</v>
          </cell>
          <cell r="C1124">
            <v>1998</v>
          </cell>
          <cell r="D1124">
            <v>90</v>
          </cell>
          <cell r="E1124">
            <v>300</v>
          </cell>
          <cell r="F1124">
            <v>90</v>
          </cell>
          <cell r="G1124">
            <v>6618857</v>
          </cell>
          <cell r="H1124" t="str">
            <v>;;=SUM(F12:G12);</v>
          </cell>
          <cell r="I1124" t="str">
            <v>.</v>
          </cell>
        </row>
        <row r="1125">
          <cell r="A1125">
            <v>392</v>
          </cell>
          <cell r="B1125" t="str">
            <v>Japan</v>
          </cell>
          <cell r="C1125">
            <v>1998</v>
          </cell>
          <cell r="D1125">
            <v>90</v>
          </cell>
          <cell r="E1125">
            <v>900000</v>
          </cell>
          <cell r="F1125">
            <v>90</v>
          </cell>
          <cell r="G1125">
            <v>126166000</v>
          </cell>
          <cell r="H1125" t="str">
            <v>;;=SUM(F11:G11);</v>
          </cell>
          <cell r="I1125" t="str">
            <v>.</v>
          </cell>
        </row>
        <row r="1126">
          <cell r="A1126">
            <v>392</v>
          </cell>
          <cell r="B1126" t="str">
            <v>Japan</v>
          </cell>
          <cell r="C1126">
            <v>1998</v>
          </cell>
          <cell r="D1126">
            <v>90</v>
          </cell>
          <cell r="E1126">
            <v>300</v>
          </cell>
          <cell r="F1126">
            <v>90</v>
          </cell>
          <cell r="G1126">
            <v>3573000</v>
          </cell>
          <cell r="H1126" t="str">
            <v>;;=SUM(F12:G12);</v>
          </cell>
          <cell r="I1126" t="str">
            <v>.</v>
          </cell>
        </row>
        <row r="1127">
          <cell r="A1127">
            <v>392</v>
          </cell>
          <cell r="B1127" t="str">
            <v>Japan</v>
          </cell>
          <cell r="C1127">
            <v>1998</v>
          </cell>
          <cell r="D1127">
            <v>90</v>
          </cell>
          <cell r="E1127">
            <v>303</v>
          </cell>
          <cell r="F1127">
            <v>90</v>
          </cell>
          <cell r="G1127">
            <v>1199000</v>
          </cell>
          <cell r="H1127" t="str">
            <v>;;=SUM(F13:G13);</v>
          </cell>
          <cell r="I1127" t="str">
            <v>.</v>
          </cell>
        </row>
        <row r="1128">
          <cell r="A1128">
            <v>392</v>
          </cell>
          <cell r="B1128" t="str">
            <v>Japan</v>
          </cell>
          <cell r="C1128">
            <v>1998</v>
          </cell>
          <cell r="D1128">
            <v>90</v>
          </cell>
          <cell r="E1128">
            <v>404</v>
          </cell>
          <cell r="F1128">
            <v>90</v>
          </cell>
          <cell r="G1128">
            <v>1184000</v>
          </cell>
          <cell r="H1128" t="str">
            <v>;;=SUM(F14:G14);</v>
          </cell>
          <cell r="I1128" t="str">
            <v>.</v>
          </cell>
        </row>
        <row r="1129">
          <cell r="A1129">
            <v>392</v>
          </cell>
          <cell r="B1129" t="str">
            <v>Japan</v>
          </cell>
          <cell r="C1129">
            <v>1998</v>
          </cell>
          <cell r="D1129">
            <v>90</v>
          </cell>
          <cell r="E1129">
            <v>505</v>
          </cell>
          <cell r="F1129">
            <v>90</v>
          </cell>
          <cell r="G1129">
            <v>1208000</v>
          </cell>
          <cell r="H1129" t="str">
            <v>;;=SUM(F15:G15);</v>
          </cell>
          <cell r="I1129" t="str">
            <v>.</v>
          </cell>
        </row>
        <row r="1130">
          <cell r="A1130">
            <v>392</v>
          </cell>
          <cell r="B1130" t="str">
            <v>Japan</v>
          </cell>
          <cell r="C1130">
            <v>1998</v>
          </cell>
          <cell r="D1130">
            <v>90</v>
          </cell>
          <cell r="E1130">
            <v>606</v>
          </cell>
          <cell r="F1130">
            <v>90</v>
          </cell>
          <cell r="G1130">
            <v>1210000</v>
          </cell>
          <cell r="H1130" t="str">
            <v>;;=SUM(F16:G16);</v>
          </cell>
          <cell r="I1130" t="str">
            <v>.</v>
          </cell>
        </row>
        <row r="1131">
          <cell r="A1131">
            <v>392</v>
          </cell>
          <cell r="B1131" t="str">
            <v>Japan</v>
          </cell>
          <cell r="C1131">
            <v>1998</v>
          </cell>
          <cell r="D1131">
            <v>90</v>
          </cell>
          <cell r="E1131">
            <v>707</v>
          </cell>
          <cell r="F1131">
            <v>90</v>
          </cell>
          <cell r="G1131">
            <v>1232000</v>
          </cell>
          <cell r="H1131"/>
          <cell r="I1131" t="str">
            <v>.</v>
          </cell>
        </row>
        <row r="1132">
          <cell r="A1132">
            <v>392</v>
          </cell>
          <cell r="B1132" t="str">
            <v>Japan</v>
          </cell>
          <cell r="C1132">
            <v>1998</v>
          </cell>
          <cell r="D1132">
            <v>90</v>
          </cell>
          <cell r="E1132">
            <v>808</v>
          </cell>
          <cell r="F1132">
            <v>90</v>
          </cell>
          <cell r="G1132">
            <v>1271000</v>
          </cell>
          <cell r="H1132" t="str">
            <v>;;=SUM(F18:G18);</v>
          </cell>
          <cell r="I1132" t="str">
            <v>.</v>
          </cell>
        </row>
        <row r="1133">
          <cell r="A1133">
            <v>392</v>
          </cell>
          <cell r="B1133" t="str">
            <v>Japan</v>
          </cell>
          <cell r="C1133">
            <v>1998</v>
          </cell>
          <cell r="D1133">
            <v>90</v>
          </cell>
          <cell r="E1133">
            <v>909</v>
          </cell>
          <cell r="F1133">
            <v>90</v>
          </cell>
          <cell r="G1133">
            <v>1313000</v>
          </cell>
          <cell r="H1133" t="str">
            <v>;;=SUM(F19:G19);</v>
          </cell>
          <cell r="I1133" t="str">
            <v>.</v>
          </cell>
        </row>
        <row r="1134">
          <cell r="A1134">
            <v>392</v>
          </cell>
          <cell r="B1134" t="str">
            <v>Japan</v>
          </cell>
          <cell r="C1134">
            <v>1998</v>
          </cell>
          <cell r="D1134">
            <v>90</v>
          </cell>
          <cell r="E1134">
            <v>509</v>
          </cell>
          <cell r="F1134">
            <v>90</v>
          </cell>
          <cell r="G1134">
            <v>6234000</v>
          </cell>
          <cell r="H1134" t="str">
            <v>;;=SUM(F20:G20);</v>
          </cell>
          <cell r="I1134" t="str">
            <v>.</v>
          </cell>
        </row>
        <row r="1135">
          <cell r="A1135">
            <v>392</v>
          </cell>
          <cell r="B1135" t="str">
            <v>Japan</v>
          </cell>
          <cell r="C1135">
            <v>1998</v>
          </cell>
          <cell r="D1135">
            <v>90</v>
          </cell>
          <cell r="E1135">
            <v>1010</v>
          </cell>
          <cell r="F1135">
            <v>90</v>
          </cell>
          <cell r="G1135">
            <v>1352000</v>
          </cell>
          <cell r="H1135" t="str">
            <v>;;=SUM(F21:G21);</v>
          </cell>
          <cell r="I1135" t="str">
            <v>.</v>
          </cell>
        </row>
        <row r="1136">
          <cell r="A1136">
            <v>392</v>
          </cell>
          <cell r="B1136" t="str">
            <v>Japan</v>
          </cell>
          <cell r="C1136">
            <v>1998</v>
          </cell>
          <cell r="D1136">
            <v>90</v>
          </cell>
          <cell r="E1136">
            <v>1111</v>
          </cell>
          <cell r="F1136">
            <v>90</v>
          </cell>
          <cell r="G1136">
            <v>1380000</v>
          </cell>
          <cell r="H1136" t="str">
            <v>;;=SUM(F22:G22);</v>
          </cell>
          <cell r="I1136" t="str">
            <v>.</v>
          </cell>
        </row>
        <row r="1137">
          <cell r="A1137">
            <v>392</v>
          </cell>
          <cell r="B1137" t="str">
            <v>Japan</v>
          </cell>
          <cell r="C1137">
            <v>1998</v>
          </cell>
          <cell r="D1137">
            <v>90</v>
          </cell>
          <cell r="E1137">
            <v>1212</v>
          </cell>
          <cell r="F1137">
            <v>90</v>
          </cell>
          <cell r="G1137">
            <v>1441000</v>
          </cell>
          <cell r="H1137" t="str">
            <v>;;=SUM(F23:G23);</v>
          </cell>
          <cell r="I1137" t="str">
            <v>.</v>
          </cell>
        </row>
        <row r="1138">
          <cell r="A1138">
            <v>392</v>
          </cell>
          <cell r="B1138" t="str">
            <v>Japan</v>
          </cell>
          <cell r="C1138">
            <v>1998</v>
          </cell>
          <cell r="D1138">
            <v>90</v>
          </cell>
          <cell r="E1138">
            <v>1313</v>
          </cell>
          <cell r="F1138">
            <v>90</v>
          </cell>
          <cell r="G1138">
            <v>1493000</v>
          </cell>
          <cell r="H1138" t="str">
            <v>;;=SUM(F24:G24);</v>
          </cell>
          <cell r="I1138" t="str">
            <v>.</v>
          </cell>
        </row>
        <row r="1139">
          <cell r="A1139">
            <v>392</v>
          </cell>
          <cell r="B1139" t="str">
            <v>Japan</v>
          </cell>
          <cell r="C1139">
            <v>1998</v>
          </cell>
          <cell r="D1139">
            <v>90</v>
          </cell>
          <cell r="E1139">
            <v>1414</v>
          </cell>
          <cell r="F1139">
            <v>90</v>
          </cell>
          <cell r="G1139">
            <v>1510000</v>
          </cell>
          <cell r="H1139" t="str">
            <v>;;=SUM(F25:G25);</v>
          </cell>
          <cell r="I1139" t="str">
            <v>.</v>
          </cell>
        </row>
        <row r="1140">
          <cell r="A1140">
            <v>392</v>
          </cell>
          <cell r="B1140" t="str">
            <v>Japan</v>
          </cell>
          <cell r="C1140">
            <v>1998</v>
          </cell>
          <cell r="D1140">
            <v>90</v>
          </cell>
          <cell r="E1140">
            <v>1014</v>
          </cell>
          <cell r="F1140">
            <v>90</v>
          </cell>
          <cell r="G1140">
            <v>7176000</v>
          </cell>
          <cell r="H1140" t="str">
            <v>;;=SUM(F26:G26);</v>
          </cell>
          <cell r="I1140" t="str">
            <v>.</v>
          </cell>
        </row>
        <row r="1141">
          <cell r="A1141">
            <v>392</v>
          </cell>
          <cell r="B1141" t="str">
            <v>Japan</v>
          </cell>
          <cell r="C1141">
            <v>1998</v>
          </cell>
          <cell r="D1141">
            <v>90</v>
          </cell>
          <cell r="E1141">
            <v>1515</v>
          </cell>
          <cell r="F1141">
            <v>90</v>
          </cell>
          <cell r="G1141">
            <v>1517000</v>
          </cell>
          <cell r="H1141"/>
          <cell r="I1141" t="str">
            <v>.</v>
          </cell>
        </row>
        <row r="1142">
          <cell r="A1142">
            <v>392</v>
          </cell>
          <cell r="B1142" t="str">
            <v>Japan</v>
          </cell>
          <cell r="C1142">
            <v>1998</v>
          </cell>
          <cell r="D1142">
            <v>90</v>
          </cell>
          <cell r="E1142">
            <v>1616</v>
          </cell>
          <cell r="F1142">
            <v>90</v>
          </cell>
          <cell r="G1142">
            <v>1531000</v>
          </cell>
          <cell r="H1142"/>
          <cell r="I1142" t="str">
            <v>.</v>
          </cell>
        </row>
        <row r="1143">
          <cell r="A1143">
            <v>392</v>
          </cell>
          <cell r="B1143" t="str">
            <v>Japan</v>
          </cell>
          <cell r="C1143">
            <v>1998</v>
          </cell>
          <cell r="D1143">
            <v>90</v>
          </cell>
          <cell r="E1143">
            <v>1717</v>
          </cell>
          <cell r="F1143">
            <v>90</v>
          </cell>
          <cell r="G1143">
            <v>1600000</v>
          </cell>
          <cell r="H1143" t="str">
            <v>;;=SUM(F29:G29);</v>
          </cell>
          <cell r="I1143" t="str">
            <v>.</v>
          </cell>
        </row>
        <row r="1144">
          <cell r="A1144">
            <v>392</v>
          </cell>
          <cell r="B1144" t="str">
            <v>Japan</v>
          </cell>
          <cell r="C1144">
            <v>1998</v>
          </cell>
          <cell r="D1144">
            <v>90</v>
          </cell>
          <cell r="E1144">
            <v>1818</v>
          </cell>
          <cell r="F1144">
            <v>90</v>
          </cell>
          <cell r="G1144">
            <v>1647000</v>
          </cell>
          <cell r="H1144" t="str">
            <v>;;=SUM(F30:G30);</v>
          </cell>
          <cell r="I1144" t="str">
            <v>.</v>
          </cell>
        </row>
        <row r="1145">
          <cell r="A1145">
            <v>392</v>
          </cell>
          <cell r="B1145" t="str">
            <v>Japan</v>
          </cell>
          <cell r="C1145">
            <v>1998</v>
          </cell>
          <cell r="D1145">
            <v>90</v>
          </cell>
          <cell r="E1145">
            <v>1919</v>
          </cell>
          <cell r="F1145">
            <v>90</v>
          </cell>
          <cell r="G1145">
            <v>1710000</v>
          </cell>
          <cell r="H1145" t="str">
            <v>;;=SUM(F31:G31);</v>
          </cell>
          <cell r="I1145" t="str">
            <v>.</v>
          </cell>
        </row>
        <row r="1146">
          <cell r="A1146">
            <v>392</v>
          </cell>
          <cell r="B1146" t="str">
            <v>Japan</v>
          </cell>
          <cell r="C1146">
            <v>1998</v>
          </cell>
          <cell r="D1146">
            <v>90</v>
          </cell>
          <cell r="E1146">
            <v>1519</v>
          </cell>
          <cell r="F1146">
            <v>90</v>
          </cell>
          <cell r="G1146">
            <v>8005000</v>
          </cell>
          <cell r="H1146" t="str">
            <v>;;=SUM(F32:G32);</v>
          </cell>
          <cell r="I1146" t="str">
            <v>.</v>
          </cell>
        </row>
        <row r="1147">
          <cell r="A1147">
            <v>392</v>
          </cell>
          <cell r="B1147" t="str">
            <v>Japan</v>
          </cell>
          <cell r="C1147">
            <v>1998</v>
          </cell>
          <cell r="D1147">
            <v>90</v>
          </cell>
          <cell r="E1147">
            <v>2020</v>
          </cell>
          <cell r="F1147">
            <v>90</v>
          </cell>
          <cell r="G1147">
            <v>1756000</v>
          </cell>
          <cell r="H1147"/>
          <cell r="I1147" t="str">
            <v>.</v>
          </cell>
        </row>
        <row r="1148">
          <cell r="A1148">
            <v>392</v>
          </cell>
          <cell r="B1148" t="str">
            <v>Japan</v>
          </cell>
          <cell r="C1148">
            <v>1998</v>
          </cell>
          <cell r="D1148">
            <v>90</v>
          </cell>
          <cell r="E1148">
            <v>2121</v>
          </cell>
          <cell r="F1148">
            <v>90</v>
          </cell>
          <cell r="G1148">
            <v>1851000</v>
          </cell>
          <cell r="H1148" t="str">
            <v>;;=SUM(F34:G34);</v>
          </cell>
          <cell r="I1148" t="str">
            <v>.</v>
          </cell>
        </row>
        <row r="1149">
          <cell r="A1149">
            <v>392</v>
          </cell>
          <cell r="B1149" t="str">
            <v>Japan</v>
          </cell>
          <cell r="C1149">
            <v>1998</v>
          </cell>
          <cell r="D1149">
            <v>90</v>
          </cell>
          <cell r="E1149">
            <v>2222</v>
          </cell>
          <cell r="F1149">
            <v>90</v>
          </cell>
          <cell r="G1149">
            <v>1922000</v>
          </cell>
          <cell r="H1149" t="str">
            <v>;;=SUM(F35:G35);</v>
          </cell>
          <cell r="I1149" t="str">
            <v>.</v>
          </cell>
        </row>
        <row r="1150">
          <cell r="A1150">
            <v>392</v>
          </cell>
          <cell r="B1150" t="str">
            <v>Japan</v>
          </cell>
          <cell r="C1150">
            <v>1998</v>
          </cell>
          <cell r="D1150">
            <v>90</v>
          </cell>
          <cell r="E1150">
            <v>2323</v>
          </cell>
          <cell r="F1150">
            <v>90</v>
          </cell>
          <cell r="G1150">
            <v>2014000</v>
          </cell>
          <cell r="H1150" t="str">
            <v>;;=SUM(F36:G36);</v>
          </cell>
          <cell r="I1150" t="str">
            <v>.</v>
          </cell>
        </row>
        <row r="1151">
          <cell r="A1151">
            <v>392</v>
          </cell>
          <cell r="B1151" t="str">
            <v>Japan</v>
          </cell>
          <cell r="C1151">
            <v>1998</v>
          </cell>
          <cell r="D1151">
            <v>90</v>
          </cell>
          <cell r="E1151">
            <v>2424</v>
          </cell>
          <cell r="F1151">
            <v>90</v>
          </cell>
          <cell r="G1151">
            <v>2040000</v>
          </cell>
          <cell r="H1151" t="str">
            <v>;;=SUM(F37:G37);</v>
          </cell>
          <cell r="I1151" t="str">
            <v>.</v>
          </cell>
        </row>
        <row r="1152">
          <cell r="A1152">
            <v>392</v>
          </cell>
          <cell r="B1152" t="str">
            <v>Japan</v>
          </cell>
          <cell r="C1152">
            <v>1998</v>
          </cell>
          <cell r="D1152">
            <v>90</v>
          </cell>
          <cell r="E1152">
            <v>2024</v>
          </cell>
          <cell r="F1152">
            <v>90</v>
          </cell>
          <cell r="G1152">
            <v>9583000</v>
          </cell>
          <cell r="H1152" t="str">
            <v>;;=SUM(F38:G38);</v>
          </cell>
          <cell r="I1152" t="str">
            <v>.</v>
          </cell>
        </row>
        <row r="1153">
          <cell r="A1153">
            <v>392</v>
          </cell>
          <cell r="B1153" t="str">
            <v>Japan</v>
          </cell>
          <cell r="C1153">
            <v>1998</v>
          </cell>
          <cell r="D1153">
            <v>90</v>
          </cell>
          <cell r="E1153">
            <v>2525</v>
          </cell>
          <cell r="F1153">
            <v>90</v>
          </cell>
          <cell r="G1153">
            <v>1994000</v>
          </cell>
          <cell r="H1153"/>
          <cell r="I1153" t="str">
            <v>.</v>
          </cell>
        </row>
        <row r="1154">
          <cell r="A1154">
            <v>392</v>
          </cell>
          <cell r="B1154" t="str">
            <v>Japan</v>
          </cell>
          <cell r="C1154">
            <v>1998</v>
          </cell>
          <cell r="D1154">
            <v>90</v>
          </cell>
          <cell r="E1154">
            <v>2626</v>
          </cell>
          <cell r="F1154">
            <v>90</v>
          </cell>
          <cell r="G1154">
            <v>1945000</v>
          </cell>
          <cell r="H1154" t="str">
            <v>;;=SUM(F40:G40);</v>
          </cell>
          <cell r="I1154" t="str">
            <v>.</v>
          </cell>
        </row>
        <row r="1155">
          <cell r="A1155">
            <v>392</v>
          </cell>
          <cell r="B1155" t="str">
            <v>Japan</v>
          </cell>
          <cell r="C1155">
            <v>1998</v>
          </cell>
          <cell r="D1155">
            <v>90</v>
          </cell>
          <cell r="E1155">
            <v>2727</v>
          </cell>
          <cell r="F1155">
            <v>90</v>
          </cell>
          <cell r="G1155">
            <v>1887000</v>
          </cell>
          <cell r="H1155" t="str">
            <v>;;=SUM(F41:G41);</v>
          </cell>
          <cell r="I1155" t="str">
            <v>.</v>
          </cell>
        </row>
        <row r="1156">
          <cell r="A1156">
            <v>392</v>
          </cell>
          <cell r="B1156" t="str">
            <v>Japan</v>
          </cell>
          <cell r="C1156">
            <v>1998</v>
          </cell>
          <cell r="D1156">
            <v>90</v>
          </cell>
          <cell r="E1156">
            <v>2828</v>
          </cell>
          <cell r="F1156">
            <v>90</v>
          </cell>
          <cell r="G1156">
            <v>1855000</v>
          </cell>
          <cell r="H1156"/>
          <cell r="I1156" t="str">
            <v>.</v>
          </cell>
        </row>
        <row r="1157">
          <cell r="A1157">
            <v>392</v>
          </cell>
          <cell r="B1157" t="str">
            <v>Japan</v>
          </cell>
          <cell r="C1157">
            <v>1998</v>
          </cell>
          <cell r="D1157">
            <v>90</v>
          </cell>
          <cell r="E1157">
            <v>2929</v>
          </cell>
          <cell r="F1157">
            <v>90</v>
          </cell>
          <cell r="G1157">
            <v>1818000</v>
          </cell>
          <cell r="H1157"/>
          <cell r="I1157" t="str">
            <v>.</v>
          </cell>
        </row>
        <row r="1158">
          <cell r="A1158">
            <v>392</v>
          </cell>
          <cell r="B1158" t="str">
            <v>Japan</v>
          </cell>
          <cell r="C1158">
            <v>1998</v>
          </cell>
          <cell r="D1158">
            <v>90</v>
          </cell>
          <cell r="E1158">
            <v>2529</v>
          </cell>
          <cell r="F1158">
            <v>90</v>
          </cell>
          <cell r="G1158">
            <v>9499000</v>
          </cell>
          <cell r="H1158"/>
          <cell r="I1158" t="str">
            <v>.</v>
          </cell>
        </row>
        <row r="1159">
          <cell r="A1159">
            <v>392</v>
          </cell>
          <cell r="B1159" t="str">
            <v>Japan</v>
          </cell>
          <cell r="C1159">
            <v>1998</v>
          </cell>
          <cell r="D1159">
            <v>90</v>
          </cell>
          <cell r="E1159">
            <v>3034</v>
          </cell>
          <cell r="F1159">
            <v>90</v>
          </cell>
          <cell r="G1159">
            <v>8266000</v>
          </cell>
          <cell r="H1159" t="str">
            <v>;;=SUM(F45:G45);</v>
          </cell>
          <cell r="I1159" t="str">
            <v>.</v>
          </cell>
        </row>
        <row r="1160">
          <cell r="A1160">
            <v>392</v>
          </cell>
          <cell r="B1160" t="str">
            <v>Japan</v>
          </cell>
          <cell r="C1160">
            <v>1998</v>
          </cell>
          <cell r="D1160">
            <v>90</v>
          </cell>
          <cell r="E1160">
            <v>3539</v>
          </cell>
          <cell r="F1160">
            <v>90</v>
          </cell>
          <cell r="G1160">
            <v>7810000</v>
          </cell>
          <cell r="H1160" t="str">
            <v>;;=SUM(F46:G46);</v>
          </cell>
          <cell r="I1160" t="str">
            <v>.</v>
          </cell>
        </row>
        <row r="1161">
          <cell r="A1161">
            <v>392</v>
          </cell>
          <cell r="B1161" t="str">
            <v>Japan</v>
          </cell>
          <cell r="C1161">
            <v>1998</v>
          </cell>
          <cell r="D1161">
            <v>90</v>
          </cell>
          <cell r="E1161">
            <v>4099</v>
          </cell>
          <cell r="F1161">
            <v>90</v>
          </cell>
          <cell r="G1161">
            <v>63637000</v>
          </cell>
          <cell r="H1161"/>
          <cell r="I1161" t="str">
            <v>.</v>
          </cell>
        </row>
        <row r="1162">
          <cell r="A1162">
            <v>392</v>
          </cell>
          <cell r="B1162" t="str">
            <v>Japan</v>
          </cell>
          <cell r="C1162">
            <v>1998</v>
          </cell>
          <cell r="D1162">
            <v>90</v>
          </cell>
          <cell r="E1162">
            <v>990000</v>
          </cell>
          <cell r="F1162">
            <v>90</v>
          </cell>
          <cell r="G1162">
            <v>0</v>
          </cell>
          <cell r="H1162" t="str">
            <v>n;</v>
          </cell>
          <cell r="I1162" t="str">
            <v>n</v>
          </cell>
        </row>
        <row r="1163">
          <cell r="A1163">
            <v>442</v>
          </cell>
          <cell r="B1163" t="str">
            <v>Luxembourg</v>
          </cell>
          <cell r="C1163">
            <v>1998</v>
          </cell>
          <cell r="D1163">
            <v>90</v>
          </cell>
          <cell r="E1163">
            <v>900000</v>
          </cell>
          <cell r="F1163">
            <v>90</v>
          </cell>
          <cell r="G1163">
            <v>423700</v>
          </cell>
          <cell r="H1163" t="str">
            <v>;;=SUM(F11:G11);</v>
          </cell>
          <cell r="I1163" t="str">
            <v>.</v>
          </cell>
        </row>
        <row r="1164">
          <cell r="A1164">
            <v>442</v>
          </cell>
          <cell r="B1164" t="str">
            <v>Luxembourg</v>
          </cell>
          <cell r="C1164">
            <v>1998</v>
          </cell>
          <cell r="D1164">
            <v>90</v>
          </cell>
          <cell r="E1164">
            <v>300</v>
          </cell>
          <cell r="F1164">
            <v>90</v>
          </cell>
          <cell r="G1164">
            <v>5485</v>
          </cell>
          <cell r="H1164" t="str">
            <v>;;=SUM(F12:G12);</v>
          </cell>
          <cell r="I1164" t="str">
            <v>.</v>
          </cell>
        </row>
        <row r="1165">
          <cell r="A1165">
            <v>442</v>
          </cell>
          <cell r="B1165" t="str">
            <v>Luxembourg</v>
          </cell>
          <cell r="C1165">
            <v>1998</v>
          </cell>
          <cell r="D1165">
            <v>90</v>
          </cell>
          <cell r="E1165">
            <v>303</v>
          </cell>
          <cell r="F1165">
            <v>90</v>
          </cell>
          <cell r="G1165">
            <v>5851</v>
          </cell>
          <cell r="H1165" t="str">
            <v>;;=SUM(F13:G13);</v>
          </cell>
          <cell r="I1165" t="str">
            <v>.</v>
          </cell>
        </row>
        <row r="1166">
          <cell r="A1166">
            <v>442</v>
          </cell>
          <cell r="B1166" t="str">
            <v>Luxembourg</v>
          </cell>
          <cell r="C1166">
            <v>1998</v>
          </cell>
          <cell r="D1166">
            <v>90</v>
          </cell>
          <cell r="E1166">
            <v>404</v>
          </cell>
          <cell r="F1166">
            <v>90</v>
          </cell>
          <cell r="G1166">
            <v>5729</v>
          </cell>
          <cell r="H1166" t="str">
            <v>;;=SUM(F14:G14);</v>
          </cell>
          <cell r="I1166" t="str">
            <v>.</v>
          </cell>
        </row>
        <row r="1167">
          <cell r="A1167">
            <v>442</v>
          </cell>
          <cell r="B1167" t="str">
            <v>Luxembourg</v>
          </cell>
          <cell r="C1167">
            <v>1998</v>
          </cell>
          <cell r="D1167">
            <v>90</v>
          </cell>
          <cell r="E1167">
            <v>505</v>
          </cell>
          <cell r="F1167">
            <v>90</v>
          </cell>
          <cell r="G1167">
            <v>5566</v>
          </cell>
          <cell r="H1167" t="str">
            <v>;;=SUM(F15:G15);</v>
          </cell>
          <cell r="I1167" t="str">
            <v>.</v>
          </cell>
        </row>
        <row r="1168">
          <cell r="A1168">
            <v>442</v>
          </cell>
          <cell r="B1168" t="str">
            <v>Luxembourg</v>
          </cell>
          <cell r="C1168">
            <v>1998</v>
          </cell>
          <cell r="D1168">
            <v>90</v>
          </cell>
          <cell r="E1168">
            <v>606</v>
          </cell>
          <cell r="F1168">
            <v>90</v>
          </cell>
          <cell r="G1168">
            <v>5327</v>
          </cell>
          <cell r="H1168" t="str">
            <v>;;=SUM(F16:G16);</v>
          </cell>
          <cell r="I1168" t="str">
            <v>.</v>
          </cell>
        </row>
        <row r="1169">
          <cell r="A1169">
            <v>442</v>
          </cell>
          <cell r="B1169" t="str">
            <v>Luxembourg</v>
          </cell>
          <cell r="C1169">
            <v>1998</v>
          </cell>
          <cell r="D1169">
            <v>90</v>
          </cell>
          <cell r="E1169">
            <v>707</v>
          </cell>
          <cell r="F1169">
            <v>90</v>
          </cell>
          <cell r="G1169">
            <v>5564</v>
          </cell>
          <cell r="H1169" t="str">
            <v>;;=SUM(F17:G17);</v>
          </cell>
          <cell r="I1169" t="str">
            <v>.</v>
          </cell>
        </row>
        <row r="1170">
          <cell r="A1170">
            <v>442</v>
          </cell>
          <cell r="B1170" t="str">
            <v>Luxembourg</v>
          </cell>
          <cell r="C1170">
            <v>1998</v>
          </cell>
          <cell r="D1170">
            <v>90</v>
          </cell>
          <cell r="E1170">
            <v>808</v>
          </cell>
          <cell r="F1170">
            <v>90</v>
          </cell>
          <cell r="G1170">
            <v>5207</v>
          </cell>
          <cell r="H1170" t="str">
            <v>;;=SUM(F18:G18);</v>
          </cell>
          <cell r="I1170" t="str">
            <v>.</v>
          </cell>
        </row>
        <row r="1171">
          <cell r="A1171">
            <v>442</v>
          </cell>
          <cell r="B1171" t="str">
            <v>Luxembourg</v>
          </cell>
          <cell r="C1171">
            <v>1998</v>
          </cell>
          <cell r="D1171">
            <v>90</v>
          </cell>
          <cell r="E1171">
            <v>909</v>
          </cell>
          <cell r="F1171">
            <v>90</v>
          </cell>
          <cell r="G1171">
            <v>5243</v>
          </cell>
          <cell r="H1171" t="str">
            <v>;;=SUM(F19:G19);</v>
          </cell>
          <cell r="I1171" t="str">
            <v>.</v>
          </cell>
        </row>
        <row r="1172">
          <cell r="A1172">
            <v>442</v>
          </cell>
          <cell r="B1172" t="str">
            <v>Luxembourg</v>
          </cell>
          <cell r="C1172">
            <v>1998</v>
          </cell>
          <cell r="D1172">
            <v>90</v>
          </cell>
          <cell r="E1172">
            <v>509</v>
          </cell>
          <cell r="F1172">
            <v>90</v>
          </cell>
          <cell r="G1172">
            <v>26907</v>
          </cell>
          <cell r="H1172" t="str">
            <v>;;=SUM(F20:G20);</v>
          </cell>
          <cell r="I1172" t="str">
            <v>.</v>
          </cell>
        </row>
        <row r="1173">
          <cell r="A1173">
            <v>442</v>
          </cell>
          <cell r="B1173" t="str">
            <v>Luxembourg</v>
          </cell>
          <cell r="C1173">
            <v>1998</v>
          </cell>
          <cell r="D1173">
            <v>90</v>
          </cell>
          <cell r="E1173">
            <v>1010</v>
          </cell>
          <cell r="F1173">
            <v>90</v>
          </cell>
          <cell r="G1173">
            <v>4913</v>
          </cell>
          <cell r="H1173" t="str">
            <v>;;=SUM(F21:G21);</v>
          </cell>
          <cell r="I1173" t="str">
            <v>.</v>
          </cell>
        </row>
        <row r="1174">
          <cell r="A1174">
            <v>442</v>
          </cell>
          <cell r="B1174" t="str">
            <v>Luxembourg</v>
          </cell>
          <cell r="C1174">
            <v>1998</v>
          </cell>
          <cell r="D1174">
            <v>90</v>
          </cell>
          <cell r="E1174">
            <v>1111</v>
          </cell>
          <cell r="F1174">
            <v>90</v>
          </cell>
          <cell r="G1174">
            <v>5040</v>
          </cell>
          <cell r="H1174" t="str">
            <v>;;=SUM(F22:G22);</v>
          </cell>
          <cell r="I1174" t="str">
            <v>.</v>
          </cell>
        </row>
        <row r="1175">
          <cell r="A1175">
            <v>442</v>
          </cell>
          <cell r="B1175" t="str">
            <v>Luxembourg</v>
          </cell>
          <cell r="C1175">
            <v>1998</v>
          </cell>
          <cell r="D1175">
            <v>90</v>
          </cell>
          <cell r="E1175">
            <v>1212</v>
          </cell>
          <cell r="F1175">
            <v>90</v>
          </cell>
          <cell r="G1175">
            <v>4566</v>
          </cell>
          <cell r="H1175" t="str">
            <v>;;=SUM(F23:G23);</v>
          </cell>
          <cell r="I1175" t="str">
            <v>.</v>
          </cell>
        </row>
        <row r="1176">
          <cell r="A1176">
            <v>442</v>
          </cell>
          <cell r="B1176" t="str">
            <v>Luxembourg</v>
          </cell>
          <cell r="C1176">
            <v>1998</v>
          </cell>
          <cell r="D1176">
            <v>90</v>
          </cell>
          <cell r="E1176">
            <v>1313</v>
          </cell>
          <cell r="F1176">
            <v>90</v>
          </cell>
          <cell r="G1176">
            <v>4657</v>
          </cell>
          <cell r="H1176" t="str">
            <v>;;=SUM(F24:G24);</v>
          </cell>
          <cell r="I1176" t="str">
            <v>.</v>
          </cell>
        </row>
        <row r="1177">
          <cell r="A1177">
            <v>442</v>
          </cell>
          <cell r="B1177" t="str">
            <v>Luxembourg</v>
          </cell>
          <cell r="C1177">
            <v>1998</v>
          </cell>
          <cell r="D1177">
            <v>90</v>
          </cell>
          <cell r="E1177">
            <v>1414</v>
          </cell>
          <cell r="F1177">
            <v>90</v>
          </cell>
          <cell r="G1177">
            <v>4650</v>
          </cell>
          <cell r="H1177" t="str">
            <v>;;=SUM(F25:G25);</v>
          </cell>
          <cell r="I1177" t="str">
            <v>.</v>
          </cell>
        </row>
        <row r="1178">
          <cell r="A1178">
            <v>442</v>
          </cell>
          <cell r="B1178" t="str">
            <v>Luxembourg</v>
          </cell>
          <cell r="C1178">
            <v>1998</v>
          </cell>
          <cell r="D1178">
            <v>90</v>
          </cell>
          <cell r="E1178">
            <v>1014</v>
          </cell>
          <cell r="F1178">
            <v>90</v>
          </cell>
          <cell r="G1178">
            <v>23826</v>
          </cell>
          <cell r="H1178" t="str">
            <v>;;=SUM(F26:G26);</v>
          </cell>
          <cell r="I1178" t="str">
            <v>.</v>
          </cell>
        </row>
        <row r="1179">
          <cell r="A1179">
            <v>442</v>
          </cell>
          <cell r="B1179" t="str">
            <v>Luxembourg</v>
          </cell>
          <cell r="C1179">
            <v>1998</v>
          </cell>
          <cell r="D1179">
            <v>90</v>
          </cell>
          <cell r="E1179">
            <v>1515</v>
          </cell>
          <cell r="F1179">
            <v>90</v>
          </cell>
          <cell r="G1179">
            <v>4648</v>
          </cell>
          <cell r="H1179" t="str">
            <v>;;=SUM(F27:G27);</v>
          </cell>
          <cell r="I1179" t="str">
            <v>.</v>
          </cell>
        </row>
        <row r="1180">
          <cell r="A1180">
            <v>442</v>
          </cell>
          <cell r="B1180" t="str">
            <v>Luxembourg</v>
          </cell>
          <cell r="C1180">
            <v>1998</v>
          </cell>
          <cell r="D1180">
            <v>90</v>
          </cell>
          <cell r="E1180">
            <v>1616</v>
          </cell>
          <cell r="F1180">
            <v>90</v>
          </cell>
          <cell r="G1180">
            <v>4856</v>
          </cell>
          <cell r="H1180" t="str">
            <v>;;=SUM(F28:G28);</v>
          </cell>
          <cell r="I1180" t="str">
            <v>.</v>
          </cell>
        </row>
        <row r="1181">
          <cell r="A1181">
            <v>442</v>
          </cell>
          <cell r="B1181" t="str">
            <v>Luxembourg</v>
          </cell>
          <cell r="C1181">
            <v>1998</v>
          </cell>
          <cell r="D1181">
            <v>90</v>
          </cell>
          <cell r="E1181">
            <v>1717</v>
          </cell>
          <cell r="F1181">
            <v>90</v>
          </cell>
          <cell r="G1181">
            <v>4655</v>
          </cell>
          <cell r="H1181" t="str">
            <v>;;=SUM(F29:G29);</v>
          </cell>
          <cell r="I1181" t="str">
            <v>.</v>
          </cell>
        </row>
        <row r="1182">
          <cell r="A1182">
            <v>442</v>
          </cell>
          <cell r="B1182" t="str">
            <v>Luxembourg</v>
          </cell>
          <cell r="C1182">
            <v>1998</v>
          </cell>
          <cell r="D1182">
            <v>90</v>
          </cell>
          <cell r="E1182">
            <v>1818</v>
          </cell>
          <cell r="F1182">
            <v>90</v>
          </cell>
          <cell r="G1182">
            <v>4619</v>
          </cell>
          <cell r="H1182" t="str">
            <v>;;=SUM(F30:G30);</v>
          </cell>
          <cell r="I1182" t="str">
            <v>.</v>
          </cell>
        </row>
        <row r="1183">
          <cell r="A1183">
            <v>442</v>
          </cell>
          <cell r="B1183" t="str">
            <v>Luxembourg</v>
          </cell>
          <cell r="C1183">
            <v>1998</v>
          </cell>
          <cell r="D1183">
            <v>90</v>
          </cell>
          <cell r="E1183">
            <v>1919</v>
          </cell>
          <cell r="F1183">
            <v>90</v>
          </cell>
          <cell r="G1183">
            <v>4557</v>
          </cell>
          <cell r="H1183" t="str">
            <v>;;=SUM(F31:G31);</v>
          </cell>
          <cell r="I1183" t="str">
            <v>.</v>
          </cell>
        </row>
        <row r="1184">
          <cell r="A1184">
            <v>442</v>
          </cell>
          <cell r="B1184" t="str">
            <v>Luxembourg</v>
          </cell>
          <cell r="C1184">
            <v>1998</v>
          </cell>
          <cell r="D1184">
            <v>90</v>
          </cell>
          <cell r="E1184">
            <v>1519</v>
          </cell>
          <cell r="F1184">
            <v>90</v>
          </cell>
          <cell r="G1184">
            <v>23335</v>
          </cell>
          <cell r="H1184" t="str">
            <v>;;=SUM(F32:G32);</v>
          </cell>
          <cell r="I1184" t="str">
            <v>.</v>
          </cell>
        </row>
        <row r="1185">
          <cell r="A1185">
            <v>442</v>
          </cell>
          <cell r="B1185" t="str">
            <v>Luxembourg</v>
          </cell>
          <cell r="C1185">
            <v>1998</v>
          </cell>
          <cell r="D1185">
            <v>90</v>
          </cell>
          <cell r="E1185">
            <v>2020</v>
          </cell>
          <cell r="F1185">
            <v>90</v>
          </cell>
          <cell r="G1185">
            <v>4654</v>
          </cell>
          <cell r="H1185" t="str">
            <v>;;=SUM(F33:G33);</v>
          </cell>
          <cell r="I1185" t="str">
            <v>.</v>
          </cell>
        </row>
        <row r="1186">
          <cell r="A1186">
            <v>442</v>
          </cell>
          <cell r="B1186" t="str">
            <v>Luxembourg</v>
          </cell>
          <cell r="C1186">
            <v>1998</v>
          </cell>
          <cell r="D1186">
            <v>90</v>
          </cell>
          <cell r="E1186">
            <v>2121</v>
          </cell>
          <cell r="F1186">
            <v>90</v>
          </cell>
          <cell r="G1186">
            <v>4771</v>
          </cell>
          <cell r="H1186" t="str">
            <v>;;=SUM(F34:G34);</v>
          </cell>
          <cell r="I1186" t="str">
            <v>.</v>
          </cell>
        </row>
        <row r="1187">
          <cell r="A1187">
            <v>442</v>
          </cell>
          <cell r="B1187" t="str">
            <v>Luxembourg</v>
          </cell>
          <cell r="C1187">
            <v>1998</v>
          </cell>
          <cell r="D1187">
            <v>90</v>
          </cell>
          <cell r="E1187">
            <v>2222</v>
          </cell>
          <cell r="F1187">
            <v>90</v>
          </cell>
          <cell r="G1187">
            <v>5001</v>
          </cell>
          <cell r="H1187" t="str">
            <v>;;=SUM(F35:G35);</v>
          </cell>
          <cell r="I1187" t="str">
            <v>.</v>
          </cell>
        </row>
        <row r="1188">
          <cell r="A1188">
            <v>442</v>
          </cell>
          <cell r="B1188" t="str">
            <v>Luxembourg</v>
          </cell>
          <cell r="C1188">
            <v>1998</v>
          </cell>
          <cell r="D1188">
            <v>90</v>
          </cell>
          <cell r="E1188">
            <v>2323</v>
          </cell>
          <cell r="F1188">
            <v>90</v>
          </cell>
          <cell r="G1188">
            <v>4889</v>
          </cell>
          <cell r="H1188" t="str">
            <v>;;=SUM(F36:G36);</v>
          </cell>
          <cell r="I1188" t="str">
            <v>.</v>
          </cell>
        </row>
        <row r="1189">
          <cell r="A1189">
            <v>442</v>
          </cell>
          <cell r="B1189" t="str">
            <v>Luxembourg</v>
          </cell>
          <cell r="C1189">
            <v>1998</v>
          </cell>
          <cell r="D1189">
            <v>90</v>
          </cell>
          <cell r="E1189">
            <v>2424</v>
          </cell>
          <cell r="F1189">
            <v>90</v>
          </cell>
          <cell r="G1189">
            <v>5250</v>
          </cell>
          <cell r="H1189" t="str">
            <v>;;=SUM(F37:G37);</v>
          </cell>
          <cell r="I1189" t="str">
            <v>.</v>
          </cell>
        </row>
        <row r="1190">
          <cell r="A1190">
            <v>442</v>
          </cell>
          <cell r="B1190" t="str">
            <v>Luxembourg</v>
          </cell>
          <cell r="C1190">
            <v>1998</v>
          </cell>
          <cell r="D1190">
            <v>90</v>
          </cell>
          <cell r="E1190">
            <v>2024</v>
          </cell>
          <cell r="F1190">
            <v>90</v>
          </cell>
          <cell r="G1190">
            <v>24565</v>
          </cell>
          <cell r="H1190" t="str">
            <v>;;=SUM(F38:G38);</v>
          </cell>
          <cell r="I1190" t="str">
            <v>.</v>
          </cell>
        </row>
        <row r="1191">
          <cell r="A1191">
            <v>442</v>
          </cell>
          <cell r="B1191" t="str">
            <v>Luxembourg</v>
          </cell>
          <cell r="C1191">
            <v>1998</v>
          </cell>
          <cell r="D1191">
            <v>90</v>
          </cell>
          <cell r="E1191">
            <v>2525</v>
          </cell>
          <cell r="F1191">
            <v>90</v>
          </cell>
          <cell r="G1191">
            <v>5918</v>
          </cell>
          <cell r="H1191" t="str">
            <v>;;=SUM(F39:G39);</v>
          </cell>
          <cell r="I1191" t="str">
            <v>.</v>
          </cell>
        </row>
        <row r="1192">
          <cell r="A1192">
            <v>442</v>
          </cell>
          <cell r="B1192" t="str">
            <v>Luxembourg</v>
          </cell>
          <cell r="C1192">
            <v>1998</v>
          </cell>
          <cell r="D1192">
            <v>90</v>
          </cell>
          <cell r="E1192">
            <v>2626</v>
          </cell>
          <cell r="F1192">
            <v>90</v>
          </cell>
          <cell r="G1192">
            <v>6412</v>
          </cell>
          <cell r="H1192" t="str">
            <v>;;=SUM(F40:G40);</v>
          </cell>
          <cell r="I1192" t="str">
            <v>.</v>
          </cell>
        </row>
        <row r="1193">
          <cell r="A1193">
            <v>442</v>
          </cell>
          <cell r="B1193" t="str">
            <v>Luxembourg</v>
          </cell>
          <cell r="C1193">
            <v>1998</v>
          </cell>
          <cell r="D1193">
            <v>90</v>
          </cell>
          <cell r="E1193">
            <v>2727</v>
          </cell>
          <cell r="F1193">
            <v>90</v>
          </cell>
          <cell r="G1193">
            <v>6442</v>
          </cell>
          <cell r="H1193" t="str">
            <v>;;=SUM(F41:G41);</v>
          </cell>
          <cell r="I1193" t="str">
            <v>.</v>
          </cell>
        </row>
        <row r="1194">
          <cell r="A1194">
            <v>442</v>
          </cell>
          <cell r="B1194" t="str">
            <v>Luxembourg</v>
          </cell>
          <cell r="C1194">
            <v>1998</v>
          </cell>
          <cell r="D1194">
            <v>90</v>
          </cell>
          <cell r="E1194">
            <v>2828</v>
          </cell>
          <cell r="F1194">
            <v>90</v>
          </cell>
          <cell r="G1194">
            <v>6722</v>
          </cell>
          <cell r="H1194" t="str">
            <v>;;=SUM(F42:G42);</v>
          </cell>
          <cell r="I1194" t="str">
            <v>.</v>
          </cell>
        </row>
        <row r="1195">
          <cell r="A1195">
            <v>442</v>
          </cell>
          <cell r="B1195" t="str">
            <v>Luxembourg</v>
          </cell>
          <cell r="C1195">
            <v>1998</v>
          </cell>
          <cell r="D1195">
            <v>90</v>
          </cell>
          <cell r="E1195">
            <v>2929</v>
          </cell>
          <cell r="F1195">
            <v>90</v>
          </cell>
          <cell r="G1195">
            <v>6931</v>
          </cell>
          <cell r="H1195" t="str">
            <v>;;=SUM(F43:G43);</v>
          </cell>
          <cell r="I1195" t="str">
            <v>.</v>
          </cell>
        </row>
        <row r="1196">
          <cell r="A1196">
            <v>442</v>
          </cell>
          <cell r="B1196" t="str">
            <v>Luxembourg</v>
          </cell>
          <cell r="C1196">
            <v>1998</v>
          </cell>
          <cell r="D1196">
            <v>90</v>
          </cell>
          <cell r="E1196">
            <v>2529</v>
          </cell>
          <cell r="F1196">
            <v>90</v>
          </cell>
          <cell r="G1196">
            <v>32425</v>
          </cell>
          <cell r="H1196" t="str">
            <v>;;=SUM(F44:G44);</v>
          </cell>
          <cell r="I1196" t="str">
            <v>.</v>
          </cell>
        </row>
        <row r="1197">
          <cell r="A1197">
            <v>442</v>
          </cell>
          <cell r="B1197" t="str">
            <v>Luxembourg</v>
          </cell>
          <cell r="C1197">
            <v>1998</v>
          </cell>
          <cell r="D1197">
            <v>90</v>
          </cell>
          <cell r="E1197">
            <v>3034</v>
          </cell>
          <cell r="F1197">
            <v>90</v>
          </cell>
          <cell r="G1197">
            <v>37288</v>
          </cell>
          <cell r="H1197" t="str">
            <v>;;=SUM(F45:G45);</v>
          </cell>
          <cell r="I1197" t="str">
            <v>.</v>
          </cell>
        </row>
        <row r="1198">
          <cell r="A1198">
            <v>442</v>
          </cell>
          <cell r="B1198" t="str">
            <v>Luxembourg</v>
          </cell>
          <cell r="C1198">
            <v>1998</v>
          </cell>
          <cell r="D1198">
            <v>90</v>
          </cell>
          <cell r="E1198">
            <v>3539</v>
          </cell>
          <cell r="F1198">
            <v>90</v>
          </cell>
          <cell r="G1198">
            <v>35755</v>
          </cell>
          <cell r="H1198" t="str">
            <v>;;=SUM(F46:G46);</v>
          </cell>
          <cell r="I1198" t="str">
            <v>.</v>
          </cell>
        </row>
        <row r="1199">
          <cell r="A1199">
            <v>442</v>
          </cell>
          <cell r="B1199" t="str">
            <v>Luxembourg</v>
          </cell>
          <cell r="C1199">
            <v>1998</v>
          </cell>
          <cell r="D1199">
            <v>90</v>
          </cell>
          <cell r="E1199">
            <v>4099</v>
          </cell>
          <cell r="F1199">
            <v>90</v>
          </cell>
          <cell r="G1199">
            <v>214114</v>
          </cell>
          <cell r="H1199" t="str">
            <v>;;=SUM(F47:G47);</v>
          </cell>
          <cell r="I1199" t="str">
            <v>.</v>
          </cell>
        </row>
        <row r="1200">
          <cell r="A1200">
            <v>442</v>
          </cell>
          <cell r="B1200" t="str">
            <v>Luxembourg</v>
          </cell>
          <cell r="C1200">
            <v>1998</v>
          </cell>
          <cell r="D1200">
            <v>90</v>
          </cell>
          <cell r="E1200">
            <v>990000</v>
          </cell>
          <cell r="F1200">
            <v>90</v>
          </cell>
          <cell r="G1200">
            <v>0</v>
          </cell>
          <cell r="H1200" t="str">
            <v>n;</v>
          </cell>
          <cell r="I1200" t="str">
            <v>n</v>
          </cell>
        </row>
        <row r="1201">
          <cell r="A1201">
            <v>380</v>
          </cell>
          <cell r="B1201" t="str">
            <v>Italy</v>
          </cell>
          <cell r="C1201">
            <v>1998</v>
          </cell>
          <cell r="D1201">
            <v>90</v>
          </cell>
          <cell r="E1201">
            <v>900000</v>
          </cell>
          <cell r="F1201">
            <v>90</v>
          </cell>
          <cell r="G1201">
            <v>57563354</v>
          </cell>
          <cell r="H1201" t="str">
            <v>;;=SUM(F11:G11);</v>
          </cell>
          <cell r="I1201" t="str">
            <v>.</v>
          </cell>
        </row>
        <row r="1202">
          <cell r="A1202">
            <v>380</v>
          </cell>
          <cell r="B1202" t="str">
            <v>Italy</v>
          </cell>
          <cell r="C1202">
            <v>1998</v>
          </cell>
          <cell r="D1202">
            <v>90</v>
          </cell>
          <cell r="E1202">
            <v>300</v>
          </cell>
          <cell r="F1202">
            <v>90</v>
          </cell>
          <cell r="G1202">
            <v>1595335</v>
          </cell>
          <cell r="H1202" t="str">
            <v>;;=SUM(F12:G12);</v>
          </cell>
          <cell r="I1202" t="str">
            <v>.</v>
          </cell>
        </row>
        <row r="1203">
          <cell r="A1203">
            <v>380</v>
          </cell>
          <cell r="B1203" t="str">
            <v>Italy</v>
          </cell>
          <cell r="C1203">
            <v>1998</v>
          </cell>
          <cell r="D1203">
            <v>90</v>
          </cell>
          <cell r="E1203">
            <v>303</v>
          </cell>
          <cell r="F1203">
            <v>90</v>
          </cell>
          <cell r="G1203">
            <v>537787</v>
          </cell>
          <cell r="H1203" t="str">
            <v>;;=SUM(F13:G13);</v>
          </cell>
          <cell r="I1203" t="str">
            <v>.</v>
          </cell>
        </row>
        <row r="1204">
          <cell r="A1204">
            <v>380</v>
          </cell>
          <cell r="B1204" t="str">
            <v>Italy</v>
          </cell>
          <cell r="C1204">
            <v>1998</v>
          </cell>
          <cell r="D1204">
            <v>90</v>
          </cell>
          <cell r="E1204">
            <v>404</v>
          </cell>
          <cell r="F1204">
            <v>90</v>
          </cell>
          <cell r="G1204">
            <v>555772</v>
          </cell>
          <cell r="H1204" t="str">
            <v>;;=SUM(F14:G14);</v>
          </cell>
          <cell r="I1204" t="str">
            <v>.</v>
          </cell>
        </row>
        <row r="1205">
          <cell r="A1205">
            <v>380</v>
          </cell>
          <cell r="B1205" t="str">
            <v>Italy</v>
          </cell>
          <cell r="C1205">
            <v>1998</v>
          </cell>
          <cell r="D1205">
            <v>90</v>
          </cell>
          <cell r="E1205">
            <v>505</v>
          </cell>
          <cell r="F1205">
            <v>90</v>
          </cell>
          <cell r="G1205">
            <v>580399</v>
          </cell>
          <cell r="H1205" t="str">
            <v>;;=SUM(F15:G15);</v>
          </cell>
          <cell r="I1205" t="str">
            <v>.</v>
          </cell>
        </row>
        <row r="1206">
          <cell r="A1206">
            <v>380</v>
          </cell>
          <cell r="B1206" t="str">
            <v>Italy</v>
          </cell>
          <cell r="C1206">
            <v>1998</v>
          </cell>
          <cell r="D1206">
            <v>90</v>
          </cell>
          <cell r="E1206">
            <v>606</v>
          </cell>
          <cell r="F1206">
            <v>90</v>
          </cell>
          <cell r="G1206">
            <v>555780</v>
          </cell>
          <cell r="H1206" t="str">
            <v>;;=SUM(F16:G16);</v>
          </cell>
          <cell r="I1206" t="str">
            <v>.</v>
          </cell>
        </row>
        <row r="1207">
          <cell r="A1207">
            <v>380</v>
          </cell>
          <cell r="B1207" t="str">
            <v>Italy</v>
          </cell>
          <cell r="C1207">
            <v>1998</v>
          </cell>
          <cell r="D1207">
            <v>90</v>
          </cell>
          <cell r="E1207">
            <v>707</v>
          </cell>
          <cell r="F1207">
            <v>90</v>
          </cell>
          <cell r="G1207">
            <v>560325</v>
          </cell>
          <cell r="H1207" t="str">
            <v>;;=SUM(F17:G17);</v>
          </cell>
          <cell r="I1207" t="str">
            <v>.</v>
          </cell>
        </row>
        <row r="1208">
          <cell r="A1208">
            <v>380</v>
          </cell>
          <cell r="B1208" t="str">
            <v>Italy</v>
          </cell>
          <cell r="C1208">
            <v>1998</v>
          </cell>
          <cell r="D1208">
            <v>90</v>
          </cell>
          <cell r="E1208">
            <v>808</v>
          </cell>
          <cell r="F1208">
            <v>90</v>
          </cell>
          <cell r="G1208">
            <v>563610</v>
          </cell>
          <cell r="H1208" t="str">
            <v>;;=SUM(F18:G18);</v>
          </cell>
          <cell r="I1208" t="str">
            <v>.</v>
          </cell>
        </row>
        <row r="1209">
          <cell r="A1209">
            <v>380</v>
          </cell>
          <cell r="B1209" t="str">
            <v>Italy</v>
          </cell>
          <cell r="C1209">
            <v>1998</v>
          </cell>
          <cell r="D1209">
            <v>90</v>
          </cell>
          <cell r="E1209">
            <v>909</v>
          </cell>
          <cell r="F1209">
            <v>90</v>
          </cell>
          <cell r="G1209">
            <v>565077</v>
          </cell>
          <cell r="H1209" t="str">
            <v>;;=SUM(F19:G19);</v>
          </cell>
          <cell r="I1209" t="str">
            <v>.</v>
          </cell>
        </row>
        <row r="1210">
          <cell r="A1210">
            <v>380</v>
          </cell>
          <cell r="B1210" t="str">
            <v>Italy</v>
          </cell>
          <cell r="C1210">
            <v>1998</v>
          </cell>
          <cell r="D1210">
            <v>90</v>
          </cell>
          <cell r="E1210">
            <v>509</v>
          </cell>
          <cell r="F1210">
            <v>90</v>
          </cell>
          <cell r="G1210">
            <v>2825191</v>
          </cell>
          <cell r="H1210" t="str">
            <v>;;=SUM(F20:G20);</v>
          </cell>
          <cell r="I1210" t="str">
            <v>.</v>
          </cell>
        </row>
        <row r="1211">
          <cell r="A1211">
            <v>380</v>
          </cell>
          <cell r="B1211" t="str">
            <v>Italy</v>
          </cell>
          <cell r="C1211">
            <v>1998</v>
          </cell>
          <cell r="D1211">
            <v>90</v>
          </cell>
          <cell r="E1211">
            <v>1010</v>
          </cell>
          <cell r="F1211">
            <v>90</v>
          </cell>
          <cell r="G1211">
            <v>552703</v>
          </cell>
          <cell r="H1211" t="str">
            <v>;;=SUM(F21:G21);</v>
          </cell>
          <cell r="I1211" t="str">
            <v>.</v>
          </cell>
        </row>
        <row r="1212">
          <cell r="A1212">
            <v>380</v>
          </cell>
          <cell r="B1212" t="str">
            <v>Italy</v>
          </cell>
          <cell r="C1212">
            <v>1998</v>
          </cell>
          <cell r="D1212">
            <v>90</v>
          </cell>
          <cell r="E1212">
            <v>1111</v>
          </cell>
          <cell r="F1212">
            <v>90</v>
          </cell>
          <cell r="G1212">
            <v>556272</v>
          </cell>
          <cell r="H1212" t="str">
            <v>;;=SUM(F22:G22);</v>
          </cell>
          <cell r="I1212" t="str">
            <v>.</v>
          </cell>
        </row>
        <row r="1213">
          <cell r="A1213">
            <v>380</v>
          </cell>
          <cell r="B1213" t="str">
            <v>Italy</v>
          </cell>
          <cell r="C1213">
            <v>1998</v>
          </cell>
          <cell r="D1213">
            <v>90</v>
          </cell>
          <cell r="E1213">
            <v>1212</v>
          </cell>
          <cell r="F1213">
            <v>90</v>
          </cell>
          <cell r="G1213">
            <v>576726</v>
          </cell>
          <cell r="H1213" t="str">
            <v>;;=SUM(F23:G23);</v>
          </cell>
          <cell r="I1213" t="str">
            <v>.</v>
          </cell>
        </row>
        <row r="1214">
          <cell r="A1214">
            <v>380</v>
          </cell>
          <cell r="B1214" t="str">
            <v>Italy</v>
          </cell>
          <cell r="C1214">
            <v>1998</v>
          </cell>
          <cell r="D1214">
            <v>90</v>
          </cell>
          <cell r="E1214">
            <v>1313</v>
          </cell>
          <cell r="F1214">
            <v>90</v>
          </cell>
          <cell r="G1214">
            <v>584417</v>
          </cell>
          <cell r="H1214" t="str">
            <v>;;=SUM(F24:G24);</v>
          </cell>
          <cell r="I1214" t="str">
            <v>.</v>
          </cell>
        </row>
        <row r="1215">
          <cell r="A1215">
            <v>380</v>
          </cell>
          <cell r="B1215" t="str">
            <v>Italy</v>
          </cell>
          <cell r="C1215">
            <v>1998</v>
          </cell>
          <cell r="D1215">
            <v>90</v>
          </cell>
          <cell r="E1215">
            <v>1414</v>
          </cell>
          <cell r="F1215">
            <v>90</v>
          </cell>
          <cell r="G1215">
            <v>598304</v>
          </cell>
          <cell r="H1215" t="str">
            <v>;;=SUM(F25:G25);</v>
          </cell>
          <cell r="I1215" t="str">
            <v>.</v>
          </cell>
        </row>
        <row r="1216">
          <cell r="A1216">
            <v>380</v>
          </cell>
          <cell r="B1216" t="str">
            <v>Italy</v>
          </cell>
          <cell r="C1216">
            <v>1998</v>
          </cell>
          <cell r="D1216">
            <v>90</v>
          </cell>
          <cell r="E1216">
            <v>1014</v>
          </cell>
          <cell r="F1216">
            <v>90</v>
          </cell>
          <cell r="G1216">
            <v>2868422</v>
          </cell>
          <cell r="H1216" t="str">
            <v>;;=SUM(F26:G26);</v>
          </cell>
          <cell r="I1216" t="str">
            <v>.</v>
          </cell>
        </row>
        <row r="1217">
          <cell r="A1217">
            <v>380</v>
          </cell>
          <cell r="B1217" t="str">
            <v>Italy</v>
          </cell>
          <cell r="C1217">
            <v>1998</v>
          </cell>
          <cell r="D1217">
            <v>90</v>
          </cell>
          <cell r="E1217">
            <v>1515</v>
          </cell>
          <cell r="F1217">
            <v>90</v>
          </cell>
          <cell r="G1217">
            <v>617881</v>
          </cell>
          <cell r="H1217" t="str">
            <v>;;=SUM(F27:G27);</v>
          </cell>
          <cell r="I1217" t="str">
            <v>.</v>
          </cell>
        </row>
        <row r="1218">
          <cell r="A1218">
            <v>380</v>
          </cell>
          <cell r="B1218" t="str">
            <v>Italy</v>
          </cell>
          <cell r="C1218">
            <v>1998</v>
          </cell>
          <cell r="D1218">
            <v>90</v>
          </cell>
          <cell r="E1218">
            <v>1616</v>
          </cell>
          <cell r="F1218">
            <v>90</v>
          </cell>
          <cell r="G1218">
            <v>631825</v>
          </cell>
          <cell r="H1218" t="str">
            <v>;;=SUM(F28:G28);</v>
          </cell>
          <cell r="I1218" t="str">
            <v>.</v>
          </cell>
        </row>
        <row r="1219">
          <cell r="A1219">
            <v>372</v>
          </cell>
          <cell r="B1219" t="str">
            <v>Ireland</v>
          </cell>
          <cell r="C1219">
            <v>1998</v>
          </cell>
          <cell r="D1219">
            <v>90</v>
          </cell>
          <cell r="E1219">
            <v>1014</v>
          </cell>
          <cell r="F1219">
            <v>90</v>
          </cell>
          <cell r="G1219">
            <v>310560</v>
          </cell>
          <cell r="H1219" t="str">
            <v>;;=SUM(F26:G26);</v>
          </cell>
          <cell r="I1219" t="str">
            <v>.</v>
          </cell>
        </row>
        <row r="1220">
          <cell r="A1220">
            <v>372</v>
          </cell>
          <cell r="B1220" t="str">
            <v>Ireland</v>
          </cell>
          <cell r="C1220">
            <v>1998</v>
          </cell>
          <cell r="D1220">
            <v>90</v>
          </cell>
          <cell r="E1220">
            <v>1515</v>
          </cell>
          <cell r="F1220">
            <v>90</v>
          </cell>
          <cell r="G1220">
            <v>68610</v>
          </cell>
          <cell r="H1220" t="str">
            <v>;;=SUM(F27:G27);</v>
          </cell>
          <cell r="I1220" t="str">
            <v>.</v>
          </cell>
        </row>
        <row r="1221">
          <cell r="A1221">
            <v>372</v>
          </cell>
          <cell r="B1221" t="str">
            <v>Ireland</v>
          </cell>
          <cell r="C1221">
            <v>1998</v>
          </cell>
          <cell r="D1221">
            <v>90</v>
          </cell>
          <cell r="E1221">
            <v>1616</v>
          </cell>
          <cell r="F1221">
            <v>90</v>
          </cell>
          <cell r="G1221">
            <v>70430</v>
          </cell>
          <cell r="H1221" t="str">
            <v>;;=SUM(F28:G28);</v>
          </cell>
          <cell r="I1221" t="str">
            <v>.</v>
          </cell>
        </row>
        <row r="1222">
          <cell r="A1222">
            <v>372</v>
          </cell>
          <cell r="B1222" t="str">
            <v>Ireland</v>
          </cell>
          <cell r="C1222">
            <v>1998</v>
          </cell>
          <cell r="D1222">
            <v>90</v>
          </cell>
          <cell r="E1222">
            <v>1717</v>
          </cell>
          <cell r="F1222">
            <v>90</v>
          </cell>
          <cell r="G1222">
            <v>71900</v>
          </cell>
          <cell r="H1222" t="str">
            <v>;;=SUM(F29:G29);</v>
          </cell>
          <cell r="I1222" t="str">
            <v>.</v>
          </cell>
        </row>
        <row r="1223">
          <cell r="A1223">
            <v>372</v>
          </cell>
          <cell r="B1223" t="str">
            <v>Ireland</v>
          </cell>
          <cell r="C1223">
            <v>1998</v>
          </cell>
          <cell r="D1223">
            <v>90</v>
          </cell>
          <cell r="E1223">
            <v>1818</v>
          </cell>
          <cell r="F1223">
            <v>90</v>
          </cell>
          <cell r="G1223">
            <v>69800</v>
          </cell>
          <cell r="H1223" t="str">
            <v>;;=SUM(F30:G30);</v>
          </cell>
          <cell r="I1223" t="str">
            <v>.</v>
          </cell>
        </row>
        <row r="1224">
          <cell r="A1224">
            <v>372</v>
          </cell>
          <cell r="B1224" t="str">
            <v>Ireland</v>
          </cell>
          <cell r="C1224">
            <v>1998</v>
          </cell>
          <cell r="D1224">
            <v>90</v>
          </cell>
          <cell r="E1224">
            <v>1919</v>
          </cell>
          <cell r="F1224">
            <v>90</v>
          </cell>
          <cell r="G1224">
            <v>65100</v>
          </cell>
          <cell r="H1224" t="str">
            <v>;;=SUM(F31:G31);</v>
          </cell>
          <cell r="I1224" t="str">
            <v>.</v>
          </cell>
        </row>
        <row r="1225">
          <cell r="A1225">
            <v>372</v>
          </cell>
          <cell r="B1225" t="str">
            <v>Ireland</v>
          </cell>
          <cell r="C1225">
            <v>1998</v>
          </cell>
          <cell r="D1225">
            <v>90</v>
          </cell>
          <cell r="E1225">
            <v>1519</v>
          </cell>
          <cell r="F1225">
            <v>90</v>
          </cell>
          <cell r="G1225">
            <v>345840</v>
          </cell>
          <cell r="H1225" t="str">
            <v>;;=SUM(F32:G32);</v>
          </cell>
          <cell r="I1225" t="str">
            <v>.</v>
          </cell>
        </row>
        <row r="1226">
          <cell r="A1226">
            <v>372</v>
          </cell>
          <cell r="B1226" t="str">
            <v>Ireland</v>
          </cell>
          <cell r="C1226">
            <v>1998</v>
          </cell>
          <cell r="D1226">
            <v>90</v>
          </cell>
          <cell r="E1226">
            <v>2020</v>
          </cell>
          <cell r="F1226">
            <v>90</v>
          </cell>
          <cell r="G1226">
            <v>62500</v>
          </cell>
          <cell r="H1226" t="str">
            <v>;;=SUM(F33:G33);</v>
          </cell>
          <cell r="I1226" t="str">
            <v>.</v>
          </cell>
        </row>
        <row r="1227">
          <cell r="A1227">
            <v>372</v>
          </cell>
          <cell r="B1227" t="str">
            <v>Ireland</v>
          </cell>
          <cell r="C1227">
            <v>1998</v>
          </cell>
          <cell r="D1227">
            <v>90</v>
          </cell>
          <cell r="E1227">
            <v>2121</v>
          </cell>
          <cell r="F1227">
            <v>90</v>
          </cell>
          <cell r="G1227">
            <v>61300</v>
          </cell>
          <cell r="H1227" t="str">
            <v>;;=SUM(F34:G34);</v>
          </cell>
          <cell r="I1227" t="str">
            <v>.</v>
          </cell>
        </row>
        <row r="1228">
          <cell r="A1228">
            <v>372</v>
          </cell>
          <cell r="B1228" t="str">
            <v>Ireland</v>
          </cell>
          <cell r="C1228">
            <v>1998</v>
          </cell>
          <cell r="D1228">
            <v>90</v>
          </cell>
          <cell r="E1228">
            <v>2222</v>
          </cell>
          <cell r="F1228">
            <v>90</v>
          </cell>
          <cell r="G1228">
            <v>61300</v>
          </cell>
          <cell r="H1228" t="str">
            <v>;;=SUM(F35:G35);</v>
          </cell>
          <cell r="I1228" t="str">
            <v>.</v>
          </cell>
        </row>
        <row r="1229">
          <cell r="A1229">
            <v>372</v>
          </cell>
          <cell r="B1229" t="str">
            <v>Ireland</v>
          </cell>
          <cell r="C1229">
            <v>1998</v>
          </cell>
          <cell r="D1229">
            <v>90</v>
          </cell>
          <cell r="E1229">
            <v>2323</v>
          </cell>
          <cell r="F1229">
            <v>90</v>
          </cell>
          <cell r="G1229">
            <v>60400</v>
          </cell>
          <cell r="H1229" t="str">
            <v>;;=SUM(F36:G36);</v>
          </cell>
          <cell r="I1229" t="str">
            <v>.</v>
          </cell>
        </row>
        <row r="1230">
          <cell r="A1230">
            <v>372</v>
          </cell>
          <cell r="B1230" t="str">
            <v>Ireland</v>
          </cell>
          <cell r="C1230">
            <v>1998</v>
          </cell>
          <cell r="D1230">
            <v>90</v>
          </cell>
          <cell r="E1230">
            <v>2424</v>
          </cell>
          <cell r="F1230">
            <v>90</v>
          </cell>
          <cell r="G1230">
            <v>58700</v>
          </cell>
          <cell r="H1230" t="str">
            <v>;;=SUM(F37:G37);</v>
          </cell>
          <cell r="I1230" t="str">
            <v>.</v>
          </cell>
        </row>
        <row r="1231">
          <cell r="A1231">
            <v>372</v>
          </cell>
          <cell r="B1231" t="str">
            <v>Ireland</v>
          </cell>
          <cell r="C1231">
            <v>1998</v>
          </cell>
          <cell r="D1231">
            <v>90</v>
          </cell>
          <cell r="E1231">
            <v>2024</v>
          </cell>
          <cell r="F1231">
            <v>90</v>
          </cell>
          <cell r="G1231">
            <v>304200</v>
          </cell>
          <cell r="H1231" t="str">
            <v>;;=SUM(F38:G38);</v>
          </cell>
          <cell r="I1231" t="str">
            <v>.</v>
          </cell>
        </row>
        <row r="1232">
          <cell r="A1232">
            <v>372</v>
          </cell>
          <cell r="B1232" t="str">
            <v>Ireland</v>
          </cell>
          <cell r="C1232">
            <v>1998</v>
          </cell>
          <cell r="D1232">
            <v>90</v>
          </cell>
          <cell r="E1232">
            <v>2525</v>
          </cell>
          <cell r="F1232">
            <v>90</v>
          </cell>
          <cell r="G1232">
            <v>58530</v>
          </cell>
          <cell r="H1232" t="str">
            <v>;;=SUM(F39:G39);</v>
          </cell>
          <cell r="I1232" t="str">
            <v>.</v>
          </cell>
        </row>
        <row r="1233">
          <cell r="A1233">
            <v>372</v>
          </cell>
          <cell r="B1233" t="str">
            <v>Ireland</v>
          </cell>
          <cell r="C1233">
            <v>1998</v>
          </cell>
          <cell r="D1233">
            <v>90</v>
          </cell>
          <cell r="E1233">
            <v>2626</v>
          </cell>
          <cell r="F1233">
            <v>90</v>
          </cell>
          <cell r="G1233">
            <v>57200</v>
          </cell>
          <cell r="H1233" t="str">
            <v>;;=SUM(F40:G40);</v>
          </cell>
          <cell r="I1233" t="str">
            <v>.</v>
          </cell>
        </row>
        <row r="1234">
          <cell r="A1234">
            <v>372</v>
          </cell>
          <cell r="B1234" t="str">
            <v>Ireland</v>
          </cell>
          <cell r="C1234">
            <v>1998</v>
          </cell>
          <cell r="D1234">
            <v>90</v>
          </cell>
          <cell r="E1234">
            <v>2727</v>
          </cell>
          <cell r="F1234">
            <v>90</v>
          </cell>
          <cell r="G1234">
            <v>55700</v>
          </cell>
          <cell r="H1234" t="str">
            <v>;;=SUM(F41:G41);</v>
          </cell>
          <cell r="I1234" t="str">
            <v>.</v>
          </cell>
        </row>
        <row r="1235">
          <cell r="A1235">
            <v>372</v>
          </cell>
          <cell r="B1235" t="str">
            <v>Ireland</v>
          </cell>
          <cell r="C1235">
            <v>1998</v>
          </cell>
          <cell r="D1235">
            <v>90</v>
          </cell>
          <cell r="E1235">
            <v>2828</v>
          </cell>
          <cell r="F1235">
            <v>90</v>
          </cell>
          <cell r="G1235">
            <v>53200</v>
          </cell>
          <cell r="H1235" t="str">
            <v>;;=SUM(F42:G42);</v>
          </cell>
          <cell r="I1235" t="str">
            <v>.</v>
          </cell>
        </row>
        <row r="1236">
          <cell r="A1236">
            <v>372</v>
          </cell>
          <cell r="B1236" t="str">
            <v>Ireland</v>
          </cell>
          <cell r="C1236">
            <v>1998</v>
          </cell>
          <cell r="D1236">
            <v>90</v>
          </cell>
          <cell r="E1236">
            <v>2929</v>
          </cell>
          <cell r="F1236">
            <v>90</v>
          </cell>
          <cell r="G1236">
            <v>51900</v>
          </cell>
          <cell r="H1236" t="str">
            <v>;;=SUM(F43:G43);</v>
          </cell>
          <cell r="I1236" t="str">
            <v>.</v>
          </cell>
        </row>
        <row r="1237">
          <cell r="A1237">
            <v>372</v>
          </cell>
          <cell r="B1237" t="str">
            <v>Ireland</v>
          </cell>
          <cell r="C1237">
            <v>1998</v>
          </cell>
          <cell r="D1237">
            <v>90</v>
          </cell>
          <cell r="E1237">
            <v>2529</v>
          </cell>
          <cell r="F1237">
            <v>90</v>
          </cell>
          <cell r="G1237">
            <v>276530</v>
          </cell>
          <cell r="H1237" t="str">
            <v>;;=SUM(F44:G44);</v>
          </cell>
          <cell r="I1237" t="str">
            <v>.</v>
          </cell>
        </row>
        <row r="1238">
          <cell r="A1238">
            <v>372</v>
          </cell>
          <cell r="B1238" t="str">
            <v>Ireland</v>
          </cell>
          <cell r="C1238">
            <v>1998</v>
          </cell>
          <cell r="D1238">
            <v>90</v>
          </cell>
          <cell r="E1238">
            <v>3034</v>
          </cell>
          <cell r="F1238">
            <v>90</v>
          </cell>
          <cell r="G1238">
            <v>262900</v>
          </cell>
          <cell r="H1238" t="str">
            <v>;;=SUM(F45:G45);</v>
          </cell>
          <cell r="I1238" t="str">
            <v>.</v>
          </cell>
        </row>
        <row r="1239">
          <cell r="A1239">
            <v>372</v>
          </cell>
          <cell r="B1239" t="str">
            <v>Ireland</v>
          </cell>
          <cell r="C1239">
            <v>1998</v>
          </cell>
          <cell r="D1239">
            <v>90</v>
          </cell>
          <cell r="E1239">
            <v>3539</v>
          </cell>
          <cell r="F1239">
            <v>90</v>
          </cell>
          <cell r="G1239">
            <v>261050</v>
          </cell>
          <cell r="H1239" t="str">
            <v>;;=SUM(F46:G46);</v>
          </cell>
          <cell r="I1239" t="str">
            <v>.</v>
          </cell>
        </row>
        <row r="1240">
          <cell r="A1240">
            <v>372</v>
          </cell>
          <cell r="B1240" t="str">
            <v>Ireland</v>
          </cell>
          <cell r="C1240">
            <v>1998</v>
          </cell>
          <cell r="D1240">
            <v>90</v>
          </cell>
          <cell r="E1240">
            <v>4099</v>
          </cell>
          <cell r="F1240">
            <v>90</v>
          </cell>
          <cell r="G1240">
            <v>1405600</v>
          </cell>
          <cell r="H1240" t="str">
            <v>;;=SUM(F47:G47);</v>
          </cell>
          <cell r="I1240" t="str">
            <v>.</v>
          </cell>
        </row>
        <row r="1241">
          <cell r="A1241">
            <v>372</v>
          </cell>
          <cell r="B1241" t="str">
            <v>Ireland</v>
          </cell>
          <cell r="C1241">
            <v>1998</v>
          </cell>
          <cell r="D1241">
            <v>90</v>
          </cell>
          <cell r="E1241">
            <v>990000</v>
          </cell>
          <cell r="F1241">
            <v>90</v>
          </cell>
          <cell r="G1241">
            <v>0</v>
          </cell>
          <cell r="H1241" t="str">
            <v>;;=SUM(F48:G48);</v>
          </cell>
          <cell r="I1241" t="str">
            <v>.</v>
          </cell>
        </row>
        <row r="1242">
          <cell r="A1242">
            <v>152</v>
          </cell>
          <cell r="B1242" t="str">
            <v>Chile</v>
          </cell>
          <cell r="C1242">
            <v>1997</v>
          </cell>
          <cell r="D1242">
            <v>90</v>
          </cell>
          <cell r="E1242">
            <v>900000</v>
          </cell>
          <cell r="F1242">
            <v>90</v>
          </cell>
          <cell r="G1242">
            <v>14622354</v>
          </cell>
          <cell r="H1242" t="str">
            <v>;;=SUM(F11:G11);</v>
          </cell>
          <cell r="I1242" t="str">
            <v>.</v>
          </cell>
        </row>
        <row r="1243">
          <cell r="A1243">
            <v>152</v>
          </cell>
          <cell r="B1243" t="str">
            <v>Chile</v>
          </cell>
          <cell r="C1243">
            <v>1997</v>
          </cell>
          <cell r="D1243">
            <v>90</v>
          </cell>
          <cell r="E1243">
            <v>300</v>
          </cell>
          <cell r="F1243">
            <v>90</v>
          </cell>
          <cell r="G1243">
            <v>872373</v>
          </cell>
          <cell r="H1243" t="str">
            <v>;;=SUM(F12:G12);</v>
          </cell>
          <cell r="I1243" t="str">
            <v>.</v>
          </cell>
        </row>
        <row r="1244">
          <cell r="A1244">
            <v>152</v>
          </cell>
          <cell r="B1244" t="str">
            <v>Chile</v>
          </cell>
          <cell r="C1244">
            <v>1997</v>
          </cell>
          <cell r="D1244">
            <v>90</v>
          </cell>
          <cell r="E1244">
            <v>303</v>
          </cell>
          <cell r="F1244">
            <v>90</v>
          </cell>
          <cell r="G1244">
            <v>291799</v>
          </cell>
          <cell r="H1244" t="str">
            <v>;;=SUM(F13:G13);</v>
          </cell>
          <cell r="I1244" t="str">
            <v>.</v>
          </cell>
        </row>
        <row r="1245">
          <cell r="A1245">
            <v>152</v>
          </cell>
          <cell r="B1245" t="str">
            <v>Chile</v>
          </cell>
          <cell r="C1245">
            <v>1997</v>
          </cell>
          <cell r="D1245">
            <v>90</v>
          </cell>
          <cell r="E1245">
            <v>404</v>
          </cell>
          <cell r="F1245">
            <v>90</v>
          </cell>
          <cell r="G1245">
            <v>291896</v>
          </cell>
          <cell r="H1245" t="str">
            <v>;;=SUM(F14:G14);</v>
          </cell>
          <cell r="I1245" t="str">
            <v>.</v>
          </cell>
        </row>
        <row r="1246">
          <cell r="A1246">
            <v>152</v>
          </cell>
          <cell r="B1246" t="str">
            <v>Chile</v>
          </cell>
          <cell r="C1246">
            <v>1997</v>
          </cell>
          <cell r="D1246">
            <v>90</v>
          </cell>
          <cell r="E1246">
            <v>505</v>
          </cell>
          <cell r="F1246">
            <v>90</v>
          </cell>
          <cell r="G1246">
            <v>293649</v>
          </cell>
          <cell r="H1246" t="str">
            <v>;;=SUM(F15:G15);</v>
          </cell>
          <cell r="I1246" t="str">
            <v>.</v>
          </cell>
        </row>
        <row r="1247">
          <cell r="A1247">
            <v>152</v>
          </cell>
          <cell r="B1247" t="str">
            <v>Chile</v>
          </cell>
          <cell r="C1247">
            <v>1997</v>
          </cell>
          <cell r="D1247">
            <v>90</v>
          </cell>
          <cell r="E1247">
            <v>606</v>
          </cell>
          <cell r="F1247">
            <v>90</v>
          </cell>
          <cell r="G1247">
            <v>291965</v>
          </cell>
          <cell r="H1247" t="str">
            <v>;;=SUM(F16:G16);</v>
          </cell>
          <cell r="I1247" t="str">
            <v>.</v>
          </cell>
        </row>
        <row r="1248">
          <cell r="A1248">
            <v>152</v>
          </cell>
          <cell r="B1248" t="str">
            <v>Chile</v>
          </cell>
          <cell r="C1248">
            <v>1997</v>
          </cell>
          <cell r="D1248">
            <v>90</v>
          </cell>
          <cell r="E1248">
            <v>707</v>
          </cell>
          <cell r="F1248">
            <v>90</v>
          </cell>
          <cell r="G1248">
            <v>289435</v>
          </cell>
          <cell r="H1248" t="str">
            <v>;;=SUM(F17:G17);</v>
          </cell>
          <cell r="I1248" t="str">
            <v>.</v>
          </cell>
        </row>
        <row r="1249">
          <cell r="A1249">
            <v>152</v>
          </cell>
          <cell r="B1249" t="str">
            <v>Chile</v>
          </cell>
          <cell r="C1249">
            <v>1997</v>
          </cell>
          <cell r="D1249">
            <v>90</v>
          </cell>
          <cell r="E1249">
            <v>808</v>
          </cell>
          <cell r="F1249">
            <v>90</v>
          </cell>
          <cell r="G1249">
            <v>286202</v>
          </cell>
          <cell r="H1249" t="str">
            <v>;;=SUM(F18:G18);</v>
          </cell>
          <cell r="I1249" t="str">
            <v>.</v>
          </cell>
        </row>
        <row r="1250">
          <cell r="A1250">
            <v>152</v>
          </cell>
          <cell r="B1250" t="str">
            <v>Chile</v>
          </cell>
          <cell r="C1250">
            <v>1997</v>
          </cell>
          <cell r="D1250">
            <v>90</v>
          </cell>
          <cell r="E1250">
            <v>909</v>
          </cell>
          <cell r="F1250">
            <v>90</v>
          </cell>
          <cell r="G1250">
            <v>282402</v>
          </cell>
          <cell r="H1250" t="str">
            <v>;;=SUM(F19:G19);</v>
          </cell>
          <cell r="I1250" t="str">
            <v>.</v>
          </cell>
        </row>
        <row r="1251">
          <cell r="A1251">
            <v>152</v>
          </cell>
          <cell r="B1251" t="str">
            <v>Chile</v>
          </cell>
          <cell r="C1251">
            <v>1997</v>
          </cell>
          <cell r="D1251">
            <v>90</v>
          </cell>
          <cell r="E1251">
            <v>509</v>
          </cell>
          <cell r="F1251">
            <v>90</v>
          </cell>
          <cell r="G1251">
            <v>1443653</v>
          </cell>
          <cell r="H1251" t="str">
            <v>;;=SUM(F20:G20);</v>
          </cell>
          <cell r="I1251" t="str">
            <v>.</v>
          </cell>
        </row>
        <row r="1252">
          <cell r="A1252">
            <v>152</v>
          </cell>
          <cell r="B1252" t="str">
            <v>Chile</v>
          </cell>
          <cell r="C1252">
            <v>1997</v>
          </cell>
          <cell r="D1252">
            <v>90</v>
          </cell>
          <cell r="E1252">
            <v>1010</v>
          </cell>
          <cell r="F1252">
            <v>90</v>
          </cell>
          <cell r="G1252">
            <v>278179</v>
          </cell>
          <cell r="H1252" t="str">
            <v>;;=SUM(F21:G21);</v>
          </cell>
          <cell r="I1252" t="str">
            <v>.</v>
          </cell>
        </row>
        <row r="1253">
          <cell r="A1253">
            <v>152</v>
          </cell>
          <cell r="B1253" t="str">
            <v>Chile</v>
          </cell>
          <cell r="C1253">
            <v>1997</v>
          </cell>
          <cell r="D1253">
            <v>90</v>
          </cell>
          <cell r="E1253">
            <v>1111</v>
          </cell>
          <cell r="F1253">
            <v>90</v>
          </cell>
          <cell r="G1253">
            <v>273672</v>
          </cell>
          <cell r="H1253" t="str">
            <v>;;=SUM(F22:G22);</v>
          </cell>
          <cell r="I1253" t="str">
            <v>.</v>
          </cell>
        </row>
        <row r="1254">
          <cell r="A1254">
            <v>152</v>
          </cell>
          <cell r="B1254" t="str">
            <v>Chile</v>
          </cell>
          <cell r="C1254">
            <v>1997</v>
          </cell>
          <cell r="D1254">
            <v>90</v>
          </cell>
          <cell r="E1254">
            <v>1212</v>
          </cell>
          <cell r="F1254">
            <v>90</v>
          </cell>
          <cell r="G1254">
            <v>268952</v>
          </cell>
          <cell r="H1254" t="str">
            <v>;;=SUM(F23:G23);</v>
          </cell>
          <cell r="I1254" t="str">
            <v>.</v>
          </cell>
        </row>
        <row r="1255">
          <cell r="A1255">
            <v>152</v>
          </cell>
          <cell r="B1255" t="str">
            <v>Chile</v>
          </cell>
          <cell r="C1255">
            <v>1997</v>
          </cell>
          <cell r="D1255">
            <v>90</v>
          </cell>
          <cell r="E1255">
            <v>1313</v>
          </cell>
          <cell r="F1255">
            <v>90</v>
          </cell>
          <cell r="G1255">
            <v>264157</v>
          </cell>
          <cell r="H1255" t="str">
            <v>;;=SUM(F24:G24);</v>
          </cell>
          <cell r="I1255" t="str">
            <v>.</v>
          </cell>
        </row>
        <row r="1256">
          <cell r="A1256">
            <v>152</v>
          </cell>
          <cell r="B1256" t="str">
            <v>Chile</v>
          </cell>
          <cell r="C1256">
            <v>1997</v>
          </cell>
          <cell r="D1256">
            <v>90</v>
          </cell>
          <cell r="E1256">
            <v>1414</v>
          </cell>
          <cell r="F1256">
            <v>90</v>
          </cell>
          <cell r="G1256">
            <v>259424</v>
          </cell>
          <cell r="H1256" t="str">
            <v>;;=SUM(F25:G25);</v>
          </cell>
          <cell r="I1256" t="str">
            <v>.</v>
          </cell>
        </row>
        <row r="1257">
          <cell r="A1257">
            <v>152</v>
          </cell>
          <cell r="B1257" t="str">
            <v>Chile</v>
          </cell>
          <cell r="C1257">
            <v>1997</v>
          </cell>
          <cell r="D1257">
            <v>90</v>
          </cell>
          <cell r="E1257">
            <v>1014</v>
          </cell>
          <cell r="F1257">
            <v>90</v>
          </cell>
          <cell r="G1257">
            <v>1344384</v>
          </cell>
          <cell r="H1257" t="str">
            <v>;;=SUM(F26:G26);</v>
          </cell>
          <cell r="I1257" t="str">
            <v>.</v>
          </cell>
        </row>
        <row r="1258">
          <cell r="A1258">
            <v>152</v>
          </cell>
          <cell r="B1258" t="str">
            <v>Chile</v>
          </cell>
          <cell r="C1258">
            <v>1997</v>
          </cell>
          <cell r="D1258">
            <v>90</v>
          </cell>
          <cell r="E1258">
            <v>1515</v>
          </cell>
          <cell r="F1258">
            <v>90</v>
          </cell>
          <cell r="G1258">
            <v>254722</v>
          </cell>
          <cell r="H1258" t="str">
            <v>;;=SUM(F27:G27);</v>
          </cell>
          <cell r="I1258" t="str">
            <v>.</v>
          </cell>
        </row>
        <row r="1259">
          <cell r="A1259">
            <v>152</v>
          </cell>
          <cell r="B1259" t="str">
            <v>Chile</v>
          </cell>
          <cell r="C1259">
            <v>1997</v>
          </cell>
          <cell r="D1259">
            <v>90</v>
          </cell>
          <cell r="E1259">
            <v>1616</v>
          </cell>
          <cell r="F1259">
            <v>90</v>
          </cell>
          <cell r="G1259">
            <v>249966</v>
          </cell>
          <cell r="H1259" t="str">
            <v>;;=SUM(F28:G28);</v>
          </cell>
          <cell r="I1259" t="str">
            <v>.</v>
          </cell>
        </row>
        <row r="1260">
          <cell r="A1260">
            <v>152</v>
          </cell>
          <cell r="B1260" t="str">
            <v>Chile</v>
          </cell>
          <cell r="C1260">
            <v>1997</v>
          </cell>
          <cell r="D1260">
            <v>90</v>
          </cell>
          <cell r="E1260">
            <v>1717</v>
          </cell>
          <cell r="F1260">
            <v>90</v>
          </cell>
          <cell r="G1260">
            <v>246364</v>
          </cell>
          <cell r="H1260" t="str">
            <v>;;=SUM(F29:G29);</v>
          </cell>
          <cell r="I1260" t="str">
            <v>.</v>
          </cell>
        </row>
        <row r="1261">
          <cell r="A1261">
            <v>152</v>
          </cell>
          <cell r="B1261" t="str">
            <v>Chile</v>
          </cell>
          <cell r="C1261">
            <v>1997</v>
          </cell>
          <cell r="D1261">
            <v>90</v>
          </cell>
          <cell r="E1261">
            <v>1818</v>
          </cell>
          <cell r="F1261">
            <v>90</v>
          </cell>
          <cell r="G1261">
            <v>244490</v>
          </cell>
          <cell r="H1261" t="str">
            <v>;;=SUM(F30:G30);</v>
          </cell>
          <cell r="I1261" t="str">
            <v>.</v>
          </cell>
        </row>
        <row r="1262">
          <cell r="A1262">
            <v>152</v>
          </cell>
          <cell r="B1262" t="str">
            <v>Chile</v>
          </cell>
          <cell r="C1262">
            <v>1997</v>
          </cell>
          <cell r="D1262">
            <v>90</v>
          </cell>
          <cell r="E1262">
            <v>1919</v>
          </cell>
          <cell r="F1262">
            <v>90</v>
          </cell>
          <cell r="G1262">
            <v>243810</v>
          </cell>
          <cell r="H1262" t="str">
            <v>;;=SUM(F31:G31);</v>
          </cell>
          <cell r="I1262" t="str">
            <v>.</v>
          </cell>
        </row>
        <row r="1263">
          <cell r="A1263">
            <v>152</v>
          </cell>
          <cell r="B1263" t="str">
            <v>Chile</v>
          </cell>
          <cell r="C1263">
            <v>1997</v>
          </cell>
          <cell r="D1263">
            <v>90</v>
          </cell>
          <cell r="E1263">
            <v>1519</v>
          </cell>
          <cell r="F1263">
            <v>90</v>
          </cell>
          <cell r="G1263">
            <v>1239352</v>
          </cell>
          <cell r="H1263" t="str">
            <v>;;=SUM(F32:G32);</v>
          </cell>
          <cell r="I1263" t="str">
            <v>.</v>
          </cell>
        </row>
        <row r="1264">
          <cell r="A1264">
            <v>152</v>
          </cell>
          <cell r="B1264" t="str">
            <v>Chile</v>
          </cell>
          <cell r="C1264">
            <v>1997</v>
          </cell>
          <cell r="D1264">
            <v>90</v>
          </cell>
          <cell r="E1264">
            <v>2020</v>
          </cell>
          <cell r="F1264">
            <v>90</v>
          </cell>
          <cell r="G1264">
            <v>243233</v>
          </cell>
          <cell r="H1264" t="str">
            <v>;;=SUM(F33:G33);</v>
          </cell>
          <cell r="I1264" t="str">
            <v>.</v>
          </cell>
        </row>
        <row r="1265">
          <cell r="A1265">
            <v>152</v>
          </cell>
          <cell r="B1265" t="str">
            <v>Chile</v>
          </cell>
          <cell r="C1265">
            <v>1997</v>
          </cell>
          <cell r="D1265">
            <v>90</v>
          </cell>
          <cell r="E1265">
            <v>2121</v>
          </cell>
          <cell r="F1265">
            <v>90</v>
          </cell>
          <cell r="G1265">
            <v>242860</v>
          </cell>
          <cell r="H1265" t="str">
            <v>;;=SUM(F34:G34);</v>
          </cell>
          <cell r="I1265" t="str">
            <v>.</v>
          </cell>
        </row>
        <row r="1266">
          <cell r="A1266">
            <v>152</v>
          </cell>
          <cell r="B1266" t="str">
            <v>Chile</v>
          </cell>
          <cell r="C1266">
            <v>1997</v>
          </cell>
          <cell r="D1266">
            <v>90</v>
          </cell>
          <cell r="E1266">
            <v>2222</v>
          </cell>
          <cell r="F1266">
            <v>90</v>
          </cell>
          <cell r="G1266">
            <v>242782</v>
          </cell>
          <cell r="H1266" t="str">
            <v>;;=SUM(F35:G35);</v>
          </cell>
          <cell r="I1266" t="str">
            <v>.</v>
          </cell>
        </row>
        <row r="1267">
          <cell r="A1267">
            <v>152</v>
          </cell>
          <cell r="B1267" t="str">
            <v>Chile</v>
          </cell>
          <cell r="C1267">
            <v>1997</v>
          </cell>
          <cell r="D1267">
            <v>90</v>
          </cell>
          <cell r="E1267">
            <v>2323</v>
          </cell>
          <cell r="F1267">
            <v>90</v>
          </cell>
          <cell r="G1267">
            <v>242899</v>
          </cell>
          <cell r="H1267" t="str">
            <v>;;=SUM(F36:G36);</v>
          </cell>
          <cell r="I1267" t="str">
            <v>.</v>
          </cell>
        </row>
        <row r="1268">
          <cell r="A1268">
            <v>152</v>
          </cell>
          <cell r="B1268" t="str">
            <v>Chile</v>
          </cell>
          <cell r="C1268">
            <v>1997</v>
          </cell>
          <cell r="D1268">
            <v>90</v>
          </cell>
          <cell r="E1268">
            <v>2424</v>
          </cell>
          <cell r="F1268">
            <v>90</v>
          </cell>
          <cell r="G1268">
            <v>243162</v>
          </cell>
          <cell r="H1268" t="str">
            <v>;;=SUM(F37:G37);</v>
          </cell>
          <cell r="I1268" t="str">
            <v>.</v>
          </cell>
        </row>
        <row r="1269">
          <cell r="A1269">
            <v>152</v>
          </cell>
          <cell r="B1269" t="str">
            <v>Chile</v>
          </cell>
          <cell r="C1269">
            <v>1997</v>
          </cell>
          <cell r="D1269">
            <v>90</v>
          </cell>
          <cell r="E1269">
            <v>2024</v>
          </cell>
          <cell r="F1269">
            <v>90</v>
          </cell>
          <cell r="G1269">
            <v>1214936</v>
          </cell>
          <cell r="H1269" t="str">
            <v>;;=SUM(F38:G38);</v>
          </cell>
          <cell r="I1269" t="str">
            <v>.</v>
          </cell>
        </row>
        <row r="1270">
          <cell r="A1270">
            <v>152</v>
          </cell>
          <cell r="B1270" t="str">
            <v>Chile</v>
          </cell>
          <cell r="C1270">
            <v>1997</v>
          </cell>
          <cell r="D1270">
            <v>90</v>
          </cell>
          <cell r="E1270">
            <v>2525</v>
          </cell>
          <cell r="F1270">
            <v>90</v>
          </cell>
          <cell r="G1270">
            <v>243541</v>
          </cell>
          <cell r="H1270" t="str">
            <v>;;=SUM(F39:G39);</v>
          </cell>
          <cell r="I1270" t="str">
            <v>.</v>
          </cell>
        </row>
        <row r="1271">
          <cell r="A1271">
            <v>152</v>
          </cell>
          <cell r="B1271" t="str">
            <v>Chile</v>
          </cell>
          <cell r="C1271">
            <v>1997</v>
          </cell>
          <cell r="D1271">
            <v>90</v>
          </cell>
          <cell r="E1271">
            <v>2626</v>
          </cell>
          <cell r="F1271">
            <v>90</v>
          </cell>
          <cell r="G1271">
            <v>243813</v>
          </cell>
          <cell r="H1271" t="str">
            <v>;;=SUM(F40:G40);</v>
          </cell>
          <cell r="I1271" t="str">
            <v>.</v>
          </cell>
        </row>
        <row r="1272">
          <cell r="A1272">
            <v>152</v>
          </cell>
          <cell r="B1272" t="str">
            <v>Chile</v>
          </cell>
          <cell r="C1272">
            <v>1997</v>
          </cell>
          <cell r="D1272">
            <v>90</v>
          </cell>
          <cell r="E1272">
            <v>2727</v>
          </cell>
          <cell r="F1272">
            <v>90</v>
          </cell>
          <cell r="G1272">
            <v>244304</v>
          </cell>
          <cell r="H1272" t="str">
            <v>;;=SUM(F41:G41);</v>
          </cell>
          <cell r="I1272" t="str">
            <v>.</v>
          </cell>
        </row>
        <row r="1273">
          <cell r="A1273">
            <v>152</v>
          </cell>
          <cell r="B1273" t="str">
            <v>Chile</v>
          </cell>
          <cell r="C1273">
            <v>1997</v>
          </cell>
          <cell r="D1273">
            <v>90</v>
          </cell>
          <cell r="E1273">
            <v>2828</v>
          </cell>
          <cell r="F1273">
            <v>90</v>
          </cell>
          <cell r="G1273">
            <v>245085</v>
          </cell>
          <cell r="H1273" t="str">
            <v>;;=SUM(F42:G42);</v>
          </cell>
          <cell r="I1273" t="str">
            <v>.</v>
          </cell>
        </row>
        <row r="1274">
          <cell r="A1274">
            <v>152</v>
          </cell>
          <cell r="B1274" t="str">
            <v>Chile</v>
          </cell>
          <cell r="C1274">
            <v>1997</v>
          </cell>
          <cell r="D1274">
            <v>90</v>
          </cell>
          <cell r="E1274">
            <v>2929</v>
          </cell>
          <cell r="F1274">
            <v>90</v>
          </cell>
          <cell r="G1274">
            <v>245886</v>
          </cell>
          <cell r="H1274" t="str">
            <v>;;=SUM(F43:G43);</v>
          </cell>
          <cell r="I1274" t="str">
            <v>.</v>
          </cell>
        </row>
        <row r="1275">
          <cell r="A1275">
            <v>152</v>
          </cell>
          <cell r="B1275" t="str">
            <v>Chile</v>
          </cell>
          <cell r="C1275">
            <v>1997</v>
          </cell>
          <cell r="D1275">
            <v>90</v>
          </cell>
          <cell r="E1275">
            <v>2529</v>
          </cell>
          <cell r="F1275">
            <v>90</v>
          </cell>
          <cell r="G1275">
            <v>1222629</v>
          </cell>
          <cell r="H1275" t="str">
            <v>;;=SUM(F44:G44);</v>
          </cell>
          <cell r="I1275" t="str">
            <v>.</v>
          </cell>
        </row>
        <row r="1276">
          <cell r="A1276">
            <v>152</v>
          </cell>
          <cell r="B1276" t="str">
            <v>Chile</v>
          </cell>
          <cell r="C1276">
            <v>1997</v>
          </cell>
          <cell r="D1276">
            <v>90</v>
          </cell>
          <cell r="E1276">
            <v>3034</v>
          </cell>
          <cell r="F1276">
            <v>90</v>
          </cell>
          <cell r="G1276">
            <v>1221190</v>
          </cell>
          <cell r="H1276" t="str">
            <v>;;=SUM(F45:G45);</v>
          </cell>
          <cell r="I1276" t="str">
            <v>.</v>
          </cell>
        </row>
        <row r="1277">
          <cell r="A1277">
            <v>152</v>
          </cell>
          <cell r="B1277" t="str">
            <v>Chile</v>
          </cell>
          <cell r="C1277">
            <v>1997</v>
          </cell>
          <cell r="D1277">
            <v>90</v>
          </cell>
          <cell r="E1277">
            <v>3539</v>
          </cell>
          <cell r="F1277">
            <v>90</v>
          </cell>
          <cell r="G1277">
            <v>1123900</v>
          </cell>
          <cell r="H1277" t="str">
            <v>;;=SUM(F46:G46);</v>
          </cell>
          <cell r="I1277" t="str">
            <v>.</v>
          </cell>
        </row>
        <row r="1278">
          <cell r="A1278">
            <v>152</v>
          </cell>
          <cell r="B1278" t="str">
            <v>Chile</v>
          </cell>
          <cell r="C1278">
            <v>1997</v>
          </cell>
          <cell r="D1278">
            <v>90</v>
          </cell>
          <cell r="E1278">
            <v>4099</v>
          </cell>
          <cell r="F1278">
            <v>90</v>
          </cell>
          <cell r="G1278">
            <v>4356242</v>
          </cell>
          <cell r="H1278" t="str">
            <v>;;=SUM(F47:G47);</v>
          </cell>
          <cell r="I1278" t="str">
            <v>.</v>
          </cell>
        </row>
        <row r="1279">
          <cell r="A1279">
            <v>152</v>
          </cell>
          <cell r="B1279" t="str">
            <v>Chile</v>
          </cell>
          <cell r="C1279">
            <v>1997</v>
          </cell>
          <cell r="D1279">
            <v>90</v>
          </cell>
          <cell r="E1279">
            <v>990000</v>
          </cell>
          <cell r="F1279">
            <v>90</v>
          </cell>
          <cell r="G1279">
            <v>0</v>
          </cell>
          <cell r="H1279" t="str">
            <v>n;</v>
          </cell>
          <cell r="I1279" t="str">
            <v>n</v>
          </cell>
        </row>
        <row r="1280">
          <cell r="A1280">
            <v>156</v>
          </cell>
          <cell r="B1280" t="str">
            <v>China</v>
          </cell>
          <cell r="C1280">
            <v>1997</v>
          </cell>
          <cell r="D1280">
            <v>90</v>
          </cell>
          <cell r="E1280">
            <v>900000</v>
          </cell>
          <cell r="F1280">
            <v>90</v>
          </cell>
          <cell r="G1280">
            <v>1243481000</v>
          </cell>
          <cell r="H1280" t="str">
            <v>;;=J11*1000;</v>
          </cell>
          <cell r="I1280" t="str">
            <v>.</v>
          </cell>
        </row>
        <row r="1281">
          <cell r="A1281">
            <v>156</v>
          </cell>
          <cell r="B1281" t="str">
            <v>China</v>
          </cell>
          <cell r="C1281">
            <v>1997</v>
          </cell>
          <cell r="D1281">
            <v>90</v>
          </cell>
          <cell r="E1281">
            <v>300</v>
          </cell>
          <cell r="F1281">
            <v>90</v>
          </cell>
          <cell r="G1281">
            <v>46227000</v>
          </cell>
          <cell r="H1281" t="str">
            <v>;;=J12*1000;</v>
          </cell>
          <cell r="I1281" t="str">
            <v>.</v>
          </cell>
        </row>
        <row r="1282">
          <cell r="A1282">
            <v>156</v>
          </cell>
          <cell r="B1282" t="str">
            <v>China</v>
          </cell>
          <cell r="C1282">
            <v>1997</v>
          </cell>
          <cell r="D1282">
            <v>90</v>
          </cell>
          <cell r="E1282">
            <v>303</v>
          </cell>
          <cell r="F1282">
            <v>90</v>
          </cell>
          <cell r="G1282">
            <v>15770000</v>
          </cell>
          <cell r="H1282" t="str">
            <v>;;=J13*1000;</v>
          </cell>
          <cell r="I1282" t="str">
            <v>.</v>
          </cell>
        </row>
        <row r="1283">
          <cell r="A1283">
            <v>156</v>
          </cell>
          <cell r="B1283" t="str">
            <v>China</v>
          </cell>
          <cell r="C1283">
            <v>1997</v>
          </cell>
          <cell r="D1283">
            <v>90</v>
          </cell>
          <cell r="E1283">
            <v>404</v>
          </cell>
          <cell r="F1283">
            <v>90</v>
          </cell>
          <cell r="G1283">
            <v>17754000</v>
          </cell>
          <cell r="H1283" t="str">
            <v>;;=J14*1000;</v>
          </cell>
          <cell r="I1283" t="str">
            <v>.</v>
          </cell>
        </row>
        <row r="1284">
          <cell r="A1284">
            <v>156</v>
          </cell>
          <cell r="B1284" t="str">
            <v>China</v>
          </cell>
          <cell r="C1284">
            <v>1997</v>
          </cell>
          <cell r="D1284">
            <v>90</v>
          </cell>
          <cell r="E1284">
            <v>505</v>
          </cell>
          <cell r="F1284">
            <v>90</v>
          </cell>
          <cell r="G1284">
            <v>19278000</v>
          </cell>
          <cell r="H1284" t="str">
            <v>;;=J15*1000;</v>
          </cell>
          <cell r="I1284" t="str">
            <v>.</v>
          </cell>
        </row>
        <row r="1285">
          <cell r="A1285">
            <v>156</v>
          </cell>
          <cell r="B1285" t="str">
            <v>China</v>
          </cell>
          <cell r="C1285">
            <v>1997</v>
          </cell>
          <cell r="D1285">
            <v>90</v>
          </cell>
          <cell r="E1285">
            <v>606</v>
          </cell>
          <cell r="F1285">
            <v>90</v>
          </cell>
          <cell r="G1285">
            <v>21082000</v>
          </cell>
          <cell r="H1285" t="str">
            <v>;;=J16*1000;</v>
          </cell>
          <cell r="I1285" t="str">
            <v>.</v>
          </cell>
        </row>
        <row r="1286">
          <cell r="A1286">
            <v>156</v>
          </cell>
          <cell r="B1286" t="str">
            <v>China</v>
          </cell>
          <cell r="C1286">
            <v>1997</v>
          </cell>
          <cell r="D1286">
            <v>90</v>
          </cell>
          <cell r="E1286">
            <v>707</v>
          </cell>
          <cell r="F1286">
            <v>90</v>
          </cell>
          <cell r="G1286">
            <v>27021000</v>
          </cell>
          <cell r="H1286" t="str">
            <v>;;=J17*1000;</v>
          </cell>
          <cell r="I1286" t="str">
            <v>.</v>
          </cell>
        </row>
        <row r="1287">
          <cell r="A1287">
            <v>156</v>
          </cell>
          <cell r="B1287" t="str">
            <v>China</v>
          </cell>
          <cell r="C1287">
            <v>1997</v>
          </cell>
          <cell r="D1287">
            <v>90</v>
          </cell>
          <cell r="E1287">
            <v>808</v>
          </cell>
          <cell r="F1287">
            <v>90</v>
          </cell>
          <cell r="G1287">
            <v>26315000</v>
          </cell>
          <cell r="H1287" t="str">
            <v>;;=J18*1000;</v>
          </cell>
          <cell r="I1287" t="str">
            <v>.</v>
          </cell>
        </row>
        <row r="1288">
          <cell r="A1288">
            <v>156</v>
          </cell>
          <cell r="B1288" t="str">
            <v>China</v>
          </cell>
          <cell r="C1288">
            <v>1997</v>
          </cell>
          <cell r="D1288">
            <v>90</v>
          </cell>
          <cell r="E1288">
            <v>909</v>
          </cell>
          <cell r="F1288">
            <v>90</v>
          </cell>
          <cell r="G1288">
            <v>25213000</v>
          </cell>
          <cell r="H1288" t="str">
            <v>;;=J19*1000;</v>
          </cell>
          <cell r="I1288" t="str">
            <v>.</v>
          </cell>
        </row>
        <row r="1289">
          <cell r="A1289">
            <v>156</v>
          </cell>
          <cell r="B1289" t="str">
            <v>China</v>
          </cell>
          <cell r="C1289">
            <v>1997</v>
          </cell>
          <cell r="D1289">
            <v>90</v>
          </cell>
          <cell r="E1289">
            <v>509</v>
          </cell>
          <cell r="F1289">
            <v>90</v>
          </cell>
          <cell r="G1289">
            <v>118909000</v>
          </cell>
          <cell r="H1289" t="str">
            <v>;;=J20*1000;</v>
          </cell>
          <cell r="I1289" t="str">
            <v>.</v>
          </cell>
        </row>
        <row r="1290">
          <cell r="A1290">
            <v>156</v>
          </cell>
          <cell r="B1290" t="str">
            <v>China</v>
          </cell>
          <cell r="C1290">
            <v>1997</v>
          </cell>
          <cell r="D1290">
            <v>90</v>
          </cell>
          <cell r="E1290">
            <v>1010</v>
          </cell>
          <cell r="F1290">
            <v>90</v>
          </cell>
          <cell r="G1290">
            <v>27176000</v>
          </cell>
          <cell r="H1290" t="str">
            <v>;;=J21*1000;</v>
          </cell>
          <cell r="I1290" t="str">
            <v>.</v>
          </cell>
        </row>
        <row r="1291">
          <cell r="A1291">
            <v>156</v>
          </cell>
          <cell r="B1291" t="str">
            <v>China</v>
          </cell>
          <cell r="C1291">
            <v>1997</v>
          </cell>
          <cell r="D1291">
            <v>90</v>
          </cell>
          <cell r="E1291">
            <v>1111</v>
          </cell>
          <cell r="F1291">
            <v>90</v>
          </cell>
          <cell r="G1291">
            <v>23374000</v>
          </cell>
          <cell r="H1291" t="str">
            <v>;;=J22*1000;</v>
          </cell>
          <cell r="I1291" t="str">
            <v>.</v>
          </cell>
        </row>
        <row r="1292">
          <cell r="A1292">
            <v>156</v>
          </cell>
          <cell r="B1292" t="str">
            <v>China</v>
          </cell>
          <cell r="C1292">
            <v>1997</v>
          </cell>
          <cell r="D1292">
            <v>90</v>
          </cell>
          <cell r="E1292">
            <v>1212</v>
          </cell>
          <cell r="F1292">
            <v>90</v>
          </cell>
          <cell r="G1292">
            <v>21364000</v>
          </cell>
          <cell r="H1292" t="str">
            <v>;;=J23*1000;</v>
          </cell>
          <cell r="I1292" t="str">
            <v>.</v>
          </cell>
        </row>
        <row r="1293">
          <cell r="A1293">
            <v>156</v>
          </cell>
          <cell r="B1293" t="str">
            <v>China</v>
          </cell>
          <cell r="C1293">
            <v>1997</v>
          </cell>
          <cell r="D1293">
            <v>90</v>
          </cell>
          <cell r="E1293">
            <v>1313</v>
          </cell>
          <cell r="F1293">
            <v>90</v>
          </cell>
          <cell r="G1293">
            <v>19743000</v>
          </cell>
          <cell r="H1293" t="str">
            <v>;;=J24*1000;</v>
          </cell>
          <cell r="I1293" t="str">
            <v>.</v>
          </cell>
        </row>
        <row r="1294">
          <cell r="A1294">
            <v>156</v>
          </cell>
          <cell r="B1294" t="str">
            <v>China</v>
          </cell>
          <cell r="C1294">
            <v>1997</v>
          </cell>
          <cell r="D1294">
            <v>90</v>
          </cell>
          <cell r="E1294">
            <v>1414</v>
          </cell>
          <cell r="F1294">
            <v>90</v>
          </cell>
          <cell r="G1294">
            <v>20087000</v>
          </cell>
          <cell r="H1294" t="str">
            <v>;;=J25*1000;</v>
          </cell>
          <cell r="I1294" t="str">
            <v>.</v>
          </cell>
        </row>
        <row r="1295">
          <cell r="A1295">
            <v>156</v>
          </cell>
          <cell r="B1295" t="str">
            <v>China</v>
          </cell>
          <cell r="C1295">
            <v>1997</v>
          </cell>
          <cell r="D1295">
            <v>90</v>
          </cell>
          <cell r="E1295">
            <v>1014</v>
          </cell>
          <cell r="F1295">
            <v>90</v>
          </cell>
          <cell r="G1295">
            <v>111744000</v>
          </cell>
          <cell r="H1295" t="str">
            <v>;;=J26*1000;</v>
          </cell>
          <cell r="I1295" t="str">
            <v>.</v>
          </cell>
        </row>
        <row r="1296">
          <cell r="A1296">
            <v>156</v>
          </cell>
          <cell r="B1296" t="str">
            <v>China</v>
          </cell>
          <cell r="C1296">
            <v>1997</v>
          </cell>
          <cell r="D1296">
            <v>90</v>
          </cell>
          <cell r="E1296">
            <v>1515</v>
          </cell>
          <cell r="F1296">
            <v>90</v>
          </cell>
          <cell r="G1296">
            <v>22830000</v>
          </cell>
          <cell r="H1296" t="str">
            <v>;;=J27*1000;</v>
          </cell>
          <cell r="I1296" t="str">
            <v>.</v>
          </cell>
        </row>
        <row r="1297">
          <cell r="A1297">
            <v>156</v>
          </cell>
          <cell r="B1297" t="str">
            <v>China</v>
          </cell>
          <cell r="C1297">
            <v>1997</v>
          </cell>
          <cell r="D1297">
            <v>90</v>
          </cell>
          <cell r="E1297">
            <v>1616</v>
          </cell>
          <cell r="F1297">
            <v>90</v>
          </cell>
          <cell r="G1297">
            <v>18551000</v>
          </cell>
          <cell r="H1297" t="str">
            <v>;;=J28*1000;</v>
          </cell>
          <cell r="I1297" t="str">
            <v>.</v>
          </cell>
        </row>
        <row r="1298">
          <cell r="A1298">
            <v>156</v>
          </cell>
          <cell r="B1298" t="str">
            <v>China</v>
          </cell>
          <cell r="C1298">
            <v>1997</v>
          </cell>
          <cell r="D1298">
            <v>90</v>
          </cell>
          <cell r="E1298">
            <v>1717</v>
          </cell>
          <cell r="F1298">
            <v>90</v>
          </cell>
          <cell r="G1298">
            <v>16944000</v>
          </cell>
          <cell r="H1298" t="str">
            <v>;;=J29*1000;</v>
          </cell>
          <cell r="I1298" t="str">
            <v>.</v>
          </cell>
        </row>
        <row r="1299">
          <cell r="A1299">
            <v>156</v>
          </cell>
          <cell r="B1299" t="str">
            <v>China</v>
          </cell>
          <cell r="C1299">
            <v>1997</v>
          </cell>
          <cell r="D1299">
            <v>90</v>
          </cell>
          <cell r="E1299">
            <v>1818</v>
          </cell>
          <cell r="F1299">
            <v>90</v>
          </cell>
          <cell r="G1299">
            <v>17733000</v>
          </cell>
          <cell r="H1299" t="str">
            <v>;;=J30*1000;</v>
          </cell>
          <cell r="I1299" t="str">
            <v>.</v>
          </cell>
        </row>
        <row r="1300">
          <cell r="A1300">
            <v>156</v>
          </cell>
          <cell r="B1300" t="str">
            <v>China</v>
          </cell>
          <cell r="C1300">
            <v>1997</v>
          </cell>
          <cell r="D1300">
            <v>90</v>
          </cell>
          <cell r="E1300">
            <v>1919</v>
          </cell>
          <cell r="F1300">
            <v>90</v>
          </cell>
          <cell r="G1300">
            <v>15684000</v>
          </cell>
          <cell r="H1300" t="str">
            <v>;;=J31*1000;</v>
          </cell>
          <cell r="I1300" t="str">
            <v>.</v>
          </cell>
        </row>
        <row r="1301">
          <cell r="A1301">
            <v>156</v>
          </cell>
          <cell r="B1301" t="str">
            <v>China</v>
          </cell>
          <cell r="C1301">
            <v>1997</v>
          </cell>
          <cell r="D1301">
            <v>90</v>
          </cell>
          <cell r="E1301">
            <v>1519</v>
          </cell>
          <cell r="F1301">
            <v>90</v>
          </cell>
          <cell r="G1301">
            <v>91742000</v>
          </cell>
          <cell r="H1301" t="str">
            <v>;;=J32*1000;</v>
          </cell>
          <cell r="I1301" t="str">
            <v>.</v>
          </cell>
        </row>
        <row r="1302">
          <cell r="A1302">
            <v>156</v>
          </cell>
          <cell r="B1302" t="str">
            <v>China</v>
          </cell>
          <cell r="C1302">
            <v>1997</v>
          </cell>
          <cell r="D1302">
            <v>90</v>
          </cell>
          <cell r="E1302">
            <v>2020</v>
          </cell>
          <cell r="F1302">
            <v>90</v>
          </cell>
          <cell r="G1302">
            <v>15822000</v>
          </cell>
          <cell r="H1302" t="str">
            <v>;;=J33*1000;</v>
          </cell>
          <cell r="I1302" t="str">
            <v>.</v>
          </cell>
        </row>
        <row r="1303">
          <cell r="A1303">
            <v>156</v>
          </cell>
          <cell r="B1303" t="str">
            <v>China</v>
          </cell>
          <cell r="C1303">
            <v>1997</v>
          </cell>
          <cell r="D1303">
            <v>90</v>
          </cell>
          <cell r="E1303">
            <v>2121</v>
          </cell>
          <cell r="F1303">
            <v>90</v>
          </cell>
          <cell r="G1303">
            <v>17364000</v>
          </cell>
          <cell r="H1303" t="str">
            <v>;;=J34*1000;</v>
          </cell>
          <cell r="I1303" t="str">
            <v>.</v>
          </cell>
        </row>
        <row r="1304">
          <cell r="A1304">
            <v>156</v>
          </cell>
          <cell r="B1304" t="str">
            <v>China</v>
          </cell>
          <cell r="C1304">
            <v>1997</v>
          </cell>
          <cell r="D1304">
            <v>90</v>
          </cell>
          <cell r="E1304">
            <v>2222</v>
          </cell>
          <cell r="F1304">
            <v>90</v>
          </cell>
          <cell r="G1304">
            <v>18495000</v>
          </cell>
          <cell r="H1304" t="str">
            <v>;;=J35*1000;</v>
          </cell>
          <cell r="I1304" t="str">
            <v>.</v>
          </cell>
        </row>
        <row r="1305">
          <cell r="A1305">
            <v>156</v>
          </cell>
          <cell r="B1305" t="str">
            <v>China</v>
          </cell>
          <cell r="C1305">
            <v>1997</v>
          </cell>
          <cell r="D1305">
            <v>90</v>
          </cell>
          <cell r="E1305">
            <v>2323</v>
          </cell>
          <cell r="F1305">
            <v>90</v>
          </cell>
          <cell r="G1305">
            <v>21519000</v>
          </cell>
          <cell r="H1305" t="str">
            <v>;;=J36*1000;</v>
          </cell>
          <cell r="I1305" t="str">
            <v>.</v>
          </cell>
        </row>
        <row r="1306">
          <cell r="A1306">
            <v>156</v>
          </cell>
          <cell r="B1306" t="str">
            <v>China</v>
          </cell>
          <cell r="C1306">
            <v>1997</v>
          </cell>
          <cell r="D1306">
            <v>90</v>
          </cell>
          <cell r="E1306">
            <v>2424</v>
          </cell>
          <cell r="F1306">
            <v>90</v>
          </cell>
          <cell r="G1306">
            <v>23157000</v>
          </cell>
          <cell r="H1306" t="str">
            <v>;;=J37*1000;</v>
          </cell>
          <cell r="I1306" t="str">
            <v>.</v>
          </cell>
        </row>
        <row r="1307">
          <cell r="A1307">
            <v>156</v>
          </cell>
          <cell r="B1307" t="str">
            <v>China</v>
          </cell>
          <cell r="C1307">
            <v>1997</v>
          </cell>
          <cell r="D1307">
            <v>90</v>
          </cell>
          <cell r="E1307">
            <v>2024</v>
          </cell>
          <cell r="F1307">
            <v>90</v>
          </cell>
          <cell r="G1307">
            <v>96357000</v>
          </cell>
          <cell r="H1307" t="str">
            <v>;;=J38*1000;</v>
          </cell>
          <cell r="I1307" t="str">
            <v>.</v>
          </cell>
        </row>
        <row r="1308">
          <cell r="A1308">
            <v>156</v>
          </cell>
          <cell r="B1308" t="str">
            <v>China</v>
          </cell>
          <cell r="C1308">
            <v>1997</v>
          </cell>
          <cell r="D1308">
            <v>90</v>
          </cell>
          <cell r="E1308">
            <v>2525</v>
          </cell>
          <cell r="F1308">
            <v>90</v>
          </cell>
          <cell r="G1308">
            <v>24191000</v>
          </cell>
          <cell r="H1308" t="str">
            <v>;;=J39*1000;</v>
          </cell>
          <cell r="I1308" t="str">
            <v>.</v>
          </cell>
        </row>
        <row r="1309">
          <cell r="A1309">
            <v>156</v>
          </cell>
          <cell r="B1309" t="str">
            <v>China</v>
          </cell>
          <cell r="C1309">
            <v>1997</v>
          </cell>
          <cell r="D1309">
            <v>90</v>
          </cell>
          <cell r="E1309">
            <v>2626</v>
          </cell>
          <cell r="F1309">
            <v>90</v>
          </cell>
          <cell r="G1309">
            <v>25069000</v>
          </cell>
          <cell r="H1309" t="str">
            <v>;;=J40*1000;</v>
          </cell>
          <cell r="I1309" t="str">
            <v>.</v>
          </cell>
        </row>
        <row r="1310">
          <cell r="A1310">
            <v>156</v>
          </cell>
          <cell r="B1310" t="str">
            <v>China</v>
          </cell>
          <cell r="C1310">
            <v>1997</v>
          </cell>
          <cell r="D1310">
            <v>90</v>
          </cell>
          <cell r="E1310">
            <v>2727</v>
          </cell>
          <cell r="F1310">
            <v>90</v>
          </cell>
          <cell r="G1310">
            <v>26838000</v>
          </cell>
          <cell r="H1310" t="str">
            <v>;;=J41*1000;</v>
          </cell>
          <cell r="I1310" t="str">
            <v>.</v>
          </cell>
        </row>
        <row r="1311">
          <cell r="A1311">
            <v>156</v>
          </cell>
          <cell r="B1311" t="str">
            <v>China</v>
          </cell>
          <cell r="C1311">
            <v>1997</v>
          </cell>
          <cell r="D1311">
            <v>90</v>
          </cell>
          <cell r="E1311">
            <v>2828</v>
          </cell>
          <cell r="F1311">
            <v>90</v>
          </cell>
          <cell r="G1311">
            <v>25803000</v>
          </cell>
          <cell r="H1311" t="str">
            <v>;;=J42*1000;</v>
          </cell>
          <cell r="I1311" t="str">
            <v>.</v>
          </cell>
        </row>
        <row r="1312">
          <cell r="A1312">
            <v>156</v>
          </cell>
          <cell r="B1312" t="str">
            <v>China</v>
          </cell>
          <cell r="C1312">
            <v>1997</v>
          </cell>
          <cell r="D1312">
            <v>90</v>
          </cell>
          <cell r="E1312">
            <v>2929</v>
          </cell>
          <cell r="F1312">
            <v>90</v>
          </cell>
          <cell r="G1312">
            <v>26899000</v>
          </cell>
          <cell r="H1312" t="str">
            <v>;;=J43*1000;</v>
          </cell>
          <cell r="I1312" t="str">
            <v>.</v>
          </cell>
        </row>
        <row r="1313">
          <cell r="A1313">
            <v>156</v>
          </cell>
          <cell r="B1313" t="str">
            <v>China</v>
          </cell>
          <cell r="C1313">
            <v>1997</v>
          </cell>
          <cell r="D1313">
            <v>90</v>
          </cell>
          <cell r="E1313">
            <v>2529</v>
          </cell>
          <cell r="F1313">
            <v>90</v>
          </cell>
          <cell r="G1313">
            <v>128800000</v>
          </cell>
          <cell r="H1313" t="str">
            <v>;;=J44*1000;</v>
          </cell>
          <cell r="I1313" t="str">
            <v>.</v>
          </cell>
        </row>
        <row r="1314">
          <cell r="A1314">
            <v>156</v>
          </cell>
          <cell r="B1314" t="str">
            <v>China</v>
          </cell>
          <cell r="C1314">
            <v>1997</v>
          </cell>
          <cell r="D1314">
            <v>90</v>
          </cell>
          <cell r="E1314">
            <v>3034</v>
          </cell>
          <cell r="F1314">
            <v>90</v>
          </cell>
          <cell r="G1314">
            <v>125786000</v>
          </cell>
          <cell r="H1314" t="str">
            <v>;;=J45*1000;</v>
          </cell>
          <cell r="I1314" t="str">
            <v>.</v>
          </cell>
        </row>
        <row r="1315">
          <cell r="A1315">
            <v>156</v>
          </cell>
          <cell r="B1315" t="str">
            <v>China</v>
          </cell>
          <cell r="C1315">
            <v>1997</v>
          </cell>
          <cell r="D1315">
            <v>90</v>
          </cell>
          <cell r="E1315">
            <v>3539</v>
          </cell>
          <cell r="F1315">
            <v>90</v>
          </cell>
          <cell r="G1315">
            <v>79138000</v>
          </cell>
          <cell r="H1315" t="str">
            <v>;;=J46*1000;</v>
          </cell>
          <cell r="I1315" t="str">
            <v>.</v>
          </cell>
        </row>
        <row r="1316">
          <cell r="A1316">
            <v>156</v>
          </cell>
          <cell r="B1316" t="str">
            <v>China</v>
          </cell>
          <cell r="C1316">
            <v>1997</v>
          </cell>
          <cell r="D1316">
            <v>90</v>
          </cell>
          <cell r="E1316">
            <v>4099</v>
          </cell>
          <cell r="F1316">
            <v>90</v>
          </cell>
          <cell r="G1316">
            <v>411254000</v>
          </cell>
          <cell r="H1316" t="str">
            <v>;;=J47*1000;</v>
          </cell>
          <cell r="I1316" t="str">
            <v>.</v>
          </cell>
        </row>
        <row r="1317">
          <cell r="A1317">
            <v>156</v>
          </cell>
          <cell r="B1317" t="str">
            <v>China</v>
          </cell>
          <cell r="C1317">
            <v>1997</v>
          </cell>
          <cell r="D1317">
            <v>90</v>
          </cell>
          <cell r="E1317">
            <v>990000</v>
          </cell>
          <cell r="F1317">
            <v>90</v>
          </cell>
          <cell r="G1317">
            <v>0</v>
          </cell>
          <cell r="H1317" t="str">
            <v>n;</v>
          </cell>
          <cell r="I1317" t="str">
            <v>n</v>
          </cell>
        </row>
        <row r="1318">
          <cell r="A1318">
            <v>220</v>
          </cell>
          <cell r="B1318" t="str">
            <v>Egypt</v>
          </cell>
          <cell r="C1318">
            <v>1997</v>
          </cell>
          <cell r="D1318">
            <v>90</v>
          </cell>
          <cell r="E1318">
            <v>900000</v>
          </cell>
          <cell r="F1318">
            <v>90</v>
          </cell>
          <cell r="G1318">
            <v>58837283</v>
          </cell>
          <cell r="H1318" t="str">
            <v>;;=SUM(F11:G11);</v>
          </cell>
          <cell r="I1318" t="str">
            <v>.</v>
          </cell>
        </row>
        <row r="1319">
          <cell r="A1319">
            <v>220</v>
          </cell>
          <cell r="B1319" t="str">
            <v>Egypt</v>
          </cell>
          <cell r="C1319">
            <v>1997</v>
          </cell>
          <cell r="D1319">
            <v>90</v>
          </cell>
          <cell r="E1319">
            <v>300</v>
          </cell>
          <cell r="F1319">
            <v>90</v>
          </cell>
          <cell r="G1319">
            <v>4208249</v>
          </cell>
          <cell r="H1319" t="str">
            <v>;;=SUM(F12:G12);</v>
          </cell>
          <cell r="I1319" t="str">
            <v>.</v>
          </cell>
        </row>
        <row r="1320">
          <cell r="A1320">
            <v>220</v>
          </cell>
          <cell r="B1320" t="str">
            <v>Egypt</v>
          </cell>
          <cell r="C1320">
            <v>1997</v>
          </cell>
          <cell r="D1320">
            <v>90</v>
          </cell>
          <cell r="E1320">
            <v>303</v>
          </cell>
          <cell r="F1320">
            <v>90</v>
          </cell>
          <cell r="G1320">
            <v>1302739</v>
          </cell>
          <cell r="H1320" t="str">
            <v>;;=SUM(F13:G13);</v>
          </cell>
          <cell r="I1320" t="str">
            <v>.</v>
          </cell>
        </row>
        <row r="1321">
          <cell r="A1321">
            <v>220</v>
          </cell>
          <cell r="B1321" t="str">
            <v>Egypt</v>
          </cell>
          <cell r="C1321">
            <v>1997</v>
          </cell>
          <cell r="D1321">
            <v>90</v>
          </cell>
          <cell r="E1321">
            <v>404</v>
          </cell>
          <cell r="F1321">
            <v>90</v>
          </cell>
          <cell r="G1321">
            <v>1336190</v>
          </cell>
          <cell r="H1321" t="str">
            <v>;;=SUM(F14:G14);</v>
          </cell>
          <cell r="I1321" t="str">
            <v>.</v>
          </cell>
        </row>
        <row r="1322">
          <cell r="A1322">
            <v>220</v>
          </cell>
          <cell r="B1322" t="str">
            <v>Egypt</v>
          </cell>
          <cell r="C1322">
            <v>1997</v>
          </cell>
          <cell r="D1322">
            <v>90</v>
          </cell>
          <cell r="E1322">
            <v>505</v>
          </cell>
          <cell r="F1322">
            <v>90</v>
          </cell>
          <cell r="G1322">
            <v>1476175</v>
          </cell>
          <cell r="H1322" t="str">
            <v>;;=SUM(F15:G15);</v>
          </cell>
          <cell r="I1322" t="str">
            <v>.</v>
          </cell>
        </row>
        <row r="1323">
          <cell r="A1323">
            <v>220</v>
          </cell>
          <cell r="B1323" t="str">
            <v>Egypt</v>
          </cell>
          <cell r="C1323">
            <v>1997</v>
          </cell>
          <cell r="D1323">
            <v>90</v>
          </cell>
          <cell r="E1323">
            <v>606</v>
          </cell>
          <cell r="F1323">
            <v>90</v>
          </cell>
          <cell r="G1323">
            <v>1501497</v>
          </cell>
          <cell r="H1323" t="str">
            <v>;;=SUM(F16:G16);</v>
          </cell>
          <cell r="I1323" t="str">
            <v>.</v>
          </cell>
        </row>
        <row r="1324">
          <cell r="A1324">
            <v>220</v>
          </cell>
          <cell r="B1324" t="str">
            <v>Egypt</v>
          </cell>
          <cell r="C1324">
            <v>1997</v>
          </cell>
          <cell r="D1324">
            <v>90</v>
          </cell>
          <cell r="E1324">
            <v>707</v>
          </cell>
          <cell r="F1324">
            <v>90</v>
          </cell>
          <cell r="G1324">
            <v>1165069</v>
          </cell>
          <cell r="H1324" t="str">
            <v>;;=SUM(F17:G17);</v>
          </cell>
          <cell r="I1324" t="str">
            <v>.</v>
          </cell>
        </row>
        <row r="1325">
          <cell r="A1325">
            <v>220</v>
          </cell>
          <cell r="B1325" t="str">
            <v>Egypt</v>
          </cell>
          <cell r="C1325">
            <v>1997</v>
          </cell>
          <cell r="D1325">
            <v>90</v>
          </cell>
          <cell r="E1325">
            <v>808</v>
          </cell>
          <cell r="F1325">
            <v>90</v>
          </cell>
          <cell r="G1325">
            <v>1547389</v>
          </cell>
          <cell r="H1325" t="str">
            <v>;;=SUM(F18:G18);</v>
          </cell>
          <cell r="I1325" t="str">
            <v>.</v>
          </cell>
        </row>
        <row r="1326">
          <cell r="A1326">
            <v>220</v>
          </cell>
          <cell r="B1326" t="str">
            <v>Egypt</v>
          </cell>
          <cell r="C1326">
            <v>1997</v>
          </cell>
          <cell r="D1326">
            <v>90</v>
          </cell>
          <cell r="E1326">
            <v>909</v>
          </cell>
          <cell r="F1326">
            <v>90</v>
          </cell>
          <cell r="G1326">
            <v>1567727</v>
          </cell>
          <cell r="H1326" t="str">
            <v>;;=SUM(F19:G19);</v>
          </cell>
          <cell r="I1326" t="str">
            <v>.</v>
          </cell>
        </row>
        <row r="1327">
          <cell r="A1327">
            <v>220</v>
          </cell>
          <cell r="B1327" t="str">
            <v>Egypt</v>
          </cell>
          <cell r="C1327">
            <v>1997</v>
          </cell>
          <cell r="D1327">
            <v>90</v>
          </cell>
          <cell r="E1327">
            <v>509</v>
          </cell>
          <cell r="F1327">
            <v>90</v>
          </cell>
          <cell r="G1327">
            <v>7257857</v>
          </cell>
          <cell r="H1327" t="str">
            <v>;;=SUM(F20:G20);</v>
          </cell>
          <cell r="I1327" t="str">
            <v>.</v>
          </cell>
        </row>
        <row r="1328">
          <cell r="A1328">
            <v>220</v>
          </cell>
          <cell r="B1328" t="str">
            <v>Egypt</v>
          </cell>
          <cell r="C1328">
            <v>1997</v>
          </cell>
          <cell r="D1328">
            <v>90</v>
          </cell>
          <cell r="E1328">
            <v>1010</v>
          </cell>
          <cell r="F1328">
            <v>90</v>
          </cell>
          <cell r="G1328">
            <v>1583563</v>
          </cell>
          <cell r="H1328" t="str">
            <v>;;=SUM(F21:G21);</v>
          </cell>
          <cell r="I1328" t="str">
            <v>.</v>
          </cell>
        </row>
        <row r="1329">
          <cell r="A1329">
            <v>220</v>
          </cell>
          <cell r="B1329" t="str">
            <v>Egypt</v>
          </cell>
          <cell r="C1329">
            <v>1997</v>
          </cell>
          <cell r="D1329">
            <v>90</v>
          </cell>
          <cell r="E1329">
            <v>1111</v>
          </cell>
          <cell r="F1329">
            <v>90</v>
          </cell>
          <cell r="G1329">
            <v>1591026</v>
          </cell>
          <cell r="H1329" t="str">
            <v>;;=SUM(F22:G22);</v>
          </cell>
          <cell r="I1329" t="str">
            <v>.</v>
          </cell>
        </row>
        <row r="1330">
          <cell r="A1330">
            <v>220</v>
          </cell>
          <cell r="B1330" t="str">
            <v>Egypt</v>
          </cell>
          <cell r="C1330">
            <v>1997</v>
          </cell>
          <cell r="D1330">
            <v>90</v>
          </cell>
          <cell r="E1330">
            <v>1212</v>
          </cell>
          <cell r="F1330">
            <v>90</v>
          </cell>
          <cell r="G1330">
            <v>1585638</v>
          </cell>
          <cell r="H1330" t="str">
            <v>;;=SUM(F23:G23);</v>
          </cell>
          <cell r="I1330" t="str">
            <v>.</v>
          </cell>
        </row>
        <row r="1331">
          <cell r="A1331">
            <v>220</v>
          </cell>
          <cell r="B1331" t="str">
            <v>Egypt</v>
          </cell>
          <cell r="C1331">
            <v>1997</v>
          </cell>
          <cell r="D1331">
            <v>90</v>
          </cell>
          <cell r="E1331">
            <v>1313</v>
          </cell>
          <cell r="F1331">
            <v>90</v>
          </cell>
          <cell r="G1331">
            <v>1564628</v>
          </cell>
          <cell r="H1331" t="str">
            <v>;;=SUM(F24:G24);</v>
          </cell>
          <cell r="I1331" t="str">
            <v>.</v>
          </cell>
        </row>
        <row r="1332">
          <cell r="A1332">
            <v>220</v>
          </cell>
          <cell r="B1332" t="str">
            <v>Egypt</v>
          </cell>
          <cell r="C1332">
            <v>1997</v>
          </cell>
          <cell r="D1332">
            <v>90</v>
          </cell>
          <cell r="E1332">
            <v>1414</v>
          </cell>
          <cell r="F1332">
            <v>90</v>
          </cell>
          <cell r="G1332">
            <v>1530233</v>
          </cell>
          <cell r="H1332" t="str">
            <v>;;=SUM(F25:G25);</v>
          </cell>
          <cell r="I1332" t="str">
            <v>.</v>
          </cell>
        </row>
        <row r="1333">
          <cell r="A1333">
            <v>220</v>
          </cell>
          <cell r="B1333" t="str">
            <v>Egypt</v>
          </cell>
          <cell r="C1333">
            <v>1997</v>
          </cell>
          <cell r="D1333">
            <v>90</v>
          </cell>
          <cell r="E1333">
            <v>1014</v>
          </cell>
          <cell r="F1333">
            <v>90</v>
          </cell>
          <cell r="G1333">
            <v>7855088</v>
          </cell>
          <cell r="H1333" t="str">
            <v>;;=SUM(F26:G26);</v>
          </cell>
          <cell r="I1333" t="str">
            <v>.</v>
          </cell>
        </row>
        <row r="1334">
          <cell r="A1334">
            <v>220</v>
          </cell>
          <cell r="B1334" t="str">
            <v>Egypt</v>
          </cell>
          <cell r="C1334">
            <v>1997</v>
          </cell>
          <cell r="D1334">
            <v>90</v>
          </cell>
          <cell r="E1334">
            <v>1515</v>
          </cell>
          <cell r="F1334">
            <v>90</v>
          </cell>
          <cell r="G1334">
            <v>1492389</v>
          </cell>
          <cell r="H1334" t="str">
            <v>;;=SUM(F27:G27);</v>
          </cell>
          <cell r="I1334" t="str">
            <v>.</v>
          </cell>
        </row>
        <row r="1335">
          <cell r="A1335">
            <v>220</v>
          </cell>
          <cell r="B1335" t="str">
            <v>Egypt</v>
          </cell>
          <cell r="C1335">
            <v>1997</v>
          </cell>
          <cell r="D1335">
            <v>90</v>
          </cell>
          <cell r="E1335">
            <v>1616</v>
          </cell>
          <cell r="F1335">
            <v>90</v>
          </cell>
          <cell r="G1335">
            <v>1450242</v>
          </cell>
          <cell r="H1335" t="str">
            <v>;;=SUM(F28:G28);</v>
          </cell>
          <cell r="I1335" t="str">
            <v>.</v>
          </cell>
        </row>
        <row r="1336">
          <cell r="A1336">
            <v>220</v>
          </cell>
          <cell r="B1336" t="str">
            <v>Egypt</v>
          </cell>
          <cell r="C1336">
            <v>1997</v>
          </cell>
          <cell r="D1336">
            <v>90</v>
          </cell>
          <cell r="E1336">
            <v>1717</v>
          </cell>
          <cell r="F1336">
            <v>90</v>
          </cell>
          <cell r="G1336">
            <v>1393473</v>
          </cell>
          <cell r="H1336" t="str">
            <v>;;=SUM(F29:G29);</v>
          </cell>
          <cell r="I1336" t="str">
            <v>.</v>
          </cell>
        </row>
        <row r="1337">
          <cell r="A1337">
            <v>220</v>
          </cell>
          <cell r="B1337" t="str">
            <v>Egypt</v>
          </cell>
          <cell r="C1337">
            <v>1997</v>
          </cell>
          <cell r="D1337">
            <v>90</v>
          </cell>
          <cell r="E1337">
            <v>1818</v>
          </cell>
          <cell r="F1337">
            <v>90</v>
          </cell>
          <cell r="G1337">
            <v>1319791</v>
          </cell>
          <cell r="H1337" t="str">
            <v>;;=SUM(F30:G30);</v>
          </cell>
          <cell r="I1337" t="str">
            <v>.</v>
          </cell>
        </row>
        <row r="1338">
          <cell r="A1338">
            <v>220</v>
          </cell>
          <cell r="B1338" t="str">
            <v>Egypt</v>
          </cell>
          <cell r="C1338">
            <v>1997</v>
          </cell>
          <cell r="D1338">
            <v>90</v>
          </cell>
          <cell r="E1338">
            <v>1919</v>
          </cell>
          <cell r="F1338">
            <v>90</v>
          </cell>
          <cell r="G1338">
            <v>1235217</v>
          </cell>
          <cell r="H1338" t="str">
            <v>;;=SUM(F31:G31);</v>
          </cell>
          <cell r="I1338" t="str">
            <v>.</v>
          </cell>
        </row>
        <row r="1339">
          <cell r="A1339">
            <v>220</v>
          </cell>
          <cell r="B1339" t="str">
            <v>Egypt</v>
          </cell>
          <cell r="C1339">
            <v>1997</v>
          </cell>
          <cell r="D1339">
            <v>90</v>
          </cell>
          <cell r="E1339">
            <v>1519</v>
          </cell>
          <cell r="F1339">
            <v>90</v>
          </cell>
          <cell r="G1339">
            <v>6891112</v>
          </cell>
          <cell r="H1339" t="str">
            <v>;;=SUM(F32:G32);</v>
          </cell>
          <cell r="I1339" t="str">
            <v>.</v>
          </cell>
        </row>
        <row r="1340">
          <cell r="A1340">
            <v>220</v>
          </cell>
          <cell r="B1340" t="str">
            <v>Egypt</v>
          </cell>
          <cell r="C1340">
            <v>1997</v>
          </cell>
          <cell r="D1340">
            <v>90</v>
          </cell>
          <cell r="E1340">
            <v>2020</v>
          </cell>
          <cell r="F1340">
            <v>90</v>
          </cell>
          <cell r="G1340">
            <v>1143491</v>
          </cell>
          <cell r="H1340" t="str">
            <v>;;=SUM(F33:G33);</v>
          </cell>
          <cell r="I1340" t="str">
            <v>.</v>
          </cell>
        </row>
        <row r="1341">
          <cell r="A1341">
            <v>220</v>
          </cell>
          <cell r="B1341" t="str">
            <v>Egypt</v>
          </cell>
          <cell r="C1341">
            <v>1997</v>
          </cell>
          <cell r="D1341">
            <v>90</v>
          </cell>
          <cell r="E1341">
            <v>2121</v>
          </cell>
          <cell r="F1341">
            <v>90</v>
          </cell>
          <cell r="G1341">
            <v>1057213</v>
          </cell>
          <cell r="H1341" t="str">
            <v>;;=SUM(F34:G34);</v>
          </cell>
          <cell r="I1341" t="str">
            <v>.</v>
          </cell>
        </row>
        <row r="1342">
          <cell r="A1342">
            <v>220</v>
          </cell>
          <cell r="B1342" t="str">
            <v>Egypt</v>
          </cell>
          <cell r="C1342">
            <v>1997</v>
          </cell>
          <cell r="D1342">
            <v>90</v>
          </cell>
          <cell r="E1342">
            <v>2222</v>
          </cell>
          <cell r="F1342">
            <v>90</v>
          </cell>
          <cell r="G1342">
            <v>988886</v>
          </cell>
          <cell r="H1342" t="str">
            <v>;;=SUM(F35:G35);</v>
          </cell>
          <cell r="I1342" t="str">
            <v>.</v>
          </cell>
        </row>
        <row r="1343">
          <cell r="A1343">
            <v>220</v>
          </cell>
          <cell r="B1343" t="str">
            <v>Egypt</v>
          </cell>
          <cell r="C1343">
            <v>1997</v>
          </cell>
          <cell r="D1343">
            <v>90</v>
          </cell>
          <cell r="E1343">
            <v>2323</v>
          </cell>
          <cell r="F1343">
            <v>90</v>
          </cell>
          <cell r="G1343">
            <v>946492</v>
          </cell>
          <cell r="H1343" t="str">
            <v>;;=SUM(F36:G36);</v>
          </cell>
          <cell r="I1343" t="str">
            <v>.</v>
          </cell>
        </row>
        <row r="1344">
          <cell r="A1344">
            <v>220</v>
          </cell>
          <cell r="B1344" t="str">
            <v>Egypt</v>
          </cell>
          <cell r="C1344">
            <v>1997</v>
          </cell>
          <cell r="D1344">
            <v>90</v>
          </cell>
          <cell r="E1344">
            <v>2424</v>
          </cell>
          <cell r="F1344">
            <v>90</v>
          </cell>
          <cell r="G1344">
            <v>923933</v>
          </cell>
          <cell r="H1344" t="str">
            <v>;;=SUM(F37:G37);</v>
          </cell>
          <cell r="I1344" t="str">
            <v>.</v>
          </cell>
        </row>
        <row r="1345">
          <cell r="A1345">
            <v>220</v>
          </cell>
          <cell r="B1345" t="str">
            <v>Egypt</v>
          </cell>
          <cell r="C1345">
            <v>1997</v>
          </cell>
          <cell r="D1345">
            <v>90</v>
          </cell>
          <cell r="E1345">
            <v>2024</v>
          </cell>
          <cell r="F1345">
            <v>90</v>
          </cell>
          <cell r="G1345">
            <v>5060015</v>
          </cell>
          <cell r="H1345" t="str">
            <v>;;=SUM(F38:G38);</v>
          </cell>
          <cell r="I1345" t="str">
            <v>.</v>
          </cell>
        </row>
        <row r="1346">
          <cell r="A1346">
            <v>220</v>
          </cell>
          <cell r="B1346" t="str">
            <v>Egypt</v>
          </cell>
          <cell r="C1346">
            <v>1997</v>
          </cell>
          <cell r="D1346">
            <v>90</v>
          </cell>
          <cell r="E1346">
            <v>2525</v>
          </cell>
          <cell r="F1346">
            <v>90</v>
          </cell>
          <cell r="G1346">
            <v>908230</v>
          </cell>
          <cell r="H1346" t="str">
            <v>;;=SUM(F39:G39);</v>
          </cell>
          <cell r="I1346" t="str">
            <v>.</v>
          </cell>
        </row>
        <row r="1347">
          <cell r="A1347">
            <v>220</v>
          </cell>
          <cell r="B1347" t="str">
            <v>Egypt</v>
          </cell>
          <cell r="C1347">
            <v>1997</v>
          </cell>
          <cell r="D1347">
            <v>90</v>
          </cell>
          <cell r="E1347">
            <v>2626</v>
          </cell>
          <cell r="F1347">
            <v>90</v>
          </cell>
          <cell r="G1347">
            <v>890464</v>
          </cell>
          <cell r="H1347" t="str">
            <v>;;=SUM(F40:G40);</v>
          </cell>
          <cell r="I1347" t="str">
            <v>.</v>
          </cell>
        </row>
        <row r="1348">
          <cell r="A1348">
            <v>220</v>
          </cell>
          <cell r="B1348" t="str">
            <v>Egypt</v>
          </cell>
          <cell r="C1348">
            <v>1997</v>
          </cell>
          <cell r="D1348">
            <v>90</v>
          </cell>
          <cell r="E1348">
            <v>2727</v>
          </cell>
          <cell r="F1348">
            <v>90</v>
          </cell>
          <cell r="G1348">
            <v>873154</v>
          </cell>
          <cell r="H1348" t="str">
            <v>;;=SUM(F41:G41);</v>
          </cell>
          <cell r="I1348" t="str">
            <v>.</v>
          </cell>
        </row>
        <row r="1349">
          <cell r="A1349">
            <v>220</v>
          </cell>
          <cell r="B1349" t="str">
            <v>Egypt</v>
          </cell>
          <cell r="C1349">
            <v>1997</v>
          </cell>
          <cell r="D1349">
            <v>90</v>
          </cell>
          <cell r="E1349">
            <v>2828</v>
          </cell>
          <cell r="F1349">
            <v>90</v>
          </cell>
          <cell r="G1349">
            <v>853641</v>
          </cell>
          <cell r="H1349" t="str">
            <v>;;=SUM(F42:G42);</v>
          </cell>
          <cell r="I1349" t="str">
            <v>.</v>
          </cell>
        </row>
        <row r="1350">
          <cell r="A1350">
            <v>220</v>
          </cell>
          <cell r="B1350" t="str">
            <v>Egypt</v>
          </cell>
          <cell r="C1350">
            <v>1997</v>
          </cell>
          <cell r="D1350">
            <v>90</v>
          </cell>
          <cell r="E1350">
            <v>2929</v>
          </cell>
          <cell r="F1350">
            <v>90</v>
          </cell>
          <cell r="G1350">
            <v>833197</v>
          </cell>
          <cell r="H1350" t="str">
            <v>;;=SUM(F43:G43);</v>
          </cell>
          <cell r="I1350" t="str">
            <v>.</v>
          </cell>
        </row>
        <row r="1351">
          <cell r="A1351">
            <v>220</v>
          </cell>
          <cell r="B1351" t="str">
            <v>Egypt</v>
          </cell>
          <cell r="C1351">
            <v>1997</v>
          </cell>
          <cell r="D1351">
            <v>90</v>
          </cell>
          <cell r="E1351">
            <v>2529</v>
          </cell>
          <cell r="F1351">
            <v>90</v>
          </cell>
          <cell r="G1351">
            <v>4358686</v>
          </cell>
          <cell r="H1351" t="str">
            <v>;;=SUM(F44:G44);</v>
          </cell>
          <cell r="I1351" t="str">
            <v>.</v>
          </cell>
        </row>
        <row r="1352">
          <cell r="A1352">
            <v>220</v>
          </cell>
          <cell r="B1352" t="str">
            <v>Egypt</v>
          </cell>
          <cell r="C1352">
            <v>1997</v>
          </cell>
          <cell r="D1352">
            <v>90</v>
          </cell>
          <cell r="E1352">
            <v>3034</v>
          </cell>
          <cell r="F1352">
            <v>90</v>
          </cell>
          <cell r="G1352">
            <v>3968152</v>
          </cell>
          <cell r="H1352" t="str">
            <v>;;=SUM(F45:G45);</v>
          </cell>
          <cell r="I1352" t="str">
            <v>.</v>
          </cell>
        </row>
        <row r="1353">
          <cell r="A1353">
            <v>220</v>
          </cell>
          <cell r="B1353" t="str">
            <v>Egypt</v>
          </cell>
          <cell r="C1353">
            <v>1997</v>
          </cell>
          <cell r="D1353">
            <v>90</v>
          </cell>
          <cell r="E1353">
            <v>3539</v>
          </cell>
          <cell r="F1353">
            <v>90</v>
          </cell>
          <cell r="G1353">
            <v>3850900</v>
          </cell>
          <cell r="H1353" t="str">
            <v>;;=SUM(F46:G46);</v>
          </cell>
          <cell r="I1353" t="str">
            <v>.</v>
          </cell>
        </row>
        <row r="1354">
          <cell r="A1354">
            <v>220</v>
          </cell>
          <cell r="B1354" t="str">
            <v>Egypt</v>
          </cell>
          <cell r="C1354">
            <v>1997</v>
          </cell>
          <cell r="D1354">
            <v>90</v>
          </cell>
          <cell r="E1354">
            <v>4099</v>
          </cell>
          <cell r="F1354">
            <v>90</v>
          </cell>
          <cell r="G1354">
            <v>12748295</v>
          </cell>
          <cell r="H1354" t="str">
            <v>;;=SUM(F47:G47);</v>
          </cell>
          <cell r="I1354" t="str">
            <v>.</v>
          </cell>
        </row>
        <row r="1355">
          <cell r="A1355">
            <v>220</v>
          </cell>
          <cell r="B1355" t="str">
            <v>Egypt</v>
          </cell>
          <cell r="C1355">
            <v>1997</v>
          </cell>
          <cell r="D1355">
            <v>90</v>
          </cell>
          <cell r="E1355">
            <v>990000</v>
          </cell>
          <cell r="F1355">
            <v>90</v>
          </cell>
          <cell r="G1355">
            <v>0</v>
          </cell>
          <cell r="H1355" t="str">
            <v>n;</v>
          </cell>
          <cell r="I1355" t="str">
            <v>n</v>
          </cell>
        </row>
        <row r="1356">
          <cell r="A1356">
            <v>356</v>
          </cell>
          <cell r="B1356" t="str">
            <v>India</v>
          </cell>
          <cell r="C1356">
            <v>1997</v>
          </cell>
          <cell r="D1356">
            <v>90</v>
          </cell>
          <cell r="E1356">
            <v>900000</v>
          </cell>
          <cell r="F1356">
            <v>90</v>
          </cell>
          <cell r="G1356">
            <v>838567879</v>
          </cell>
          <cell r="H1356" t="str">
            <v>;;=SUM(F11:G11);</v>
          </cell>
          <cell r="I1356" t="str">
            <v>.</v>
          </cell>
        </row>
        <row r="1357">
          <cell r="A1357">
            <v>356</v>
          </cell>
          <cell r="B1357" t="str">
            <v>India</v>
          </cell>
          <cell r="C1357">
            <v>1997</v>
          </cell>
          <cell r="D1357">
            <v>90</v>
          </cell>
          <cell r="E1357">
            <v>300</v>
          </cell>
          <cell r="F1357">
            <v>90</v>
          </cell>
          <cell r="G1357">
            <v>102378032</v>
          </cell>
          <cell r="H1357" t="str">
            <v>;;=SUM(F12:G12);</v>
          </cell>
          <cell r="I1357" t="str">
            <v>.</v>
          </cell>
        </row>
        <row r="1358">
          <cell r="A1358">
            <v>356</v>
          </cell>
          <cell r="B1358" t="str">
            <v>India</v>
          </cell>
          <cell r="C1358">
            <v>1997</v>
          </cell>
          <cell r="D1358">
            <v>90</v>
          </cell>
          <cell r="E1358">
            <v>303</v>
          </cell>
          <cell r="F1358">
            <v>90</v>
          </cell>
          <cell r="G1358">
            <v>0</v>
          </cell>
          <cell r="H1358" t="str">
            <v>xr:A2;</v>
          </cell>
          <cell r="I1358" t="str">
            <v>xr:A2</v>
          </cell>
        </row>
        <row r="1359">
          <cell r="A1359">
            <v>356</v>
          </cell>
          <cell r="B1359" t="str">
            <v>India</v>
          </cell>
          <cell r="C1359">
            <v>1997</v>
          </cell>
          <cell r="D1359">
            <v>90</v>
          </cell>
          <cell r="E1359">
            <v>404</v>
          </cell>
          <cell r="F1359">
            <v>90</v>
          </cell>
          <cell r="G1359">
            <v>0</v>
          </cell>
          <cell r="H1359" t="str">
            <v>xr:A2;</v>
          </cell>
          <cell r="I1359" t="str">
            <v>xr:A2</v>
          </cell>
        </row>
        <row r="1360">
          <cell r="A1360">
            <v>356</v>
          </cell>
          <cell r="B1360" t="str">
            <v>India</v>
          </cell>
          <cell r="C1360">
            <v>1997</v>
          </cell>
          <cell r="D1360">
            <v>90</v>
          </cell>
          <cell r="E1360">
            <v>505</v>
          </cell>
          <cell r="F1360">
            <v>90</v>
          </cell>
          <cell r="G1360">
            <v>24676682</v>
          </cell>
          <cell r="H1360" t="str">
            <v>;;=SUM(F15:G15);</v>
          </cell>
          <cell r="I1360" t="str">
            <v>.</v>
          </cell>
        </row>
        <row r="1361">
          <cell r="A1361">
            <v>356</v>
          </cell>
          <cell r="B1361" t="str">
            <v>India</v>
          </cell>
          <cell r="C1361">
            <v>1997</v>
          </cell>
          <cell r="D1361">
            <v>90</v>
          </cell>
          <cell r="E1361">
            <v>606</v>
          </cell>
          <cell r="F1361">
            <v>90</v>
          </cell>
          <cell r="G1361">
            <v>23357126</v>
          </cell>
          <cell r="H1361" t="str">
            <v>;;=SUM(F16:G16);</v>
          </cell>
          <cell r="I1361" t="str">
            <v>.</v>
          </cell>
        </row>
        <row r="1362">
          <cell r="A1362">
            <v>356</v>
          </cell>
          <cell r="B1362" t="str">
            <v>India</v>
          </cell>
          <cell r="C1362">
            <v>1997</v>
          </cell>
          <cell r="D1362">
            <v>90</v>
          </cell>
          <cell r="E1362">
            <v>707</v>
          </cell>
          <cell r="F1362">
            <v>90</v>
          </cell>
          <cell r="G1362">
            <v>19723238</v>
          </cell>
          <cell r="H1362" t="str">
            <v>;;=SUM(F17:G17);</v>
          </cell>
          <cell r="I1362" t="str">
            <v>.</v>
          </cell>
        </row>
        <row r="1363">
          <cell r="A1363">
            <v>356</v>
          </cell>
          <cell r="B1363" t="str">
            <v>India</v>
          </cell>
          <cell r="C1363">
            <v>1997</v>
          </cell>
          <cell r="D1363">
            <v>90</v>
          </cell>
          <cell r="E1363">
            <v>808</v>
          </cell>
          <cell r="F1363">
            <v>90</v>
          </cell>
          <cell r="G1363">
            <v>27686556</v>
          </cell>
          <cell r="H1363" t="str">
            <v>;;=SUM(F18:G18);</v>
          </cell>
          <cell r="I1363" t="str">
            <v>.</v>
          </cell>
        </row>
        <row r="1364">
          <cell r="A1364">
            <v>356</v>
          </cell>
          <cell r="B1364" t="str">
            <v>India</v>
          </cell>
          <cell r="C1364">
            <v>1997</v>
          </cell>
          <cell r="D1364">
            <v>90</v>
          </cell>
          <cell r="E1364">
            <v>909</v>
          </cell>
          <cell r="F1364">
            <v>90</v>
          </cell>
          <cell r="G1364">
            <v>15851130</v>
          </cell>
          <cell r="H1364" t="str">
            <v>;;=SUM(F19:G19);</v>
          </cell>
          <cell r="I1364" t="str">
            <v>.</v>
          </cell>
        </row>
        <row r="1365">
          <cell r="A1365">
            <v>356</v>
          </cell>
          <cell r="B1365" t="str">
            <v>India</v>
          </cell>
          <cell r="C1365">
            <v>1997</v>
          </cell>
          <cell r="D1365">
            <v>90</v>
          </cell>
          <cell r="E1365">
            <v>509</v>
          </cell>
          <cell r="F1365">
            <v>90</v>
          </cell>
          <cell r="G1365">
            <v>111294732</v>
          </cell>
          <cell r="H1365" t="str">
            <v>;;=SUM(F20:G20);</v>
          </cell>
          <cell r="I1365" t="str">
            <v>.</v>
          </cell>
        </row>
        <row r="1366">
          <cell r="A1366">
            <v>356</v>
          </cell>
          <cell r="B1366" t="str">
            <v>India</v>
          </cell>
          <cell r="C1366">
            <v>1997</v>
          </cell>
          <cell r="D1366">
            <v>90</v>
          </cell>
          <cell r="E1366">
            <v>1010</v>
          </cell>
          <cell r="F1366">
            <v>90</v>
          </cell>
          <cell r="G1366">
            <v>29027602</v>
          </cell>
          <cell r="H1366" t="str">
            <v>;;=SUM(F21:G21);</v>
          </cell>
          <cell r="I1366" t="str">
            <v>.</v>
          </cell>
        </row>
        <row r="1367">
          <cell r="A1367">
            <v>356</v>
          </cell>
          <cell r="B1367" t="str">
            <v>India</v>
          </cell>
          <cell r="C1367">
            <v>1997</v>
          </cell>
          <cell r="D1367">
            <v>90</v>
          </cell>
          <cell r="E1367">
            <v>1111</v>
          </cell>
          <cell r="F1367">
            <v>90</v>
          </cell>
          <cell r="G1367">
            <v>13118793</v>
          </cell>
          <cell r="H1367" t="str">
            <v>;;=SUM(F22:G22);</v>
          </cell>
          <cell r="I1367" t="str">
            <v>.</v>
          </cell>
        </row>
        <row r="1368">
          <cell r="A1368">
            <v>356</v>
          </cell>
          <cell r="B1368" t="str">
            <v>India</v>
          </cell>
          <cell r="C1368">
            <v>1997</v>
          </cell>
          <cell r="D1368">
            <v>90</v>
          </cell>
          <cell r="E1368">
            <v>1212</v>
          </cell>
          <cell r="F1368">
            <v>90</v>
          </cell>
          <cell r="G1368">
            <v>24939761</v>
          </cell>
          <cell r="H1368" t="str">
            <v>;;=SUM(F23:G23);</v>
          </cell>
          <cell r="I1368" t="str">
            <v>.</v>
          </cell>
        </row>
        <row r="1369">
          <cell r="A1369">
            <v>356</v>
          </cell>
          <cell r="B1369" t="str">
            <v>India</v>
          </cell>
          <cell r="C1369">
            <v>1997</v>
          </cell>
          <cell r="D1369">
            <v>90</v>
          </cell>
          <cell r="E1369">
            <v>1313</v>
          </cell>
          <cell r="F1369">
            <v>90</v>
          </cell>
          <cell r="G1369">
            <v>14462244</v>
          </cell>
          <cell r="H1369" t="str">
            <v>;;=SUM(F24:G24);</v>
          </cell>
          <cell r="I1369" t="str">
            <v>.</v>
          </cell>
        </row>
        <row r="1370">
          <cell r="A1370">
            <v>356</v>
          </cell>
          <cell r="B1370" t="str">
            <v>India</v>
          </cell>
          <cell r="C1370">
            <v>1997</v>
          </cell>
          <cell r="D1370">
            <v>90</v>
          </cell>
          <cell r="E1370">
            <v>1414</v>
          </cell>
          <cell r="F1370">
            <v>90</v>
          </cell>
          <cell r="G1370">
            <v>17143498</v>
          </cell>
          <cell r="H1370" t="str">
            <v>;;=SUM(F25:G25);</v>
          </cell>
          <cell r="I1370" t="str">
            <v>.</v>
          </cell>
        </row>
        <row r="1371">
          <cell r="A1371">
            <v>356</v>
          </cell>
          <cell r="B1371" t="str">
            <v>India</v>
          </cell>
          <cell r="C1371">
            <v>1997</v>
          </cell>
          <cell r="D1371">
            <v>90</v>
          </cell>
          <cell r="E1371">
            <v>1014</v>
          </cell>
          <cell r="F1371">
            <v>90</v>
          </cell>
          <cell r="G1371">
            <v>98691898</v>
          </cell>
          <cell r="H1371" t="str">
            <v>;;=SUM(F26:G26);</v>
          </cell>
          <cell r="I1371" t="str">
            <v>.</v>
          </cell>
        </row>
        <row r="1372">
          <cell r="A1372">
            <v>356</v>
          </cell>
          <cell r="B1372" t="str">
            <v>India</v>
          </cell>
          <cell r="C1372">
            <v>1997</v>
          </cell>
          <cell r="D1372">
            <v>90</v>
          </cell>
          <cell r="E1372">
            <v>1515</v>
          </cell>
          <cell r="F1372">
            <v>90</v>
          </cell>
          <cell r="G1372">
            <v>18724354</v>
          </cell>
          <cell r="H1372" t="str">
            <v>;;=SUM(F27:G27);</v>
          </cell>
          <cell r="I1372" t="str">
            <v>.</v>
          </cell>
        </row>
        <row r="1373">
          <cell r="A1373">
            <v>356</v>
          </cell>
          <cell r="B1373" t="str">
            <v>India</v>
          </cell>
          <cell r="C1373">
            <v>1997</v>
          </cell>
          <cell r="D1373">
            <v>90</v>
          </cell>
          <cell r="E1373">
            <v>1616</v>
          </cell>
          <cell r="F1373">
            <v>90</v>
          </cell>
          <cell r="G1373">
            <v>17097611</v>
          </cell>
          <cell r="H1373" t="str">
            <v>;;=SUM(F28:G28);</v>
          </cell>
          <cell r="I1373" t="str">
            <v>.</v>
          </cell>
        </row>
        <row r="1374">
          <cell r="A1374">
            <v>356</v>
          </cell>
          <cell r="B1374" t="str">
            <v>India</v>
          </cell>
          <cell r="C1374">
            <v>1997</v>
          </cell>
          <cell r="D1374">
            <v>90</v>
          </cell>
          <cell r="E1374">
            <v>1717</v>
          </cell>
          <cell r="F1374">
            <v>90</v>
          </cell>
          <cell r="G1374">
            <v>10353352</v>
          </cell>
          <cell r="H1374" t="str">
            <v>;;=SUM(F29:G29);</v>
          </cell>
          <cell r="I1374" t="str">
            <v>.</v>
          </cell>
        </row>
        <row r="1375">
          <cell r="A1375">
            <v>356</v>
          </cell>
          <cell r="B1375" t="str">
            <v>India</v>
          </cell>
          <cell r="C1375">
            <v>1997</v>
          </cell>
          <cell r="D1375">
            <v>90</v>
          </cell>
          <cell r="E1375">
            <v>1818</v>
          </cell>
          <cell r="F1375">
            <v>90</v>
          </cell>
          <cell r="G1375">
            <v>23656856</v>
          </cell>
          <cell r="H1375" t="str">
            <v>;;=SUM(F30:G30);</v>
          </cell>
          <cell r="I1375" t="str">
            <v>.</v>
          </cell>
        </row>
        <row r="1376">
          <cell r="A1376">
            <v>356</v>
          </cell>
          <cell r="B1376" t="str">
            <v>India</v>
          </cell>
          <cell r="C1376">
            <v>1997</v>
          </cell>
          <cell r="D1376">
            <v>90</v>
          </cell>
          <cell r="E1376">
            <v>1919</v>
          </cell>
          <cell r="F1376">
            <v>90</v>
          </cell>
          <cell r="G1376">
            <v>9202756</v>
          </cell>
          <cell r="H1376" t="str">
            <v>;;=SUM(F31:G31);</v>
          </cell>
          <cell r="I1376" t="str">
            <v>.</v>
          </cell>
        </row>
        <row r="1377">
          <cell r="A1377">
            <v>356</v>
          </cell>
          <cell r="B1377" t="str">
            <v>India</v>
          </cell>
          <cell r="C1377">
            <v>1997</v>
          </cell>
          <cell r="D1377">
            <v>90</v>
          </cell>
          <cell r="E1377">
            <v>1519</v>
          </cell>
          <cell r="F1377">
            <v>90</v>
          </cell>
          <cell r="G1377">
            <v>79034929</v>
          </cell>
          <cell r="H1377" t="str">
            <v>;;=SUM(F32:G32);</v>
          </cell>
          <cell r="I1377" t="str">
            <v>.</v>
          </cell>
        </row>
        <row r="1378">
          <cell r="A1378">
            <v>356</v>
          </cell>
          <cell r="B1378" t="str">
            <v>India</v>
          </cell>
          <cell r="C1378">
            <v>1997</v>
          </cell>
          <cell r="D1378">
            <v>90</v>
          </cell>
          <cell r="E1378">
            <v>2020</v>
          </cell>
          <cell r="F1378">
            <v>90</v>
          </cell>
          <cell r="G1378">
            <v>27415889</v>
          </cell>
          <cell r="H1378" t="str">
            <v>;;=SUM(F33:G33);</v>
          </cell>
          <cell r="I1378" t="str">
            <v>.</v>
          </cell>
        </row>
        <row r="1379">
          <cell r="A1379">
            <v>356</v>
          </cell>
          <cell r="B1379" t="str">
            <v>India</v>
          </cell>
          <cell r="C1379">
            <v>1997</v>
          </cell>
          <cell r="D1379">
            <v>90</v>
          </cell>
          <cell r="E1379">
            <v>2121</v>
          </cell>
          <cell r="F1379">
            <v>90</v>
          </cell>
          <cell r="G1379">
            <v>8343814</v>
          </cell>
          <cell r="H1379" t="str">
            <v>;;=SUM(F34:G34);</v>
          </cell>
          <cell r="I1379" t="str">
            <v>.</v>
          </cell>
        </row>
        <row r="1380">
          <cell r="A1380">
            <v>356</v>
          </cell>
          <cell r="B1380" t="str">
            <v>India</v>
          </cell>
          <cell r="C1380">
            <v>1997</v>
          </cell>
          <cell r="D1380">
            <v>90</v>
          </cell>
          <cell r="E1380">
            <v>2222</v>
          </cell>
          <cell r="F1380">
            <v>90</v>
          </cell>
          <cell r="G1380">
            <v>18857638</v>
          </cell>
          <cell r="H1380" t="str">
            <v>;;=SUM(F35:G35);</v>
          </cell>
          <cell r="I1380" t="str">
            <v>.</v>
          </cell>
        </row>
        <row r="1381">
          <cell r="A1381">
            <v>356</v>
          </cell>
          <cell r="B1381" t="str">
            <v>India</v>
          </cell>
          <cell r="C1381">
            <v>1997</v>
          </cell>
          <cell r="D1381">
            <v>90</v>
          </cell>
          <cell r="E1381">
            <v>2323</v>
          </cell>
          <cell r="F1381">
            <v>90</v>
          </cell>
          <cell r="G1381">
            <v>9366403</v>
          </cell>
          <cell r="H1381" t="str">
            <v>;;=SUM(F36:G36);</v>
          </cell>
          <cell r="I1381" t="str">
            <v>.</v>
          </cell>
        </row>
        <row r="1382">
          <cell r="A1382">
            <v>356</v>
          </cell>
          <cell r="B1382" t="str">
            <v>India</v>
          </cell>
          <cell r="C1382">
            <v>1997</v>
          </cell>
          <cell r="D1382">
            <v>90</v>
          </cell>
          <cell r="E1382">
            <v>2424</v>
          </cell>
          <cell r="F1382">
            <v>90</v>
          </cell>
          <cell r="G1382">
            <v>10488960</v>
          </cell>
          <cell r="H1382" t="str">
            <v>;;=SUM(F37:G37);</v>
          </cell>
          <cell r="I1382" t="str">
            <v>.</v>
          </cell>
        </row>
        <row r="1383">
          <cell r="A1383">
            <v>356</v>
          </cell>
          <cell r="B1383" t="str">
            <v>India</v>
          </cell>
          <cell r="C1383">
            <v>1997</v>
          </cell>
          <cell r="D1383">
            <v>90</v>
          </cell>
          <cell r="E1383">
            <v>2024</v>
          </cell>
          <cell r="F1383">
            <v>90</v>
          </cell>
          <cell r="G1383">
            <v>74472704</v>
          </cell>
          <cell r="H1383" t="str">
            <v>;;=SUM(F38:G38);</v>
          </cell>
          <cell r="I1383" t="str">
            <v>.</v>
          </cell>
        </row>
        <row r="1384">
          <cell r="A1384">
            <v>356</v>
          </cell>
          <cell r="B1384" t="str">
            <v>India</v>
          </cell>
          <cell r="C1384">
            <v>1997</v>
          </cell>
          <cell r="D1384">
            <v>90</v>
          </cell>
          <cell r="E1384">
            <v>2525</v>
          </cell>
          <cell r="F1384">
            <v>90</v>
          </cell>
          <cell r="G1384">
            <v>30360199</v>
          </cell>
          <cell r="H1384" t="str">
            <v>;;=SUM(F39:G39);</v>
          </cell>
          <cell r="I1384" t="str">
            <v>.</v>
          </cell>
        </row>
        <row r="1385">
          <cell r="A1385">
            <v>356</v>
          </cell>
          <cell r="B1385" t="str">
            <v>India</v>
          </cell>
          <cell r="C1385">
            <v>1997</v>
          </cell>
          <cell r="D1385">
            <v>90</v>
          </cell>
          <cell r="E1385">
            <v>2626</v>
          </cell>
          <cell r="F1385">
            <v>90</v>
          </cell>
          <cell r="G1385">
            <v>10513030</v>
          </cell>
          <cell r="H1385" t="str">
            <v>;;=SUM(F40:G40);</v>
          </cell>
          <cell r="I1385" t="str">
            <v>.</v>
          </cell>
        </row>
        <row r="1386">
          <cell r="A1386">
            <v>356</v>
          </cell>
          <cell r="B1386" t="str">
            <v>India</v>
          </cell>
          <cell r="C1386">
            <v>1997</v>
          </cell>
          <cell r="D1386">
            <v>90</v>
          </cell>
          <cell r="E1386">
            <v>2727</v>
          </cell>
          <cell r="F1386">
            <v>90</v>
          </cell>
          <cell r="G1386">
            <v>7512909</v>
          </cell>
          <cell r="H1386" t="str">
            <v>;;=SUM(F41:G41);</v>
          </cell>
          <cell r="I1386" t="str">
            <v>.</v>
          </cell>
        </row>
        <row r="1387">
          <cell r="A1387">
            <v>356</v>
          </cell>
          <cell r="B1387" t="str">
            <v>India</v>
          </cell>
          <cell r="C1387">
            <v>1997</v>
          </cell>
          <cell r="D1387">
            <v>90</v>
          </cell>
          <cell r="E1387">
            <v>2828</v>
          </cell>
          <cell r="F1387">
            <v>90</v>
          </cell>
          <cell r="G1387">
            <v>17139018</v>
          </cell>
          <cell r="H1387" t="str">
            <v>;;=SUM(F42:G42);</v>
          </cell>
          <cell r="I1387" t="str">
            <v>.</v>
          </cell>
        </row>
        <row r="1388">
          <cell r="A1388">
            <v>356</v>
          </cell>
          <cell r="B1388" t="str">
            <v>India</v>
          </cell>
          <cell r="C1388">
            <v>1997</v>
          </cell>
          <cell r="D1388">
            <v>90</v>
          </cell>
          <cell r="E1388">
            <v>2929</v>
          </cell>
          <cell r="F1388">
            <v>90</v>
          </cell>
          <cell r="G1388">
            <v>3714102</v>
          </cell>
          <cell r="H1388" t="str">
            <v>;;=SUM(F43:G43);</v>
          </cell>
          <cell r="I1388" t="str">
            <v>.</v>
          </cell>
        </row>
        <row r="1389">
          <cell r="A1389">
            <v>356</v>
          </cell>
          <cell r="B1389" t="str">
            <v>India</v>
          </cell>
          <cell r="C1389">
            <v>1997</v>
          </cell>
          <cell r="D1389">
            <v>90</v>
          </cell>
          <cell r="E1389">
            <v>2529</v>
          </cell>
          <cell r="F1389">
            <v>90</v>
          </cell>
          <cell r="G1389">
            <v>69239258</v>
          </cell>
          <cell r="H1389" t="str">
            <v>;;=SUM(F44:G44);</v>
          </cell>
          <cell r="I1389" t="str">
            <v>.</v>
          </cell>
        </row>
        <row r="1390">
          <cell r="A1390">
            <v>356</v>
          </cell>
          <cell r="B1390" t="str">
            <v>India</v>
          </cell>
          <cell r="C1390">
            <v>1997</v>
          </cell>
          <cell r="D1390">
            <v>90</v>
          </cell>
          <cell r="E1390">
            <v>3034</v>
          </cell>
          <cell r="F1390">
            <v>90</v>
          </cell>
          <cell r="G1390">
            <v>58404484</v>
          </cell>
          <cell r="H1390" t="str">
            <v>;;=SUM(F45:G45);</v>
          </cell>
          <cell r="I1390" t="str">
            <v>.</v>
          </cell>
        </row>
        <row r="1391">
          <cell r="A1391">
            <v>356</v>
          </cell>
          <cell r="B1391" t="str">
            <v>India</v>
          </cell>
          <cell r="C1391">
            <v>1997</v>
          </cell>
          <cell r="D1391">
            <v>90</v>
          </cell>
          <cell r="E1391">
            <v>3539</v>
          </cell>
          <cell r="F1391">
            <v>90</v>
          </cell>
          <cell r="G1391">
            <v>52398870</v>
          </cell>
          <cell r="H1391" t="str">
            <v>;;=SUM(F46:G46);</v>
          </cell>
          <cell r="I1391" t="str">
            <v>.</v>
          </cell>
        </row>
        <row r="1392">
          <cell r="A1392">
            <v>356</v>
          </cell>
          <cell r="B1392" t="str">
            <v>India</v>
          </cell>
          <cell r="C1392">
            <v>1997</v>
          </cell>
          <cell r="D1392">
            <v>90</v>
          </cell>
          <cell r="E1392">
            <v>4099</v>
          </cell>
          <cell r="F1392">
            <v>90</v>
          </cell>
          <cell r="G1392">
            <v>187957871</v>
          </cell>
          <cell r="H1392" t="str">
            <v>;;=SUM(F47:G47);</v>
          </cell>
          <cell r="I1392" t="str">
            <v>.</v>
          </cell>
        </row>
        <row r="1393">
          <cell r="A1393">
            <v>356</v>
          </cell>
          <cell r="B1393" t="str">
            <v>India</v>
          </cell>
          <cell r="C1393">
            <v>1997</v>
          </cell>
          <cell r="D1393">
            <v>90</v>
          </cell>
          <cell r="E1393">
            <v>990000</v>
          </cell>
          <cell r="F1393">
            <v>90</v>
          </cell>
          <cell r="G1393">
            <v>4695101</v>
          </cell>
          <cell r="H1393" t="str">
            <v>;;=SUM(F48:G48);</v>
          </cell>
          <cell r="I1393" t="str">
            <v>.</v>
          </cell>
        </row>
        <row r="1394">
          <cell r="A1394">
            <v>360</v>
          </cell>
          <cell r="B1394" t="str">
            <v>Indonesia</v>
          </cell>
          <cell r="C1394">
            <v>1997</v>
          </cell>
          <cell r="D1394">
            <v>90</v>
          </cell>
          <cell r="E1394">
            <v>900000</v>
          </cell>
          <cell r="F1394">
            <v>90</v>
          </cell>
          <cell r="G1394">
            <v>198342900</v>
          </cell>
          <cell r="H1394" t="str">
            <v>;;=SUM(F11:G11);</v>
          </cell>
          <cell r="I1394" t="str">
            <v>.</v>
          </cell>
        </row>
        <row r="1395">
          <cell r="A1395">
            <v>360</v>
          </cell>
          <cell r="B1395" t="str">
            <v>Indonesia</v>
          </cell>
          <cell r="C1395">
            <v>1997</v>
          </cell>
          <cell r="D1395">
            <v>90</v>
          </cell>
          <cell r="E1395">
            <v>300</v>
          </cell>
          <cell r="F1395">
            <v>90</v>
          </cell>
          <cell r="G1395">
            <v>13386000</v>
          </cell>
          <cell r="H1395" t="str">
            <v>;;=SUM(F12:G12);</v>
          </cell>
          <cell r="I1395" t="str">
            <v>.</v>
          </cell>
        </row>
        <row r="1396">
          <cell r="A1396">
            <v>360</v>
          </cell>
          <cell r="B1396" t="str">
            <v>Indonesia</v>
          </cell>
          <cell r="C1396">
            <v>1997</v>
          </cell>
          <cell r="D1396">
            <v>90</v>
          </cell>
          <cell r="E1396">
            <v>303</v>
          </cell>
          <cell r="F1396">
            <v>90</v>
          </cell>
          <cell r="G1396">
            <v>4272200</v>
          </cell>
          <cell r="H1396" t="str">
            <v>;;=SUM(F13:G13);</v>
          </cell>
          <cell r="I1396" t="str">
            <v>.</v>
          </cell>
        </row>
        <row r="1397">
          <cell r="A1397">
            <v>360</v>
          </cell>
          <cell r="B1397" t="str">
            <v>Indonesia</v>
          </cell>
          <cell r="C1397">
            <v>1997</v>
          </cell>
          <cell r="D1397">
            <v>90</v>
          </cell>
          <cell r="E1397">
            <v>404</v>
          </cell>
          <cell r="F1397">
            <v>90</v>
          </cell>
          <cell r="G1397">
            <v>4212100</v>
          </cell>
          <cell r="H1397" t="str">
            <v>;;=SUM(F14:G14);</v>
          </cell>
          <cell r="I1397" t="str">
            <v>.</v>
          </cell>
        </row>
        <row r="1398">
          <cell r="A1398">
            <v>360</v>
          </cell>
          <cell r="B1398" t="str">
            <v>Indonesia</v>
          </cell>
          <cell r="C1398">
            <v>1997</v>
          </cell>
          <cell r="D1398">
            <v>90</v>
          </cell>
          <cell r="E1398">
            <v>505</v>
          </cell>
          <cell r="F1398">
            <v>90</v>
          </cell>
          <cell r="G1398">
            <v>4176400</v>
          </cell>
          <cell r="H1398" t="str">
            <v>;;=SUM(F15:G15);</v>
          </cell>
          <cell r="I1398" t="str">
            <v>.</v>
          </cell>
        </row>
        <row r="1399">
          <cell r="A1399">
            <v>360</v>
          </cell>
          <cell r="B1399" t="str">
            <v>Indonesia</v>
          </cell>
          <cell r="C1399">
            <v>1997</v>
          </cell>
          <cell r="D1399">
            <v>90</v>
          </cell>
          <cell r="E1399">
            <v>606</v>
          </cell>
          <cell r="F1399">
            <v>90</v>
          </cell>
          <cell r="G1399">
            <v>4166800</v>
          </cell>
          <cell r="H1399" t="str">
            <v>;;=SUM(F16:G16);</v>
          </cell>
          <cell r="I1399" t="str">
            <v>.</v>
          </cell>
        </row>
        <row r="1400">
          <cell r="A1400">
            <v>360</v>
          </cell>
          <cell r="B1400" t="str">
            <v>Indonesia</v>
          </cell>
          <cell r="C1400">
            <v>1997</v>
          </cell>
          <cell r="D1400">
            <v>90</v>
          </cell>
          <cell r="E1400">
            <v>707</v>
          </cell>
          <cell r="F1400">
            <v>90</v>
          </cell>
          <cell r="G1400">
            <v>4184700</v>
          </cell>
          <cell r="H1400" t="str">
            <v>;;=SUM(F17:G17);</v>
          </cell>
          <cell r="I1400" t="str">
            <v>.</v>
          </cell>
        </row>
        <row r="1401">
          <cell r="A1401">
            <v>360</v>
          </cell>
          <cell r="B1401" t="str">
            <v>Indonesia</v>
          </cell>
          <cell r="C1401">
            <v>1997</v>
          </cell>
          <cell r="D1401">
            <v>90</v>
          </cell>
          <cell r="E1401">
            <v>808</v>
          </cell>
          <cell r="F1401">
            <v>90</v>
          </cell>
          <cell r="G1401">
            <v>4229300</v>
          </cell>
          <cell r="H1401" t="str">
            <v>;;=SUM(F18:G18);</v>
          </cell>
          <cell r="I1401" t="str">
            <v>.</v>
          </cell>
        </row>
        <row r="1402">
          <cell r="A1402">
            <v>360</v>
          </cell>
          <cell r="B1402" t="str">
            <v>Indonesia</v>
          </cell>
          <cell r="C1402">
            <v>1997</v>
          </cell>
          <cell r="D1402">
            <v>90</v>
          </cell>
          <cell r="E1402">
            <v>909</v>
          </cell>
          <cell r="F1402">
            <v>90</v>
          </cell>
          <cell r="G1402">
            <v>4295200</v>
          </cell>
          <cell r="H1402" t="str">
            <v>;;=SUM(F19:G19);</v>
          </cell>
          <cell r="I1402" t="str">
            <v>.</v>
          </cell>
        </row>
        <row r="1403">
          <cell r="A1403">
            <v>360</v>
          </cell>
          <cell r="B1403" t="str">
            <v>Indonesia</v>
          </cell>
          <cell r="C1403">
            <v>1997</v>
          </cell>
          <cell r="D1403">
            <v>90</v>
          </cell>
          <cell r="E1403">
            <v>509</v>
          </cell>
          <cell r="F1403">
            <v>90</v>
          </cell>
          <cell r="G1403">
            <v>21052400</v>
          </cell>
          <cell r="H1403" t="str">
            <v>;;=SUM(F20:G20);</v>
          </cell>
          <cell r="I1403" t="str">
            <v>.</v>
          </cell>
        </row>
        <row r="1404">
          <cell r="A1404">
            <v>360</v>
          </cell>
          <cell r="B1404" t="str">
            <v>Indonesia</v>
          </cell>
          <cell r="C1404">
            <v>1997</v>
          </cell>
          <cell r="D1404">
            <v>90</v>
          </cell>
          <cell r="E1404">
            <v>1010</v>
          </cell>
          <cell r="F1404">
            <v>90</v>
          </cell>
          <cell r="G1404">
            <v>4371800</v>
          </cell>
          <cell r="H1404" t="str">
            <v>;;=SUM(F21:G21);</v>
          </cell>
          <cell r="I1404" t="str">
            <v>.</v>
          </cell>
        </row>
        <row r="1405">
          <cell r="A1405">
            <v>360</v>
          </cell>
          <cell r="B1405" t="str">
            <v>Indonesia</v>
          </cell>
          <cell r="C1405">
            <v>1997</v>
          </cell>
          <cell r="D1405">
            <v>90</v>
          </cell>
          <cell r="E1405">
            <v>1111</v>
          </cell>
          <cell r="F1405">
            <v>90</v>
          </cell>
          <cell r="G1405">
            <v>4444000</v>
          </cell>
          <cell r="H1405" t="str">
            <v>;;=SUM(F22:G22);</v>
          </cell>
          <cell r="I1405" t="str">
            <v>.</v>
          </cell>
        </row>
        <row r="1406">
          <cell r="A1406">
            <v>360</v>
          </cell>
          <cell r="B1406" t="str">
            <v>Indonesia</v>
          </cell>
          <cell r="C1406">
            <v>1997</v>
          </cell>
          <cell r="D1406">
            <v>90</v>
          </cell>
          <cell r="E1406">
            <v>1212</v>
          </cell>
          <cell r="F1406">
            <v>90</v>
          </cell>
          <cell r="G1406">
            <v>4494700</v>
          </cell>
          <cell r="H1406" t="str">
            <v>;;=SUM(F23:G23);</v>
          </cell>
          <cell r="I1406" t="str">
            <v>.</v>
          </cell>
        </row>
        <row r="1407">
          <cell r="A1407">
            <v>360</v>
          </cell>
          <cell r="B1407" t="str">
            <v>Indonesia</v>
          </cell>
          <cell r="C1407">
            <v>1997</v>
          </cell>
          <cell r="D1407">
            <v>90</v>
          </cell>
          <cell r="E1407">
            <v>1313</v>
          </cell>
          <cell r="F1407">
            <v>90</v>
          </cell>
          <cell r="G1407">
            <v>4512300</v>
          </cell>
          <cell r="H1407" t="str">
            <v>;;=SUM(F24:G24);</v>
          </cell>
          <cell r="I1407" t="str">
            <v>.</v>
          </cell>
        </row>
        <row r="1408">
          <cell r="A1408">
            <v>360</v>
          </cell>
          <cell r="B1408" t="str">
            <v>Indonesia</v>
          </cell>
          <cell r="C1408">
            <v>1997</v>
          </cell>
          <cell r="D1408">
            <v>90</v>
          </cell>
          <cell r="E1408">
            <v>1414</v>
          </cell>
          <cell r="F1408">
            <v>90</v>
          </cell>
          <cell r="G1408">
            <v>4501500</v>
          </cell>
          <cell r="H1408" t="str">
            <v>;;=SUM(F25:G25);</v>
          </cell>
          <cell r="I1408" t="str">
            <v>.</v>
          </cell>
        </row>
        <row r="1409">
          <cell r="A1409">
            <v>360</v>
          </cell>
          <cell r="B1409" t="str">
            <v>Indonesia</v>
          </cell>
          <cell r="C1409">
            <v>1997</v>
          </cell>
          <cell r="D1409">
            <v>90</v>
          </cell>
          <cell r="E1409">
            <v>1014</v>
          </cell>
          <cell r="F1409">
            <v>90</v>
          </cell>
          <cell r="G1409">
            <v>22324300</v>
          </cell>
          <cell r="H1409" t="str">
            <v>;;=SUM(F26:G26);</v>
          </cell>
          <cell r="I1409" t="str">
            <v>.</v>
          </cell>
        </row>
        <row r="1410">
          <cell r="A1410">
            <v>360</v>
          </cell>
          <cell r="B1410" t="str">
            <v>Indonesia</v>
          </cell>
          <cell r="C1410">
            <v>1997</v>
          </cell>
          <cell r="D1410">
            <v>90</v>
          </cell>
          <cell r="E1410">
            <v>1515</v>
          </cell>
          <cell r="F1410">
            <v>90</v>
          </cell>
          <cell r="G1410">
            <v>4485300</v>
          </cell>
          <cell r="H1410" t="str">
            <v>;;=SUM(F27:G27);</v>
          </cell>
          <cell r="I1410" t="str">
            <v>.</v>
          </cell>
        </row>
        <row r="1411">
          <cell r="A1411">
            <v>360</v>
          </cell>
          <cell r="B1411" t="str">
            <v>Indonesia</v>
          </cell>
          <cell r="C1411">
            <v>1997</v>
          </cell>
          <cell r="D1411">
            <v>90</v>
          </cell>
          <cell r="E1411">
            <v>1616</v>
          </cell>
          <cell r="F1411">
            <v>90</v>
          </cell>
          <cell r="G1411">
            <v>4463200</v>
          </cell>
          <cell r="H1411" t="str">
            <v>;;=SUM(F28:G28);</v>
          </cell>
          <cell r="I1411" t="str">
            <v>.</v>
          </cell>
        </row>
        <row r="1412">
          <cell r="A1412">
            <v>360</v>
          </cell>
          <cell r="B1412" t="str">
            <v>Indonesia</v>
          </cell>
          <cell r="C1412">
            <v>1997</v>
          </cell>
          <cell r="D1412">
            <v>90</v>
          </cell>
          <cell r="E1412">
            <v>1717</v>
          </cell>
          <cell r="F1412">
            <v>90</v>
          </cell>
          <cell r="G1412">
            <v>4411000</v>
          </cell>
          <cell r="H1412" t="str">
            <v>;;=SUM(F29:G29);</v>
          </cell>
          <cell r="I1412" t="str">
            <v>.</v>
          </cell>
        </row>
        <row r="1413">
          <cell r="A1413">
            <v>360</v>
          </cell>
          <cell r="B1413" t="str">
            <v>Indonesia</v>
          </cell>
          <cell r="C1413">
            <v>1997</v>
          </cell>
          <cell r="D1413">
            <v>90</v>
          </cell>
          <cell r="E1413">
            <v>1818</v>
          </cell>
          <cell r="F1413">
            <v>90</v>
          </cell>
          <cell r="G1413">
            <v>4322400</v>
          </cell>
          <cell r="H1413" t="str">
            <v>;;=SUM(F30:G30);</v>
          </cell>
          <cell r="I1413" t="str">
            <v>.</v>
          </cell>
        </row>
        <row r="1414">
          <cell r="A1414">
            <v>360</v>
          </cell>
          <cell r="B1414" t="str">
            <v>Indonesia</v>
          </cell>
          <cell r="C1414">
            <v>1997</v>
          </cell>
          <cell r="D1414">
            <v>90</v>
          </cell>
          <cell r="E1414">
            <v>1919</v>
          </cell>
          <cell r="F1414">
            <v>90</v>
          </cell>
          <cell r="G1414">
            <v>4206600</v>
          </cell>
          <cell r="H1414" t="str">
            <v>;;=SUM(F31:G31);</v>
          </cell>
          <cell r="I1414" t="str">
            <v>.</v>
          </cell>
        </row>
        <row r="1415">
          <cell r="A1415">
            <v>360</v>
          </cell>
          <cell r="B1415" t="str">
            <v>Indonesia</v>
          </cell>
          <cell r="C1415">
            <v>1997</v>
          </cell>
          <cell r="D1415">
            <v>90</v>
          </cell>
          <cell r="E1415">
            <v>1519</v>
          </cell>
          <cell r="F1415">
            <v>90</v>
          </cell>
          <cell r="G1415">
            <v>21888500</v>
          </cell>
          <cell r="H1415" t="str">
            <v>;;=SUM(F32:G32);</v>
          </cell>
          <cell r="I1415" t="str">
            <v>.</v>
          </cell>
        </row>
        <row r="1416">
          <cell r="A1416">
            <v>360</v>
          </cell>
          <cell r="B1416" t="str">
            <v>Indonesia</v>
          </cell>
          <cell r="C1416">
            <v>1997</v>
          </cell>
          <cell r="D1416">
            <v>90</v>
          </cell>
          <cell r="E1416">
            <v>2020</v>
          </cell>
          <cell r="F1416">
            <v>90</v>
          </cell>
          <cell r="G1416">
            <v>4078100</v>
          </cell>
          <cell r="H1416" t="str">
            <v>;;=SUM(F33:G33);</v>
          </cell>
          <cell r="I1416" t="str">
            <v>.</v>
          </cell>
        </row>
        <row r="1417">
          <cell r="A1417">
            <v>360</v>
          </cell>
          <cell r="B1417" t="str">
            <v>Indonesia</v>
          </cell>
          <cell r="C1417">
            <v>1997</v>
          </cell>
          <cell r="D1417">
            <v>90</v>
          </cell>
          <cell r="E1417">
            <v>2121</v>
          </cell>
          <cell r="F1417">
            <v>90</v>
          </cell>
          <cell r="G1417">
            <v>3950400</v>
          </cell>
          <cell r="H1417" t="str">
            <v>;;=SUM(F34:G34);</v>
          </cell>
          <cell r="I1417" t="str">
            <v>.</v>
          </cell>
        </row>
        <row r="1418">
          <cell r="A1418">
            <v>360</v>
          </cell>
          <cell r="B1418" t="str">
            <v>Indonesia</v>
          </cell>
          <cell r="C1418">
            <v>1997</v>
          </cell>
          <cell r="D1418">
            <v>90</v>
          </cell>
          <cell r="E1418">
            <v>2222</v>
          </cell>
          <cell r="F1418">
            <v>90</v>
          </cell>
          <cell r="G1418">
            <v>3827300</v>
          </cell>
          <cell r="H1418" t="str">
            <v>;;=SUM(F35:G35);</v>
          </cell>
          <cell r="I1418" t="str">
            <v>.</v>
          </cell>
        </row>
        <row r="1419">
          <cell r="A1419">
            <v>360</v>
          </cell>
          <cell r="B1419" t="str">
            <v>Indonesia</v>
          </cell>
          <cell r="C1419">
            <v>1997</v>
          </cell>
          <cell r="D1419">
            <v>90</v>
          </cell>
          <cell r="E1419">
            <v>2323</v>
          </cell>
          <cell r="F1419">
            <v>90</v>
          </cell>
          <cell r="G1419">
            <v>3715300</v>
          </cell>
          <cell r="H1419" t="str">
            <v>;;=SUM(F36:G36);</v>
          </cell>
          <cell r="I1419" t="str">
            <v>.</v>
          </cell>
        </row>
        <row r="1420">
          <cell r="A1420">
            <v>360</v>
          </cell>
          <cell r="B1420" t="str">
            <v>Indonesia</v>
          </cell>
          <cell r="C1420">
            <v>1997</v>
          </cell>
          <cell r="D1420">
            <v>90</v>
          </cell>
          <cell r="E1420">
            <v>2424</v>
          </cell>
          <cell r="F1420">
            <v>90</v>
          </cell>
          <cell r="G1420">
            <v>3613200</v>
          </cell>
          <cell r="H1420" t="str">
            <v>;;=SUM(F37:G37);</v>
          </cell>
          <cell r="I1420" t="str">
            <v>.</v>
          </cell>
        </row>
        <row r="1421">
          <cell r="A1421">
            <v>360</v>
          </cell>
          <cell r="B1421" t="str">
            <v>Indonesia</v>
          </cell>
          <cell r="C1421">
            <v>1997</v>
          </cell>
          <cell r="D1421">
            <v>90</v>
          </cell>
          <cell r="E1421">
            <v>2024</v>
          </cell>
          <cell r="F1421">
            <v>90</v>
          </cell>
          <cell r="G1421">
            <v>19184300</v>
          </cell>
          <cell r="H1421" t="str">
            <v>;;=SUM(F38:G38);</v>
          </cell>
          <cell r="I1421" t="str">
            <v>.</v>
          </cell>
        </row>
        <row r="1422">
          <cell r="A1422">
            <v>360</v>
          </cell>
          <cell r="B1422" t="str">
            <v>Indonesia</v>
          </cell>
          <cell r="C1422">
            <v>1997</v>
          </cell>
          <cell r="D1422">
            <v>90</v>
          </cell>
          <cell r="E1422">
            <v>2525</v>
          </cell>
          <cell r="F1422">
            <v>90</v>
          </cell>
          <cell r="G1422">
            <v>3508800</v>
          </cell>
          <cell r="H1422" t="str">
            <v>;;=SUM(F39:G39);</v>
          </cell>
          <cell r="I1422" t="str">
            <v>.</v>
          </cell>
        </row>
        <row r="1423">
          <cell r="A1423">
            <v>360</v>
          </cell>
          <cell r="B1423" t="str">
            <v>Indonesia</v>
          </cell>
          <cell r="C1423">
            <v>1997</v>
          </cell>
          <cell r="D1423">
            <v>90</v>
          </cell>
          <cell r="E1423">
            <v>2626</v>
          </cell>
          <cell r="F1423">
            <v>90</v>
          </cell>
          <cell r="G1423">
            <v>3404500</v>
          </cell>
          <cell r="H1423" t="str">
            <v>;;=SUM(F40:G40);</v>
          </cell>
          <cell r="I1423" t="str">
            <v>.</v>
          </cell>
        </row>
        <row r="1424">
          <cell r="A1424">
            <v>360</v>
          </cell>
          <cell r="B1424" t="str">
            <v>Indonesia</v>
          </cell>
          <cell r="C1424">
            <v>1997</v>
          </cell>
          <cell r="D1424">
            <v>90</v>
          </cell>
          <cell r="E1424">
            <v>2727</v>
          </cell>
          <cell r="F1424">
            <v>90</v>
          </cell>
          <cell r="G1424">
            <v>3316500</v>
          </cell>
          <cell r="H1424" t="str">
            <v>;;=SUM(F41:G41);</v>
          </cell>
          <cell r="I1424" t="str">
            <v>.</v>
          </cell>
        </row>
        <row r="1425">
          <cell r="A1425">
            <v>360</v>
          </cell>
          <cell r="B1425" t="str">
            <v>Indonesia</v>
          </cell>
          <cell r="C1425">
            <v>1997</v>
          </cell>
          <cell r="D1425">
            <v>90</v>
          </cell>
          <cell r="E1425">
            <v>2828</v>
          </cell>
          <cell r="F1425">
            <v>90</v>
          </cell>
          <cell r="G1425">
            <v>3249900</v>
          </cell>
          <cell r="H1425" t="str">
            <v>;;=SUM(F42:G42);</v>
          </cell>
          <cell r="I1425" t="str">
            <v>.</v>
          </cell>
        </row>
        <row r="1426">
          <cell r="A1426">
            <v>360</v>
          </cell>
          <cell r="B1426" t="str">
            <v>Indonesia</v>
          </cell>
          <cell r="C1426">
            <v>1997</v>
          </cell>
          <cell r="D1426">
            <v>90</v>
          </cell>
          <cell r="E1426">
            <v>2929</v>
          </cell>
          <cell r="F1426">
            <v>90</v>
          </cell>
          <cell r="G1426">
            <v>3199000</v>
          </cell>
          <cell r="H1426" t="str">
            <v>;;=SUM(F43:G43);</v>
          </cell>
          <cell r="I1426" t="str">
            <v>.</v>
          </cell>
        </row>
        <row r="1427">
          <cell r="A1427">
            <v>360</v>
          </cell>
          <cell r="B1427" t="str">
            <v>Indonesia</v>
          </cell>
          <cell r="C1427">
            <v>1997</v>
          </cell>
          <cell r="D1427">
            <v>90</v>
          </cell>
          <cell r="E1427">
            <v>2529</v>
          </cell>
          <cell r="F1427">
            <v>90</v>
          </cell>
          <cell r="G1427">
            <v>16678700</v>
          </cell>
          <cell r="H1427" t="str">
            <v>;;=SUM(F44:G44);</v>
          </cell>
          <cell r="I1427" t="str">
            <v>.</v>
          </cell>
        </row>
        <row r="1428">
          <cell r="A1428">
            <v>360</v>
          </cell>
          <cell r="B1428" t="str">
            <v>Indonesia</v>
          </cell>
          <cell r="C1428">
            <v>1997</v>
          </cell>
          <cell r="D1428">
            <v>90</v>
          </cell>
          <cell r="E1428">
            <v>3034</v>
          </cell>
          <cell r="F1428">
            <v>90</v>
          </cell>
          <cell r="G1428">
            <v>15244500</v>
          </cell>
          <cell r="H1428" t="str">
            <v>;;=SUM(F45:G45);</v>
          </cell>
          <cell r="I1428" t="str">
            <v>.</v>
          </cell>
        </row>
        <row r="1429">
          <cell r="A1429">
            <v>360</v>
          </cell>
          <cell r="B1429" t="str">
            <v>Indonesia</v>
          </cell>
          <cell r="C1429">
            <v>1997</v>
          </cell>
          <cell r="D1429">
            <v>90</v>
          </cell>
          <cell r="E1429">
            <v>3539</v>
          </cell>
          <cell r="F1429">
            <v>90</v>
          </cell>
          <cell r="G1429">
            <v>13627600</v>
          </cell>
          <cell r="H1429" t="str">
            <v>;;=SUM(F46:G46);</v>
          </cell>
          <cell r="I1429" t="str">
            <v>.</v>
          </cell>
        </row>
        <row r="1430">
          <cell r="A1430">
            <v>360</v>
          </cell>
          <cell r="B1430" t="str">
            <v>Indonesia</v>
          </cell>
          <cell r="C1430">
            <v>1997</v>
          </cell>
          <cell r="D1430">
            <v>90</v>
          </cell>
          <cell r="E1430">
            <v>4099</v>
          </cell>
          <cell r="F1430">
            <v>90</v>
          </cell>
          <cell r="G1430">
            <v>46472300</v>
          </cell>
          <cell r="H1430" t="str">
            <v>;;=SUM(F47:G47);</v>
          </cell>
          <cell r="I1430" t="str">
            <v>.</v>
          </cell>
        </row>
        <row r="1431">
          <cell r="A1431">
            <v>360</v>
          </cell>
          <cell r="B1431" t="str">
            <v>Indonesia</v>
          </cell>
          <cell r="C1431">
            <v>1997</v>
          </cell>
          <cell r="D1431">
            <v>90</v>
          </cell>
          <cell r="E1431">
            <v>990000</v>
          </cell>
          <cell r="F1431">
            <v>90</v>
          </cell>
          <cell r="G1431">
            <v>0</v>
          </cell>
          <cell r="H1431" t="str">
            <v>n;</v>
          </cell>
          <cell r="I1431" t="str">
            <v>n</v>
          </cell>
        </row>
        <row r="1432">
          <cell r="A1432">
            <v>400</v>
          </cell>
          <cell r="B1432" t="str">
            <v>Jordan</v>
          </cell>
          <cell r="C1432">
            <v>1997</v>
          </cell>
          <cell r="D1432">
            <v>90</v>
          </cell>
          <cell r="E1432">
            <v>900000</v>
          </cell>
          <cell r="F1432">
            <v>90</v>
          </cell>
          <cell r="G1432">
            <v>4600025</v>
          </cell>
          <cell r="H1432"/>
          <cell r="I1432" t="str">
            <v>.</v>
          </cell>
        </row>
        <row r="1433">
          <cell r="A1433">
            <v>400</v>
          </cell>
          <cell r="B1433" t="str">
            <v>Jordan</v>
          </cell>
          <cell r="C1433">
            <v>1997</v>
          </cell>
          <cell r="D1433">
            <v>90</v>
          </cell>
          <cell r="E1433">
            <v>300</v>
          </cell>
          <cell r="F1433">
            <v>90</v>
          </cell>
          <cell r="G1433">
            <v>424580</v>
          </cell>
          <cell r="H1433"/>
          <cell r="I1433" t="str">
            <v>.</v>
          </cell>
        </row>
        <row r="1434">
          <cell r="A1434">
            <v>400</v>
          </cell>
          <cell r="B1434" t="str">
            <v>Jordan</v>
          </cell>
          <cell r="C1434">
            <v>1997</v>
          </cell>
          <cell r="D1434">
            <v>90</v>
          </cell>
          <cell r="E1434">
            <v>303</v>
          </cell>
          <cell r="F1434">
            <v>90</v>
          </cell>
          <cell r="G1434">
            <v>136119</v>
          </cell>
          <cell r="H1434"/>
          <cell r="I1434" t="str">
            <v>.</v>
          </cell>
        </row>
        <row r="1435">
          <cell r="A1435">
            <v>400</v>
          </cell>
          <cell r="B1435" t="str">
            <v>Jordan</v>
          </cell>
          <cell r="C1435">
            <v>1997</v>
          </cell>
          <cell r="D1435">
            <v>90</v>
          </cell>
          <cell r="E1435">
            <v>404</v>
          </cell>
          <cell r="F1435">
            <v>90</v>
          </cell>
          <cell r="G1435">
            <v>129324</v>
          </cell>
          <cell r="H1435"/>
          <cell r="I1435" t="str">
            <v>.</v>
          </cell>
        </row>
        <row r="1436">
          <cell r="A1436">
            <v>400</v>
          </cell>
          <cell r="B1436" t="str">
            <v>Jordan</v>
          </cell>
          <cell r="C1436">
            <v>1997</v>
          </cell>
          <cell r="D1436">
            <v>90</v>
          </cell>
          <cell r="E1436">
            <v>505</v>
          </cell>
          <cell r="F1436">
            <v>90</v>
          </cell>
          <cell r="G1436">
            <v>130668</v>
          </cell>
          <cell r="H1436"/>
          <cell r="I1436" t="str">
            <v>.</v>
          </cell>
        </row>
        <row r="1437">
          <cell r="A1437">
            <v>400</v>
          </cell>
          <cell r="B1437" t="str">
            <v>Jordan</v>
          </cell>
          <cell r="C1437">
            <v>1997</v>
          </cell>
          <cell r="D1437">
            <v>90</v>
          </cell>
          <cell r="E1437">
            <v>606</v>
          </cell>
          <cell r="F1437">
            <v>90</v>
          </cell>
          <cell r="G1437">
            <v>129274</v>
          </cell>
          <cell r="H1437"/>
          <cell r="I1437" t="str">
            <v>.</v>
          </cell>
        </row>
        <row r="1438">
          <cell r="A1438">
            <v>400</v>
          </cell>
          <cell r="B1438" t="str">
            <v>Jordan</v>
          </cell>
          <cell r="C1438">
            <v>1997</v>
          </cell>
          <cell r="D1438">
            <v>90</v>
          </cell>
          <cell r="E1438">
            <v>707</v>
          </cell>
          <cell r="F1438">
            <v>90</v>
          </cell>
          <cell r="G1438">
            <v>125971</v>
          </cell>
          <cell r="H1438"/>
          <cell r="I1438" t="str">
            <v>.</v>
          </cell>
        </row>
        <row r="1439">
          <cell r="A1439">
            <v>400</v>
          </cell>
          <cell r="B1439" t="str">
            <v>Jordan</v>
          </cell>
          <cell r="C1439">
            <v>1997</v>
          </cell>
          <cell r="D1439">
            <v>90</v>
          </cell>
          <cell r="E1439">
            <v>808</v>
          </cell>
          <cell r="F1439">
            <v>90</v>
          </cell>
          <cell r="G1439">
            <v>125686</v>
          </cell>
          <cell r="H1439"/>
          <cell r="I1439" t="str">
            <v>.</v>
          </cell>
        </row>
        <row r="1440">
          <cell r="A1440">
            <v>400</v>
          </cell>
          <cell r="B1440" t="str">
            <v>Jordan</v>
          </cell>
          <cell r="C1440">
            <v>1997</v>
          </cell>
          <cell r="D1440">
            <v>90</v>
          </cell>
          <cell r="E1440">
            <v>909</v>
          </cell>
          <cell r="F1440">
            <v>90</v>
          </cell>
          <cell r="G1440">
            <v>122208</v>
          </cell>
          <cell r="H1440"/>
          <cell r="I1440" t="str">
            <v>.</v>
          </cell>
        </row>
        <row r="1441">
          <cell r="A1441">
            <v>400</v>
          </cell>
          <cell r="B1441" t="str">
            <v>Jordan</v>
          </cell>
          <cell r="C1441">
            <v>1997</v>
          </cell>
          <cell r="D1441">
            <v>90</v>
          </cell>
          <cell r="E1441">
            <v>509</v>
          </cell>
          <cell r="F1441">
            <v>90</v>
          </cell>
          <cell r="G1441">
            <v>633807</v>
          </cell>
          <cell r="H1441" t="str">
            <v>;;=SUM(E15:E19);</v>
          </cell>
          <cell r="I1441" t="str">
            <v>.</v>
          </cell>
        </row>
        <row r="1442">
          <cell r="A1442">
            <v>400</v>
          </cell>
          <cell r="B1442" t="str">
            <v>Jordan</v>
          </cell>
          <cell r="C1442">
            <v>1997</v>
          </cell>
          <cell r="D1442">
            <v>90</v>
          </cell>
          <cell r="E1442">
            <v>1010</v>
          </cell>
          <cell r="F1442">
            <v>90</v>
          </cell>
          <cell r="G1442">
            <v>124283</v>
          </cell>
          <cell r="H1442"/>
          <cell r="I1442" t="str">
            <v>.</v>
          </cell>
        </row>
        <row r="1443">
          <cell r="A1443">
            <v>400</v>
          </cell>
          <cell r="B1443" t="str">
            <v>Jordan</v>
          </cell>
          <cell r="C1443">
            <v>1997</v>
          </cell>
          <cell r="D1443">
            <v>90</v>
          </cell>
          <cell r="E1443">
            <v>1111</v>
          </cell>
          <cell r="F1443">
            <v>90</v>
          </cell>
          <cell r="G1443">
            <v>118459</v>
          </cell>
          <cell r="H1443"/>
          <cell r="I1443" t="str">
            <v>.</v>
          </cell>
        </row>
        <row r="1444">
          <cell r="A1444">
            <v>400</v>
          </cell>
          <cell r="B1444" t="str">
            <v>Jordan</v>
          </cell>
          <cell r="C1444">
            <v>1997</v>
          </cell>
          <cell r="D1444">
            <v>90</v>
          </cell>
          <cell r="E1444">
            <v>1212</v>
          </cell>
          <cell r="F1444">
            <v>90</v>
          </cell>
          <cell r="G1444">
            <v>120361</v>
          </cell>
          <cell r="H1444"/>
          <cell r="I1444" t="str">
            <v>.</v>
          </cell>
        </row>
        <row r="1445">
          <cell r="A1445">
            <v>400</v>
          </cell>
          <cell r="B1445" t="str">
            <v>Jordan</v>
          </cell>
          <cell r="C1445">
            <v>1997</v>
          </cell>
          <cell r="D1445">
            <v>90</v>
          </cell>
          <cell r="E1445">
            <v>1313</v>
          </cell>
          <cell r="F1445">
            <v>90</v>
          </cell>
          <cell r="G1445">
            <v>115483</v>
          </cell>
          <cell r="H1445"/>
          <cell r="I1445" t="str">
            <v>.</v>
          </cell>
        </row>
        <row r="1446">
          <cell r="A1446">
            <v>400</v>
          </cell>
          <cell r="B1446" t="str">
            <v>Jordan</v>
          </cell>
          <cell r="C1446">
            <v>1997</v>
          </cell>
          <cell r="D1446">
            <v>90</v>
          </cell>
          <cell r="E1446">
            <v>1414</v>
          </cell>
          <cell r="F1446">
            <v>90</v>
          </cell>
          <cell r="G1446">
            <v>113464</v>
          </cell>
          <cell r="H1446"/>
          <cell r="I1446" t="str">
            <v>.</v>
          </cell>
        </row>
        <row r="1447">
          <cell r="A1447">
            <v>400</v>
          </cell>
          <cell r="B1447" t="str">
            <v>Jordan</v>
          </cell>
          <cell r="C1447">
            <v>1997</v>
          </cell>
          <cell r="D1447">
            <v>90</v>
          </cell>
          <cell r="E1447">
            <v>1014</v>
          </cell>
          <cell r="F1447">
            <v>90</v>
          </cell>
          <cell r="G1447">
            <v>592050</v>
          </cell>
          <cell r="H1447"/>
          <cell r="I1447" t="str">
            <v>.</v>
          </cell>
        </row>
        <row r="1448">
          <cell r="A1448">
            <v>400</v>
          </cell>
          <cell r="B1448" t="str">
            <v>Jordan</v>
          </cell>
          <cell r="C1448">
            <v>1997</v>
          </cell>
          <cell r="D1448">
            <v>90</v>
          </cell>
          <cell r="E1448">
            <v>1515</v>
          </cell>
          <cell r="F1448">
            <v>90</v>
          </cell>
          <cell r="G1448">
            <v>113873</v>
          </cell>
          <cell r="H1448"/>
          <cell r="I1448" t="str">
            <v>.</v>
          </cell>
        </row>
        <row r="1449">
          <cell r="A1449">
            <v>400</v>
          </cell>
          <cell r="B1449" t="str">
            <v>Jordan</v>
          </cell>
          <cell r="C1449">
            <v>1997</v>
          </cell>
          <cell r="D1449">
            <v>90</v>
          </cell>
          <cell r="E1449">
            <v>1616</v>
          </cell>
          <cell r="F1449">
            <v>90</v>
          </cell>
          <cell r="G1449">
            <v>111067</v>
          </cell>
          <cell r="H1449"/>
          <cell r="I1449" t="str">
            <v>.</v>
          </cell>
        </row>
        <row r="1450">
          <cell r="A1450">
            <v>400</v>
          </cell>
          <cell r="B1450" t="str">
            <v>Jordan</v>
          </cell>
          <cell r="C1450">
            <v>1997</v>
          </cell>
          <cell r="D1450">
            <v>90</v>
          </cell>
          <cell r="E1450">
            <v>1717</v>
          </cell>
          <cell r="F1450">
            <v>90</v>
          </cell>
          <cell r="G1450">
            <v>106600</v>
          </cell>
          <cell r="H1450"/>
          <cell r="I1450" t="str">
            <v>.</v>
          </cell>
        </row>
        <row r="1451">
          <cell r="A1451">
            <v>400</v>
          </cell>
          <cell r="B1451" t="str">
            <v>Jordan</v>
          </cell>
          <cell r="C1451">
            <v>1997</v>
          </cell>
          <cell r="D1451">
            <v>90</v>
          </cell>
          <cell r="E1451">
            <v>1818</v>
          </cell>
          <cell r="F1451">
            <v>90</v>
          </cell>
          <cell r="G1451">
            <v>104475</v>
          </cell>
          <cell r="H1451"/>
          <cell r="I1451" t="str">
            <v>.</v>
          </cell>
        </row>
        <row r="1452">
          <cell r="A1452">
            <v>400</v>
          </cell>
          <cell r="B1452" t="str">
            <v>Jordan</v>
          </cell>
          <cell r="C1452">
            <v>1997</v>
          </cell>
          <cell r="D1452">
            <v>90</v>
          </cell>
          <cell r="E1452">
            <v>1919</v>
          </cell>
          <cell r="F1452">
            <v>90</v>
          </cell>
          <cell r="G1452">
            <v>102198</v>
          </cell>
          <cell r="H1452"/>
          <cell r="I1452" t="str">
            <v>.</v>
          </cell>
        </row>
        <row r="1453">
          <cell r="A1453">
            <v>400</v>
          </cell>
          <cell r="B1453" t="str">
            <v>Jordan</v>
          </cell>
          <cell r="C1453">
            <v>1997</v>
          </cell>
          <cell r="D1453">
            <v>90</v>
          </cell>
          <cell r="E1453">
            <v>1519</v>
          </cell>
          <cell r="F1453">
            <v>90</v>
          </cell>
          <cell r="G1453">
            <v>538213</v>
          </cell>
          <cell r="H1453"/>
          <cell r="I1453" t="str">
            <v>.</v>
          </cell>
        </row>
        <row r="1454">
          <cell r="A1454">
            <v>400</v>
          </cell>
          <cell r="B1454" t="str">
            <v>Jordan</v>
          </cell>
          <cell r="C1454">
            <v>1997</v>
          </cell>
          <cell r="D1454">
            <v>90</v>
          </cell>
          <cell r="E1454">
            <v>2020</v>
          </cell>
          <cell r="F1454">
            <v>90</v>
          </cell>
          <cell r="G1454">
            <v>103192</v>
          </cell>
          <cell r="H1454"/>
          <cell r="I1454" t="str">
            <v>.</v>
          </cell>
        </row>
        <row r="1455">
          <cell r="A1455">
            <v>400</v>
          </cell>
          <cell r="B1455" t="str">
            <v>Jordan</v>
          </cell>
          <cell r="C1455">
            <v>1997</v>
          </cell>
          <cell r="D1455">
            <v>90</v>
          </cell>
          <cell r="E1455">
            <v>2121</v>
          </cell>
          <cell r="F1455">
            <v>90</v>
          </cell>
          <cell r="G1455">
            <v>99875</v>
          </cell>
          <cell r="H1455"/>
          <cell r="I1455" t="str">
            <v>.</v>
          </cell>
        </row>
        <row r="1456">
          <cell r="A1456">
            <v>400</v>
          </cell>
          <cell r="B1456" t="str">
            <v>Jordan</v>
          </cell>
          <cell r="C1456">
            <v>1997</v>
          </cell>
          <cell r="D1456">
            <v>90</v>
          </cell>
          <cell r="E1456">
            <v>2222</v>
          </cell>
          <cell r="F1456">
            <v>90</v>
          </cell>
          <cell r="G1456">
            <v>101715</v>
          </cell>
          <cell r="H1456"/>
          <cell r="I1456" t="str">
            <v>.</v>
          </cell>
        </row>
        <row r="1457">
          <cell r="A1457">
            <v>400</v>
          </cell>
          <cell r="B1457" t="str">
            <v>Jordan</v>
          </cell>
          <cell r="C1457">
            <v>1997</v>
          </cell>
          <cell r="D1457">
            <v>90</v>
          </cell>
          <cell r="E1457">
            <v>2323</v>
          </cell>
          <cell r="F1457">
            <v>90</v>
          </cell>
          <cell r="G1457">
            <v>96163</v>
          </cell>
          <cell r="H1457"/>
          <cell r="I1457" t="str">
            <v>.</v>
          </cell>
        </row>
        <row r="1458">
          <cell r="A1458">
            <v>400</v>
          </cell>
          <cell r="B1458" t="str">
            <v>Jordan</v>
          </cell>
          <cell r="C1458">
            <v>1997</v>
          </cell>
          <cell r="D1458">
            <v>90</v>
          </cell>
          <cell r="E1458">
            <v>2424</v>
          </cell>
          <cell r="F1458">
            <v>90</v>
          </cell>
          <cell r="G1458">
            <v>97534</v>
          </cell>
          <cell r="H1458"/>
          <cell r="I1458" t="str">
            <v>.</v>
          </cell>
        </row>
        <row r="1459">
          <cell r="A1459">
            <v>400</v>
          </cell>
          <cell r="B1459" t="str">
            <v>Jordan</v>
          </cell>
          <cell r="C1459">
            <v>1997</v>
          </cell>
          <cell r="D1459">
            <v>90</v>
          </cell>
          <cell r="E1459">
            <v>2024</v>
          </cell>
          <cell r="F1459">
            <v>90</v>
          </cell>
          <cell r="G1459">
            <v>498479</v>
          </cell>
          <cell r="H1459"/>
          <cell r="I1459" t="str">
            <v>.</v>
          </cell>
        </row>
        <row r="1460">
          <cell r="A1460">
            <v>400</v>
          </cell>
          <cell r="B1460" t="str">
            <v>Jordan</v>
          </cell>
          <cell r="C1460">
            <v>1997</v>
          </cell>
          <cell r="D1460">
            <v>90</v>
          </cell>
          <cell r="E1460">
            <v>2525</v>
          </cell>
          <cell r="F1460">
            <v>90</v>
          </cell>
          <cell r="G1460">
            <v>93518</v>
          </cell>
          <cell r="H1460"/>
          <cell r="I1460" t="str">
            <v>.</v>
          </cell>
        </row>
        <row r="1461">
          <cell r="A1461">
            <v>400</v>
          </cell>
          <cell r="B1461" t="str">
            <v>Jordan</v>
          </cell>
          <cell r="C1461">
            <v>1997</v>
          </cell>
          <cell r="D1461">
            <v>90</v>
          </cell>
          <cell r="E1461">
            <v>2626</v>
          </cell>
          <cell r="F1461">
            <v>90</v>
          </cell>
          <cell r="G1461">
            <v>88435</v>
          </cell>
          <cell r="H1461"/>
          <cell r="I1461" t="str">
            <v>.</v>
          </cell>
        </row>
        <row r="1462">
          <cell r="A1462">
            <v>400</v>
          </cell>
          <cell r="B1462" t="str">
            <v>Jordan</v>
          </cell>
          <cell r="C1462">
            <v>1997</v>
          </cell>
          <cell r="D1462">
            <v>90</v>
          </cell>
          <cell r="E1462">
            <v>2727</v>
          </cell>
          <cell r="F1462">
            <v>90</v>
          </cell>
          <cell r="G1462">
            <v>82381</v>
          </cell>
          <cell r="H1462"/>
          <cell r="I1462" t="str">
            <v>.</v>
          </cell>
        </row>
        <row r="1463">
          <cell r="A1463">
            <v>400</v>
          </cell>
          <cell r="B1463" t="str">
            <v>Jordan</v>
          </cell>
          <cell r="C1463">
            <v>1997</v>
          </cell>
          <cell r="D1463">
            <v>90</v>
          </cell>
          <cell r="E1463">
            <v>2828</v>
          </cell>
          <cell r="F1463">
            <v>90</v>
          </cell>
          <cell r="G1463">
            <v>77850</v>
          </cell>
          <cell r="H1463"/>
          <cell r="I1463" t="str">
            <v>.</v>
          </cell>
        </row>
        <row r="1464">
          <cell r="A1464">
            <v>400</v>
          </cell>
          <cell r="B1464" t="str">
            <v>Jordan</v>
          </cell>
          <cell r="C1464">
            <v>1997</v>
          </cell>
          <cell r="D1464">
            <v>90</v>
          </cell>
          <cell r="E1464">
            <v>2929</v>
          </cell>
          <cell r="F1464">
            <v>90</v>
          </cell>
          <cell r="G1464">
            <v>74773</v>
          </cell>
          <cell r="H1464"/>
          <cell r="I1464" t="str">
            <v>.</v>
          </cell>
        </row>
        <row r="1465">
          <cell r="A1465">
            <v>400</v>
          </cell>
          <cell r="B1465" t="str">
            <v>Jordan</v>
          </cell>
          <cell r="C1465">
            <v>1997</v>
          </cell>
          <cell r="D1465">
            <v>90</v>
          </cell>
          <cell r="E1465">
            <v>2529</v>
          </cell>
          <cell r="F1465">
            <v>90</v>
          </cell>
          <cell r="G1465">
            <v>416957</v>
          </cell>
          <cell r="H1465"/>
          <cell r="I1465" t="str">
            <v>.</v>
          </cell>
        </row>
        <row r="1466">
          <cell r="A1466">
            <v>400</v>
          </cell>
          <cell r="B1466" t="str">
            <v>Jordan</v>
          </cell>
          <cell r="C1466">
            <v>1997</v>
          </cell>
          <cell r="D1466">
            <v>90</v>
          </cell>
          <cell r="E1466">
            <v>3034</v>
          </cell>
          <cell r="F1466">
            <v>90</v>
          </cell>
          <cell r="G1466">
            <v>301070</v>
          </cell>
          <cell r="H1466"/>
          <cell r="I1466" t="str">
            <v>.</v>
          </cell>
        </row>
        <row r="1467">
          <cell r="A1467">
            <v>400</v>
          </cell>
          <cell r="B1467" t="str">
            <v>Jordan</v>
          </cell>
          <cell r="C1467">
            <v>1997</v>
          </cell>
          <cell r="D1467">
            <v>90</v>
          </cell>
          <cell r="E1467">
            <v>3539</v>
          </cell>
          <cell r="F1467">
            <v>90</v>
          </cell>
          <cell r="G1467">
            <v>209383</v>
          </cell>
          <cell r="H1467"/>
          <cell r="I1467" t="str">
            <v>.</v>
          </cell>
        </row>
        <row r="1468">
          <cell r="A1468">
            <v>400</v>
          </cell>
          <cell r="B1468" t="str">
            <v>Jordan</v>
          </cell>
          <cell r="C1468">
            <v>1997</v>
          </cell>
          <cell r="D1468">
            <v>90</v>
          </cell>
          <cell r="E1468">
            <v>4099</v>
          </cell>
          <cell r="F1468">
            <v>90</v>
          </cell>
          <cell r="G1468">
            <v>720043</v>
          </cell>
          <cell r="H1468"/>
          <cell r="I1468" t="str">
            <v>.</v>
          </cell>
        </row>
        <row r="1469">
          <cell r="A1469">
            <v>400</v>
          </cell>
          <cell r="B1469" t="str">
            <v>Jordan</v>
          </cell>
          <cell r="C1469">
            <v>1997</v>
          </cell>
          <cell r="D1469">
            <v>90</v>
          </cell>
          <cell r="E1469">
            <v>990000</v>
          </cell>
          <cell r="F1469">
            <v>90</v>
          </cell>
          <cell r="G1469">
            <v>0</v>
          </cell>
          <cell r="H1469" t="str">
            <v>n;</v>
          </cell>
          <cell r="I1469" t="str">
            <v>n</v>
          </cell>
        </row>
        <row r="1470">
          <cell r="A1470">
            <v>458</v>
          </cell>
          <cell r="B1470" t="str">
            <v>Malaysia</v>
          </cell>
          <cell r="C1470">
            <v>1997</v>
          </cell>
          <cell r="D1470">
            <v>90</v>
          </cell>
          <cell r="E1470">
            <v>900000</v>
          </cell>
          <cell r="F1470">
            <v>90</v>
          </cell>
          <cell r="G1470">
            <v>21665400</v>
          </cell>
          <cell r="H1470" t="str">
            <v>;;=SUM(F11:G11);</v>
          </cell>
          <cell r="I1470" t="str">
            <v>.</v>
          </cell>
        </row>
        <row r="1471">
          <cell r="A1471">
            <v>458</v>
          </cell>
          <cell r="B1471" t="str">
            <v>Malaysia</v>
          </cell>
          <cell r="C1471">
            <v>1997</v>
          </cell>
          <cell r="D1471">
            <v>90</v>
          </cell>
          <cell r="E1471">
            <v>300</v>
          </cell>
          <cell r="F1471">
            <v>90</v>
          </cell>
          <cell r="G1471">
            <v>1533200</v>
          </cell>
          <cell r="H1471" t="str">
            <v>;;=SUM(F12:G12);</v>
          </cell>
          <cell r="I1471" t="str">
            <v>.</v>
          </cell>
        </row>
        <row r="1472">
          <cell r="A1472">
            <v>458</v>
          </cell>
          <cell r="B1472" t="str">
            <v>Malaysia</v>
          </cell>
          <cell r="C1472">
            <v>1997</v>
          </cell>
          <cell r="D1472">
            <v>90</v>
          </cell>
          <cell r="E1472">
            <v>303</v>
          </cell>
          <cell r="F1472">
            <v>90</v>
          </cell>
          <cell r="G1472">
            <v>509800</v>
          </cell>
          <cell r="H1472" t="str">
            <v>;;=SUM(F13:G13);</v>
          </cell>
          <cell r="I1472" t="str">
            <v>.</v>
          </cell>
        </row>
        <row r="1473">
          <cell r="A1473">
            <v>458</v>
          </cell>
          <cell r="B1473" t="str">
            <v>Malaysia</v>
          </cell>
          <cell r="C1473">
            <v>1997</v>
          </cell>
          <cell r="D1473">
            <v>90</v>
          </cell>
          <cell r="E1473">
            <v>404</v>
          </cell>
          <cell r="F1473">
            <v>90</v>
          </cell>
          <cell r="G1473">
            <v>508800</v>
          </cell>
          <cell r="H1473" t="str">
            <v>;;=SUM(F14:G14);</v>
          </cell>
          <cell r="I1473" t="str">
            <v>.</v>
          </cell>
        </row>
        <row r="1474">
          <cell r="A1474">
            <v>458</v>
          </cell>
          <cell r="B1474" t="str">
            <v>Malaysia</v>
          </cell>
          <cell r="C1474">
            <v>1997</v>
          </cell>
          <cell r="D1474">
            <v>90</v>
          </cell>
          <cell r="E1474">
            <v>505</v>
          </cell>
          <cell r="F1474">
            <v>90</v>
          </cell>
          <cell r="G1474">
            <v>507500</v>
          </cell>
          <cell r="H1474" t="str">
            <v>;;=SUM(F15:G15);</v>
          </cell>
          <cell r="I1474" t="str">
            <v>.</v>
          </cell>
        </row>
        <row r="1475">
          <cell r="A1475">
            <v>458</v>
          </cell>
          <cell r="B1475" t="str">
            <v>Malaysia</v>
          </cell>
          <cell r="C1475">
            <v>1997</v>
          </cell>
          <cell r="D1475">
            <v>90</v>
          </cell>
          <cell r="E1475">
            <v>606</v>
          </cell>
          <cell r="F1475">
            <v>90</v>
          </cell>
          <cell r="G1475">
            <v>505800</v>
          </cell>
          <cell r="H1475" t="str">
            <v>;;=SUM(F16:G16);</v>
          </cell>
          <cell r="I1475" t="str">
            <v>.</v>
          </cell>
        </row>
        <row r="1476">
          <cell r="A1476">
            <v>458</v>
          </cell>
          <cell r="B1476" t="str">
            <v>Malaysia</v>
          </cell>
          <cell r="C1476">
            <v>1997</v>
          </cell>
          <cell r="D1476">
            <v>90</v>
          </cell>
          <cell r="E1476">
            <v>707</v>
          </cell>
          <cell r="F1476">
            <v>90</v>
          </cell>
          <cell r="G1476">
            <v>503700</v>
          </cell>
          <cell r="H1476" t="str">
            <v>;;=SUM(F17:G17);</v>
          </cell>
          <cell r="I1476" t="str">
            <v>.</v>
          </cell>
        </row>
        <row r="1477">
          <cell r="A1477">
            <v>458</v>
          </cell>
          <cell r="B1477" t="str">
            <v>Malaysia</v>
          </cell>
          <cell r="C1477">
            <v>1997</v>
          </cell>
          <cell r="D1477">
            <v>90</v>
          </cell>
          <cell r="E1477">
            <v>808</v>
          </cell>
          <cell r="F1477">
            <v>90</v>
          </cell>
          <cell r="G1477">
            <v>501000</v>
          </cell>
          <cell r="H1477" t="str">
            <v>;;=SUM(F18:G18);</v>
          </cell>
          <cell r="I1477" t="str">
            <v>.</v>
          </cell>
        </row>
        <row r="1478">
          <cell r="A1478">
            <v>458</v>
          </cell>
          <cell r="B1478" t="str">
            <v>Malaysia</v>
          </cell>
          <cell r="C1478">
            <v>1997</v>
          </cell>
          <cell r="D1478">
            <v>90</v>
          </cell>
          <cell r="E1478">
            <v>909</v>
          </cell>
          <cell r="F1478">
            <v>90</v>
          </cell>
          <cell r="G1478">
            <v>497600</v>
          </cell>
          <cell r="H1478" t="str">
            <v>;;=SUM(F19:G19);</v>
          </cell>
          <cell r="I1478" t="str">
            <v>.</v>
          </cell>
        </row>
        <row r="1479">
          <cell r="A1479">
            <v>458</v>
          </cell>
          <cell r="B1479" t="str">
            <v>Malaysia</v>
          </cell>
          <cell r="C1479">
            <v>1997</v>
          </cell>
          <cell r="D1479">
            <v>90</v>
          </cell>
          <cell r="E1479">
            <v>509</v>
          </cell>
          <cell r="F1479">
            <v>90</v>
          </cell>
          <cell r="G1479">
            <v>2515600</v>
          </cell>
          <cell r="H1479" t="str">
            <v>;;=SUM(F20:G20);</v>
          </cell>
          <cell r="I1479" t="str">
            <v>.</v>
          </cell>
        </row>
        <row r="1480">
          <cell r="A1480">
            <v>458</v>
          </cell>
          <cell r="B1480" t="str">
            <v>Malaysia</v>
          </cell>
          <cell r="C1480">
            <v>1997</v>
          </cell>
          <cell r="D1480">
            <v>90</v>
          </cell>
          <cell r="E1480">
            <v>1010</v>
          </cell>
          <cell r="F1480">
            <v>90</v>
          </cell>
          <cell r="G1480">
            <v>493800</v>
          </cell>
          <cell r="H1480" t="str">
            <v>;;=SUM(F21:G21);</v>
          </cell>
          <cell r="I1480" t="str">
            <v>.</v>
          </cell>
        </row>
        <row r="1481">
          <cell r="A1481">
            <v>458</v>
          </cell>
          <cell r="B1481" t="str">
            <v>Malaysia</v>
          </cell>
          <cell r="C1481">
            <v>1997</v>
          </cell>
          <cell r="D1481">
            <v>90</v>
          </cell>
          <cell r="E1481">
            <v>1111</v>
          </cell>
          <cell r="F1481">
            <v>90</v>
          </cell>
          <cell r="G1481">
            <v>490200</v>
          </cell>
          <cell r="H1481" t="str">
            <v>;;=SUM(F22:G22);</v>
          </cell>
          <cell r="I1481" t="str">
            <v>.</v>
          </cell>
        </row>
        <row r="1482">
          <cell r="A1482">
            <v>458</v>
          </cell>
          <cell r="B1482" t="str">
            <v>Malaysia</v>
          </cell>
          <cell r="C1482">
            <v>1997</v>
          </cell>
          <cell r="D1482">
            <v>90</v>
          </cell>
          <cell r="E1482">
            <v>1212</v>
          </cell>
          <cell r="F1482">
            <v>90</v>
          </cell>
          <cell r="G1482">
            <v>484300</v>
          </cell>
          <cell r="H1482" t="str">
            <v>;;=SUM(F23:G23);</v>
          </cell>
          <cell r="I1482" t="str">
            <v>.</v>
          </cell>
        </row>
        <row r="1483">
          <cell r="A1483">
            <v>458</v>
          </cell>
          <cell r="B1483" t="str">
            <v>Malaysia</v>
          </cell>
          <cell r="C1483">
            <v>1997</v>
          </cell>
          <cell r="D1483">
            <v>90</v>
          </cell>
          <cell r="E1483">
            <v>1313</v>
          </cell>
          <cell r="F1483">
            <v>90</v>
          </cell>
          <cell r="G1483">
            <v>475200</v>
          </cell>
          <cell r="H1483" t="str">
            <v>;;=SUM(F24:G24);</v>
          </cell>
          <cell r="I1483" t="str">
            <v>.</v>
          </cell>
        </row>
        <row r="1484">
          <cell r="A1484">
            <v>458</v>
          </cell>
          <cell r="B1484" t="str">
            <v>Malaysia</v>
          </cell>
          <cell r="C1484">
            <v>1997</v>
          </cell>
          <cell r="D1484">
            <v>90</v>
          </cell>
          <cell r="E1484">
            <v>1414</v>
          </cell>
          <cell r="F1484">
            <v>90</v>
          </cell>
          <cell r="G1484">
            <v>464100</v>
          </cell>
          <cell r="H1484" t="str">
            <v>;;=SUM(F25:G25);</v>
          </cell>
          <cell r="I1484" t="str">
            <v>.</v>
          </cell>
        </row>
        <row r="1485">
          <cell r="A1485">
            <v>458</v>
          </cell>
          <cell r="B1485" t="str">
            <v>Malaysia</v>
          </cell>
          <cell r="C1485">
            <v>1997</v>
          </cell>
          <cell r="D1485">
            <v>90</v>
          </cell>
          <cell r="E1485">
            <v>1014</v>
          </cell>
          <cell r="F1485">
            <v>90</v>
          </cell>
          <cell r="G1485">
            <v>2407600</v>
          </cell>
          <cell r="H1485" t="str">
            <v>;;=SUM(F26:G26);</v>
          </cell>
          <cell r="I1485" t="str">
            <v>.</v>
          </cell>
        </row>
        <row r="1486">
          <cell r="A1486">
            <v>458</v>
          </cell>
          <cell r="B1486" t="str">
            <v>Malaysia</v>
          </cell>
          <cell r="C1486">
            <v>1997</v>
          </cell>
          <cell r="D1486">
            <v>90</v>
          </cell>
          <cell r="E1486">
            <v>1515</v>
          </cell>
          <cell r="F1486">
            <v>90</v>
          </cell>
          <cell r="G1486">
            <v>452900</v>
          </cell>
          <cell r="H1486" t="str">
            <v>;;=SUM(F27:G27);</v>
          </cell>
          <cell r="I1486" t="str">
            <v>.</v>
          </cell>
        </row>
        <row r="1487">
          <cell r="A1487">
            <v>458</v>
          </cell>
          <cell r="B1487" t="str">
            <v>Malaysia</v>
          </cell>
          <cell r="C1487">
            <v>1997</v>
          </cell>
          <cell r="D1487">
            <v>90</v>
          </cell>
          <cell r="E1487">
            <v>1616</v>
          </cell>
          <cell r="F1487">
            <v>90</v>
          </cell>
          <cell r="G1487">
            <v>441100</v>
          </cell>
          <cell r="H1487" t="str">
            <v>;;=SUM(F28:G28);</v>
          </cell>
          <cell r="I1487" t="str">
            <v>.</v>
          </cell>
        </row>
        <row r="1488">
          <cell r="A1488">
            <v>458</v>
          </cell>
          <cell r="B1488" t="str">
            <v>Malaysia</v>
          </cell>
          <cell r="C1488">
            <v>1997</v>
          </cell>
          <cell r="D1488">
            <v>90</v>
          </cell>
          <cell r="E1488">
            <v>1717</v>
          </cell>
          <cell r="F1488">
            <v>90</v>
          </cell>
          <cell r="G1488">
            <v>431600</v>
          </cell>
          <cell r="H1488" t="str">
            <v>;;=SUM(F29:G29);</v>
          </cell>
          <cell r="I1488" t="str">
            <v>.</v>
          </cell>
        </row>
        <row r="1489">
          <cell r="A1489">
            <v>458</v>
          </cell>
          <cell r="B1489" t="str">
            <v>Malaysia</v>
          </cell>
          <cell r="C1489">
            <v>1997</v>
          </cell>
          <cell r="D1489">
            <v>90</v>
          </cell>
          <cell r="E1489">
            <v>1818</v>
          </cell>
          <cell r="F1489">
            <v>90</v>
          </cell>
          <cell r="G1489">
            <v>426100</v>
          </cell>
          <cell r="H1489" t="str">
            <v>;;=SUM(F30:G30);</v>
          </cell>
          <cell r="I1489" t="str">
            <v>.</v>
          </cell>
        </row>
        <row r="1490">
          <cell r="A1490">
            <v>458</v>
          </cell>
          <cell r="B1490" t="str">
            <v>Malaysia</v>
          </cell>
          <cell r="C1490">
            <v>1997</v>
          </cell>
          <cell r="D1490">
            <v>90</v>
          </cell>
          <cell r="E1490">
            <v>1919</v>
          </cell>
          <cell r="F1490">
            <v>90</v>
          </cell>
          <cell r="G1490">
            <v>423000</v>
          </cell>
          <cell r="H1490" t="str">
            <v>;;=SUM(F31:G31);</v>
          </cell>
          <cell r="I1490" t="str">
            <v>.</v>
          </cell>
        </row>
        <row r="1491">
          <cell r="A1491">
            <v>458</v>
          </cell>
          <cell r="B1491" t="str">
            <v>Malaysia</v>
          </cell>
          <cell r="C1491">
            <v>1997</v>
          </cell>
          <cell r="D1491">
            <v>90</v>
          </cell>
          <cell r="E1491">
            <v>1519</v>
          </cell>
          <cell r="F1491">
            <v>90</v>
          </cell>
          <cell r="G1491">
            <v>2174700</v>
          </cell>
          <cell r="H1491" t="str">
            <v>;;=SUM(F32:G32);</v>
          </cell>
          <cell r="I1491" t="str">
            <v>.</v>
          </cell>
        </row>
        <row r="1492">
          <cell r="A1492">
            <v>458</v>
          </cell>
          <cell r="B1492" t="str">
            <v>Malaysia</v>
          </cell>
          <cell r="C1492">
            <v>1997</v>
          </cell>
          <cell r="D1492">
            <v>90</v>
          </cell>
          <cell r="E1492">
            <v>2020</v>
          </cell>
          <cell r="F1492">
            <v>90</v>
          </cell>
          <cell r="G1492">
            <v>419400</v>
          </cell>
          <cell r="H1492" t="str">
            <v>;;=SUM(F33:G33);</v>
          </cell>
          <cell r="I1492" t="str">
            <v>.</v>
          </cell>
        </row>
        <row r="1493">
          <cell r="A1493">
            <v>458</v>
          </cell>
          <cell r="B1493" t="str">
            <v>Malaysia</v>
          </cell>
          <cell r="C1493">
            <v>1997</v>
          </cell>
          <cell r="D1493">
            <v>90</v>
          </cell>
          <cell r="E1493">
            <v>2121</v>
          </cell>
          <cell r="F1493">
            <v>90</v>
          </cell>
          <cell r="G1493">
            <v>416200</v>
          </cell>
          <cell r="H1493" t="str">
            <v>;;=SUM(F34:G34);</v>
          </cell>
          <cell r="I1493" t="str">
            <v>.</v>
          </cell>
        </row>
        <row r="1494">
          <cell r="A1494">
            <v>458</v>
          </cell>
          <cell r="B1494" t="str">
            <v>Malaysia</v>
          </cell>
          <cell r="C1494">
            <v>1997</v>
          </cell>
          <cell r="D1494">
            <v>90</v>
          </cell>
          <cell r="E1494">
            <v>2222</v>
          </cell>
          <cell r="F1494">
            <v>90</v>
          </cell>
          <cell r="G1494">
            <v>411200</v>
          </cell>
          <cell r="H1494" t="str">
            <v>;;=SUM(F35:G35);</v>
          </cell>
          <cell r="I1494" t="str">
            <v>.</v>
          </cell>
        </row>
        <row r="1495">
          <cell r="A1495">
            <v>458</v>
          </cell>
          <cell r="B1495" t="str">
            <v>Malaysia</v>
          </cell>
          <cell r="C1495">
            <v>1997</v>
          </cell>
          <cell r="D1495">
            <v>90</v>
          </cell>
          <cell r="E1495">
            <v>2323</v>
          </cell>
          <cell r="F1495">
            <v>90</v>
          </cell>
          <cell r="G1495">
            <v>403500</v>
          </cell>
          <cell r="H1495" t="str">
            <v>;;=SUM(F36:G36);</v>
          </cell>
          <cell r="I1495" t="str">
            <v>.</v>
          </cell>
        </row>
        <row r="1496">
          <cell r="A1496">
            <v>458</v>
          </cell>
          <cell r="B1496" t="str">
            <v>Malaysia</v>
          </cell>
          <cell r="C1496">
            <v>1997</v>
          </cell>
          <cell r="D1496">
            <v>90</v>
          </cell>
          <cell r="E1496">
            <v>2424</v>
          </cell>
          <cell r="F1496">
            <v>90</v>
          </cell>
          <cell r="G1496">
            <v>394000</v>
          </cell>
          <cell r="H1496" t="str">
            <v>;;=SUM(F37:G37);</v>
          </cell>
          <cell r="I1496" t="str">
            <v>.</v>
          </cell>
        </row>
        <row r="1497">
          <cell r="A1497">
            <v>458</v>
          </cell>
          <cell r="B1497" t="str">
            <v>Malaysia</v>
          </cell>
          <cell r="C1497">
            <v>1997</v>
          </cell>
          <cell r="D1497">
            <v>90</v>
          </cell>
          <cell r="E1497">
            <v>2024</v>
          </cell>
          <cell r="F1497">
            <v>90</v>
          </cell>
          <cell r="G1497">
            <v>2044300</v>
          </cell>
          <cell r="H1497" t="str">
            <v>;;=SUM(F38:G38);</v>
          </cell>
          <cell r="I1497" t="str">
            <v>.</v>
          </cell>
        </row>
        <row r="1498">
          <cell r="A1498">
            <v>458</v>
          </cell>
          <cell r="B1498" t="str">
            <v>Malaysia</v>
          </cell>
          <cell r="C1498">
            <v>1997</v>
          </cell>
          <cell r="D1498">
            <v>90</v>
          </cell>
          <cell r="E1498">
            <v>2525</v>
          </cell>
          <cell r="F1498">
            <v>90</v>
          </cell>
          <cell r="G1498">
            <v>385000</v>
          </cell>
          <cell r="H1498" t="str">
            <v>;;=SUM(F39:G39);</v>
          </cell>
          <cell r="I1498" t="str">
            <v>.</v>
          </cell>
        </row>
        <row r="1499">
          <cell r="A1499">
            <v>458</v>
          </cell>
          <cell r="B1499" t="str">
            <v>Malaysia</v>
          </cell>
          <cell r="C1499">
            <v>1997</v>
          </cell>
          <cell r="D1499">
            <v>90</v>
          </cell>
          <cell r="E1499">
            <v>2626</v>
          </cell>
          <cell r="F1499">
            <v>90</v>
          </cell>
          <cell r="G1499">
            <v>375800</v>
          </cell>
          <cell r="H1499" t="str">
            <v>;;=SUM(F40:G40);</v>
          </cell>
          <cell r="I1499" t="str">
            <v>.</v>
          </cell>
        </row>
        <row r="1500">
          <cell r="A1500">
            <v>458</v>
          </cell>
          <cell r="B1500" t="str">
            <v>Malaysia</v>
          </cell>
          <cell r="C1500">
            <v>1997</v>
          </cell>
          <cell r="D1500">
            <v>90</v>
          </cell>
          <cell r="E1500">
            <v>2727</v>
          </cell>
          <cell r="F1500">
            <v>90</v>
          </cell>
          <cell r="G1500">
            <v>367900</v>
          </cell>
          <cell r="H1500" t="str">
            <v>;;=SUM(F41:G41);</v>
          </cell>
          <cell r="I1500" t="str">
            <v>.</v>
          </cell>
        </row>
        <row r="1501">
          <cell r="A1501">
            <v>458</v>
          </cell>
          <cell r="B1501" t="str">
            <v>Malaysia</v>
          </cell>
          <cell r="C1501">
            <v>1997</v>
          </cell>
          <cell r="D1501">
            <v>90</v>
          </cell>
          <cell r="E1501">
            <v>2828</v>
          </cell>
          <cell r="F1501">
            <v>90</v>
          </cell>
          <cell r="G1501">
            <v>362300</v>
          </cell>
          <cell r="H1501" t="str">
            <v>;;=SUM(F42:G42);</v>
          </cell>
          <cell r="I1501" t="str">
            <v>.</v>
          </cell>
        </row>
        <row r="1502">
          <cell r="A1502">
            <v>458</v>
          </cell>
          <cell r="B1502" t="str">
            <v>Malaysia</v>
          </cell>
          <cell r="C1502">
            <v>1997</v>
          </cell>
          <cell r="D1502">
            <v>90</v>
          </cell>
          <cell r="E1502">
            <v>2929</v>
          </cell>
          <cell r="F1502">
            <v>90</v>
          </cell>
          <cell r="G1502">
            <v>357900</v>
          </cell>
          <cell r="H1502" t="str">
            <v>;;=SUM(F43:G43);</v>
          </cell>
          <cell r="I1502" t="str">
            <v>.</v>
          </cell>
        </row>
        <row r="1503">
          <cell r="A1503">
            <v>458</v>
          </cell>
          <cell r="B1503" t="str">
            <v>Malaysia</v>
          </cell>
          <cell r="C1503">
            <v>1997</v>
          </cell>
          <cell r="D1503">
            <v>90</v>
          </cell>
          <cell r="E1503">
            <v>2529</v>
          </cell>
          <cell r="F1503">
            <v>90</v>
          </cell>
          <cell r="G1503">
            <v>1848900</v>
          </cell>
          <cell r="H1503" t="str">
            <v>;;=SUM(F44:G44);</v>
          </cell>
          <cell r="I1503" t="str">
            <v>.</v>
          </cell>
        </row>
        <row r="1504">
          <cell r="A1504">
            <v>458</v>
          </cell>
          <cell r="B1504" t="str">
            <v>Malaysia</v>
          </cell>
          <cell r="C1504">
            <v>1997</v>
          </cell>
          <cell r="D1504">
            <v>90</v>
          </cell>
          <cell r="E1504">
            <v>3034</v>
          </cell>
          <cell r="F1504">
            <v>90</v>
          </cell>
          <cell r="G1504">
            <v>1709000</v>
          </cell>
          <cell r="H1504" t="str">
            <v>;;=SUM(F45:G45);</v>
          </cell>
          <cell r="I1504" t="str">
            <v>.</v>
          </cell>
        </row>
        <row r="1505">
          <cell r="A1505">
            <v>458</v>
          </cell>
          <cell r="B1505" t="str">
            <v>Malaysia</v>
          </cell>
          <cell r="C1505">
            <v>1997</v>
          </cell>
          <cell r="D1505">
            <v>90</v>
          </cell>
          <cell r="E1505">
            <v>3539</v>
          </cell>
          <cell r="F1505">
            <v>90</v>
          </cell>
          <cell r="G1505">
            <v>1528000</v>
          </cell>
          <cell r="H1505" t="str">
            <v>;;=SUM(F46:G46);</v>
          </cell>
          <cell r="I1505" t="str">
            <v>.</v>
          </cell>
        </row>
        <row r="1506">
          <cell r="A1506">
            <v>458</v>
          </cell>
          <cell r="B1506" t="str">
            <v>Malaysia</v>
          </cell>
          <cell r="C1506">
            <v>1997</v>
          </cell>
          <cell r="D1506">
            <v>90</v>
          </cell>
          <cell r="E1506">
            <v>4099</v>
          </cell>
          <cell r="F1506">
            <v>90</v>
          </cell>
          <cell r="G1506">
            <v>4885500</v>
          </cell>
          <cell r="H1506" t="str">
            <v>;;=SUM(F47:G47);</v>
          </cell>
          <cell r="I1506" t="str">
            <v>.</v>
          </cell>
        </row>
        <row r="1507">
          <cell r="A1507">
            <v>458</v>
          </cell>
          <cell r="B1507" t="str">
            <v>Malaysia</v>
          </cell>
          <cell r="C1507">
            <v>1997</v>
          </cell>
          <cell r="D1507">
            <v>90</v>
          </cell>
          <cell r="E1507">
            <v>990000</v>
          </cell>
          <cell r="F1507">
            <v>90</v>
          </cell>
          <cell r="G1507">
            <v>0</v>
          </cell>
          <cell r="H1507" t="str">
            <v>n;</v>
          </cell>
          <cell r="I1507" t="str">
            <v>n</v>
          </cell>
        </row>
        <row r="1508">
          <cell r="A1508">
            <v>600</v>
          </cell>
          <cell r="B1508" t="str">
            <v>Paraguay</v>
          </cell>
          <cell r="C1508">
            <v>1997</v>
          </cell>
          <cell r="D1508">
            <v>90</v>
          </cell>
          <cell r="E1508">
            <v>900000</v>
          </cell>
          <cell r="F1508">
            <v>90</v>
          </cell>
          <cell r="G1508">
            <v>5085328</v>
          </cell>
          <cell r="H1508" t="str">
            <v>;;=SUM(F11:G11);</v>
          </cell>
          <cell r="I1508" t="str">
            <v>.</v>
          </cell>
        </row>
        <row r="1509">
          <cell r="A1509">
            <v>600</v>
          </cell>
          <cell r="B1509" t="str">
            <v>Paraguay</v>
          </cell>
          <cell r="C1509">
            <v>1997</v>
          </cell>
          <cell r="D1509">
            <v>90</v>
          </cell>
          <cell r="E1509">
            <v>300</v>
          </cell>
          <cell r="F1509">
            <v>90</v>
          </cell>
          <cell r="G1509">
            <v>456892</v>
          </cell>
          <cell r="H1509" t="str">
            <v>;;=SUM(F12:G12);</v>
          </cell>
          <cell r="I1509" t="str">
            <v>.</v>
          </cell>
        </row>
        <row r="1510">
          <cell r="A1510">
            <v>600</v>
          </cell>
          <cell r="B1510" t="str">
            <v>Paraguay</v>
          </cell>
          <cell r="C1510">
            <v>1997</v>
          </cell>
          <cell r="D1510">
            <v>90</v>
          </cell>
          <cell r="E1510">
            <v>303</v>
          </cell>
          <cell r="F1510">
            <v>90</v>
          </cell>
          <cell r="G1510">
            <v>147082</v>
          </cell>
          <cell r="H1510" t="str">
            <v>;;=SUM(F13:G13);</v>
          </cell>
          <cell r="I1510" t="str">
            <v>.</v>
          </cell>
        </row>
        <row r="1511">
          <cell r="A1511">
            <v>600</v>
          </cell>
          <cell r="B1511" t="str">
            <v>Paraguay</v>
          </cell>
          <cell r="C1511">
            <v>1997</v>
          </cell>
          <cell r="D1511">
            <v>90</v>
          </cell>
          <cell r="E1511">
            <v>404</v>
          </cell>
          <cell r="F1511">
            <v>90</v>
          </cell>
          <cell r="G1511">
            <v>144739</v>
          </cell>
          <cell r="H1511" t="str">
            <v>;;=SUM(F14:G14);</v>
          </cell>
          <cell r="I1511" t="str">
            <v>.</v>
          </cell>
        </row>
        <row r="1512">
          <cell r="A1512">
            <v>600</v>
          </cell>
          <cell r="B1512" t="str">
            <v>Paraguay</v>
          </cell>
          <cell r="C1512">
            <v>1997</v>
          </cell>
          <cell r="D1512">
            <v>90</v>
          </cell>
          <cell r="E1512">
            <v>505</v>
          </cell>
          <cell r="F1512">
            <v>90</v>
          </cell>
          <cell r="G1512">
            <v>143110</v>
          </cell>
          <cell r="H1512" t="str">
            <v>;;=SUM(F15:G15);</v>
          </cell>
          <cell r="I1512" t="str">
            <v>.</v>
          </cell>
        </row>
        <row r="1513">
          <cell r="A1513">
            <v>600</v>
          </cell>
          <cell r="B1513" t="str">
            <v>Paraguay</v>
          </cell>
          <cell r="C1513">
            <v>1997</v>
          </cell>
          <cell r="D1513">
            <v>90</v>
          </cell>
          <cell r="E1513">
            <v>606</v>
          </cell>
          <cell r="F1513">
            <v>90</v>
          </cell>
          <cell r="G1513">
            <v>140976</v>
          </cell>
          <cell r="H1513" t="str">
            <v>;;=SUM(F16:G16);</v>
          </cell>
          <cell r="I1513" t="str">
            <v>.</v>
          </cell>
        </row>
        <row r="1514">
          <cell r="A1514">
            <v>600</v>
          </cell>
          <cell r="B1514" t="str">
            <v>Paraguay</v>
          </cell>
          <cell r="C1514">
            <v>1997</v>
          </cell>
          <cell r="D1514">
            <v>90</v>
          </cell>
          <cell r="E1514">
            <v>707</v>
          </cell>
          <cell r="F1514">
            <v>90</v>
          </cell>
          <cell r="G1514">
            <v>138797</v>
          </cell>
          <cell r="H1514" t="str">
            <v>;;=SUM(F17:G17);</v>
          </cell>
          <cell r="I1514" t="str">
            <v>.</v>
          </cell>
        </row>
        <row r="1515">
          <cell r="A1515">
            <v>600</v>
          </cell>
          <cell r="B1515" t="str">
            <v>Paraguay</v>
          </cell>
          <cell r="C1515">
            <v>1997</v>
          </cell>
          <cell r="D1515">
            <v>90</v>
          </cell>
          <cell r="E1515">
            <v>808</v>
          </cell>
          <cell r="F1515">
            <v>90</v>
          </cell>
          <cell r="G1515">
            <v>136539</v>
          </cell>
          <cell r="H1515" t="str">
            <v>;;=SUM(F18:G18);</v>
          </cell>
          <cell r="I1515" t="str">
            <v>.</v>
          </cell>
        </row>
        <row r="1516">
          <cell r="A1516">
            <v>600</v>
          </cell>
          <cell r="B1516" t="str">
            <v>Paraguay</v>
          </cell>
          <cell r="C1516">
            <v>1997</v>
          </cell>
          <cell r="D1516">
            <v>90</v>
          </cell>
          <cell r="E1516">
            <v>909</v>
          </cell>
          <cell r="F1516">
            <v>90</v>
          </cell>
          <cell r="G1516">
            <v>134159</v>
          </cell>
          <cell r="H1516" t="str">
            <v>;;=SUM(F19:G19);</v>
          </cell>
          <cell r="I1516" t="str">
            <v>.</v>
          </cell>
        </row>
        <row r="1517">
          <cell r="A1517">
            <v>600</v>
          </cell>
          <cell r="B1517" t="str">
            <v>Paraguay</v>
          </cell>
          <cell r="C1517">
            <v>1997</v>
          </cell>
          <cell r="D1517">
            <v>90</v>
          </cell>
          <cell r="E1517">
            <v>509</v>
          </cell>
          <cell r="F1517">
            <v>90</v>
          </cell>
          <cell r="G1517">
            <v>693581</v>
          </cell>
          <cell r="H1517" t="str">
            <v>;;=SUM(F20:G20);</v>
          </cell>
          <cell r="I1517" t="str">
            <v>.</v>
          </cell>
        </row>
        <row r="1518">
          <cell r="A1518">
            <v>600</v>
          </cell>
          <cell r="B1518" t="str">
            <v>Paraguay</v>
          </cell>
          <cell r="C1518">
            <v>1997</v>
          </cell>
          <cell r="D1518">
            <v>90</v>
          </cell>
          <cell r="E1518">
            <v>1010</v>
          </cell>
          <cell r="F1518">
            <v>90</v>
          </cell>
          <cell r="G1518">
            <v>131741</v>
          </cell>
          <cell r="H1518" t="str">
            <v>;;=SUM(F21:G21);</v>
          </cell>
          <cell r="I1518" t="str">
            <v>.</v>
          </cell>
        </row>
        <row r="1519">
          <cell r="A1519">
            <v>600</v>
          </cell>
          <cell r="B1519" t="str">
            <v>Paraguay</v>
          </cell>
          <cell r="C1519">
            <v>1997</v>
          </cell>
          <cell r="D1519">
            <v>90</v>
          </cell>
          <cell r="E1519">
            <v>1111</v>
          </cell>
          <cell r="F1519">
            <v>90</v>
          </cell>
          <cell r="G1519">
            <v>129359</v>
          </cell>
          <cell r="H1519" t="str">
            <v>;;=SUM(F22:G22);</v>
          </cell>
          <cell r="I1519" t="str">
            <v>.</v>
          </cell>
        </row>
        <row r="1520">
          <cell r="A1520">
            <v>600</v>
          </cell>
          <cell r="B1520" t="str">
            <v>Paraguay</v>
          </cell>
          <cell r="C1520">
            <v>1997</v>
          </cell>
          <cell r="D1520">
            <v>90</v>
          </cell>
          <cell r="E1520">
            <v>1212</v>
          </cell>
          <cell r="F1520">
            <v>90</v>
          </cell>
          <cell r="G1520">
            <v>126394</v>
          </cell>
          <cell r="H1520" t="str">
            <v>;;=SUM(F23:G23);</v>
          </cell>
          <cell r="I1520" t="str">
            <v>.</v>
          </cell>
        </row>
        <row r="1521">
          <cell r="A1521">
            <v>600</v>
          </cell>
          <cell r="B1521" t="str">
            <v>Paraguay</v>
          </cell>
          <cell r="C1521">
            <v>1997</v>
          </cell>
          <cell r="D1521">
            <v>90</v>
          </cell>
          <cell r="E1521">
            <v>1313</v>
          </cell>
          <cell r="F1521">
            <v>90</v>
          </cell>
          <cell r="G1521">
            <v>122572</v>
          </cell>
          <cell r="H1521" t="str">
            <v>;;=SUM(F24:G24);</v>
          </cell>
          <cell r="I1521" t="str">
            <v>.</v>
          </cell>
        </row>
        <row r="1522">
          <cell r="A1522">
            <v>600</v>
          </cell>
          <cell r="B1522" t="str">
            <v>Paraguay</v>
          </cell>
          <cell r="C1522">
            <v>1997</v>
          </cell>
          <cell r="D1522">
            <v>90</v>
          </cell>
          <cell r="E1522">
            <v>1414</v>
          </cell>
          <cell r="F1522">
            <v>90</v>
          </cell>
          <cell r="G1522">
            <v>118207</v>
          </cell>
          <cell r="H1522" t="str">
            <v>;;=SUM(F25:G25);</v>
          </cell>
          <cell r="I1522" t="str">
            <v>.</v>
          </cell>
        </row>
        <row r="1523">
          <cell r="A1523">
            <v>600</v>
          </cell>
          <cell r="B1523" t="str">
            <v>Paraguay</v>
          </cell>
          <cell r="C1523">
            <v>1997</v>
          </cell>
          <cell r="D1523">
            <v>90</v>
          </cell>
          <cell r="E1523">
            <v>1014</v>
          </cell>
          <cell r="F1523">
            <v>90</v>
          </cell>
          <cell r="G1523">
            <v>628273</v>
          </cell>
          <cell r="H1523" t="str">
            <v>;;=SUM(F26:G26);</v>
          </cell>
          <cell r="I1523" t="str">
            <v>.</v>
          </cell>
        </row>
        <row r="1524">
          <cell r="A1524">
            <v>600</v>
          </cell>
          <cell r="B1524" t="str">
            <v>Paraguay</v>
          </cell>
          <cell r="C1524">
            <v>1997</v>
          </cell>
          <cell r="D1524">
            <v>90</v>
          </cell>
          <cell r="E1524">
            <v>1515</v>
          </cell>
          <cell r="F1524">
            <v>90</v>
          </cell>
          <cell r="G1524">
            <v>113915</v>
          </cell>
          <cell r="H1524" t="str">
            <v>;;=SUM(F27:G27);</v>
          </cell>
          <cell r="I1524" t="str">
            <v>.</v>
          </cell>
        </row>
        <row r="1525">
          <cell r="A1525">
            <v>600</v>
          </cell>
          <cell r="B1525" t="str">
            <v>Paraguay</v>
          </cell>
          <cell r="C1525">
            <v>1997</v>
          </cell>
          <cell r="D1525">
            <v>90</v>
          </cell>
          <cell r="E1525">
            <v>1616</v>
          </cell>
          <cell r="F1525">
            <v>90</v>
          </cell>
          <cell r="G1525">
            <v>109612</v>
          </cell>
          <cell r="H1525" t="str">
            <v>;;=SUM(F28:G28);</v>
          </cell>
          <cell r="I1525" t="str">
            <v>.</v>
          </cell>
        </row>
        <row r="1526">
          <cell r="A1526">
            <v>600</v>
          </cell>
          <cell r="B1526" t="str">
            <v>Paraguay</v>
          </cell>
          <cell r="C1526">
            <v>1997</v>
          </cell>
          <cell r="D1526">
            <v>90</v>
          </cell>
          <cell r="E1526">
            <v>1717</v>
          </cell>
          <cell r="F1526">
            <v>90</v>
          </cell>
          <cell r="G1526">
            <v>105493</v>
          </cell>
          <cell r="H1526" t="str">
            <v>;;=SUM(F29:G29);</v>
          </cell>
          <cell r="I1526" t="str">
            <v>.</v>
          </cell>
        </row>
        <row r="1527">
          <cell r="A1527">
            <v>600</v>
          </cell>
          <cell r="B1527" t="str">
            <v>Paraguay</v>
          </cell>
          <cell r="C1527">
            <v>1997</v>
          </cell>
          <cell r="D1527">
            <v>90</v>
          </cell>
          <cell r="E1527">
            <v>1818</v>
          </cell>
          <cell r="F1527">
            <v>90</v>
          </cell>
          <cell r="G1527">
            <v>101727</v>
          </cell>
          <cell r="H1527" t="str">
            <v>;;=SUM(F30:G30);</v>
          </cell>
          <cell r="I1527" t="str">
            <v>.</v>
          </cell>
        </row>
        <row r="1528">
          <cell r="A1528">
            <v>600</v>
          </cell>
          <cell r="B1528" t="str">
            <v>Paraguay</v>
          </cell>
          <cell r="C1528">
            <v>1997</v>
          </cell>
          <cell r="D1528">
            <v>90</v>
          </cell>
          <cell r="E1528">
            <v>1919</v>
          </cell>
          <cell r="F1528">
            <v>90</v>
          </cell>
          <cell r="G1528">
            <v>98256</v>
          </cell>
          <cell r="H1528" t="str">
            <v>;;=SUM(F31:G31);</v>
          </cell>
          <cell r="I1528" t="str">
            <v>.</v>
          </cell>
        </row>
        <row r="1529">
          <cell r="A1529">
            <v>600</v>
          </cell>
          <cell r="B1529" t="str">
            <v>Paraguay</v>
          </cell>
          <cell r="C1529">
            <v>1997</v>
          </cell>
          <cell r="D1529">
            <v>90</v>
          </cell>
          <cell r="E1529">
            <v>1519</v>
          </cell>
          <cell r="F1529">
            <v>90</v>
          </cell>
          <cell r="G1529">
            <v>529003</v>
          </cell>
          <cell r="H1529" t="str">
            <v>;;=SUM(F32:G32);</v>
          </cell>
          <cell r="I1529" t="str">
            <v>.</v>
          </cell>
        </row>
        <row r="1530">
          <cell r="A1530">
            <v>600</v>
          </cell>
          <cell r="B1530" t="str">
            <v>Paraguay</v>
          </cell>
          <cell r="C1530">
            <v>1997</v>
          </cell>
          <cell r="D1530">
            <v>90</v>
          </cell>
          <cell r="E1530">
            <v>2020</v>
          </cell>
          <cell r="F1530">
            <v>90</v>
          </cell>
          <cell r="G1530">
            <v>94800</v>
          </cell>
          <cell r="H1530" t="str">
            <v>;;=SUM(F33:G33);</v>
          </cell>
          <cell r="I1530" t="str">
            <v>.</v>
          </cell>
        </row>
        <row r="1531">
          <cell r="A1531">
            <v>600</v>
          </cell>
          <cell r="B1531" t="str">
            <v>Paraguay</v>
          </cell>
          <cell r="C1531">
            <v>1997</v>
          </cell>
          <cell r="D1531">
            <v>90</v>
          </cell>
          <cell r="E1531">
            <v>2121</v>
          </cell>
          <cell r="F1531">
            <v>90</v>
          </cell>
          <cell r="G1531">
            <v>91356</v>
          </cell>
          <cell r="H1531" t="str">
            <v>;;=SUM(F34:G34);</v>
          </cell>
          <cell r="I1531" t="str">
            <v>.</v>
          </cell>
        </row>
        <row r="1532">
          <cell r="A1532">
            <v>600</v>
          </cell>
          <cell r="B1532" t="str">
            <v>Paraguay</v>
          </cell>
          <cell r="C1532">
            <v>1997</v>
          </cell>
          <cell r="D1532">
            <v>90</v>
          </cell>
          <cell r="E1532">
            <v>2222</v>
          </cell>
          <cell r="F1532">
            <v>90</v>
          </cell>
          <cell r="G1532">
            <v>88407</v>
          </cell>
          <cell r="H1532" t="str">
            <v>;;=SUM(F35:G35);</v>
          </cell>
          <cell r="I1532" t="str">
            <v>.</v>
          </cell>
        </row>
        <row r="1533">
          <cell r="A1533">
            <v>600</v>
          </cell>
          <cell r="B1533" t="str">
            <v>Paraguay</v>
          </cell>
          <cell r="C1533">
            <v>1997</v>
          </cell>
          <cell r="D1533">
            <v>90</v>
          </cell>
          <cell r="E1533">
            <v>2323</v>
          </cell>
          <cell r="F1533">
            <v>90</v>
          </cell>
          <cell r="G1533">
            <v>86148</v>
          </cell>
          <cell r="H1533" t="str">
            <v>;;=SUM(F36:G36);</v>
          </cell>
          <cell r="I1533" t="str">
            <v>.</v>
          </cell>
        </row>
        <row r="1534">
          <cell r="A1534">
            <v>600</v>
          </cell>
          <cell r="B1534" t="str">
            <v>Paraguay</v>
          </cell>
          <cell r="C1534">
            <v>1997</v>
          </cell>
          <cell r="D1534">
            <v>90</v>
          </cell>
          <cell r="E1534">
            <v>2424</v>
          </cell>
          <cell r="F1534">
            <v>90</v>
          </cell>
          <cell r="G1534">
            <v>84370</v>
          </cell>
          <cell r="H1534" t="str">
            <v>;;=SUM(F37:G37);</v>
          </cell>
          <cell r="I1534" t="str">
            <v>.</v>
          </cell>
        </row>
        <row r="1535">
          <cell r="A1535">
            <v>600</v>
          </cell>
          <cell r="B1535" t="str">
            <v>Paraguay</v>
          </cell>
          <cell r="C1535">
            <v>1997</v>
          </cell>
          <cell r="D1535">
            <v>90</v>
          </cell>
          <cell r="E1535">
            <v>2024</v>
          </cell>
          <cell r="F1535">
            <v>90</v>
          </cell>
          <cell r="G1535">
            <v>445081</v>
          </cell>
          <cell r="H1535" t="str">
            <v>;;=SUM(F38:G38);</v>
          </cell>
          <cell r="I1535" t="str">
            <v>.</v>
          </cell>
        </row>
        <row r="1536">
          <cell r="A1536">
            <v>600</v>
          </cell>
          <cell r="B1536" t="str">
            <v>Paraguay</v>
          </cell>
          <cell r="C1536">
            <v>1997</v>
          </cell>
          <cell r="D1536">
            <v>90</v>
          </cell>
          <cell r="E1536">
            <v>2525</v>
          </cell>
          <cell r="F1536">
            <v>90</v>
          </cell>
          <cell r="G1536">
            <v>82653</v>
          </cell>
          <cell r="H1536" t="str">
            <v>;;=SUM(F39:G39);</v>
          </cell>
          <cell r="I1536" t="str">
            <v>.</v>
          </cell>
        </row>
        <row r="1537">
          <cell r="A1537">
            <v>600</v>
          </cell>
          <cell r="B1537" t="str">
            <v>Paraguay</v>
          </cell>
          <cell r="C1537">
            <v>1997</v>
          </cell>
          <cell r="D1537">
            <v>90</v>
          </cell>
          <cell r="E1537">
            <v>2626</v>
          </cell>
          <cell r="F1537">
            <v>90</v>
          </cell>
          <cell r="G1537">
            <v>81067</v>
          </cell>
          <cell r="H1537" t="str">
            <v>;;=SUM(F40:G40);</v>
          </cell>
          <cell r="I1537" t="str">
            <v>.</v>
          </cell>
        </row>
        <row r="1538">
          <cell r="A1538">
            <v>600</v>
          </cell>
          <cell r="B1538" t="str">
            <v>Paraguay</v>
          </cell>
          <cell r="C1538">
            <v>1997</v>
          </cell>
          <cell r="D1538">
            <v>90</v>
          </cell>
          <cell r="E1538">
            <v>2727</v>
          </cell>
          <cell r="F1538">
            <v>90</v>
          </cell>
          <cell r="G1538">
            <v>79468</v>
          </cell>
          <cell r="H1538" t="str">
            <v>;;=SUM(F41:G41);</v>
          </cell>
          <cell r="I1538" t="str">
            <v>.</v>
          </cell>
        </row>
        <row r="1539">
          <cell r="A1539">
            <v>600</v>
          </cell>
          <cell r="B1539" t="str">
            <v>Paraguay</v>
          </cell>
          <cell r="C1539">
            <v>1997</v>
          </cell>
          <cell r="D1539">
            <v>90</v>
          </cell>
          <cell r="E1539">
            <v>2828</v>
          </cell>
          <cell r="F1539">
            <v>90</v>
          </cell>
          <cell r="G1539">
            <v>77738</v>
          </cell>
          <cell r="H1539" t="str">
            <v>;;=SUM(F42:G42);</v>
          </cell>
          <cell r="I1539" t="str">
            <v>.</v>
          </cell>
        </row>
        <row r="1540">
          <cell r="A1540">
            <v>600</v>
          </cell>
          <cell r="B1540" t="str">
            <v>Paraguay</v>
          </cell>
          <cell r="C1540">
            <v>1997</v>
          </cell>
          <cell r="D1540">
            <v>90</v>
          </cell>
          <cell r="E1540">
            <v>2929</v>
          </cell>
          <cell r="F1540">
            <v>90</v>
          </cell>
          <cell r="G1540">
            <v>75933</v>
          </cell>
          <cell r="H1540" t="str">
            <v>;;=SUM(F43:G43);</v>
          </cell>
          <cell r="I1540" t="str">
            <v>.</v>
          </cell>
        </row>
        <row r="1541">
          <cell r="A1541">
            <v>600</v>
          </cell>
          <cell r="B1541" t="str">
            <v>Paraguay</v>
          </cell>
          <cell r="C1541">
            <v>1997</v>
          </cell>
          <cell r="D1541">
            <v>90</v>
          </cell>
          <cell r="E1541">
            <v>2529</v>
          </cell>
          <cell r="F1541">
            <v>90</v>
          </cell>
          <cell r="G1541">
            <v>396859</v>
          </cell>
          <cell r="H1541" t="str">
            <v>;;=SUM(F44:G44);</v>
          </cell>
          <cell r="I1541" t="str">
            <v>.</v>
          </cell>
        </row>
        <row r="1542">
          <cell r="A1542">
            <v>600</v>
          </cell>
          <cell r="B1542" t="str">
            <v>Paraguay</v>
          </cell>
          <cell r="C1542">
            <v>1997</v>
          </cell>
          <cell r="D1542">
            <v>90</v>
          </cell>
          <cell r="E1542">
            <v>3034</v>
          </cell>
          <cell r="F1542">
            <v>90</v>
          </cell>
          <cell r="G1542">
            <v>354186</v>
          </cell>
          <cell r="H1542" t="str">
            <v>;;=SUM(F45:G45);</v>
          </cell>
          <cell r="I1542" t="str">
            <v>.</v>
          </cell>
        </row>
        <row r="1543">
          <cell r="A1543">
            <v>600</v>
          </cell>
          <cell r="B1543" t="str">
            <v>Paraguay</v>
          </cell>
          <cell r="C1543">
            <v>1997</v>
          </cell>
          <cell r="D1543">
            <v>90</v>
          </cell>
          <cell r="E1543">
            <v>3539</v>
          </cell>
          <cell r="F1543">
            <v>90</v>
          </cell>
          <cell r="G1543">
            <v>308855</v>
          </cell>
          <cell r="H1543" t="str">
            <v>;;=SUM(F46:G46);</v>
          </cell>
          <cell r="I1543" t="str">
            <v>.</v>
          </cell>
        </row>
        <row r="1544">
          <cell r="A1544">
            <v>600</v>
          </cell>
          <cell r="B1544" t="str">
            <v>Paraguay</v>
          </cell>
          <cell r="C1544">
            <v>1997</v>
          </cell>
          <cell r="D1544">
            <v>90</v>
          </cell>
          <cell r="E1544">
            <v>4099</v>
          </cell>
          <cell r="F1544">
            <v>90</v>
          </cell>
          <cell r="G1544">
            <v>980777</v>
          </cell>
          <cell r="H1544" t="str">
            <v>;;=SUM(F47:G47);</v>
          </cell>
          <cell r="I1544" t="str">
            <v>.</v>
          </cell>
        </row>
        <row r="1545">
          <cell r="A1545">
            <v>600</v>
          </cell>
          <cell r="B1545" t="str">
            <v>Paraguay</v>
          </cell>
          <cell r="C1545">
            <v>1997</v>
          </cell>
          <cell r="D1545">
            <v>90</v>
          </cell>
          <cell r="E1545">
            <v>990000</v>
          </cell>
          <cell r="F1545">
            <v>90</v>
          </cell>
          <cell r="G1545">
            <v>0</v>
          </cell>
          <cell r="H1545" t="str">
            <v>n;</v>
          </cell>
          <cell r="I1545" t="str">
            <v>n</v>
          </cell>
        </row>
        <row r="1546">
          <cell r="A1546">
            <v>608</v>
          </cell>
          <cell r="B1546" t="str">
            <v>Philippines</v>
          </cell>
          <cell r="C1546">
            <v>1997</v>
          </cell>
          <cell r="D1546">
            <v>90</v>
          </cell>
          <cell r="E1546">
            <v>900000</v>
          </cell>
          <cell r="F1546">
            <v>90</v>
          </cell>
          <cell r="G1546">
            <v>69951808</v>
          </cell>
          <cell r="H1546" t="str">
            <v>;;=SUM(F11:G11);</v>
          </cell>
          <cell r="I1546" t="str">
            <v>.</v>
          </cell>
        </row>
        <row r="1547">
          <cell r="A1547">
            <v>608</v>
          </cell>
          <cell r="B1547" t="str">
            <v>Philippines</v>
          </cell>
          <cell r="C1547">
            <v>1997</v>
          </cell>
          <cell r="D1547">
            <v>90</v>
          </cell>
          <cell r="E1547">
            <v>300</v>
          </cell>
          <cell r="F1547">
            <v>90</v>
          </cell>
          <cell r="G1547">
            <v>5769677</v>
          </cell>
          <cell r="H1547" t="str">
            <v>;;=SUM(F12:G12);</v>
          </cell>
          <cell r="I1547" t="str">
            <v>.</v>
          </cell>
        </row>
        <row r="1548">
          <cell r="A1548">
            <v>608</v>
          </cell>
          <cell r="B1548" t="str">
            <v>Philippines</v>
          </cell>
          <cell r="C1548">
            <v>1997</v>
          </cell>
          <cell r="D1548">
            <v>90</v>
          </cell>
          <cell r="E1548">
            <v>303</v>
          </cell>
          <cell r="F1548">
            <v>90</v>
          </cell>
          <cell r="G1548">
            <v>1875403</v>
          </cell>
          <cell r="H1548" t="str">
            <v>;;=SUM(F13:G13);</v>
          </cell>
          <cell r="I1548" t="str">
            <v>.</v>
          </cell>
        </row>
        <row r="1549">
          <cell r="A1549">
            <v>608</v>
          </cell>
          <cell r="B1549" t="str">
            <v>Philippines</v>
          </cell>
          <cell r="C1549">
            <v>1997</v>
          </cell>
          <cell r="D1549">
            <v>90</v>
          </cell>
          <cell r="E1549">
            <v>404</v>
          </cell>
          <cell r="F1549">
            <v>90</v>
          </cell>
          <cell r="G1549">
            <v>1849834</v>
          </cell>
          <cell r="H1549" t="str">
            <v>;;=SUM(F14:G14);</v>
          </cell>
          <cell r="I1549" t="str">
            <v>.</v>
          </cell>
        </row>
        <row r="1550">
          <cell r="A1550">
            <v>608</v>
          </cell>
          <cell r="B1550" t="str">
            <v>Philippines</v>
          </cell>
          <cell r="C1550">
            <v>1997</v>
          </cell>
          <cell r="D1550">
            <v>90</v>
          </cell>
          <cell r="E1550">
            <v>505</v>
          </cell>
          <cell r="F1550">
            <v>90</v>
          </cell>
          <cell r="G1550">
            <v>1823390</v>
          </cell>
          <cell r="H1550" t="str">
            <v>;;=SUM(F15:G15);</v>
          </cell>
          <cell r="I1550" t="str">
            <v>.</v>
          </cell>
        </row>
        <row r="1551">
          <cell r="A1551">
            <v>608</v>
          </cell>
          <cell r="B1551" t="str">
            <v>Philippines</v>
          </cell>
          <cell r="C1551">
            <v>1997</v>
          </cell>
          <cell r="D1551">
            <v>90</v>
          </cell>
          <cell r="E1551">
            <v>606</v>
          </cell>
          <cell r="F1551">
            <v>90</v>
          </cell>
          <cell r="G1551">
            <v>1796150</v>
          </cell>
          <cell r="H1551" t="str">
            <v>;;=SUM(F16:G16);</v>
          </cell>
          <cell r="I1551" t="str">
            <v>.</v>
          </cell>
        </row>
        <row r="1552">
          <cell r="A1552">
            <v>608</v>
          </cell>
          <cell r="B1552" t="str">
            <v>Philippines</v>
          </cell>
          <cell r="C1552">
            <v>1997</v>
          </cell>
          <cell r="D1552">
            <v>90</v>
          </cell>
          <cell r="E1552">
            <v>707</v>
          </cell>
          <cell r="F1552">
            <v>90</v>
          </cell>
          <cell r="G1552">
            <v>1768196</v>
          </cell>
          <cell r="H1552" t="str">
            <v>;;=SUM(F17:G17);</v>
          </cell>
          <cell r="I1552" t="str">
            <v>.</v>
          </cell>
        </row>
        <row r="1553">
          <cell r="A1553">
            <v>608</v>
          </cell>
          <cell r="B1553" t="str">
            <v>Philippines</v>
          </cell>
          <cell r="C1553">
            <v>1997</v>
          </cell>
          <cell r="D1553">
            <v>90</v>
          </cell>
          <cell r="E1553">
            <v>808</v>
          </cell>
          <cell r="F1553">
            <v>90</v>
          </cell>
          <cell r="G1553">
            <v>1739605</v>
          </cell>
          <cell r="H1553" t="str">
            <v>;;=SUM(F18:G18);</v>
          </cell>
          <cell r="I1553" t="str">
            <v>.</v>
          </cell>
        </row>
        <row r="1554">
          <cell r="A1554">
            <v>608</v>
          </cell>
          <cell r="B1554" t="str">
            <v>Philippines</v>
          </cell>
          <cell r="C1554">
            <v>1997</v>
          </cell>
          <cell r="D1554">
            <v>90</v>
          </cell>
          <cell r="E1554">
            <v>909</v>
          </cell>
          <cell r="F1554">
            <v>90</v>
          </cell>
          <cell r="G1554">
            <v>1710459</v>
          </cell>
          <cell r="H1554" t="str">
            <v>;;=SUM(F19:G19);</v>
          </cell>
          <cell r="I1554" t="str">
            <v>.</v>
          </cell>
        </row>
        <row r="1555">
          <cell r="A1555">
            <v>608</v>
          </cell>
          <cell r="B1555" t="str">
            <v>Philippines</v>
          </cell>
          <cell r="C1555">
            <v>1997</v>
          </cell>
          <cell r="D1555">
            <v>90</v>
          </cell>
          <cell r="E1555">
            <v>509</v>
          </cell>
          <cell r="F1555">
            <v>90</v>
          </cell>
          <cell r="G1555">
            <v>8837800</v>
          </cell>
          <cell r="H1555" t="str">
            <v>;;=SUM(F20:G20);</v>
          </cell>
          <cell r="I1555" t="str">
            <v>.</v>
          </cell>
        </row>
        <row r="1556">
          <cell r="A1556">
            <v>608</v>
          </cell>
          <cell r="B1556" t="str">
            <v>Philippines</v>
          </cell>
          <cell r="C1556">
            <v>1997</v>
          </cell>
          <cell r="D1556">
            <v>90</v>
          </cell>
          <cell r="E1556">
            <v>1010</v>
          </cell>
          <cell r="F1556">
            <v>90</v>
          </cell>
          <cell r="G1556">
            <v>1680775</v>
          </cell>
          <cell r="H1556" t="str">
            <v>;;=SUM(F21:G21);</v>
          </cell>
          <cell r="I1556" t="str">
            <v>.</v>
          </cell>
        </row>
        <row r="1557">
          <cell r="A1557">
            <v>608</v>
          </cell>
          <cell r="B1557" t="str">
            <v>Philippines</v>
          </cell>
          <cell r="C1557">
            <v>1997</v>
          </cell>
          <cell r="D1557">
            <v>90</v>
          </cell>
          <cell r="E1557">
            <v>1111</v>
          </cell>
          <cell r="F1557">
            <v>90</v>
          </cell>
          <cell r="G1557">
            <v>1650570</v>
          </cell>
          <cell r="H1557" t="str">
            <v>;;=SUM(F22:G22);</v>
          </cell>
          <cell r="I1557" t="str">
            <v>.</v>
          </cell>
        </row>
        <row r="1558">
          <cell r="A1558">
            <v>608</v>
          </cell>
          <cell r="B1558" t="str">
            <v>Philippines</v>
          </cell>
          <cell r="C1558">
            <v>1997</v>
          </cell>
          <cell r="D1558">
            <v>90</v>
          </cell>
          <cell r="E1558">
            <v>1212</v>
          </cell>
          <cell r="F1558">
            <v>90</v>
          </cell>
          <cell r="G1558">
            <v>1620234</v>
          </cell>
          <cell r="H1558" t="str">
            <v>;;=SUM(F23:G23);</v>
          </cell>
          <cell r="I1558" t="str">
            <v>.</v>
          </cell>
        </row>
        <row r="1559">
          <cell r="A1559">
            <v>608</v>
          </cell>
          <cell r="B1559" t="str">
            <v>Philippines</v>
          </cell>
          <cell r="C1559">
            <v>1997</v>
          </cell>
          <cell r="D1559">
            <v>90</v>
          </cell>
          <cell r="E1559">
            <v>1313</v>
          </cell>
          <cell r="F1559">
            <v>90</v>
          </cell>
          <cell r="G1559">
            <v>1589972</v>
          </cell>
          <cell r="H1559" t="str">
            <v>;;=SUM(F24:G24);</v>
          </cell>
          <cell r="I1559" t="str">
            <v>.</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5.1"/>
      <sheetName val="Data5.1"/>
      <sheetName val="Figure5.2"/>
      <sheetName val="Sheet1"/>
      <sheetName val="Data5.3a"/>
      <sheetName val="Data5.3b"/>
      <sheetName val="Figure5.4"/>
      <sheetName val="Figure5.5new"/>
      <sheetName val="Figure5.5old"/>
      <sheetName val="Figure5.6"/>
      <sheetName val="Table5.7a"/>
      <sheetName val="Figure5.7b"/>
    </sheetNames>
    <sheetDataSet>
      <sheetData sheetId="0"/>
      <sheetData sheetId="1"/>
      <sheetData sheetId="2"/>
      <sheetData sheetId="3"/>
      <sheetData sheetId="4"/>
      <sheetData sheetId="5"/>
      <sheetData sheetId="6"/>
      <sheetData sheetId="7"/>
      <sheetData sheetId="8"/>
      <sheetData sheetId="9">
        <row r="2">
          <cell r="B2" t="str">
            <v>COUNTRY</v>
          </cell>
          <cell r="C2" t="str">
            <v>SEC1GIRP</v>
          </cell>
          <cell r="D2" t="str">
            <v>Girls regular readers</v>
          </cell>
          <cell r="E2" t="str">
            <v>Boys regular readers</v>
          </cell>
          <cell r="G2" t="str">
            <v>C2GIRPCT</v>
          </cell>
          <cell r="H2" t="str">
            <v>SEC2GIRP</v>
          </cell>
          <cell r="I2" t="str">
            <v>C3GIRPCT</v>
          </cell>
          <cell r="J2" t="str">
            <v>SEC3GIRP</v>
          </cell>
          <cell r="K2" t="str">
            <v>C4GIRPCT</v>
          </cell>
          <cell r="L2" t="str">
            <v>SEC4GIRP</v>
          </cell>
          <cell r="M2" t="str">
            <v>C5GIRPCT</v>
          </cell>
          <cell r="N2" t="str">
            <v>SEC5GIRP</v>
          </cell>
          <cell r="O2" t="str">
            <v>C1BOYPCT</v>
          </cell>
          <cell r="P2" t="str">
            <v>SEC1BOYP</v>
          </cell>
          <cell r="Q2" t="str">
            <v>C2BOYPCT</v>
          </cell>
          <cell r="R2" t="str">
            <v>SEC2BOYP</v>
          </cell>
          <cell r="S2" t="str">
            <v>C3BOYPCT</v>
          </cell>
          <cell r="T2" t="str">
            <v>SEC3BOYP</v>
          </cell>
          <cell r="U2" t="str">
            <v>C4BOYPCT</v>
          </cell>
          <cell r="V2" t="str">
            <v>SEC4BOYP</v>
          </cell>
          <cell r="W2" t="str">
            <v>C5BOYPCT</v>
          </cell>
          <cell r="X2" t="str">
            <v>SEC5BOYP</v>
          </cell>
        </row>
        <row r="3">
          <cell r="B3" t="str">
            <v>0036</v>
          </cell>
          <cell r="C3">
            <v>0.48099999999999998</v>
          </cell>
          <cell r="D3">
            <v>62.091999999999999</v>
          </cell>
          <cell r="E3">
            <v>62.125</v>
          </cell>
          <cell r="G3">
            <v>14.53</v>
          </cell>
          <cell r="H3">
            <v>0.92300000000000004</v>
          </cell>
          <cell r="I3">
            <v>20.71</v>
          </cell>
          <cell r="J3">
            <v>1.026</v>
          </cell>
          <cell r="K3">
            <v>36.270000000000003</v>
          </cell>
          <cell r="L3">
            <v>1.272</v>
          </cell>
          <cell r="M3">
            <v>24.55</v>
          </cell>
          <cell r="N3">
            <v>1.1679999999999999</v>
          </cell>
          <cell r="O3">
            <v>8.36</v>
          </cell>
          <cell r="P3">
            <v>0.79300000000000004</v>
          </cell>
          <cell r="Q3">
            <v>14.03</v>
          </cell>
          <cell r="R3">
            <v>0.84499999999999997</v>
          </cell>
          <cell r="S3">
            <v>16.86</v>
          </cell>
          <cell r="T3">
            <v>0.98</v>
          </cell>
          <cell r="U3">
            <v>33.43</v>
          </cell>
          <cell r="V3">
            <v>1.375</v>
          </cell>
          <cell r="W3">
            <v>27.32</v>
          </cell>
          <cell r="X3">
            <v>1.2</v>
          </cell>
        </row>
        <row r="4">
          <cell r="B4" t="str">
            <v>0040</v>
          </cell>
          <cell r="C4">
            <v>0.33300000000000002</v>
          </cell>
          <cell r="D4">
            <v>68.372</v>
          </cell>
          <cell r="E4">
            <v>70.251000000000005</v>
          </cell>
          <cell r="G4">
            <v>9.15</v>
          </cell>
          <cell r="H4">
            <v>0.96699999999999997</v>
          </cell>
          <cell r="I4">
            <v>20.29</v>
          </cell>
          <cell r="J4">
            <v>0.80400000000000005</v>
          </cell>
          <cell r="K4">
            <v>35.89</v>
          </cell>
          <cell r="L4">
            <v>0.80200000000000005</v>
          </cell>
          <cell r="M4">
            <v>31.68</v>
          </cell>
          <cell r="N4">
            <v>1.18</v>
          </cell>
          <cell r="O4">
            <v>4.59</v>
          </cell>
          <cell r="P4">
            <v>0.42899999999999999</v>
          </cell>
          <cell r="Q4">
            <v>8.0399999999999991</v>
          </cell>
          <cell r="R4">
            <v>0.69799999999999995</v>
          </cell>
          <cell r="S4">
            <v>18.02</v>
          </cell>
          <cell r="T4">
            <v>0.87</v>
          </cell>
          <cell r="U4">
            <v>32.450000000000003</v>
          </cell>
          <cell r="V4">
            <v>0.90100000000000002</v>
          </cell>
          <cell r="W4">
            <v>36.9</v>
          </cell>
          <cell r="X4">
            <v>1.236</v>
          </cell>
        </row>
        <row r="5">
          <cell r="B5" t="str">
            <v>0056</v>
          </cell>
          <cell r="C5">
            <v>0.68300000000000005</v>
          </cell>
          <cell r="D5">
            <v>62.745000000000005</v>
          </cell>
          <cell r="E5">
            <v>64.038000000000011</v>
          </cell>
          <cell r="G5">
            <v>9.84</v>
          </cell>
          <cell r="H5">
            <v>0.68200000000000005</v>
          </cell>
          <cell r="I5">
            <v>22.27</v>
          </cell>
          <cell r="J5">
            <v>0.93200000000000005</v>
          </cell>
          <cell r="K5">
            <v>33.06</v>
          </cell>
          <cell r="L5">
            <v>1.2050000000000001</v>
          </cell>
          <cell r="M5">
            <v>28.48</v>
          </cell>
          <cell r="N5">
            <v>0.95899999999999996</v>
          </cell>
          <cell r="O5">
            <v>9.8800000000000008</v>
          </cell>
          <cell r="P5">
            <v>0.75800000000000001</v>
          </cell>
          <cell r="Q5">
            <v>9.4600000000000009</v>
          </cell>
          <cell r="R5">
            <v>0.60099999999999998</v>
          </cell>
          <cell r="S5">
            <v>17.63</v>
          </cell>
          <cell r="T5">
            <v>0.89400000000000002</v>
          </cell>
          <cell r="U5">
            <v>28.66</v>
          </cell>
          <cell r="V5">
            <v>0.998</v>
          </cell>
          <cell r="W5">
            <v>34.380000000000003</v>
          </cell>
          <cell r="X5">
            <v>1.0569999999999999</v>
          </cell>
        </row>
        <row r="6">
          <cell r="B6" t="str">
            <v>0076</v>
          </cell>
          <cell r="C6">
            <v>0.61499999999999999</v>
          </cell>
          <cell r="D6">
            <v>74.875999999999991</v>
          </cell>
          <cell r="E6">
            <v>64.326999999999998</v>
          </cell>
          <cell r="G6">
            <v>6.79</v>
          </cell>
          <cell r="H6">
            <v>0.89</v>
          </cell>
          <cell r="I6">
            <v>16.829999999999998</v>
          </cell>
          <cell r="J6">
            <v>1.024</v>
          </cell>
          <cell r="K6">
            <v>36.119999999999997</v>
          </cell>
          <cell r="L6">
            <v>1.5960000000000001</v>
          </cell>
          <cell r="M6">
            <v>37.159999999999997</v>
          </cell>
          <cell r="N6">
            <v>1.4810000000000001</v>
          </cell>
          <cell r="O6">
            <v>9.68</v>
          </cell>
          <cell r="P6">
            <v>1.046</v>
          </cell>
          <cell r="Q6">
            <v>11.7</v>
          </cell>
          <cell r="R6">
            <v>1.022</v>
          </cell>
          <cell r="S6">
            <v>16.079999999999998</v>
          </cell>
          <cell r="T6">
            <v>1.1639999999999999</v>
          </cell>
          <cell r="U6">
            <v>27.5</v>
          </cell>
          <cell r="V6">
            <v>1.7869999999999999</v>
          </cell>
          <cell r="W6">
            <v>35.04</v>
          </cell>
          <cell r="X6">
            <v>1.3260000000000001</v>
          </cell>
        </row>
        <row r="7">
          <cell r="B7" t="str">
            <v>0100</v>
          </cell>
          <cell r="C7">
            <v>0.33200000000000002</v>
          </cell>
          <cell r="D7">
            <v>85.975999999999999</v>
          </cell>
          <cell r="E7">
            <v>69.307000000000002</v>
          </cell>
          <cell r="G7">
            <v>4.1500000000000004</v>
          </cell>
          <cell r="H7">
            <v>0.58399999999999996</v>
          </cell>
          <cell r="I7">
            <v>9.83</v>
          </cell>
          <cell r="J7">
            <v>0.60199999999999998</v>
          </cell>
          <cell r="K7">
            <v>38.770000000000003</v>
          </cell>
          <cell r="L7">
            <v>1.3959999999999999</v>
          </cell>
          <cell r="M7">
            <v>45.81</v>
          </cell>
          <cell r="N7">
            <v>1.129</v>
          </cell>
          <cell r="O7">
            <v>5.86</v>
          </cell>
          <cell r="P7">
            <v>0.70699999999999996</v>
          </cell>
          <cell r="Q7">
            <v>9.57</v>
          </cell>
          <cell r="R7">
            <v>1.115</v>
          </cell>
          <cell r="S7">
            <v>16.64</v>
          </cell>
          <cell r="T7">
            <v>1.038</v>
          </cell>
          <cell r="U7">
            <v>35.03</v>
          </cell>
          <cell r="V7">
            <v>1.387</v>
          </cell>
          <cell r="W7">
            <v>32.89</v>
          </cell>
          <cell r="X7">
            <v>1.294</v>
          </cell>
        </row>
        <row r="8">
          <cell r="B8" t="str">
            <v>0124</v>
          </cell>
          <cell r="C8">
            <v>0.14399999999999999</v>
          </cell>
          <cell r="D8">
            <v>83.662999999999997</v>
          </cell>
          <cell r="E8">
            <v>76.305000000000007</v>
          </cell>
          <cell r="G8">
            <v>4.6399999999999997</v>
          </cell>
          <cell r="H8">
            <v>0.35399999999999998</v>
          </cell>
          <cell r="I8">
            <v>11.77</v>
          </cell>
          <cell r="J8">
            <v>0.70599999999999996</v>
          </cell>
          <cell r="K8">
            <v>36.68</v>
          </cell>
          <cell r="L8">
            <v>0.873</v>
          </cell>
          <cell r="M8">
            <v>46.11</v>
          </cell>
          <cell r="N8">
            <v>1.121</v>
          </cell>
          <cell r="O8">
            <v>3.46</v>
          </cell>
          <cell r="P8">
            <v>0.47299999999999998</v>
          </cell>
          <cell r="Q8">
            <v>7.76</v>
          </cell>
          <cell r="R8">
            <v>0.621</v>
          </cell>
          <cell r="S8">
            <v>13.41</v>
          </cell>
          <cell r="T8">
            <v>0.77200000000000002</v>
          </cell>
          <cell r="U8">
            <v>32.19</v>
          </cell>
          <cell r="V8">
            <v>0.93500000000000005</v>
          </cell>
          <cell r="W8">
            <v>43.18</v>
          </cell>
          <cell r="X8">
            <v>1.04</v>
          </cell>
        </row>
        <row r="9">
          <cell r="B9" t="str">
            <v>0156</v>
          </cell>
          <cell r="C9">
            <v>0.53300000000000003</v>
          </cell>
          <cell r="D9">
            <v>66.676999999999992</v>
          </cell>
          <cell r="E9">
            <v>64.335999999999999</v>
          </cell>
          <cell r="G9">
            <v>10.15</v>
          </cell>
          <cell r="H9">
            <v>0.73599999999999999</v>
          </cell>
          <cell r="I9">
            <v>19.350000000000001</v>
          </cell>
          <cell r="J9">
            <v>0.95699999999999996</v>
          </cell>
          <cell r="K9">
            <v>32.18</v>
          </cell>
          <cell r="L9">
            <v>1.2070000000000001</v>
          </cell>
          <cell r="M9">
            <v>33.29</v>
          </cell>
          <cell r="N9">
            <v>1.353</v>
          </cell>
          <cell r="O9">
            <v>11.09</v>
          </cell>
          <cell r="P9">
            <v>0.90200000000000002</v>
          </cell>
          <cell r="Q9">
            <v>10.61</v>
          </cell>
          <cell r="R9">
            <v>0.80500000000000005</v>
          </cell>
          <cell r="S9">
            <v>15.04</v>
          </cell>
          <cell r="T9">
            <v>0.93700000000000006</v>
          </cell>
          <cell r="U9">
            <v>26.95</v>
          </cell>
          <cell r="V9">
            <v>1.0860000000000001</v>
          </cell>
          <cell r="W9">
            <v>36.299999999999997</v>
          </cell>
          <cell r="X9">
            <v>1.175</v>
          </cell>
        </row>
        <row r="10">
          <cell r="B10" t="str">
            <v>0203</v>
          </cell>
          <cell r="C10">
            <v>0.46700000000000003</v>
          </cell>
          <cell r="D10">
            <v>38.375999999999998</v>
          </cell>
          <cell r="E10">
            <v>41.713999999999999</v>
          </cell>
          <cell r="G10">
            <v>30.7</v>
          </cell>
          <cell r="H10">
            <v>1.2130000000000001</v>
          </cell>
          <cell r="I10">
            <v>26.16</v>
          </cell>
          <cell r="J10">
            <v>0.92200000000000004</v>
          </cell>
          <cell r="K10">
            <v>27.4</v>
          </cell>
          <cell r="L10">
            <v>0.996</v>
          </cell>
          <cell r="M10">
            <v>9.98</v>
          </cell>
          <cell r="N10">
            <v>0.65900000000000003</v>
          </cell>
          <cell r="O10">
            <v>15.64</v>
          </cell>
          <cell r="P10">
            <v>0.82299999999999995</v>
          </cell>
          <cell r="Q10">
            <v>23.06</v>
          </cell>
          <cell r="R10">
            <v>1.0409999999999999</v>
          </cell>
          <cell r="S10">
            <v>20.5</v>
          </cell>
          <cell r="T10">
            <v>0.72099999999999997</v>
          </cell>
          <cell r="U10">
            <v>26.22</v>
          </cell>
          <cell r="V10">
            <v>0.92400000000000004</v>
          </cell>
          <cell r="W10">
            <v>14.57</v>
          </cell>
          <cell r="X10">
            <v>0.72299999999999998</v>
          </cell>
        </row>
        <row r="11">
          <cell r="B11" t="str">
            <v>0208</v>
          </cell>
          <cell r="C11">
            <v>0.24199999999999999</v>
          </cell>
          <cell r="D11">
            <v>84.061000000000007</v>
          </cell>
          <cell r="E11">
            <v>67.801999999999992</v>
          </cell>
          <cell r="G11">
            <v>3.8</v>
          </cell>
          <cell r="H11">
            <v>0.504</v>
          </cell>
          <cell r="I11">
            <v>11.72</v>
          </cell>
          <cell r="J11">
            <v>0.60199999999999998</v>
          </cell>
          <cell r="K11">
            <v>39.58</v>
          </cell>
          <cell r="L11">
            <v>1.091</v>
          </cell>
          <cell r="M11">
            <v>43.39</v>
          </cell>
          <cell r="N11">
            <v>1.127</v>
          </cell>
          <cell r="O11">
            <v>5.22</v>
          </cell>
          <cell r="P11">
            <v>0.434</v>
          </cell>
          <cell r="Q11">
            <v>9.4</v>
          </cell>
          <cell r="R11">
            <v>0.621</v>
          </cell>
          <cell r="S11">
            <v>18.62</v>
          </cell>
          <cell r="T11">
            <v>0.84099999999999997</v>
          </cell>
          <cell r="U11">
            <v>36.229999999999997</v>
          </cell>
          <cell r="V11">
            <v>1.042</v>
          </cell>
          <cell r="W11">
            <v>30.53</v>
          </cell>
          <cell r="X11">
            <v>1.212</v>
          </cell>
        </row>
        <row r="12">
          <cell r="B12" t="str">
            <v>0246</v>
          </cell>
          <cell r="C12">
            <v>0.63300000000000001</v>
          </cell>
          <cell r="D12">
            <v>76.158000000000001</v>
          </cell>
          <cell r="E12">
            <v>68.25</v>
          </cell>
          <cell r="G12">
            <v>5.66</v>
          </cell>
          <cell r="H12">
            <v>0.69</v>
          </cell>
          <cell r="I12">
            <v>14.42</v>
          </cell>
          <cell r="J12">
            <v>0.94699999999999995</v>
          </cell>
          <cell r="K12">
            <v>34.61</v>
          </cell>
          <cell r="L12">
            <v>1.488</v>
          </cell>
          <cell r="M12">
            <v>40.06</v>
          </cell>
          <cell r="N12">
            <v>1.4550000000000001</v>
          </cell>
          <cell r="O12">
            <v>9.9600000000000009</v>
          </cell>
          <cell r="P12">
            <v>0.877</v>
          </cell>
          <cell r="Q12">
            <v>9.4600000000000009</v>
          </cell>
          <cell r="R12">
            <v>0.72799999999999998</v>
          </cell>
          <cell r="S12">
            <v>13.58</v>
          </cell>
          <cell r="T12">
            <v>0.83</v>
          </cell>
          <cell r="U12">
            <v>26.68</v>
          </cell>
          <cell r="V12">
            <v>1.25</v>
          </cell>
          <cell r="W12">
            <v>40.32</v>
          </cell>
          <cell r="X12">
            <v>1.67</v>
          </cell>
        </row>
        <row r="13">
          <cell r="B13" t="str">
            <v>0250</v>
          </cell>
          <cell r="C13">
            <v>0.41599999999999998</v>
          </cell>
          <cell r="D13">
            <v>70.406000000000006</v>
          </cell>
          <cell r="E13">
            <v>75.094999999999999</v>
          </cell>
          <cell r="G13">
            <v>7.73</v>
          </cell>
          <cell r="H13">
            <v>0.58199999999999996</v>
          </cell>
          <cell r="I13">
            <v>19.3</v>
          </cell>
          <cell r="J13">
            <v>0.93400000000000005</v>
          </cell>
          <cell r="K13">
            <v>36.119999999999997</v>
          </cell>
          <cell r="L13">
            <v>1.216</v>
          </cell>
          <cell r="M13">
            <v>33.07</v>
          </cell>
          <cell r="N13">
            <v>1.1659999999999999</v>
          </cell>
          <cell r="O13">
            <v>5.29</v>
          </cell>
          <cell r="P13">
            <v>0.51300000000000001</v>
          </cell>
          <cell r="Q13">
            <v>7.64</v>
          </cell>
          <cell r="R13">
            <v>0.748</v>
          </cell>
          <cell r="S13">
            <v>13.22</v>
          </cell>
          <cell r="T13">
            <v>0.79</v>
          </cell>
          <cell r="U13">
            <v>32.72</v>
          </cell>
          <cell r="V13">
            <v>1.2450000000000001</v>
          </cell>
          <cell r="W13">
            <v>41.13</v>
          </cell>
          <cell r="X13">
            <v>1.159</v>
          </cell>
        </row>
        <row r="14">
          <cell r="B14" t="str">
            <v>0276</v>
          </cell>
          <cell r="C14">
            <v>0.38200000000000001</v>
          </cell>
          <cell r="D14">
            <v>65.771000000000001</v>
          </cell>
          <cell r="E14">
            <v>58.941000000000003</v>
          </cell>
          <cell r="G14">
            <v>9.9499999999999993</v>
          </cell>
          <cell r="H14">
            <v>0.86899999999999999</v>
          </cell>
          <cell r="I14">
            <v>21.93</v>
          </cell>
          <cell r="J14">
            <v>0.88</v>
          </cell>
          <cell r="K14">
            <v>36.19</v>
          </cell>
          <cell r="L14">
            <v>0.88100000000000001</v>
          </cell>
          <cell r="M14">
            <v>28.7</v>
          </cell>
          <cell r="N14">
            <v>1.222</v>
          </cell>
          <cell r="O14">
            <v>8.86</v>
          </cell>
          <cell r="P14">
            <v>0.64700000000000002</v>
          </cell>
          <cell r="Q14">
            <v>13.44</v>
          </cell>
          <cell r="R14">
            <v>0.79200000000000004</v>
          </cell>
          <cell r="S14">
            <v>19.739999999999998</v>
          </cell>
          <cell r="T14">
            <v>1.105</v>
          </cell>
          <cell r="U14">
            <v>33.26</v>
          </cell>
          <cell r="V14">
            <v>0.98099999999999998</v>
          </cell>
          <cell r="W14">
            <v>24.7</v>
          </cell>
          <cell r="X14">
            <v>1.069</v>
          </cell>
        </row>
        <row r="15">
          <cell r="B15" t="str">
            <v>0300</v>
          </cell>
          <cell r="C15">
            <v>0.749</v>
          </cell>
          <cell r="D15">
            <v>73.361000000000004</v>
          </cell>
          <cell r="E15">
            <v>65.010999999999996</v>
          </cell>
          <cell r="G15">
            <v>7.95</v>
          </cell>
          <cell r="H15">
            <v>0.63400000000000001</v>
          </cell>
          <cell r="I15">
            <v>14.22</v>
          </cell>
          <cell r="J15">
            <v>0.84499999999999997</v>
          </cell>
          <cell r="K15">
            <v>33.97</v>
          </cell>
          <cell r="L15">
            <v>1.0109999999999999</v>
          </cell>
          <cell r="M15">
            <v>38.380000000000003</v>
          </cell>
          <cell r="N15">
            <v>1.069</v>
          </cell>
          <cell r="O15">
            <v>10.89</v>
          </cell>
          <cell r="P15">
            <v>0.7</v>
          </cell>
          <cell r="Q15">
            <v>12.15</v>
          </cell>
          <cell r="R15">
            <v>0.66400000000000003</v>
          </cell>
          <cell r="S15">
            <v>12.85</v>
          </cell>
          <cell r="T15">
            <v>0.63500000000000001</v>
          </cell>
          <cell r="U15">
            <v>31.26</v>
          </cell>
          <cell r="V15">
            <v>0.90100000000000002</v>
          </cell>
          <cell r="W15">
            <v>32.85</v>
          </cell>
          <cell r="X15">
            <v>0.73799999999999999</v>
          </cell>
        </row>
        <row r="16">
          <cell r="B16" t="str">
            <v>0348</v>
          </cell>
          <cell r="C16">
            <v>0.28999999999999998</v>
          </cell>
          <cell r="D16">
            <v>79.131</v>
          </cell>
          <cell r="E16">
            <v>65.513000000000005</v>
          </cell>
          <cell r="G16">
            <v>7.03</v>
          </cell>
          <cell r="H16">
            <v>0.52800000000000002</v>
          </cell>
          <cell r="I16">
            <v>13.12</v>
          </cell>
          <cell r="J16">
            <v>0.64700000000000002</v>
          </cell>
          <cell r="K16">
            <v>34.33</v>
          </cell>
          <cell r="L16">
            <v>1.0509999999999999</v>
          </cell>
          <cell r="M16">
            <v>43.75</v>
          </cell>
          <cell r="N16">
            <v>1.1220000000000001</v>
          </cell>
          <cell r="O16">
            <v>8.01</v>
          </cell>
          <cell r="P16">
            <v>0.73</v>
          </cell>
          <cell r="Q16">
            <v>14.45</v>
          </cell>
          <cell r="R16">
            <v>1</v>
          </cell>
          <cell r="S16">
            <v>13.17</v>
          </cell>
          <cell r="T16">
            <v>0.77400000000000002</v>
          </cell>
          <cell r="U16">
            <v>30.43</v>
          </cell>
          <cell r="V16">
            <v>1.143</v>
          </cell>
          <cell r="W16">
            <v>33.94</v>
          </cell>
          <cell r="X16">
            <v>1.169</v>
          </cell>
        </row>
        <row r="17">
          <cell r="B17" t="str">
            <v>0372</v>
          </cell>
          <cell r="C17">
            <v>1.7390000000000001</v>
          </cell>
          <cell r="D17">
            <v>75.646999999999991</v>
          </cell>
          <cell r="E17">
            <v>74.197000000000003</v>
          </cell>
          <cell r="G17">
            <v>7.2</v>
          </cell>
          <cell r="H17">
            <v>2.0819999999999999</v>
          </cell>
          <cell r="I17">
            <v>17.559999999999999</v>
          </cell>
          <cell r="J17">
            <v>3.0579999999999998</v>
          </cell>
          <cell r="K17">
            <v>34.880000000000003</v>
          </cell>
          <cell r="L17">
            <v>3.7170000000000001</v>
          </cell>
          <cell r="M17">
            <v>37.049999999999997</v>
          </cell>
          <cell r="N17">
            <v>3.734</v>
          </cell>
          <cell r="O17">
            <v>8.69</v>
          </cell>
          <cell r="P17">
            <v>2.4889999999999999</v>
          </cell>
          <cell r="Q17">
            <v>8.59</v>
          </cell>
          <cell r="R17">
            <v>2.36</v>
          </cell>
          <cell r="S17">
            <v>12.33</v>
          </cell>
          <cell r="T17">
            <v>2.6840000000000002</v>
          </cell>
          <cell r="U17">
            <v>37.119999999999997</v>
          </cell>
          <cell r="V17">
            <v>3.8069999999999999</v>
          </cell>
          <cell r="W17">
            <v>33.270000000000003</v>
          </cell>
          <cell r="X17">
            <v>3.714</v>
          </cell>
        </row>
        <row r="18">
          <cell r="B18" t="str">
            <v>0380</v>
          </cell>
          <cell r="C18">
            <v>0.47599999999999998</v>
          </cell>
          <cell r="D18">
            <v>73.331999999999994</v>
          </cell>
          <cell r="E18">
            <v>60.401000000000003</v>
          </cell>
          <cell r="G18">
            <v>8.0299999999999994</v>
          </cell>
          <cell r="H18">
            <v>0.59399999999999997</v>
          </cell>
          <cell r="I18">
            <v>15.31</v>
          </cell>
          <cell r="J18">
            <v>0.68200000000000005</v>
          </cell>
          <cell r="K18">
            <v>31.64</v>
          </cell>
          <cell r="L18">
            <v>0.78200000000000003</v>
          </cell>
          <cell r="M18">
            <v>40.909999999999997</v>
          </cell>
          <cell r="N18">
            <v>1.028</v>
          </cell>
          <cell r="O18">
            <v>11.36</v>
          </cell>
          <cell r="P18">
            <v>0.93300000000000005</v>
          </cell>
          <cell r="Q18">
            <v>11.83</v>
          </cell>
          <cell r="R18">
            <v>0.77500000000000002</v>
          </cell>
          <cell r="S18">
            <v>17.27</v>
          </cell>
          <cell r="T18">
            <v>0.80100000000000005</v>
          </cell>
          <cell r="U18">
            <v>25.66</v>
          </cell>
          <cell r="V18">
            <v>0.86099999999999999</v>
          </cell>
          <cell r="W18">
            <v>33.880000000000003</v>
          </cell>
          <cell r="X18">
            <v>1.1060000000000001</v>
          </cell>
        </row>
        <row r="19">
          <cell r="B19" t="str">
            <v>0392</v>
          </cell>
          <cell r="C19">
            <v>0.155</v>
          </cell>
          <cell r="D19">
            <v>72.430999999999997</v>
          </cell>
          <cell r="E19">
            <v>62.707999999999998</v>
          </cell>
          <cell r="G19">
            <v>6.83</v>
          </cell>
          <cell r="H19">
            <v>0.34799999999999998</v>
          </cell>
          <cell r="I19">
            <v>19.64</v>
          </cell>
          <cell r="J19">
            <v>0.48199999999999998</v>
          </cell>
          <cell r="K19">
            <v>37.619999999999997</v>
          </cell>
          <cell r="L19">
            <v>0.64100000000000001</v>
          </cell>
          <cell r="M19">
            <v>34.17</v>
          </cell>
          <cell r="N19">
            <v>0.69899999999999995</v>
          </cell>
          <cell r="O19">
            <v>6.49</v>
          </cell>
          <cell r="P19">
            <v>0.30099999999999999</v>
          </cell>
          <cell r="Q19">
            <v>11.13</v>
          </cell>
          <cell r="R19">
            <v>0.36699999999999999</v>
          </cell>
          <cell r="S19">
            <v>20.18</v>
          </cell>
          <cell r="T19">
            <v>0.48799999999999999</v>
          </cell>
          <cell r="U19">
            <v>33.1</v>
          </cell>
          <cell r="V19">
            <v>0.498</v>
          </cell>
          <cell r="W19">
            <v>29.11</v>
          </cell>
          <cell r="X19">
            <v>0.67700000000000005</v>
          </cell>
        </row>
        <row r="20">
          <cell r="B20" t="str">
            <v>0410</v>
          </cell>
          <cell r="C20">
            <v>0.59</v>
          </cell>
          <cell r="D20">
            <v>86.777000000000001</v>
          </cell>
          <cell r="E20">
            <v>73.92</v>
          </cell>
          <cell r="G20">
            <v>3.82</v>
          </cell>
          <cell r="H20">
            <v>0.65700000000000003</v>
          </cell>
          <cell r="I20">
            <v>8.69</v>
          </cell>
          <cell r="J20">
            <v>1.046</v>
          </cell>
          <cell r="K20">
            <v>37.1</v>
          </cell>
          <cell r="L20">
            <v>1.417</v>
          </cell>
          <cell r="M20">
            <v>48.26</v>
          </cell>
          <cell r="N20">
            <v>1.246</v>
          </cell>
          <cell r="O20">
            <v>10.33</v>
          </cell>
          <cell r="P20">
            <v>1.0549999999999999</v>
          </cell>
          <cell r="Q20">
            <v>6.25</v>
          </cell>
          <cell r="R20">
            <v>0.82799999999999996</v>
          </cell>
          <cell r="S20">
            <v>10.99</v>
          </cell>
          <cell r="T20">
            <v>0.96299999999999997</v>
          </cell>
          <cell r="U20">
            <v>33.729999999999997</v>
          </cell>
          <cell r="V20">
            <v>1.49</v>
          </cell>
          <cell r="W20">
            <v>38.700000000000003</v>
          </cell>
          <cell r="X20">
            <v>1.6679999999999999</v>
          </cell>
        </row>
        <row r="21">
          <cell r="B21" t="str">
            <v>0438</v>
          </cell>
          <cell r="C21">
            <v>0.30199999999999999</v>
          </cell>
          <cell r="D21">
            <v>78.97399999999999</v>
          </cell>
          <cell r="E21">
            <v>62.587000000000003</v>
          </cell>
          <cell r="G21">
            <v>4.04</v>
          </cell>
          <cell r="H21">
            <v>0.49399999999999999</v>
          </cell>
          <cell r="I21">
            <v>16.64</v>
          </cell>
          <cell r="J21">
            <v>0.88400000000000001</v>
          </cell>
          <cell r="K21">
            <v>40.61</v>
          </cell>
          <cell r="L21">
            <v>1.3640000000000001</v>
          </cell>
          <cell r="M21">
            <v>37</v>
          </cell>
          <cell r="N21">
            <v>1.2869999999999999</v>
          </cell>
          <cell r="O21">
            <v>9.2899999999999991</v>
          </cell>
          <cell r="P21">
            <v>0.71799999999999997</v>
          </cell>
          <cell r="Q21">
            <v>11.47</v>
          </cell>
          <cell r="R21">
            <v>0.65400000000000003</v>
          </cell>
          <cell r="S21">
            <v>17.89</v>
          </cell>
          <cell r="T21">
            <v>0.9</v>
          </cell>
          <cell r="U21">
            <v>33.85</v>
          </cell>
          <cell r="V21">
            <v>1.2370000000000001</v>
          </cell>
          <cell r="W21">
            <v>27.5</v>
          </cell>
          <cell r="X21">
            <v>1.3049999999999999</v>
          </cell>
        </row>
        <row r="22">
          <cell r="B22" t="str">
            <v>0442</v>
          </cell>
          <cell r="C22">
            <v>0.41599999999999998</v>
          </cell>
          <cell r="D22">
            <v>67.548000000000002</v>
          </cell>
          <cell r="E22">
            <v>57.097999999999999</v>
          </cell>
          <cell r="G22">
            <v>12.14</v>
          </cell>
          <cell r="H22">
            <v>0.81399999999999995</v>
          </cell>
          <cell r="I22">
            <v>17.690000000000001</v>
          </cell>
          <cell r="J22">
            <v>0.878</v>
          </cell>
          <cell r="K22">
            <v>35.01</v>
          </cell>
          <cell r="L22">
            <v>1.0980000000000001</v>
          </cell>
          <cell r="M22">
            <v>31.44</v>
          </cell>
          <cell r="N22">
            <v>1.2290000000000001</v>
          </cell>
          <cell r="O22">
            <v>11.11</v>
          </cell>
          <cell r="P22">
            <v>0.73699999999999999</v>
          </cell>
          <cell r="Q22">
            <v>15.21</v>
          </cell>
          <cell r="R22">
            <v>0.78100000000000003</v>
          </cell>
          <cell r="S22">
            <v>17.579999999999998</v>
          </cell>
          <cell r="T22">
            <v>0.82099999999999995</v>
          </cell>
          <cell r="U22">
            <v>28.14</v>
          </cell>
          <cell r="V22">
            <v>0.998</v>
          </cell>
          <cell r="W22">
            <v>27.96</v>
          </cell>
          <cell r="X22">
            <v>1.0249999999999999</v>
          </cell>
        </row>
        <row r="23">
          <cell r="B23" t="str">
            <v>0528</v>
          </cell>
          <cell r="C23">
            <v>0.41799999999999998</v>
          </cell>
          <cell r="D23">
            <v>72.592000000000013</v>
          </cell>
          <cell r="E23">
            <v>47.674999999999997</v>
          </cell>
          <cell r="G23">
            <v>13.82</v>
          </cell>
          <cell r="H23">
            <v>0.93</v>
          </cell>
          <cell r="I23">
            <v>11.79</v>
          </cell>
          <cell r="J23">
            <v>0.82699999999999996</v>
          </cell>
          <cell r="K23">
            <v>28.44</v>
          </cell>
          <cell r="L23">
            <v>1.1319999999999999</v>
          </cell>
          <cell r="M23">
            <v>43.02</v>
          </cell>
          <cell r="N23">
            <v>1.298</v>
          </cell>
          <cell r="O23">
            <v>9.81</v>
          </cell>
          <cell r="P23">
            <v>1.004</v>
          </cell>
          <cell r="Q23">
            <v>25.03</v>
          </cell>
          <cell r="R23">
            <v>1.385</v>
          </cell>
          <cell r="S23">
            <v>18.809999999999999</v>
          </cell>
          <cell r="T23">
            <v>1.198</v>
          </cell>
          <cell r="U23">
            <v>27.51</v>
          </cell>
          <cell r="V23">
            <v>1.335</v>
          </cell>
          <cell r="W23">
            <v>18.829999999999998</v>
          </cell>
          <cell r="X23">
            <v>1.2250000000000001</v>
          </cell>
        </row>
        <row r="24">
          <cell r="B24" t="str">
            <v>0554</v>
          </cell>
          <cell r="C24">
            <v>0.90900000000000003</v>
          </cell>
          <cell r="D24">
            <v>49.882999999999996</v>
          </cell>
          <cell r="E24">
            <v>44.83</v>
          </cell>
          <cell r="G24">
            <v>25.17</v>
          </cell>
          <cell r="H24">
            <v>1.03</v>
          </cell>
          <cell r="I24">
            <v>17.190000000000001</v>
          </cell>
          <cell r="J24">
            <v>0.871</v>
          </cell>
          <cell r="K24">
            <v>29.07</v>
          </cell>
          <cell r="L24">
            <v>0.98299999999999998</v>
          </cell>
          <cell r="M24">
            <v>19.829999999999998</v>
          </cell>
          <cell r="N24">
            <v>1.046</v>
          </cell>
          <cell r="O24">
            <v>10.42</v>
          </cell>
          <cell r="P24">
            <v>0.81899999999999995</v>
          </cell>
          <cell r="Q24">
            <v>29.55</v>
          </cell>
          <cell r="R24">
            <v>1.1819999999999999</v>
          </cell>
          <cell r="S24">
            <v>16.28</v>
          </cell>
          <cell r="T24">
            <v>0.92300000000000004</v>
          </cell>
          <cell r="U24">
            <v>26.59</v>
          </cell>
          <cell r="V24">
            <v>1.08</v>
          </cell>
          <cell r="W24">
            <v>17.16</v>
          </cell>
          <cell r="X24">
            <v>0.874</v>
          </cell>
        </row>
        <row r="25">
          <cell r="B25" t="str">
            <v>0578</v>
          </cell>
          <cell r="C25">
            <v>0.46800000000000003</v>
          </cell>
          <cell r="D25">
            <v>77.010999999999996</v>
          </cell>
          <cell r="E25">
            <v>68.73599999999999</v>
          </cell>
          <cell r="G25">
            <v>8</v>
          </cell>
          <cell r="H25">
            <v>0.70799999999999996</v>
          </cell>
          <cell r="I25">
            <v>11.92</v>
          </cell>
          <cell r="J25">
            <v>0.83899999999999997</v>
          </cell>
          <cell r="K25">
            <v>33.909999999999997</v>
          </cell>
          <cell r="L25">
            <v>1.101</v>
          </cell>
          <cell r="M25">
            <v>42</v>
          </cell>
          <cell r="N25">
            <v>1.389</v>
          </cell>
          <cell r="O25">
            <v>9.7100000000000009</v>
          </cell>
          <cell r="P25">
            <v>0.96799999999999997</v>
          </cell>
          <cell r="Q25">
            <v>10.029999999999999</v>
          </cell>
          <cell r="R25">
            <v>0.68100000000000005</v>
          </cell>
          <cell r="S25">
            <v>12.43</v>
          </cell>
          <cell r="T25">
            <v>0.66600000000000004</v>
          </cell>
          <cell r="U25">
            <v>25.96</v>
          </cell>
          <cell r="V25">
            <v>0.90600000000000003</v>
          </cell>
          <cell r="W25">
            <v>41.87</v>
          </cell>
          <cell r="X25">
            <v>1.302</v>
          </cell>
        </row>
        <row r="26">
          <cell r="B26" t="str">
            <v>0643</v>
          </cell>
          <cell r="C26">
            <v>0.374</v>
          </cell>
          <cell r="D26">
            <v>76.427999999999997</v>
          </cell>
          <cell r="E26">
            <v>62.471000000000004</v>
          </cell>
          <cell r="G26">
            <v>6.11</v>
          </cell>
          <cell r="H26">
            <v>0.50900000000000001</v>
          </cell>
          <cell r="I26">
            <v>15.83</v>
          </cell>
          <cell r="J26">
            <v>0.82099999999999995</v>
          </cell>
          <cell r="K26">
            <v>40.619999999999997</v>
          </cell>
          <cell r="L26">
            <v>1.038</v>
          </cell>
          <cell r="M26">
            <v>34.770000000000003</v>
          </cell>
          <cell r="N26">
            <v>1.0589999999999999</v>
          </cell>
          <cell r="O26">
            <v>12.45</v>
          </cell>
          <cell r="P26">
            <v>0.72</v>
          </cell>
          <cell r="Q26">
            <v>9.85</v>
          </cell>
          <cell r="R26">
            <v>0.73299999999999998</v>
          </cell>
          <cell r="S26">
            <v>16.190000000000001</v>
          </cell>
          <cell r="T26">
            <v>0.80800000000000005</v>
          </cell>
          <cell r="U26">
            <v>28.08</v>
          </cell>
          <cell r="V26">
            <v>0.97099999999999997</v>
          </cell>
          <cell r="W26">
            <v>33.42</v>
          </cell>
          <cell r="X26">
            <v>1.071</v>
          </cell>
        </row>
        <row r="27">
          <cell r="B27" t="str">
            <v>0724</v>
          </cell>
          <cell r="C27">
            <v>0.28699999999999998</v>
          </cell>
          <cell r="D27">
            <v>80.432999999999993</v>
          </cell>
          <cell r="E27">
            <v>70.543000000000006</v>
          </cell>
          <cell r="G27">
            <v>5.32</v>
          </cell>
          <cell r="H27">
            <v>0.48799999999999999</v>
          </cell>
          <cell r="I27">
            <v>13.6</v>
          </cell>
          <cell r="J27">
            <v>0.93300000000000005</v>
          </cell>
          <cell r="K27">
            <v>42.25</v>
          </cell>
          <cell r="L27">
            <v>1.353</v>
          </cell>
          <cell r="M27">
            <v>36.83</v>
          </cell>
          <cell r="N27">
            <v>1.268</v>
          </cell>
          <cell r="O27">
            <v>8.07</v>
          </cell>
          <cell r="P27">
            <v>0.67200000000000004</v>
          </cell>
          <cell r="Q27">
            <v>8.86</v>
          </cell>
          <cell r="R27">
            <v>0.69299999999999995</v>
          </cell>
          <cell r="S27">
            <v>13.93</v>
          </cell>
          <cell r="T27">
            <v>0.91900000000000004</v>
          </cell>
          <cell r="U27">
            <v>38.07</v>
          </cell>
          <cell r="V27">
            <v>1.393</v>
          </cell>
          <cell r="W27">
            <v>31.08</v>
          </cell>
          <cell r="X27">
            <v>1.3819999999999999</v>
          </cell>
        </row>
        <row r="28">
          <cell r="B28" t="str">
            <v>0752</v>
          </cell>
          <cell r="C28">
            <v>0.35299999999999998</v>
          </cell>
          <cell r="D28">
            <v>81.865000000000009</v>
          </cell>
          <cell r="E28">
            <v>83.534999999999997</v>
          </cell>
          <cell r="G28">
            <v>3.92</v>
          </cell>
          <cell r="H28">
            <v>0.46300000000000002</v>
          </cell>
          <cell r="I28">
            <v>11.5</v>
          </cell>
          <cell r="J28">
            <v>0.65700000000000003</v>
          </cell>
          <cell r="K28">
            <v>31.14</v>
          </cell>
          <cell r="L28">
            <v>0.90500000000000003</v>
          </cell>
          <cell r="M28">
            <v>49.82</v>
          </cell>
          <cell r="N28">
            <v>1.1830000000000001</v>
          </cell>
          <cell r="O28">
            <v>5.71</v>
          </cell>
          <cell r="P28">
            <v>0.56899999999999995</v>
          </cell>
          <cell r="Q28">
            <v>4.1399999999999997</v>
          </cell>
          <cell r="R28">
            <v>0.41199999999999998</v>
          </cell>
          <cell r="S28">
            <v>7.46</v>
          </cell>
          <cell r="T28">
            <v>0.53</v>
          </cell>
          <cell r="U28">
            <v>25.42</v>
          </cell>
          <cell r="V28">
            <v>0.83499999999999996</v>
          </cell>
          <cell r="W28">
            <v>57.28</v>
          </cell>
          <cell r="X28">
            <v>1.1120000000000001</v>
          </cell>
        </row>
        <row r="29">
          <cell r="B29" t="str">
            <v>0826</v>
          </cell>
          <cell r="C29">
            <v>0.46700000000000003</v>
          </cell>
          <cell r="D29">
            <v>69.33</v>
          </cell>
          <cell r="E29">
            <v>64.243000000000009</v>
          </cell>
          <cell r="G29">
            <v>9.41</v>
          </cell>
          <cell r="H29">
            <v>0.63</v>
          </cell>
          <cell r="I29">
            <v>18.09</v>
          </cell>
          <cell r="J29">
            <v>0.81299999999999994</v>
          </cell>
          <cell r="K29">
            <v>37.56</v>
          </cell>
          <cell r="L29">
            <v>1.07</v>
          </cell>
          <cell r="M29">
            <v>30.7</v>
          </cell>
          <cell r="N29">
            <v>1.175</v>
          </cell>
          <cell r="O29">
            <v>9.31</v>
          </cell>
          <cell r="P29">
            <v>0.76500000000000001</v>
          </cell>
          <cell r="Q29">
            <v>9.7799999999999994</v>
          </cell>
          <cell r="R29">
            <v>0.69899999999999995</v>
          </cell>
          <cell r="S29">
            <v>17.75</v>
          </cell>
          <cell r="T29">
            <v>1.35</v>
          </cell>
          <cell r="U29">
            <v>34.28</v>
          </cell>
          <cell r="V29">
            <v>1.093</v>
          </cell>
          <cell r="W29">
            <v>28.87</v>
          </cell>
          <cell r="X29">
            <v>1.1559999999999999</v>
          </cell>
        </row>
        <row r="30">
          <cell r="B30" t="str">
            <v>0840</v>
          </cell>
          <cell r="C30">
            <v>0.33400000000000002</v>
          </cell>
          <cell r="D30">
            <v>71.323999999999998</v>
          </cell>
          <cell r="E30">
            <v>71.74199999999999</v>
          </cell>
          <cell r="G30">
            <v>7.38</v>
          </cell>
          <cell r="H30">
            <v>0.60699999999999998</v>
          </cell>
          <cell r="I30">
            <v>20.97</v>
          </cell>
          <cell r="J30">
            <v>1.071</v>
          </cell>
          <cell r="K30">
            <v>39.29</v>
          </cell>
          <cell r="L30">
            <v>1.234</v>
          </cell>
          <cell r="M30">
            <v>30.8</v>
          </cell>
          <cell r="N30">
            <v>1.2310000000000001</v>
          </cell>
          <cell r="O30">
            <v>4.29</v>
          </cell>
          <cell r="P30">
            <v>0.53600000000000003</v>
          </cell>
          <cell r="Q30">
            <v>9.18</v>
          </cell>
          <cell r="R30">
            <v>0.69399999999999995</v>
          </cell>
          <cell r="S30">
            <v>16.04</v>
          </cell>
          <cell r="T30">
            <v>0.84299999999999997</v>
          </cell>
          <cell r="U30">
            <v>36.659999999999997</v>
          </cell>
          <cell r="V30">
            <v>1.252</v>
          </cell>
          <cell r="W30">
            <v>33.83</v>
          </cell>
          <cell r="X30">
            <v>1.347</v>
          </cell>
        </row>
      </sheetData>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Fig 5.1"/>
      <sheetName val="DataFig5.1"/>
      <sheetName val="Fig 5.2"/>
      <sheetName val="DataFig5.2"/>
      <sheetName val="Fig 5.3"/>
      <sheetName val="Data5.3"/>
      <sheetName val="Fig 5.4"/>
      <sheetName val="DataFig5.4"/>
      <sheetName val="Fig 5.5ab"/>
      <sheetName val="Data5.5a"/>
      <sheetName val="Data5.5b"/>
      <sheetName val="Fig 5.6"/>
      <sheetName val="Data Fig5.6"/>
      <sheetName val="Fig 5.7"/>
      <sheetName val="DataFig 5.7"/>
      <sheetName val="Fig 5.8"/>
      <sheetName val="DataFig 5.8"/>
      <sheetName val="Fig 5.9"/>
      <sheetName val="DataFig5.9"/>
      <sheetName val="Fig 5.10"/>
      <sheetName val="DataFig5.10"/>
      <sheetName val="Fig 5.11ab "/>
      <sheetName val="Data5.11a"/>
      <sheetName val="Data5.11b"/>
      <sheetName val="Fig 5.12"/>
      <sheetName val="DataFig 5.12"/>
      <sheetName val="Plan1"/>
      <sheetName val="Plan3"/>
      <sheetName val="Pla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row r="3">
          <cell r="B3">
            <v>-0.11</v>
          </cell>
          <cell r="C3">
            <v>512.65</v>
          </cell>
        </row>
        <row r="4">
          <cell r="B4">
            <v>-0.15</v>
          </cell>
          <cell r="C4">
            <v>494.65</v>
          </cell>
        </row>
        <row r="5">
          <cell r="B5">
            <v>-0.24</v>
          </cell>
          <cell r="C5">
            <v>492.39</v>
          </cell>
        </row>
        <row r="6">
          <cell r="B6">
            <v>-0.45</v>
          </cell>
          <cell r="C6">
            <v>472.64</v>
          </cell>
        </row>
        <row r="7">
          <cell r="B7">
            <v>0.2</v>
          </cell>
          <cell r="C7">
            <v>485.41</v>
          </cell>
        </row>
        <row r="8">
          <cell r="B8">
            <v>-0.28000000000000003</v>
          </cell>
          <cell r="C8">
            <v>520.12</v>
          </cell>
        </row>
        <row r="9">
          <cell r="B9">
            <v>-0.34</v>
          </cell>
          <cell r="C9">
            <v>467.55</v>
          </cell>
        </row>
        <row r="10">
          <cell r="B10">
            <v>-0.3</v>
          </cell>
          <cell r="C10">
            <v>464.54</v>
          </cell>
        </row>
        <row r="11">
          <cell r="B11">
            <v>-0.15</v>
          </cell>
          <cell r="C11">
            <v>488.45</v>
          </cell>
        </row>
        <row r="12">
          <cell r="B12">
            <v>0.2</v>
          </cell>
          <cell r="C12">
            <v>512.84</v>
          </cell>
        </row>
        <row r="13">
          <cell r="B13">
            <v>0.08</v>
          </cell>
          <cell r="C13">
            <v>469.2</v>
          </cell>
        </row>
        <row r="14">
          <cell r="B14">
            <v>-0.34</v>
          </cell>
          <cell r="C14">
            <v>518.5</v>
          </cell>
        </row>
        <row r="15">
          <cell r="B15">
            <v>0.06</v>
          </cell>
          <cell r="C15">
            <v>428.83</v>
          </cell>
        </row>
        <row r="16">
          <cell r="B16">
            <v>-0.1</v>
          </cell>
          <cell r="C16">
            <v>411.48</v>
          </cell>
        </row>
        <row r="17">
          <cell r="B17">
            <v>-0.26</v>
          </cell>
          <cell r="C17">
            <v>506.79</v>
          </cell>
        </row>
        <row r="18">
          <cell r="B18">
            <v>-0.23</v>
          </cell>
          <cell r="C18">
            <v>485.62</v>
          </cell>
        </row>
        <row r="19">
          <cell r="B19">
            <v>-0.23</v>
          </cell>
          <cell r="C19">
            <v>457.7</v>
          </cell>
        </row>
        <row r="20">
          <cell r="B20">
            <v>-0.11</v>
          </cell>
          <cell r="C20">
            <v>498.63</v>
          </cell>
        </row>
        <row r="21">
          <cell r="B21">
            <v>-0.2</v>
          </cell>
          <cell r="C21">
            <v>480.05</v>
          </cell>
        </row>
        <row r="22">
          <cell r="B22">
            <v>0.05</v>
          </cell>
          <cell r="C22">
            <v>489.68</v>
          </cell>
        </row>
        <row r="23">
          <cell r="B23">
            <v>-0.11</v>
          </cell>
          <cell r="C23">
            <v>319</v>
          </cell>
        </row>
        <row r="24">
          <cell r="B24">
            <v>0.11</v>
          </cell>
          <cell r="C24">
            <v>387.64</v>
          </cell>
        </row>
        <row r="25">
          <cell r="B25">
            <v>-0.21</v>
          </cell>
          <cell r="C25">
            <v>407</v>
          </cell>
        </row>
        <row r="26">
          <cell r="B26">
            <v>-0.1</v>
          </cell>
          <cell r="C26">
            <v>396</v>
          </cell>
        </row>
        <row r="27">
          <cell r="B27">
            <v>-0.39</v>
          </cell>
          <cell r="C27">
            <v>518</v>
          </cell>
        </row>
        <row r="28">
          <cell r="B28">
            <v>-0.17</v>
          </cell>
          <cell r="C28">
            <v>444</v>
          </cell>
        </row>
        <row r="29">
          <cell r="B29">
            <v>0.36</v>
          </cell>
          <cell r="C29">
            <v>431.92</v>
          </cell>
        </row>
        <row r="30">
          <cell r="B30">
            <v>0.08</v>
          </cell>
          <cell r="C30">
            <v>468.45</v>
          </cell>
        </row>
        <row r="31">
          <cell r="B31">
            <v>0.17</v>
          </cell>
          <cell r="C31">
            <v>348</v>
          </cell>
        </row>
        <row r="32">
          <cell r="B32">
            <v>0.37</v>
          </cell>
          <cell r="C32">
            <v>442.83</v>
          </cell>
        </row>
        <row r="33">
          <cell r="B33">
            <v>-0.2</v>
          </cell>
          <cell r="C33">
            <v>406</v>
          </cell>
        </row>
        <row r="34">
          <cell r="B34">
            <v>0.13</v>
          </cell>
          <cell r="C34">
            <v>517</v>
          </cell>
        </row>
      </sheetData>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oe.cd/disclaimer" TargetMode="External"/><Relationship Id="rId1" Type="http://schemas.openxmlformats.org/officeDocument/2006/relationships/hyperlink" Target="https://doi.org/10.1787/b5fd1b8f-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48"/>
  <sheetViews>
    <sheetView showGridLines="0" tabSelected="1" zoomScaleNormal="100" workbookViewId="0"/>
  </sheetViews>
  <sheetFormatPr defaultColWidth="9.109375" defaultRowHeight="13.2" x14ac:dyDescent="0.25"/>
  <cols>
    <col min="1" max="1" width="36.5546875" style="4" customWidth="1"/>
    <col min="2" max="2" width="9.109375" style="4"/>
    <col min="4" max="16384" width="9.109375" style="4"/>
  </cols>
  <sheetData>
    <row r="1" spans="1:14" s="240" customFormat="1" x14ac:dyDescent="0.25">
      <c r="A1" s="241" t="s">
        <v>305</v>
      </c>
    </row>
    <row r="2" spans="1:14" s="240" customFormat="1" x14ac:dyDescent="0.25">
      <c r="A2" s="240" t="s">
        <v>306</v>
      </c>
      <c r="B2" s="240" t="s">
        <v>307</v>
      </c>
    </row>
    <row r="3" spans="1:14" s="240" customFormat="1" x14ac:dyDescent="0.25">
      <c r="A3" s="240" t="s">
        <v>308</v>
      </c>
    </row>
    <row r="4" spans="1:14" s="240" customFormat="1" x14ac:dyDescent="0.25">
      <c r="A4" s="241" t="s">
        <v>309</v>
      </c>
    </row>
    <row r="5" spans="1:14" s="240" customFormat="1" x14ac:dyDescent="0.25"/>
    <row r="6" spans="1:14" x14ac:dyDescent="0.25">
      <c r="A6" s="4" t="s">
        <v>0</v>
      </c>
      <c r="B6" s="51" t="s">
        <v>1</v>
      </c>
    </row>
    <row r="8" spans="1:14" x14ac:dyDescent="0.25">
      <c r="A8" s="51" t="s">
        <v>2</v>
      </c>
      <c r="B8" s="51" t="s">
        <v>3</v>
      </c>
      <c r="N8" s="87"/>
    </row>
    <row r="9" spans="1:14" x14ac:dyDescent="0.25">
      <c r="A9" s="60" t="s">
        <v>4</v>
      </c>
      <c r="N9" s="88"/>
    </row>
    <row r="10" spans="1:14" x14ac:dyDescent="0.25">
      <c r="N10" s="88"/>
    </row>
    <row r="11" spans="1:14" x14ac:dyDescent="0.25">
      <c r="A11" s="84" t="str">
        <f>'Table II.B1.5.1'!A6</f>
        <v>Table II.B1.5.1</v>
      </c>
      <c r="B11" s="4" t="str">
        <f>'Table II.B1.5.1'!$A$7</f>
        <v>Variation in class size, by school characteristics</v>
      </c>
    </row>
    <row r="12" spans="1:14" x14ac:dyDescent="0.25">
      <c r="A12" s="84" t="str">
        <f>'Table II.B1.5.2'!A6</f>
        <v>Table II.B1.5.2</v>
      </c>
      <c r="B12" s="4" t="str">
        <f>'Table II.B1.5.2'!$A$7</f>
        <v>Student-teacher ratio, by school characteristics</v>
      </c>
    </row>
    <row r="13" spans="1:14" x14ac:dyDescent="0.25">
      <c r="A13" s="84" t="str">
        <f>'Table II.B1.5.3'!A6</f>
        <v>Table II.B1.5.3</v>
      </c>
      <c r="B13" s="4" t="str">
        <f>'Table II.B1.5.3'!$A$7</f>
        <v>Fully certified teachers, by school characteristics</v>
      </c>
    </row>
    <row r="14" spans="1:14" x14ac:dyDescent="0.25">
      <c r="A14" s="84" t="str">
        <f>'Table II.B1.5.4'!A6</f>
        <v>Table II.B1.5.4</v>
      </c>
      <c r="B14" s="4" t="str">
        <f>'Table II.B1.5.4'!$A$7</f>
        <v>Teachers with at least a master's degree, by school characteristics</v>
      </c>
    </row>
    <row r="15" spans="1:14" x14ac:dyDescent="0.25">
      <c r="A15" s="84" t="str">
        <f>'Table II.B1.5.5'!A6</f>
        <v>Table II.B1.5.5</v>
      </c>
      <c r="B15" s="4" t="str">
        <f>'Table II.B1.5.5'!$A$7</f>
        <v>Novice teachers, by school characteristics</v>
      </c>
    </row>
    <row r="16" spans="1:14" x14ac:dyDescent="0.25">
      <c r="A16" s="84" t="str">
        <f>'Table II.B1.5.6'!A6</f>
        <v>Table II.B1.5.6</v>
      </c>
      <c r="B16" s="4" t="str">
        <f>'Table II.B1.5.6'!$A$7</f>
        <v>Teachers and professional development activities, by school characteristics</v>
      </c>
    </row>
    <row r="17" spans="1:14" x14ac:dyDescent="0.25">
      <c r="A17" s="84" t="str">
        <f>'Table II.B1.5.7'!A6</f>
        <v>Table II.B1.5.7</v>
      </c>
      <c r="B17" s="4" t="str">
        <f>'Table II.B1.5.7'!$A$7</f>
        <v>Teacher absenteeism, by school characteristics</v>
      </c>
    </row>
    <row r="18" spans="1:14" x14ac:dyDescent="0.25">
      <c r="A18" s="84" t="str">
        <f>'Table II.B1.5.8'!A6</f>
        <v>Table II.B1.5.8</v>
      </c>
      <c r="B18" s="4" t="str">
        <f>'Table II.B1.5.8'!$A$7</f>
        <v>Teachers' satisfaction with their current job environment, by school characteristics</v>
      </c>
    </row>
    <row r="19" spans="1:14" x14ac:dyDescent="0.25">
      <c r="A19" s="84" t="str">
        <f>'Table II.B1.5.9'!A6</f>
        <v>Table II.B1.5.9</v>
      </c>
      <c r="B19" s="4" t="str">
        <f>'Table II.B1.5.9'!$A$7</f>
        <v>Teachers' satisfaction with teaching profession, by school characteristics</v>
      </c>
    </row>
    <row r="20" spans="1:14" x14ac:dyDescent="0.25">
      <c r="A20" s="84" t="str">
        <f>'Table II.B1.5.10'!A6</f>
        <v>Table II.B1.5.10</v>
      </c>
      <c r="B20" s="4" t="str">
        <f>'Table II.B1.5.10'!$A$7</f>
        <v>Teachers' self-efficacy in maintaining positive relations with students, by school characteristics</v>
      </c>
    </row>
    <row r="21" spans="1:14" x14ac:dyDescent="0.25">
      <c r="A21" s="84" t="str">
        <f>'Table II.B1.5.11'!A6</f>
        <v>Table II.B1.5.11</v>
      </c>
      <c r="B21" s="4" t="str">
        <f>'Table II.B1.5.11'!$A$7</f>
        <v>Teachers' self-efficacy in classroom management, by school characteristics</v>
      </c>
    </row>
    <row r="22" spans="1:14" x14ac:dyDescent="0.25">
      <c r="A22" s="84" t="str">
        <f>'Table II.B1.5.12'!A6</f>
        <v>Table II.B1.5.12</v>
      </c>
      <c r="B22" s="4" t="str">
        <f>'Table II.B1.5.12'!$A$7</f>
        <v>Teachers' self-efficacy in instructional settings, by school characteristics</v>
      </c>
    </row>
    <row r="23" spans="1:14" x14ac:dyDescent="0.25">
      <c r="A23" s="84" t="str">
        <f>'Table II.B1.5.13'!A6</f>
        <v>Table II.B1.5.13</v>
      </c>
      <c r="B23" s="4" t="str">
        <f>'Table II.B1.5.13'!$A$7</f>
        <v>Variation in principals' views on staff shortage, by school characteristics</v>
      </c>
      <c r="N23" s="88"/>
    </row>
    <row r="24" spans="1:14" x14ac:dyDescent="0.25">
      <c r="A24" s="84" t="str">
        <f>'Table II.B1.5.14'!A6</f>
        <v>Table II.B1.5.14</v>
      </c>
      <c r="B24" s="4" t="str">
        <f>'Table II.B1.5.14'!$A$7</f>
        <v>Variation in principals' views on material shortage, by school characteristics</v>
      </c>
      <c r="N24" s="88"/>
    </row>
    <row r="25" spans="1:14" x14ac:dyDescent="0.25">
      <c r="A25" s="84" t="str">
        <f>'Table II.B1.5.15'!A6</f>
        <v>Table II.B1.5.15</v>
      </c>
      <c r="B25" s="4" t="str">
        <f>'Table II.B1.5.15'!$A$7</f>
        <v>Principals' views on lack of educational material, by school characteristics</v>
      </c>
    </row>
    <row r="26" spans="1:14" x14ac:dyDescent="0.25">
      <c r="A26" s="84" t="str">
        <f>'Table II.B1.5.16'!A6</f>
        <v>Table II.B1.5.16</v>
      </c>
      <c r="B26" s="4" t="str">
        <f>'Table II.B1.5.16'!$A$7</f>
        <v>Principals' views on lack of teaching staff, by school characteristics</v>
      </c>
    </row>
    <row r="27" spans="1:14" x14ac:dyDescent="0.25">
      <c r="A27" s="84" t="str">
        <f>'Table II.B1.5.17'!A6</f>
        <v>Table II.B1.5.17</v>
      </c>
      <c r="B27" s="4" t="str">
        <f>'Table II.B1.5.17'!$A$7</f>
        <v>Principals' negative views on educational material, by school characteristics</v>
      </c>
    </row>
    <row r="28" spans="1:14" x14ac:dyDescent="0.25">
      <c r="A28" s="84" t="str">
        <f>'Table II.B1.5.18'!A6</f>
        <v>Table II.B1.5.18</v>
      </c>
      <c r="B28" s="4" t="str">
        <f>'Table II.B1.5.18'!$A$7</f>
        <v>Principals' views on lack of physical infrastructure, by school characteristics</v>
      </c>
    </row>
    <row r="29" spans="1:14" x14ac:dyDescent="0.25">
      <c r="A29" s="84" t="str">
        <f>'Table II.B1.5.19'!A6</f>
        <v>Table II.B1.5.19</v>
      </c>
      <c r="B29" s="4" t="str">
        <f>'Table II.B1.5.19'!$A$7</f>
        <v>Principals' negative views on teaching staff, by school characteristics</v>
      </c>
    </row>
    <row r="30" spans="1:14" x14ac:dyDescent="0.25">
      <c r="A30" s="84" t="str">
        <f>'Table II.B1.5.20'!A6</f>
        <v>Table II.B1.5.20</v>
      </c>
      <c r="B30" s="4" t="str">
        <f>'Table II.B1.5.20'!$A$7</f>
        <v>Principals' views on lack of assisting staff, by school characteristics</v>
      </c>
    </row>
    <row r="31" spans="1:14" x14ac:dyDescent="0.25">
      <c r="A31" s="84" t="str">
        <f>'Table II.B1.5.21'!A6</f>
        <v>Table II.B1.5.21</v>
      </c>
      <c r="B31" s="4" t="str">
        <f>'Table II.B1.5.21'!$A$7</f>
        <v>Principals' negative views on assisting staff, by school characteristics</v>
      </c>
    </row>
    <row r="32" spans="1:14" x14ac:dyDescent="0.25">
      <c r="A32" s="84" t="str">
        <f>'Table II.B1.5.22'!A6</f>
        <v>Table II.B1.5.22</v>
      </c>
      <c r="B32" s="4" t="str">
        <f>'Table II.B1.5.22'!$A$7</f>
        <v>Principals' negative views on physical infrastructure, by school characteristics</v>
      </c>
    </row>
    <row r="33" spans="1:15" x14ac:dyDescent="0.25">
      <c r="A33" s="84" t="str">
        <f>'Table II.B1.5.23'!A6</f>
        <v>Table II.B1.5.23</v>
      </c>
      <c r="B33" s="4" t="str">
        <f>'Table II.B1.5.23'!$A$7</f>
        <v>Teachers not being well prepared for classes, by school characteristics</v>
      </c>
    </row>
    <row r="34" spans="1:15" x14ac:dyDescent="0.25">
      <c r="A34" s="84" t="str">
        <f>'Table II.B1.5.24'!A6</f>
        <v>Table II.B1.5.24</v>
      </c>
      <c r="B34" s="4" t="str">
        <f>'Table II.B1.5.24'!$A$7</f>
        <v>Teacher training, by school characteristics</v>
      </c>
    </row>
    <row r="35" spans="1:15" x14ac:dyDescent="0.25">
      <c r="A35" s="84" t="str">
        <f>'Table II.B1.5.25'!A6</f>
        <v>Table II.B1.5.25</v>
      </c>
      <c r="B35" s="4" t="str">
        <f>'Table II.B1.5.25'!$A$7</f>
        <v>Teachers who participated in selected professional development activities, by school characteristics</v>
      </c>
    </row>
    <row r="39" spans="1:15" x14ac:dyDescent="0.25">
      <c r="A39" s="51" t="s">
        <v>280</v>
      </c>
    </row>
    <row r="40" spans="1:15" x14ac:dyDescent="0.25">
      <c r="A40" s="4" t="s">
        <v>281</v>
      </c>
      <c r="N40" s="88"/>
      <c r="O40" s="89"/>
    </row>
    <row r="41" spans="1:15" x14ac:dyDescent="0.25">
      <c r="A41" s="4" t="s">
        <v>282</v>
      </c>
    </row>
    <row r="42" spans="1:15" x14ac:dyDescent="0.25">
      <c r="A42" s="4" t="s">
        <v>283</v>
      </c>
    </row>
    <row r="44" spans="1:15" x14ac:dyDescent="0.25">
      <c r="A44" s="51" t="s">
        <v>284</v>
      </c>
    </row>
    <row r="45" spans="1:15" x14ac:dyDescent="0.25">
      <c r="A45" s="4" t="s">
        <v>236</v>
      </c>
      <c r="B45" s="4" t="s">
        <v>285</v>
      </c>
    </row>
    <row r="47" spans="1:15" x14ac:dyDescent="0.25">
      <c r="A47" s="51" t="s">
        <v>287</v>
      </c>
    </row>
    <row r="48" spans="1:15" x14ac:dyDescent="0.25">
      <c r="A48" s="4" t="s">
        <v>286</v>
      </c>
    </row>
  </sheetData>
  <hyperlinks>
    <hyperlink ref="A11" location="'Table II.B1.5.1'!A1" display="'Table II.B1.5.1'!A1"/>
    <hyperlink ref="A23" location="'Table II.B1.5.13'!A1" display="'Table II.B1.5.13'!A1"/>
    <hyperlink ref="A24" location="'Table II.B1.5.14'!A1" display="'Table II.B1.5.14'!A1"/>
    <hyperlink ref="A26" location="'Table II.B1.5.16'!A1" display="'Table II.B1.5.16'!A1"/>
    <hyperlink ref="A29" location="'Table II.B1.5.19'!A1" display="'Table II.B1.5.19'!A1"/>
    <hyperlink ref="A30" location="'Table II.B1.5.20'!A1" display="'Table II.B1.5.20'!A1"/>
    <hyperlink ref="A31" location="'Table II.B1.5.21'!A1" display="'Table II.B1.5.21'!A1"/>
    <hyperlink ref="A25" location="'Table II.B1.5.15'!A1" display="'Table II.B1.5.15'!A1"/>
    <hyperlink ref="A27" location="'Table II.B1.5.17'!A1" display="'Table II.B1.5.17'!A1"/>
    <hyperlink ref="A28" location="'Table II.B1.5.18'!A1" display="'Table II.B1.5.18'!A1"/>
    <hyperlink ref="A32" location="'Table II.B1.5.22'!A1" display="'Table II.B1.5.22'!A1"/>
    <hyperlink ref="A17" location="'Table II.B1.5.7'!A1" display="'Table II.B1.5.7'!A1"/>
    <hyperlink ref="A33" location="'Table II.B1.5.23'!A1" display="'Table II.B1.5.23'!A1"/>
    <hyperlink ref="A15" location="'Table II.B1.5.5'!A1" display="'Table II.B1.5.5'!A1"/>
    <hyperlink ref="A34" location="'Table II.B1.5.24'!A1" display="'Table II.B1.5.24'!A1"/>
    <hyperlink ref="A14" location="'Table II.B1.5.4'!A1" display="'Table II.B1.5.4'!A1"/>
    <hyperlink ref="A13" location="'Table II.B1.5.3'!A1" display="'Table II.B1.5.3'!A1"/>
    <hyperlink ref="A16" location="'Table II.B1.5.6'!A1" display="'Table II.B1.5.6'!A1"/>
    <hyperlink ref="A18" location="'Table II.B1.5.8'!A1" display="'Table II.B1.5.8'!A1"/>
    <hyperlink ref="A19" location="'Table II.B1.5.9'!A1" display="'Table II.B1.5.9'!A1"/>
    <hyperlink ref="A20" location="'Table II.B1.5.10'!A1" display="'Table II.B1.5.10'!A1"/>
    <hyperlink ref="A21" location="'Table II.B1.5.11'!A1" display="'Table II.B1.5.11'!A1"/>
    <hyperlink ref="A22" location="'Table II.B1.5.12'!A1" display="'Table II.B1.5.12'!A1"/>
    <hyperlink ref="A12" location="'Table II.B1.5.2'!A1" display="'Table II.B1.5.2'!A1"/>
    <hyperlink ref="A35" location="'Table II.B1.5.25'!A1" display="'Table II.B1.5.25'!A1"/>
    <hyperlink ref="A1" r:id="rId1" display="https://doi.org/10.1787/b5fd1b8f-en"/>
    <hyperlink ref="A4" r:id="rId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F111"/>
  <sheetViews>
    <sheetView showGridLines="0" zoomScale="80" zoomScaleNormal="80" workbookViewId="0"/>
  </sheetViews>
  <sheetFormatPr defaultColWidth="9.109375" defaultRowHeight="13.2" x14ac:dyDescent="0.25"/>
  <cols>
    <col min="1" max="1" width="25.33203125" style="4" customWidth="1"/>
    <col min="2" max="3" width="12.6640625" style="4" customWidth="1"/>
    <col min="4" max="5" width="8.6640625" style="4" customWidth="1"/>
    <col min="6" max="31" width="8.88671875" style="4" customWidth="1"/>
    <col min="32"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5</v>
      </c>
      <c r="B6" s="2"/>
      <c r="C6" s="3"/>
      <c r="D6" s="2"/>
      <c r="E6" s="3"/>
      <c r="F6" s="3"/>
      <c r="G6" s="3"/>
      <c r="H6" s="3"/>
      <c r="I6" s="3"/>
      <c r="J6" s="3"/>
      <c r="K6" s="3"/>
      <c r="L6" s="3"/>
      <c r="M6" s="85"/>
      <c r="N6" s="3"/>
      <c r="O6" s="2"/>
      <c r="P6" s="3"/>
      <c r="Q6" s="2"/>
      <c r="R6" s="3"/>
      <c r="S6" s="2"/>
      <c r="T6" s="2"/>
      <c r="U6" s="2"/>
    </row>
    <row r="7" spans="1:32" x14ac:dyDescent="0.25">
      <c r="A7" s="5" t="s">
        <v>288</v>
      </c>
      <c r="M7" s="86"/>
    </row>
    <row r="8" spans="1:32" x14ac:dyDescent="0.25">
      <c r="A8" s="6" t="s">
        <v>6</v>
      </c>
      <c r="M8" s="86"/>
    </row>
    <row r="9" spans="1:32" x14ac:dyDescent="0.25">
      <c r="A9" s="59"/>
      <c r="M9" s="86"/>
    </row>
    <row r="10" spans="1:32" ht="13.8" thickBot="1" x14ac:dyDescent="0.3">
      <c r="A10" s="7"/>
      <c r="B10" s="8"/>
      <c r="C10" s="9"/>
      <c r="D10" s="8"/>
      <c r="E10" s="9"/>
      <c r="F10" s="9"/>
      <c r="G10" s="9"/>
      <c r="H10" s="9"/>
      <c r="I10" s="9"/>
      <c r="J10" s="9"/>
      <c r="K10" s="9"/>
      <c r="L10" s="9"/>
      <c r="M10" s="9"/>
    </row>
    <row r="11" spans="1:32" ht="25.5" customHeight="1" x14ac:dyDescent="0.25">
      <c r="A11" s="28"/>
      <c r="B11" s="211" t="s">
        <v>7</v>
      </c>
      <c r="C11" s="212"/>
      <c r="D11" s="212"/>
      <c r="E11" s="212"/>
      <c r="F11" s="212"/>
      <c r="G11" s="212"/>
      <c r="H11" s="212"/>
      <c r="I11" s="212"/>
      <c r="J11" s="212"/>
      <c r="K11" s="212"/>
      <c r="L11" s="29"/>
      <c r="M11" s="30"/>
      <c r="N11" s="201" t="s">
        <v>8</v>
      </c>
      <c r="O11" s="202"/>
      <c r="P11" s="202"/>
      <c r="Q11" s="202"/>
      <c r="R11" s="202"/>
      <c r="S11" s="202"/>
      <c r="T11" s="202"/>
      <c r="U11" s="202"/>
      <c r="V11" s="202"/>
      <c r="W11" s="213"/>
      <c r="X11" s="201" t="s">
        <v>9</v>
      </c>
      <c r="Y11" s="202"/>
      <c r="Z11" s="202"/>
      <c r="AA11" s="202"/>
      <c r="AB11" s="202"/>
      <c r="AC11" s="202"/>
      <c r="AD11" s="202"/>
      <c r="AE11" s="203"/>
    </row>
    <row r="12" spans="1:32" ht="40.5" customHeight="1" x14ac:dyDescent="0.25">
      <c r="A12" s="31"/>
      <c r="B12" s="215" t="s">
        <v>10</v>
      </c>
      <c r="C12" s="217" t="s">
        <v>11</v>
      </c>
      <c r="D12" s="218" t="s">
        <v>12</v>
      </c>
      <c r="E12" s="219"/>
      <c r="F12" s="220" t="s">
        <v>13</v>
      </c>
      <c r="G12" s="221"/>
      <c r="H12" s="221"/>
      <c r="I12" s="221"/>
      <c r="J12" s="221"/>
      <c r="K12" s="222"/>
      <c r="L12" s="226" t="s">
        <v>14</v>
      </c>
      <c r="M12" s="227"/>
      <c r="N12" s="204"/>
      <c r="O12" s="205"/>
      <c r="P12" s="205"/>
      <c r="Q12" s="205"/>
      <c r="R12" s="205"/>
      <c r="S12" s="205"/>
      <c r="T12" s="205"/>
      <c r="U12" s="205"/>
      <c r="V12" s="205"/>
      <c r="W12" s="214"/>
      <c r="X12" s="204"/>
      <c r="Y12" s="205"/>
      <c r="Z12" s="205"/>
      <c r="AA12" s="205"/>
      <c r="AB12" s="205"/>
      <c r="AC12" s="205"/>
      <c r="AD12" s="205"/>
      <c r="AE12" s="206"/>
    </row>
    <row r="13" spans="1:32" ht="50.25" customHeight="1" x14ac:dyDescent="0.25">
      <c r="A13" s="32"/>
      <c r="B13" s="216"/>
      <c r="C13" s="205"/>
      <c r="D13" s="204"/>
      <c r="E13" s="214"/>
      <c r="F13" s="223"/>
      <c r="G13" s="224"/>
      <c r="H13" s="224"/>
      <c r="I13" s="224"/>
      <c r="J13" s="224"/>
      <c r="K13" s="225"/>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 customHeight="1" x14ac:dyDescent="0.25">
      <c r="A14" s="33"/>
      <c r="B14" s="56" t="s">
        <v>25</v>
      </c>
      <c r="C14" s="35" t="s">
        <v>26</v>
      </c>
      <c r="D14" s="36" t="s">
        <v>27</v>
      </c>
      <c r="E14" s="36" t="s">
        <v>28</v>
      </c>
      <c r="F14" s="37" t="s">
        <v>29</v>
      </c>
      <c r="G14" s="36" t="s">
        <v>28</v>
      </c>
      <c r="H14" s="38" t="s">
        <v>30</v>
      </c>
      <c r="I14" s="39" t="s">
        <v>28</v>
      </c>
      <c r="J14" s="40" t="s">
        <v>31</v>
      </c>
      <c r="K14" s="35" t="s">
        <v>28</v>
      </c>
      <c r="L14" s="41" t="s">
        <v>32</v>
      </c>
      <c r="M14" s="42" t="s">
        <v>28</v>
      </c>
      <c r="N14" s="34" t="s">
        <v>27</v>
      </c>
      <c r="O14" s="43" t="s">
        <v>28</v>
      </c>
      <c r="P14" s="44" t="s">
        <v>27</v>
      </c>
      <c r="Q14" s="39" t="s">
        <v>28</v>
      </c>
      <c r="R14" s="36" t="s">
        <v>27</v>
      </c>
      <c r="S14" s="43" t="s">
        <v>28</v>
      </c>
      <c r="T14" s="44" t="s">
        <v>27</v>
      </c>
      <c r="U14" s="39" t="s">
        <v>28</v>
      </c>
      <c r="V14" s="36" t="s">
        <v>33</v>
      </c>
      <c r="W14" s="35" t="s">
        <v>28</v>
      </c>
      <c r="X14" s="34" t="s">
        <v>27</v>
      </c>
      <c r="Y14" s="36" t="s">
        <v>28</v>
      </c>
      <c r="Z14" s="44" t="s">
        <v>27</v>
      </c>
      <c r="AA14" s="39" t="s">
        <v>28</v>
      </c>
      <c r="AB14" s="44" t="s">
        <v>27</v>
      </c>
      <c r="AC14" s="45" t="s">
        <v>28</v>
      </c>
      <c r="AD14" s="36" t="s">
        <v>33</v>
      </c>
      <c r="AE14" s="46" t="s">
        <v>28</v>
      </c>
    </row>
    <row r="15" spans="1:32" s="75" customFormat="1" ht="13.5" customHeight="1" x14ac:dyDescent="0.25">
      <c r="A15" s="179" t="s">
        <v>278</v>
      </c>
      <c r="B15" s="61"/>
      <c r="C15" s="62"/>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202</v>
      </c>
      <c r="B16" s="95">
        <v>682</v>
      </c>
      <c r="C16" s="96">
        <v>89.932746887207031</v>
      </c>
      <c r="D16" s="97">
        <v>24.737922607848891</v>
      </c>
      <c r="E16" s="98">
        <v>0.13100151529469745</v>
      </c>
      <c r="F16" s="99">
        <v>23</v>
      </c>
      <c r="G16" s="98" t="s">
        <v>35</v>
      </c>
      <c r="H16" s="100">
        <v>23</v>
      </c>
      <c r="I16" s="101" t="s">
        <v>35</v>
      </c>
      <c r="J16" s="97">
        <v>28</v>
      </c>
      <c r="K16" s="102" t="s">
        <v>35</v>
      </c>
      <c r="L16" s="97">
        <v>5</v>
      </c>
      <c r="M16" s="102" t="s">
        <v>35</v>
      </c>
      <c r="N16" s="99">
        <v>24.17474539179242</v>
      </c>
      <c r="O16" s="98">
        <v>0.28862537189245946</v>
      </c>
      <c r="P16" s="100">
        <v>24.896905541554521</v>
      </c>
      <c r="Q16" s="101">
        <v>0.29449085053539598</v>
      </c>
      <c r="R16" s="97">
        <v>25.220016808787399</v>
      </c>
      <c r="S16" s="98">
        <v>0.27490218390228854</v>
      </c>
      <c r="T16" s="100">
        <v>24.69132287340652</v>
      </c>
      <c r="U16" s="101">
        <v>0.3462554649949755</v>
      </c>
      <c r="V16" s="97">
        <v>0.516577481614096</v>
      </c>
      <c r="W16" s="102">
        <v>0.42794395120207213</v>
      </c>
      <c r="X16" s="99">
        <v>25.006430754760121</v>
      </c>
      <c r="Y16" s="98">
        <v>0.15371508122829083</v>
      </c>
      <c r="Z16" s="100">
        <v>24.99894089720933</v>
      </c>
      <c r="AA16" s="101">
        <v>0.29603444953983271</v>
      </c>
      <c r="AB16" s="100">
        <v>23.320566895392432</v>
      </c>
      <c r="AC16" s="103">
        <v>0.3527668257810449</v>
      </c>
      <c r="AD16" s="97">
        <v>-0.6546723939819401</v>
      </c>
      <c r="AE16" s="104">
        <v>0.29855771211314586</v>
      </c>
    </row>
    <row r="17" spans="1:32" s="105" customFormat="1" x14ac:dyDescent="0.25">
      <c r="A17" s="94" t="s">
        <v>203</v>
      </c>
      <c r="B17" s="95">
        <v>291</v>
      </c>
      <c r="C17" s="96" t="s">
        <v>34</v>
      </c>
      <c r="D17" s="97">
        <v>22.751293637015621</v>
      </c>
      <c r="E17" s="98">
        <v>0.26102819527367171</v>
      </c>
      <c r="F17" s="99">
        <v>18</v>
      </c>
      <c r="G17" s="98" t="s">
        <v>35</v>
      </c>
      <c r="H17" s="100">
        <v>23</v>
      </c>
      <c r="I17" s="101" t="s">
        <v>35</v>
      </c>
      <c r="J17" s="97">
        <v>28</v>
      </c>
      <c r="K17" s="102" t="s">
        <v>35</v>
      </c>
      <c r="L17" s="97">
        <v>10</v>
      </c>
      <c r="M17" s="102" t="s">
        <v>35</v>
      </c>
      <c r="N17" s="99" t="s">
        <v>34</v>
      </c>
      <c r="O17" s="98" t="s">
        <v>34</v>
      </c>
      <c r="P17" s="100" t="s">
        <v>34</v>
      </c>
      <c r="Q17" s="101" t="s">
        <v>34</v>
      </c>
      <c r="R17" s="97" t="s">
        <v>34</v>
      </c>
      <c r="S17" s="98" t="s">
        <v>34</v>
      </c>
      <c r="T17" s="100" t="s">
        <v>34</v>
      </c>
      <c r="U17" s="101" t="s">
        <v>34</v>
      </c>
      <c r="V17" s="97" t="s">
        <v>34</v>
      </c>
      <c r="W17" s="102" t="s">
        <v>34</v>
      </c>
      <c r="X17" s="99" t="s">
        <v>34</v>
      </c>
      <c r="Y17" s="98" t="s">
        <v>34</v>
      </c>
      <c r="Z17" s="100" t="s">
        <v>34</v>
      </c>
      <c r="AA17" s="101" t="s">
        <v>34</v>
      </c>
      <c r="AB17" s="100" t="s">
        <v>34</v>
      </c>
      <c r="AC17" s="103" t="s">
        <v>34</v>
      </c>
      <c r="AD17" s="97" t="s">
        <v>34</v>
      </c>
      <c r="AE17" s="104" t="s">
        <v>34</v>
      </c>
    </row>
    <row r="18" spans="1:32" s="105" customFormat="1" x14ac:dyDescent="0.25">
      <c r="A18" s="94" t="s">
        <v>204</v>
      </c>
      <c r="B18" s="95">
        <v>256</v>
      </c>
      <c r="C18" s="96">
        <v>92.785469055175781</v>
      </c>
      <c r="D18" s="97">
        <v>19.967083366869542</v>
      </c>
      <c r="E18" s="98">
        <v>0.17813591060081216</v>
      </c>
      <c r="F18" s="99">
        <v>13</v>
      </c>
      <c r="G18" s="98">
        <v>5</v>
      </c>
      <c r="H18" s="100">
        <v>18</v>
      </c>
      <c r="I18" s="101" t="s">
        <v>35</v>
      </c>
      <c r="J18" s="97">
        <v>23</v>
      </c>
      <c r="K18" s="102" t="s">
        <v>35</v>
      </c>
      <c r="L18" s="97">
        <v>10</v>
      </c>
      <c r="M18" s="102">
        <v>5</v>
      </c>
      <c r="N18" s="99">
        <v>18.475903862977589</v>
      </c>
      <c r="O18" s="98">
        <v>0.45209576382616878</v>
      </c>
      <c r="P18" s="100">
        <v>18.536819373998661</v>
      </c>
      <c r="Q18" s="101">
        <v>0.52940102094673047</v>
      </c>
      <c r="R18" s="97">
        <v>20.752512639733158</v>
      </c>
      <c r="S18" s="98">
        <v>0.4396138183138163</v>
      </c>
      <c r="T18" s="100">
        <v>22.065083781941421</v>
      </c>
      <c r="U18" s="101">
        <v>0.30591898660871353</v>
      </c>
      <c r="V18" s="97">
        <v>3.5891799189638358</v>
      </c>
      <c r="W18" s="102">
        <v>0.53631381075450324</v>
      </c>
      <c r="X18" s="99" t="s">
        <v>34</v>
      </c>
      <c r="Y18" s="98" t="s">
        <v>34</v>
      </c>
      <c r="Z18" s="100" t="s">
        <v>34</v>
      </c>
      <c r="AA18" s="101" t="s">
        <v>34</v>
      </c>
      <c r="AB18" s="100" t="s">
        <v>34</v>
      </c>
      <c r="AC18" s="103" t="s">
        <v>34</v>
      </c>
      <c r="AD18" s="97" t="s">
        <v>34</v>
      </c>
      <c r="AE18" s="104" t="s">
        <v>34</v>
      </c>
    </row>
    <row r="19" spans="1:32" s="105" customFormat="1" x14ac:dyDescent="0.25">
      <c r="A19" s="94" t="s">
        <v>205</v>
      </c>
      <c r="B19" s="95">
        <v>768</v>
      </c>
      <c r="C19" s="96">
        <v>96.375160217285156</v>
      </c>
      <c r="D19" s="97">
        <v>27.29000257883299</v>
      </c>
      <c r="E19" s="98">
        <v>0.17613190686762906</v>
      </c>
      <c r="F19" s="99">
        <v>23</v>
      </c>
      <c r="G19" s="98" t="s">
        <v>35</v>
      </c>
      <c r="H19" s="100">
        <v>28</v>
      </c>
      <c r="I19" s="101" t="s">
        <v>35</v>
      </c>
      <c r="J19" s="97">
        <v>33</v>
      </c>
      <c r="K19" s="102" t="s">
        <v>35</v>
      </c>
      <c r="L19" s="97">
        <v>10</v>
      </c>
      <c r="M19" s="102" t="s">
        <v>35</v>
      </c>
      <c r="N19" s="99">
        <v>27.011711856631301</v>
      </c>
      <c r="O19" s="98">
        <v>0.47013381881837391</v>
      </c>
      <c r="P19" s="100">
        <v>26.473643209599469</v>
      </c>
      <c r="Q19" s="101">
        <v>0.39420005505163153</v>
      </c>
      <c r="R19" s="97">
        <v>27.714320111784751</v>
      </c>
      <c r="S19" s="98">
        <v>0.41743124074651339</v>
      </c>
      <c r="T19" s="100">
        <v>28.03909106431691</v>
      </c>
      <c r="U19" s="101">
        <v>0.35532432193070534</v>
      </c>
      <c r="V19" s="97">
        <v>1.0273792076856161</v>
      </c>
      <c r="W19" s="102">
        <v>0.61082676477874409</v>
      </c>
      <c r="X19" s="99">
        <v>27.309250013822961</v>
      </c>
      <c r="Y19" s="98">
        <v>0.18958728714129522</v>
      </c>
      <c r="Z19" s="100">
        <v>27.95585157816112</v>
      </c>
      <c r="AA19" s="101">
        <v>0.71681132677268644</v>
      </c>
      <c r="AB19" s="100">
        <v>26.577245184092209</v>
      </c>
      <c r="AC19" s="103">
        <v>0.92118293903548043</v>
      </c>
      <c r="AD19" s="97">
        <v>-0.19359399771953179</v>
      </c>
      <c r="AE19" s="104">
        <v>0.64574787650917087</v>
      </c>
    </row>
    <row r="20" spans="1:32" s="105" customFormat="1" x14ac:dyDescent="0.25">
      <c r="A20" s="94" t="s">
        <v>206</v>
      </c>
      <c r="B20" s="95">
        <v>196</v>
      </c>
      <c r="C20" s="96">
        <v>83.043350219726563</v>
      </c>
      <c r="D20" s="97">
        <v>35.011507146862307</v>
      </c>
      <c r="E20" s="98">
        <v>0.47315179241305938</v>
      </c>
      <c r="F20" s="99">
        <v>23</v>
      </c>
      <c r="G20" s="98">
        <v>4.0311288741492746</v>
      </c>
      <c r="H20" s="100">
        <v>38</v>
      </c>
      <c r="I20" s="101">
        <v>4.1833001326703778</v>
      </c>
      <c r="J20" s="97">
        <v>43</v>
      </c>
      <c r="K20" s="102" t="s">
        <v>35</v>
      </c>
      <c r="L20" s="97">
        <v>20</v>
      </c>
      <c r="M20" s="102">
        <v>4.0311288741492746</v>
      </c>
      <c r="N20" s="99">
        <v>33.113674396057966</v>
      </c>
      <c r="O20" s="98">
        <v>1.1940444763866676</v>
      </c>
      <c r="P20" s="100">
        <v>35.026475611878993</v>
      </c>
      <c r="Q20" s="101">
        <v>1.2002688330299638</v>
      </c>
      <c r="R20" s="97">
        <v>36.976322513710137</v>
      </c>
      <c r="S20" s="98">
        <v>1.2438479248967755</v>
      </c>
      <c r="T20" s="100">
        <v>34.925160120939083</v>
      </c>
      <c r="U20" s="101">
        <v>0.70937639434313626</v>
      </c>
      <c r="V20" s="97">
        <v>1.8114857248811089</v>
      </c>
      <c r="W20" s="102">
        <v>1.365636786874886</v>
      </c>
      <c r="X20" s="99">
        <v>33.805494393988788</v>
      </c>
      <c r="Y20" s="98">
        <v>0.86020631127419178</v>
      </c>
      <c r="Z20" s="100">
        <v>36.803813631498713</v>
      </c>
      <c r="AA20" s="101">
        <v>0.71880868930152797</v>
      </c>
      <c r="AB20" s="100">
        <v>31.152962701503409</v>
      </c>
      <c r="AC20" s="103">
        <v>1.0129984951852349</v>
      </c>
      <c r="AD20" s="97">
        <v>1.785688139618145</v>
      </c>
      <c r="AE20" s="104">
        <v>1.0779411878666847</v>
      </c>
    </row>
    <row r="21" spans="1:32" s="105" customFormat="1" x14ac:dyDescent="0.25">
      <c r="A21" s="94" t="s">
        <v>207</v>
      </c>
      <c r="B21" s="95">
        <v>244</v>
      </c>
      <c r="C21" s="96">
        <v>98.509407043457031</v>
      </c>
      <c r="D21" s="97">
        <v>37.877659677089433</v>
      </c>
      <c r="E21" s="98">
        <v>0.77300259548334327</v>
      </c>
      <c r="F21" s="99">
        <v>23</v>
      </c>
      <c r="G21" s="98" t="s">
        <v>35</v>
      </c>
      <c r="H21" s="100">
        <v>38</v>
      </c>
      <c r="I21" s="101" t="s">
        <v>35</v>
      </c>
      <c r="J21" s="97">
        <v>53</v>
      </c>
      <c r="K21" s="102" t="s">
        <v>35</v>
      </c>
      <c r="L21" s="97">
        <v>30</v>
      </c>
      <c r="M21" s="102" t="s">
        <v>35</v>
      </c>
      <c r="N21" s="99">
        <v>35.335887231418539</v>
      </c>
      <c r="O21" s="98">
        <v>1.9789238443612671</v>
      </c>
      <c r="P21" s="100">
        <v>39.520492828309607</v>
      </c>
      <c r="Q21" s="101">
        <v>2.1515347109751759</v>
      </c>
      <c r="R21" s="97">
        <v>39.378064451737721</v>
      </c>
      <c r="S21" s="98">
        <v>1.7371288704174441</v>
      </c>
      <c r="T21" s="100">
        <v>37.236679550353649</v>
      </c>
      <c r="U21" s="101">
        <v>1.5564736472270932</v>
      </c>
      <c r="V21" s="97">
        <v>1.9007923189351099</v>
      </c>
      <c r="W21" s="102">
        <v>2.6248757469634452</v>
      </c>
      <c r="X21" s="99">
        <v>38.609962670440041</v>
      </c>
      <c r="Y21" s="98">
        <v>0.8493316362490706</v>
      </c>
      <c r="Z21" s="100" t="s">
        <v>34</v>
      </c>
      <c r="AA21" s="101" t="s">
        <v>34</v>
      </c>
      <c r="AB21" s="100">
        <v>34.484517182539427</v>
      </c>
      <c r="AC21" s="103">
        <v>1.7743172120387947</v>
      </c>
      <c r="AD21" s="97">
        <v>-4.1254454879006133</v>
      </c>
      <c r="AE21" s="104">
        <v>2.0075248766403941</v>
      </c>
    </row>
    <row r="22" spans="1:32" s="105" customFormat="1" x14ac:dyDescent="0.25">
      <c r="A22" s="18" t="s">
        <v>208</v>
      </c>
      <c r="B22" s="57">
        <v>326</v>
      </c>
      <c r="C22" s="19">
        <v>97.663795471191406</v>
      </c>
      <c r="D22" s="20">
        <v>24.05052695565352</v>
      </c>
      <c r="E22" s="21">
        <v>0.2637773501628608</v>
      </c>
      <c r="F22" s="50">
        <v>18</v>
      </c>
      <c r="G22" s="21" t="s">
        <v>35</v>
      </c>
      <c r="H22" s="24">
        <v>23</v>
      </c>
      <c r="I22" s="22" t="s">
        <v>35</v>
      </c>
      <c r="J22" s="20">
        <v>28</v>
      </c>
      <c r="K22" s="23" t="s">
        <v>35</v>
      </c>
      <c r="L22" s="20">
        <v>10</v>
      </c>
      <c r="M22" s="23" t="s">
        <v>35</v>
      </c>
      <c r="N22" s="50">
        <v>21.208101319496802</v>
      </c>
      <c r="O22" s="21">
        <v>0.61518789288564557</v>
      </c>
      <c r="P22" s="24">
        <v>23.754016581057961</v>
      </c>
      <c r="Q22" s="22">
        <v>0.66256787749079915</v>
      </c>
      <c r="R22" s="20">
        <v>24.906758752503482</v>
      </c>
      <c r="S22" s="21">
        <v>0.60008503100369859</v>
      </c>
      <c r="T22" s="24">
        <v>26.34038168072717</v>
      </c>
      <c r="U22" s="22">
        <v>0.5293365811410945</v>
      </c>
      <c r="V22" s="20">
        <v>5.132280361230368</v>
      </c>
      <c r="W22" s="23">
        <v>0.8516601216696531</v>
      </c>
      <c r="X22" s="50">
        <v>24.092619154117731</v>
      </c>
      <c r="Y22" s="21">
        <v>0.2549481400114012</v>
      </c>
      <c r="Z22" s="24">
        <v>25.120355209503948</v>
      </c>
      <c r="AA22" s="22">
        <v>1.3203687754073274</v>
      </c>
      <c r="AB22" s="24" t="s">
        <v>34</v>
      </c>
      <c r="AC22" s="25" t="s">
        <v>34</v>
      </c>
      <c r="AD22" s="20">
        <v>1.0277360553862174</v>
      </c>
      <c r="AE22" s="26">
        <v>1.3610924758596188</v>
      </c>
      <c r="AF22" s="106"/>
    </row>
    <row r="23" spans="1:32" s="105" customFormat="1" x14ac:dyDescent="0.25">
      <c r="A23" s="94" t="s">
        <v>209</v>
      </c>
      <c r="B23" s="95">
        <v>254</v>
      </c>
      <c r="C23" s="96">
        <v>76.070045471191406</v>
      </c>
      <c r="D23" s="97">
        <v>21.357965661995038</v>
      </c>
      <c r="E23" s="98">
        <v>0.21395294950527866</v>
      </c>
      <c r="F23" s="99">
        <v>18</v>
      </c>
      <c r="G23" s="98" t="s">
        <v>35</v>
      </c>
      <c r="H23" s="100">
        <v>23</v>
      </c>
      <c r="I23" s="101" t="s">
        <v>35</v>
      </c>
      <c r="J23" s="97">
        <v>23</v>
      </c>
      <c r="K23" s="102" t="s">
        <v>35</v>
      </c>
      <c r="L23" s="97">
        <v>5</v>
      </c>
      <c r="M23" s="102" t="s">
        <v>35</v>
      </c>
      <c r="N23" s="99">
        <v>20.43820106450481</v>
      </c>
      <c r="O23" s="98">
        <v>0.43815538990961017</v>
      </c>
      <c r="P23" s="100">
        <v>20.64813711281591</v>
      </c>
      <c r="Q23" s="101">
        <v>0.51607824422433113</v>
      </c>
      <c r="R23" s="97">
        <v>22.056864482075529</v>
      </c>
      <c r="S23" s="98">
        <v>0.50779016894509521</v>
      </c>
      <c r="T23" s="100">
        <v>22.308698083722149</v>
      </c>
      <c r="U23" s="101">
        <v>0.40914149310647629</v>
      </c>
      <c r="V23" s="97">
        <v>1.8704970192173429</v>
      </c>
      <c r="W23" s="102">
        <v>0.58776102597409086</v>
      </c>
      <c r="X23" s="99">
        <v>21.513979485234898</v>
      </c>
      <c r="Y23" s="98">
        <v>0.25123891917922098</v>
      </c>
      <c r="Z23" s="100">
        <v>21.070425088104439</v>
      </c>
      <c r="AA23" s="101">
        <v>0.53406617702820292</v>
      </c>
      <c r="AB23" s="100">
        <v>20.351323082718459</v>
      </c>
      <c r="AC23" s="103">
        <v>1.0976536823128049</v>
      </c>
      <c r="AD23" s="97">
        <v>-0.60189825173126721</v>
      </c>
      <c r="AE23" s="104">
        <v>0.53015094536608098</v>
      </c>
    </row>
    <row r="24" spans="1:32" s="105" customFormat="1" x14ac:dyDescent="0.25">
      <c r="A24" s="94" t="s">
        <v>210</v>
      </c>
      <c r="B24" s="95">
        <v>224</v>
      </c>
      <c r="C24" s="96">
        <v>99.549774169921875</v>
      </c>
      <c r="D24" s="97">
        <v>22.592310775056252</v>
      </c>
      <c r="E24" s="98">
        <v>0.18591394538251094</v>
      </c>
      <c r="F24" s="99">
        <v>13</v>
      </c>
      <c r="G24" s="98" t="s">
        <v>35</v>
      </c>
      <c r="H24" s="100">
        <v>23</v>
      </c>
      <c r="I24" s="101" t="s">
        <v>35</v>
      </c>
      <c r="J24" s="97">
        <v>28</v>
      </c>
      <c r="K24" s="102" t="s">
        <v>35</v>
      </c>
      <c r="L24" s="97">
        <v>15</v>
      </c>
      <c r="M24" s="102" t="s">
        <v>35</v>
      </c>
      <c r="N24" s="99">
        <v>19.031041140779681</v>
      </c>
      <c r="O24" s="98">
        <v>0.51476051734989103</v>
      </c>
      <c r="P24" s="100">
        <v>22.524486886094561</v>
      </c>
      <c r="Q24" s="101">
        <v>0.74375785300892483</v>
      </c>
      <c r="R24" s="97">
        <v>24.4424404959986</v>
      </c>
      <c r="S24" s="98">
        <v>0.50166263125009625</v>
      </c>
      <c r="T24" s="100">
        <v>24.465158052347078</v>
      </c>
      <c r="U24" s="101">
        <v>0.47697163674759152</v>
      </c>
      <c r="V24" s="97">
        <v>5.4341169115674006</v>
      </c>
      <c r="W24" s="102">
        <v>0.70479179299582639</v>
      </c>
      <c r="X24" s="99">
        <v>22.605473426349409</v>
      </c>
      <c r="Y24" s="98">
        <v>0.18401532685813954</v>
      </c>
      <c r="Z24" s="100">
        <v>24.180912961491568</v>
      </c>
      <c r="AA24" s="101">
        <v>1.4335611413464788</v>
      </c>
      <c r="AB24" s="100">
        <v>19.58247012430617</v>
      </c>
      <c r="AC24" s="103">
        <v>2.2504210481628921</v>
      </c>
      <c r="AD24" s="97">
        <v>-0.33272581904009968</v>
      </c>
      <c r="AE24" s="104">
        <v>1.0921544897759592</v>
      </c>
    </row>
    <row r="25" spans="1:32" s="105" customFormat="1" x14ac:dyDescent="0.25">
      <c r="A25" s="94" t="s">
        <v>211</v>
      </c>
      <c r="B25" s="95">
        <v>210</v>
      </c>
      <c r="C25" s="96">
        <v>99.331733703613281</v>
      </c>
      <c r="D25" s="97">
        <v>19.59956165628811</v>
      </c>
      <c r="E25" s="98">
        <v>0.20502562360134866</v>
      </c>
      <c r="F25" s="99">
        <v>18</v>
      </c>
      <c r="G25" s="98" t="s">
        <v>35</v>
      </c>
      <c r="H25" s="100">
        <v>18</v>
      </c>
      <c r="I25" s="101" t="s">
        <v>35</v>
      </c>
      <c r="J25" s="97">
        <v>23</v>
      </c>
      <c r="K25" s="102" t="s">
        <v>35</v>
      </c>
      <c r="L25" s="97">
        <v>5</v>
      </c>
      <c r="M25" s="102" t="s">
        <v>35</v>
      </c>
      <c r="N25" s="99">
        <v>18.009870154831031</v>
      </c>
      <c r="O25" s="98">
        <v>0.35866684498745849</v>
      </c>
      <c r="P25" s="100">
        <v>18.777464701555498</v>
      </c>
      <c r="Q25" s="101">
        <v>0.48041474584075478</v>
      </c>
      <c r="R25" s="97">
        <v>20.93568216064855</v>
      </c>
      <c r="S25" s="98">
        <v>0.47566558134980008</v>
      </c>
      <c r="T25" s="100">
        <v>20.687716289925</v>
      </c>
      <c r="U25" s="101">
        <v>0.52338285037601207</v>
      </c>
      <c r="V25" s="97">
        <v>2.677846135093962</v>
      </c>
      <c r="W25" s="102">
        <v>0.65179786707196563</v>
      </c>
      <c r="X25" s="99">
        <v>19.464773418874142</v>
      </c>
      <c r="Y25" s="98">
        <v>0.18602767203867293</v>
      </c>
      <c r="Z25" s="100">
        <v>22.833023687206531</v>
      </c>
      <c r="AA25" s="101">
        <v>1.7768747835942258</v>
      </c>
      <c r="AB25" s="100" t="s">
        <v>34</v>
      </c>
      <c r="AC25" s="103" t="s">
        <v>34</v>
      </c>
      <c r="AD25" s="97">
        <v>3.3682502683323889</v>
      </c>
      <c r="AE25" s="104">
        <v>1.7520891614104677</v>
      </c>
    </row>
    <row r="26" spans="1:32" s="105" customFormat="1" x14ac:dyDescent="0.25">
      <c r="A26" s="94" t="s">
        <v>212</v>
      </c>
      <c r="B26" s="95">
        <v>164</v>
      </c>
      <c r="C26" s="96">
        <v>76.747352600097656</v>
      </c>
      <c r="D26" s="97">
        <v>30.51476990616073</v>
      </c>
      <c r="E26" s="98">
        <v>0.31239273531183132</v>
      </c>
      <c r="F26" s="99">
        <v>23</v>
      </c>
      <c r="G26" s="98" t="s">
        <v>35</v>
      </c>
      <c r="H26" s="100">
        <v>33</v>
      </c>
      <c r="I26" s="101" t="s">
        <v>35</v>
      </c>
      <c r="J26" s="97">
        <v>33</v>
      </c>
      <c r="K26" s="102" t="s">
        <v>35</v>
      </c>
      <c r="L26" s="97">
        <v>10</v>
      </c>
      <c r="M26" s="102" t="s">
        <v>35</v>
      </c>
      <c r="N26" s="99">
        <v>27.798291431833629</v>
      </c>
      <c r="O26" s="98">
        <v>0.68126383871318563</v>
      </c>
      <c r="P26" s="100">
        <v>29.998474372145509</v>
      </c>
      <c r="Q26" s="101">
        <v>0.84983066398827412</v>
      </c>
      <c r="R26" s="97">
        <v>31.328100762287072</v>
      </c>
      <c r="S26" s="98">
        <v>0.73705841539726213</v>
      </c>
      <c r="T26" s="100">
        <v>33.016669756923847</v>
      </c>
      <c r="U26" s="101">
        <v>0.44698173642241551</v>
      </c>
      <c r="V26" s="97">
        <v>5.2183783250902209</v>
      </c>
      <c r="W26" s="102">
        <v>0.81362009156591475</v>
      </c>
      <c r="X26" s="99">
        <v>30.979693801143959</v>
      </c>
      <c r="Y26" s="98">
        <v>0.30474134870481367</v>
      </c>
      <c r="Z26" s="100">
        <v>25.35502322360357</v>
      </c>
      <c r="AA26" s="101">
        <v>1.4914856066353004</v>
      </c>
      <c r="AB26" s="100">
        <v>33.096163213969433</v>
      </c>
      <c r="AC26" s="103">
        <v>0.86648886321011565</v>
      </c>
      <c r="AD26" s="97">
        <v>-1.9037400398827486</v>
      </c>
      <c r="AE26" s="104">
        <v>0.93622166619070035</v>
      </c>
    </row>
    <row r="27" spans="1:32" s="105" customFormat="1" x14ac:dyDescent="0.25">
      <c r="A27" s="94" t="s">
        <v>213</v>
      </c>
      <c r="B27" s="95">
        <v>185</v>
      </c>
      <c r="C27" s="96">
        <v>82.236961364746094</v>
      </c>
      <c r="D27" s="97">
        <v>24.974320722467031</v>
      </c>
      <c r="E27" s="98">
        <v>0.30156708741031668</v>
      </c>
      <c r="F27" s="99">
        <v>18</v>
      </c>
      <c r="G27" s="98" t="s">
        <v>35</v>
      </c>
      <c r="H27" s="100">
        <v>28</v>
      </c>
      <c r="I27" s="101">
        <v>2.5</v>
      </c>
      <c r="J27" s="97">
        <v>28</v>
      </c>
      <c r="K27" s="102" t="s">
        <v>35</v>
      </c>
      <c r="L27" s="97">
        <v>10</v>
      </c>
      <c r="M27" s="102" t="s">
        <v>35</v>
      </c>
      <c r="N27" s="99">
        <v>22.08732689247605</v>
      </c>
      <c r="O27" s="98">
        <v>0.8257380499832957</v>
      </c>
      <c r="P27" s="100">
        <v>24.981336415219001</v>
      </c>
      <c r="Q27" s="101">
        <v>0.70375130196422797</v>
      </c>
      <c r="R27" s="97">
        <v>26.131361963626709</v>
      </c>
      <c r="S27" s="98">
        <v>0.58538700812836708</v>
      </c>
      <c r="T27" s="100">
        <v>26.882465415293421</v>
      </c>
      <c r="U27" s="101">
        <v>0.25537966009630508</v>
      </c>
      <c r="V27" s="97">
        <v>4.7951385228173713</v>
      </c>
      <c r="W27" s="102">
        <v>0.87868167929379037</v>
      </c>
      <c r="X27" s="99">
        <v>24.83046886112021</v>
      </c>
      <c r="Y27" s="98">
        <v>0.27208920606897607</v>
      </c>
      <c r="Z27" s="100">
        <v>24.729860006733961</v>
      </c>
      <c r="AA27" s="101">
        <v>1.9153239240517133</v>
      </c>
      <c r="AB27" s="100" t="s">
        <v>34</v>
      </c>
      <c r="AC27" s="103" t="s">
        <v>34</v>
      </c>
      <c r="AD27" s="97">
        <v>-0.10060885438624823</v>
      </c>
      <c r="AE27" s="104">
        <v>1.9188290133506085</v>
      </c>
    </row>
    <row r="28" spans="1:32" s="105" customFormat="1" x14ac:dyDescent="0.25">
      <c r="A28" s="94" t="s">
        <v>214</v>
      </c>
      <c r="B28" s="95">
        <v>204</v>
      </c>
      <c r="C28" s="96">
        <v>94.527107238769531</v>
      </c>
      <c r="D28" s="97">
        <v>23.032886008206351</v>
      </c>
      <c r="E28" s="98">
        <v>0.24807375575019469</v>
      </c>
      <c r="F28" s="99">
        <v>18</v>
      </c>
      <c r="G28" s="98" t="s">
        <v>35</v>
      </c>
      <c r="H28" s="100">
        <v>23</v>
      </c>
      <c r="I28" s="101" t="s">
        <v>35</v>
      </c>
      <c r="J28" s="97">
        <v>28</v>
      </c>
      <c r="K28" s="102" t="s">
        <v>35</v>
      </c>
      <c r="L28" s="97">
        <v>10</v>
      </c>
      <c r="M28" s="102" t="s">
        <v>35</v>
      </c>
      <c r="N28" s="99">
        <v>21.694228738697181</v>
      </c>
      <c r="O28" s="98">
        <v>0.59145233016447951</v>
      </c>
      <c r="P28" s="100">
        <v>22.49316673977869</v>
      </c>
      <c r="Q28" s="101">
        <v>0.63256916402500551</v>
      </c>
      <c r="R28" s="97">
        <v>24.395368679182241</v>
      </c>
      <c r="S28" s="98">
        <v>0.49658406839245667</v>
      </c>
      <c r="T28" s="100">
        <v>23.56654721655627</v>
      </c>
      <c r="U28" s="101">
        <v>0.51583317802785034</v>
      </c>
      <c r="V28" s="97">
        <v>1.8723184778590889</v>
      </c>
      <c r="W28" s="102">
        <v>0.75961764624584982</v>
      </c>
      <c r="X28" s="99">
        <v>23.063451607351251</v>
      </c>
      <c r="Y28" s="98">
        <v>0.24945038320280052</v>
      </c>
      <c r="Z28" s="100" t="s">
        <v>34</v>
      </c>
      <c r="AA28" s="101" t="s">
        <v>34</v>
      </c>
      <c r="AB28" s="100">
        <v>22.904997628566509</v>
      </c>
      <c r="AC28" s="103">
        <v>1.1345372319544513</v>
      </c>
      <c r="AD28" s="97">
        <v>-0.15845397878474188</v>
      </c>
      <c r="AE28" s="104">
        <v>1.1651251646938423</v>
      </c>
    </row>
    <row r="29" spans="1:32" s="105" customFormat="1" x14ac:dyDescent="0.25">
      <c r="A29" s="94" t="s">
        <v>215</v>
      </c>
      <c r="B29" s="95">
        <v>161</v>
      </c>
      <c r="C29" s="96">
        <v>89.597335815429688</v>
      </c>
      <c r="D29" s="97">
        <v>28.287476179480549</v>
      </c>
      <c r="E29" s="98">
        <v>0.7809754898251573</v>
      </c>
      <c r="F29" s="99">
        <v>18</v>
      </c>
      <c r="G29" s="98">
        <v>2.2360679774997898</v>
      </c>
      <c r="H29" s="100">
        <v>28</v>
      </c>
      <c r="I29" s="101" t="s">
        <v>35</v>
      </c>
      <c r="J29" s="97">
        <v>38</v>
      </c>
      <c r="K29" s="102">
        <v>12.845232578665129</v>
      </c>
      <c r="L29" s="97">
        <v>20</v>
      </c>
      <c r="M29" s="102">
        <v>13.601470508735444</v>
      </c>
      <c r="N29" s="99">
        <v>21.59446143590629</v>
      </c>
      <c r="O29" s="98">
        <v>0.9543963815915032</v>
      </c>
      <c r="P29" s="100">
        <v>29.87351312372699</v>
      </c>
      <c r="Q29" s="101">
        <v>2.0238967300417259</v>
      </c>
      <c r="R29" s="97">
        <v>30.851210477364109</v>
      </c>
      <c r="S29" s="98">
        <v>1.7620981913271336</v>
      </c>
      <c r="T29" s="100">
        <v>30.947984101021799</v>
      </c>
      <c r="U29" s="101">
        <v>1.4230880336709686</v>
      </c>
      <c r="V29" s="97">
        <v>9.3535226651155163</v>
      </c>
      <c r="W29" s="102">
        <v>1.7746386331821919</v>
      </c>
      <c r="X29" s="99">
        <v>28.43399267867585</v>
      </c>
      <c r="Y29" s="98">
        <v>0.98993448165902409</v>
      </c>
      <c r="Z29" s="100">
        <v>27.927504241417051</v>
      </c>
      <c r="AA29" s="101">
        <v>1.0655205577302449</v>
      </c>
      <c r="AB29" s="100" t="s">
        <v>34</v>
      </c>
      <c r="AC29" s="103" t="s">
        <v>34</v>
      </c>
      <c r="AD29" s="97">
        <v>-0.506488437258799</v>
      </c>
      <c r="AE29" s="104">
        <v>1.5337475286036715</v>
      </c>
    </row>
    <row r="30" spans="1:32" s="105" customFormat="1" x14ac:dyDescent="0.25">
      <c r="A30" s="94" t="s">
        <v>216</v>
      </c>
      <c r="B30" s="95">
        <v>130</v>
      </c>
      <c r="C30" s="96">
        <v>98.915397644042969</v>
      </c>
      <c r="D30" s="97">
        <v>18.857233715434731</v>
      </c>
      <c r="E30" s="98">
        <v>1.8279291488508941E-2</v>
      </c>
      <c r="F30" s="99">
        <v>13</v>
      </c>
      <c r="G30" s="98" t="s">
        <v>35</v>
      </c>
      <c r="H30" s="100">
        <v>18</v>
      </c>
      <c r="I30" s="101" t="s">
        <v>35</v>
      </c>
      <c r="J30" s="97">
        <v>23</v>
      </c>
      <c r="K30" s="102" t="s">
        <v>35</v>
      </c>
      <c r="L30" s="97">
        <v>10</v>
      </c>
      <c r="M30" s="102" t="s">
        <v>35</v>
      </c>
      <c r="N30" s="99">
        <v>16.743474900949462</v>
      </c>
      <c r="O30" s="98">
        <v>4.4350602246316706E-2</v>
      </c>
      <c r="P30" s="100">
        <v>18.737904094600751</v>
      </c>
      <c r="Q30" s="101">
        <v>3.2272177194834724E-2</v>
      </c>
      <c r="R30" s="97">
        <v>19.103981562914441</v>
      </c>
      <c r="S30" s="98">
        <v>3.0583871837494177E-2</v>
      </c>
      <c r="T30" s="100">
        <v>20.871199899438079</v>
      </c>
      <c r="U30" s="101">
        <v>3.1424867545239883E-2</v>
      </c>
      <c r="V30" s="97">
        <v>4.1277249984886204</v>
      </c>
      <c r="W30" s="102">
        <v>6.0333551877885132E-2</v>
      </c>
      <c r="X30" s="99">
        <v>18.8950726530128</v>
      </c>
      <c r="Y30" s="98">
        <v>1.8829479938313395E-2</v>
      </c>
      <c r="Z30" s="100" t="s">
        <v>34</v>
      </c>
      <c r="AA30" s="101" t="s">
        <v>34</v>
      </c>
      <c r="AB30" s="100" t="s">
        <v>34</v>
      </c>
      <c r="AC30" s="103" t="s">
        <v>34</v>
      </c>
      <c r="AD30" s="97" t="s">
        <v>34</v>
      </c>
      <c r="AE30" s="104" t="s">
        <v>34</v>
      </c>
    </row>
    <row r="31" spans="1:32" s="105" customFormat="1" x14ac:dyDescent="0.25">
      <c r="A31" s="94" t="s">
        <v>217</v>
      </c>
      <c r="B31" s="95">
        <v>156</v>
      </c>
      <c r="C31" s="96">
        <v>99.289833068847656</v>
      </c>
      <c r="D31" s="97">
        <v>24.113899540421411</v>
      </c>
      <c r="E31" s="98">
        <v>0.26207769844022716</v>
      </c>
      <c r="F31" s="99">
        <v>18</v>
      </c>
      <c r="G31" s="98" t="s">
        <v>35</v>
      </c>
      <c r="H31" s="100">
        <v>23</v>
      </c>
      <c r="I31" s="101" t="s">
        <v>35</v>
      </c>
      <c r="J31" s="97">
        <v>28</v>
      </c>
      <c r="K31" s="102" t="s">
        <v>35</v>
      </c>
      <c r="L31" s="97">
        <v>10</v>
      </c>
      <c r="M31" s="102" t="s">
        <v>35</v>
      </c>
      <c r="N31" s="99">
        <v>21.79639900631863</v>
      </c>
      <c r="O31" s="98">
        <v>0.74703948695379585</v>
      </c>
      <c r="P31" s="100">
        <v>25.000460242043989</v>
      </c>
      <c r="Q31" s="101">
        <v>0.82761177090358851</v>
      </c>
      <c r="R31" s="97">
        <v>24.643604716877459</v>
      </c>
      <c r="S31" s="98">
        <v>0.66898236205284045</v>
      </c>
      <c r="T31" s="100">
        <v>24.951590797018071</v>
      </c>
      <c r="U31" s="101">
        <v>0.60971246216148389</v>
      </c>
      <c r="V31" s="97">
        <v>3.155191790699448</v>
      </c>
      <c r="W31" s="102">
        <v>1.045108061673639</v>
      </c>
      <c r="X31" s="99" t="s">
        <v>34</v>
      </c>
      <c r="Y31" s="98" t="s">
        <v>34</v>
      </c>
      <c r="Z31" s="100" t="s">
        <v>34</v>
      </c>
      <c r="AA31" s="101" t="s">
        <v>34</v>
      </c>
      <c r="AB31" s="100" t="s">
        <v>34</v>
      </c>
      <c r="AC31" s="103" t="s">
        <v>34</v>
      </c>
      <c r="AD31" s="97" t="s">
        <v>34</v>
      </c>
      <c r="AE31" s="104" t="s">
        <v>34</v>
      </c>
    </row>
    <row r="32" spans="1:32" s="105" customFormat="1" x14ac:dyDescent="0.25">
      <c r="A32" s="94" t="s">
        <v>218</v>
      </c>
      <c r="B32" s="95">
        <v>160</v>
      </c>
      <c r="C32" s="96">
        <v>93.672966003417969</v>
      </c>
      <c r="D32" s="97">
        <v>29.806964953398211</v>
      </c>
      <c r="E32" s="98">
        <v>0.35895855580359759</v>
      </c>
      <c r="F32" s="99">
        <v>23</v>
      </c>
      <c r="G32" s="98" t="s">
        <v>35</v>
      </c>
      <c r="H32" s="100">
        <v>28</v>
      </c>
      <c r="I32" s="101">
        <v>4.0311288741492746</v>
      </c>
      <c r="J32" s="97">
        <v>38</v>
      </c>
      <c r="K32" s="102" t="s">
        <v>35</v>
      </c>
      <c r="L32" s="97">
        <v>15</v>
      </c>
      <c r="M32" s="102" t="s">
        <v>35</v>
      </c>
      <c r="N32" s="99">
        <v>25.799083506420409</v>
      </c>
      <c r="O32" s="98">
        <v>0.87221043188914926</v>
      </c>
      <c r="P32" s="100">
        <v>29.682068152676401</v>
      </c>
      <c r="Q32" s="101">
        <v>1.0597958829286056</v>
      </c>
      <c r="R32" s="97">
        <v>31.380009413942521</v>
      </c>
      <c r="S32" s="98">
        <v>0.86045933080330739</v>
      </c>
      <c r="T32" s="100">
        <v>32.318863260851323</v>
      </c>
      <c r="U32" s="101">
        <v>0.85518010350940132</v>
      </c>
      <c r="V32" s="97">
        <v>6.5197797544309104</v>
      </c>
      <c r="W32" s="102">
        <v>1.2228264321897535</v>
      </c>
      <c r="X32" s="99">
        <v>29.806964953398211</v>
      </c>
      <c r="Y32" s="98">
        <v>0.35895855580359759</v>
      </c>
      <c r="Z32" s="100" t="s">
        <v>34</v>
      </c>
      <c r="AA32" s="101" t="s">
        <v>34</v>
      </c>
      <c r="AB32" s="100" t="s">
        <v>34</v>
      </c>
      <c r="AC32" s="103" t="s">
        <v>34</v>
      </c>
      <c r="AD32" s="97" t="s">
        <v>34</v>
      </c>
      <c r="AE32" s="104" t="s">
        <v>34</v>
      </c>
    </row>
    <row r="33" spans="1:31" s="105" customFormat="1" x14ac:dyDescent="0.25">
      <c r="A33" s="94" t="s">
        <v>219</v>
      </c>
      <c r="B33" s="95">
        <v>488</v>
      </c>
      <c r="C33" s="96">
        <v>94.727378845214844</v>
      </c>
      <c r="D33" s="97">
        <v>22.915657967263002</v>
      </c>
      <c r="E33" s="98">
        <v>0.32705112079503806</v>
      </c>
      <c r="F33" s="99">
        <v>18</v>
      </c>
      <c r="G33" s="98" t="s">
        <v>35</v>
      </c>
      <c r="H33" s="100">
        <v>23</v>
      </c>
      <c r="I33" s="101" t="s">
        <v>35</v>
      </c>
      <c r="J33" s="97">
        <v>28</v>
      </c>
      <c r="K33" s="102" t="s">
        <v>35</v>
      </c>
      <c r="L33" s="97">
        <v>10</v>
      </c>
      <c r="M33" s="102" t="s">
        <v>35</v>
      </c>
      <c r="N33" s="99">
        <v>21.513852028933929</v>
      </c>
      <c r="O33" s="98">
        <v>0.67024781364104946</v>
      </c>
      <c r="P33" s="100">
        <v>22.813164006215899</v>
      </c>
      <c r="Q33" s="101">
        <v>0.81349525763060249</v>
      </c>
      <c r="R33" s="97">
        <v>23.41263415700212</v>
      </c>
      <c r="S33" s="98">
        <v>0.51600679120110804</v>
      </c>
      <c r="T33" s="100">
        <v>23.950449241345549</v>
      </c>
      <c r="U33" s="101">
        <v>0.78105018480011301</v>
      </c>
      <c r="V33" s="97">
        <v>2.4365972124116162</v>
      </c>
      <c r="W33" s="102">
        <v>1.0333062926176197</v>
      </c>
      <c r="X33" s="99">
        <v>22.796209065374981</v>
      </c>
      <c r="Y33" s="98">
        <v>0.29353798854981683</v>
      </c>
      <c r="Z33" s="100">
        <v>22.733325121676451</v>
      </c>
      <c r="AA33" s="101">
        <v>0.41534927678706646</v>
      </c>
      <c r="AB33" s="100">
        <v>29.910788892108659</v>
      </c>
      <c r="AC33" s="103">
        <v>7.1318923193787116</v>
      </c>
      <c r="AD33" s="97">
        <v>4.1635209891292888</v>
      </c>
      <c r="AE33" s="104">
        <v>4.7792806286946732</v>
      </c>
    </row>
    <row r="34" spans="1:31" s="105" customFormat="1" x14ac:dyDescent="0.25">
      <c r="A34" s="94" t="s">
        <v>220</v>
      </c>
      <c r="B34" s="95">
        <v>183</v>
      </c>
      <c r="C34" s="96">
        <v>100</v>
      </c>
      <c r="D34" s="97">
        <v>35.125266118855173</v>
      </c>
      <c r="E34" s="98">
        <v>0.45425271753429997</v>
      </c>
      <c r="F34" s="99">
        <v>23</v>
      </c>
      <c r="G34" s="98">
        <v>6.0207972893961479</v>
      </c>
      <c r="H34" s="100">
        <v>38</v>
      </c>
      <c r="I34" s="101" t="s">
        <v>35</v>
      </c>
      <c r="J34" s="97">
        <v>43</v>
      </c>
      <c r="K34" s="102">
        <v>4.0311288741492746</v>
      </c>
      <c r="L34" s="97">
        <v>20</v>
      </c>
      <c r="M34" s="102">
        <v>8.2158383625774913</v>
      </c>
      <c r="N34" s="99">
        <v>31.30248355564645</v>
      </c>
      <c r="O34" s="98">
        <v>1.2811774820897286</v>
      </c>
      <c r="P34" s="100">
        <v>35.601620872443419</v>
      </c>
      <c r="Q34" s="101">
        <v>0.66647081373572403</v>
      </c>
      <c r="R34" s="97">
        <v>36.450631432874673</v>
      </c>
      <c r="S34" s="98">
        <v>0.98811035977254813</v>
      </c>
      <c r="T34" s="100">
        <v>37.042789222205649</v>
      </c>
      <c r="U34" s="101">
        <v>0.80323075201827632</v>
      </c>
      <c r="V34" s="97">
        <v>5.7403056665592018</v>
      </c>
      <c r="W34" s="102">
        <v>1.4271166021799899</v>
      </c>
      <c r="X34" s="99">
        <v>34.946504916081523</v>
      </c>
      <c r="Y34" s="98">
        <v>0.56992959521359698</v>
      </c>
      <c r="Z34" s="100">
        <v>34.543572018287428</v>
      </c>
      <c r="AA34" s="101">
        <v>2.1312054379844159</v>
      </c>
      <c r="AB34" s="100">
        <v>35.589307814341588</v>
      </c>
      <c r="AC34" s="103">
        <v>0.83297214821053978</v>
      </c>
      <c r="AD34" s="97">
        <v>0.53032392328057654</v>
      </c>
      <c r="AE34" s="104">
        <v>0.95522430454462603</v>
      </c>
    </row>
    <row r="35" spans="1:31" s="105" customFormat="1" x14ac:dyDescent="0.25">
      <c r="A35" s="94" t="s">
        <v>221</v>
      </c>
      <c r="B35" s="95">
        <v>153</v>
      </c>
      <c r="C35" s="96">
        <v>83.323898315429688</v>
      </c>
      <c r="D35" s="97">
        <v>25.813314911740449</v>
      </c>
      <c r="E35" s="98">
        <v>0.34018497850057017</v>
      </c>
      <c r="F35" s="99">
        <v>18</v>
      </c>
      <c r="G35" s="98">
        <v>2.9580398915498081</v>
      </c>
      <c r="H35" s="100">
        <v>28</v>
      </c>
      <c r="I35" s="101">
        <v>2.7386127875258306</v>
      </c>
      <c r="J35" s="97">
        <v>33</v>
      </c>
      <c r="K35" s="102">
        <v>1.1180339887498949</v>
      </c>
      <c r="L35" s="97">
        <v>15</v>
      </c>
      <c r="M35" s="102">
        <v>3.5355339059327378</v>
      </c>
      <c r="N35" s="99">
        <v>23.65861940554354</v>
      </c>
      <c r="O35" s="98">
        <v>0.93640551674958739</v>
      </c>
      <c r="P35" s="100">
        <v>25.291761427564118</v>
      </c>
      <c r="Q35" s="101">
        <v>0.88183143380217588</v>
      </c>
      <c r="R35" s="97">
        <v>27.158179238467849</v>
      </c>
      <c r="S35" s="98">
        <v>1.1210132778946951</v>
      </c>
      <c r="T35" s="100">
        <v>27.07824949129893</v>
      </c>
      <c r="U35" s="101">
        <v>0.8588678079674007</v>
      </c>
      <c r="V35" s="97">
        <v>3.4196300857553941</v>
      </c>
      <c r="W35" s="102">
        <v>1.1919511555743332</v>
      </c>
      <c r="X35" s="99">
        <v>25.865240247647549</v>
      </c>
      <c r="Y35" s="98">
        <v>0.47679349955228589</v>
      </c>
      <c r="Z35" s="100">
        <v>25.03281991234395</v>
      </c>
      <c r="AA35" s="101">
        <v>0.58255416109272307</v>
      </c>
      <c r="AB35" s="100">
        <v>29.893703780729741</v>
      </c>
      <c r="AC35" s="103">
        <v>1.8125075368072441</v>
      </c>
      <c r="AD35" s="97">
        <v>-0.12183622130212868</v>
      </c>
      <c r="AE35" s="104">
        <v>0.83807717998855791</v>
      </c>
    </row>
    <row r="36" spans="1:31" s="105" customFormat="1" x14ac:dyDescent="0.25">
      <c r="A36" s="94" t="s">
        <v>222</v>
      </c>
      <c r="B36" s="95">
        <v>292</v>
      </c>
      <c r="C36" s="96">
        <v>95.217674255371094</v>
      </c>
      <c r="D36" s="97">
        <v>22.583775076604791</v>
      </c>
      <c r="E36" s="98">
        <v>0.25476329690343219</v>
      </c>
      <c r="F36" s="99">
        <v>13</v>
      </c>
      <c r="G36" s="98" t="s">
        <v>35</v>
      </c>
      <c r="H36" s="100">
        <v>23</v>
      </c>
      <c r="I36" s="101" t="s">
        <v>35</v>
      </c>
      <c r="J36" s="97">
        <v>33</v>
      </c>
      <c r="K36" s="102">
        <v>1.1180339887498949</v>
      </c>
      <c r="L36" s="97">
        <v>20</v>
      </c>
      <c r="M36" s="102">
        <v>1.1180339887498949</v>
      </c>
      <c r="N36" s="99">
        <v>17.517863066093611</v>
      </c>
      <c r="O36" s="98">
        <v>0.49735782477970436</v>
      </c>
      <c r="P36" s="100">
        <v>22.225900101741502</v>
      </c>
      <c r="Q36" s="101">
        <v>0.58769853335142808</v>
      </c>
      <c r="R36" s="97">
        <v>23.605166599538109</v>
      </c>
      <c r="S36" s="98">
        <v>0.75505338034032887</v>
      </c>
      <c r="T36" s="100">
        <v>27.109011862026449</v>
      </c>
      <c r="U36" s="101">
        <v>0.34964873540911867</v>
      </c>
      <c r="V36" s="97">
        <v>9.5911487959328348</v>
      </c>
      <c r="W36" s="102">
        <v>0.57658680819418762</v>
      </c>
      <c r="X36" s="99">
        <v>22.708048094228229</v>
      </c>
      <c r="Y36" s="98">
        <v>0.25770604976043759</v>
      </c>
      <c r="Z36" s="100" t="s">
        <v>34</v>
      </c>
      <c r="AA36" s="101" t="s">
        <v>34</v>
      </c>
      <c r="AB36" s="100" t="s">
        <v>34</v>
      </c>
      <c r="AC36" s="103" t="s">
        <v>34</v>
      </c>
      <c r="AD36" s="97" t="s">
        <v>34</v>
      </c>
      <c r="AE36" s="104" t="s">
        <v>34</v>
      </c>
    </row>
    <row r="37" spans="1:31" s="105" customFormat="1" x14ac:dyDescent="0.25">
      <c r="A37" s="94" t="s">
        <v>223</v>
      </c>
      <c r="B37" s="95">
        <v>362</v>
      </c>
      <c r="C37" s="96">
        <v>100</v>
      </c>
      <c r="D37" s="97">
        <v>23.709072649677911</v>
      </c>
      <c r="E37" s="98">
        <v>0.18753297895911833</v>
      </c>
      <c r="F37" s="99">
        <v>13</v>
      </c>
      <c r="G37" s="98" t="s">
        <v>35</v>
      </c>
      <c r="H37" s="100">
        <v>23</v>
      </c>
      <c r="I37" s="101" t="s">
        <v>35</v>
      </c>
      <c r="J37" s="97">
        <v>28</v>
      </c>
      <c r="K37" s="102" t="s">
        <v>35</v>
      </c>
      <c r="L37" s="97">
        <v>15</v>
      </c>
      <c r="M37" s="102" t="s">
        <v>35</v>
      </c>
      <c r="N37" s="99">
        <v>19.744457746080158</v>
      </c>
      <c r="O37" s="98">
        <v>0.54477515452955017</v>
      </c>
      <c r="P37" s="100">
        <v>22.690605889035211</v>
      </c>
      <c r="Q37" s="101">
        <v>0.54743701476953111</v>
      </c>
      <c r="R37" s="97">
        <v>25.784811712260758</v>
      </c>
      <c r="S37" s="98">
        <v>0.45712264586931639</v>
      </c>
      <c r="T37" s="100">
        <v>26.5765149905458</v>
      </c>
      <c r="U37" s="101">
        <v>0.20615758893856292</v>
      </c>
      <c r="V37" s="97">
        <v>6.8320572444656378</v>
      </c>
      <c r="W37" s="102">
        <v>0.5843697692791443</v>
      </c>
      <c r="X37" s="99">
        <v>23.675705559556889</v>
      </c>
      <c r="Y37" s="98">
        <v>0.19466541708356724</v>
      </c>
      <c r="Z37" s="100">
        <v>24.475884056995561</v>
      </c>
      <c r="AA37" s="101">
        <v>0.57099611034614872</v>
      </c>
      <c r="AB37" s="100" t="s">
        <v>34</v>
      </c>
      <c r="AC37" s="103" t="s">
        <v>34</v>
      </c>
      <c r="AD37" s="97">
        <v>0.80017849743867231</v>
      </c>
      <c r="AE37" s="104">
        <v>0.59696815351275567</v>
      </c>
    </row>
    <row r="38" spans="1:31" s="105" customFormat="1" x14ac:dyDescent="0.25">
      <c r="A38" s="94" t="s">
        <v>224</v>
      </c>
      <c r="B38" s="95">
        <v>41</v>
      </c>
      <c r="C38" s="96">
        <v>90.241195678710938</v>
      </c>
      <c r="D38" s="97">
        <v>22.333845200328678</v>
      </c>
      <c r="E38" s="98">
        <v>5.8402029650927766E-3</v>
      </c>
      <c r="F38" s="99">
        <v>18</v>
      </c>
      <c r="G38" s="98" t="s">
        <v>35</v>
      </c>
      <c r="H38" s="100">
        <v>23</v>
      </c>
      <c r="I38" s="101" t="s">
        <v>35</v>
      </c>
      <c r="J38" s="97">
        <v>23</v>
      </c>
      <c r="K38" s="102" t="s">
        <v>35</v>
      </c>
      <c r="L38" s="97">
        <v>5</v>
      </c>
      <c r="M38" s="102" t="s">
        <v>35</v>
      </c>
      <c r="N38" s="99">
        <v>21.737207308979599</v>
      </c>
      <c r="O38" s="98">
        <v>8.7004749473917481E-3</v>
      </c>
      <c r="P38" s="100">
        <v>22.816218694831349</v>
      </c>
      <c r="Q38" s="101">
        <v>1.1163641835964026E-2</v>
      </c>
      <c r="R38" s="97">
        <v>22.162008688984209</v>
      </c>
      <c r="S38" s="98">
        <v>1.3417391047689737E-2</v>
      </c>
      <c r="T38" s="100">
        <v>22.65375309941026</v>
      </c>
      <c r="U38" s="101">
        <v>1.0978508581716874E-2</v>
      </c>
      <c r="V38" s="97">
        <v>0.91654579043066065</v>
      </c>
      <c r="W38" s="102">
        <v>1.3428481432283623E-2</v>
      </c>
      <c r="X38" s="99">
        <v>22.373794505550581</v>
      </c>
      <c r="Y38" s="98">
        <v>5.3104891634448807E-3</v>
      </c>
      <c r="Z38" s="100">
        <v>23.641952519735931</v>
      </c>
      <c r="AA38" s="101">
        <v>2.6672857484449374E-2</v>
      </c>
      <c r="AB38" s="100" t="s">
        <v>34</v>
      </c>
      <c r="AC38" s="103" t="s">
        <v>34</v>
      </c>
      <c r="AD38" s="97">
        <v>1.2681580141853495</v>
      </c>
      <c r="AE38" s="104">
        <v>2.7394536498854864E-2</v>
      </c>
    </row>
    <row r="39" spans="1:31" s="105" customFormat="1" x14ac:dyDescent="0.25">
      <c r="A39" s="94" t="s">
        <v>225</v>
      </c>
      <c r="B39" s="95">
        <v>207</v>
      </c>
      <c r="C39" s="96">
        <v>77.499275207519531</v>
      </c>
      <c r="D39" s="97">
        <v>43.864532436719067</v>
      </c>
      <c r="E39" s="98">
        <v>0.52673257125737416</v>
      </c>
      <c r="F39" s="99">
        <v>28</v>
      </c>
      <c r="G39" s="98" t="s">
        <v>35</v>
      </c>
      <c r="H39" s="100">
        <v>48</v>
      </c>
      <c r="I39" s="101" t="s">
        <v>35</v>
      </c>
      <c r="J39" s="97">
        <v>53</v>
      </c>
      <c r="K39" s="102" t="s">
        <v>35</v>
      </c>
      <c r="L39" s="97">
        <v>25</v>
      </c>
      <c r="M39" s="102" t="s">
        <v>35</v>
      </c>
      <c r="N39" s="99">
        <v>40.515020173704507</v>
      </c>
      <c r="O39" s="98">
        <v>1.4296585423559875</v>
      </c>
      <c r="P39" s="100">
        <v>46.418856861562077</v>
      </c>
      <c r="Q39" s="101">
        <v>1.2890777006899072</v>
      </c>
      <c r="R39" s="97">
        <v>46.873298944138647</v>
      </c>
      <c r="S39" s="98">
        <v>1.7190037745244171</v>
      </c>
      <c r="T39" s="100">
        <v>41.750318245998002</v>
      </c>
      <c r="U39" s="101">
        <v>1.5983485640364783</v>
      </c>
      <c r="V39" s="97">
        <v>1.235298072293489</v>
      </c>
      <c r="W39" s="102">
        <v>1.9580076002476696</v>
      </c>
      <c r="X39" s="99">
        <v>44.772797351192281</v>
      </c>
      <c r="Y39" s="98">
        <v>0.51455560256963062</v>
      </c>
      <c r="Z39" s="100" t="s">
        <v>34</v>
      </c>
      <c r="AA39" s="101" t="s">
        <v>34</v>
      </c>
      <c r="AB39" s="100">
        <v>37.778920164829437</v>
      </c>
      <c r="AC39" s="103">
        <v>2.4217768283162169</v>
      </c>
      <c r="AD39" s="97">
        <v>-6.9938771863628446</v>
      </c>
      <c r="AE39" s="104">
        <v>2.4882512030853738</v>
      </c>
    </row>
    <row r="40" spans="1:31" s="105" customFormat="1" x14ac:dyDescent="0.25">
      <c r="A40" s="94" t="s">
        <v>300</v>
      </c>
      <c r="B40" s="95">
        <v>145</v>
      </c>
      <c r="C40" s="96">
        <v>93.512641906738281</v>
      </c>
      <c r="D40" s="97">
        <v>24.912220078058741</v>
      </c>
      <c r="E40" s="98">
        <v>0.22571892039196012</v>
      </c>
      <c r="F40" s="99">
        <v>18</v>
      </c>
      <c r="G40" s="98">
        <v>2.9580398915498081</v>
      </c>
      <c r="H40" s="100">
        <v>28</v>
      </c>
      <c r="I40" s="101">
        <v>1.1180339887498949</v>
      </c>
      <c r="J40" s="97">
        <v>28</v>
      </c>
      <c r="K40" s="102" t="s">
        <v>35</v>
      </c>
      <c r="L40" s="97">
        <v>10</v>
      </c>
      <c r="M40" s="102">
        <v>2.9580398915498081</v>
      </c>
      <c r="N40" s="99">
        <v>21.113784746977831</v>
      </c>
      <c r="O40" s="98">
        <v>0.55723250852839379</v>
      </c>
      <c r="P40" s="100">
        <v>24.667963676495582</v>
      </c>
      <c r="Q40" s="101">
        <v>0.59670132812529575</v>
      </c>
      <c r="R40" s="97">
        <v>27.03389658340371</v>
      </c>
      <c r="S40" s="98">
        <v>0.40234200457413338</v>
      </c>
      <c r="T40" s="100">
        <v>26.793664900639929</v>
      </c>
      <c r="U40" s="101">
        <v>0.45877174265243992</v>
      </c>
      <c r="V40" s="97">
        <v>5.6798801536621006</v>
      </c>
      <c r="W40" s="102">
        <v>0.71666912917772696</v>
      </c>
      <c r="X40" s="99">
        <v>25.223141096519701</v>
      </c>
      <c r="Y40" s="98">
        <v>0.44409939259594938</v>
      </c>
      <c r="Z40" s="100">
        <v>24.995853489005899</v>
      </c>
      <c r="AA40" s="101">
        <v>0.32090229581711494</v>
      </c>
      <c r="AB40" s="100" t="s">
        <v>34</v>
      </c>
      <c r="AC40" s="103" t="s">
        <v>34</v>
      </c>
      <c r="AD40" s="97">
        <v>-0.2272876075138015</v>
      </c>
      <c r="AE40" s="104">
        <v>0.60317025833066396</v>
      </c>
    </row>
    <row r="41" spans="1:31" s="105" customFormat="1" x14ac:dyDescent="0.25">
      <c r="A41" s="94" t="s">
        <v>226</v>
      </c>
      <c r="B41" s="95">
        <v>181</v>
      </c>
      <c r="C41" s="96">
        <v>94.84259033203125</v>
      </c>
      <c r="D41" s="97">
        <v>25.075562912567239</v>
      </c>
      <c r="E41" s="98">
        <v>0.31022917099432645</v>
      </c>
      <c r="F41" s="99">
        <v>18</v>
      </c>
      <c r="G41" s="98" t="s">
        <v>35</v>
      </c>
      <c r="H41" s="100">
        <v>23</v>
      </c>
      <c r="I41" s="101">
        <v>4.0311288741492746</v>
      </c>
      <c r="J41" s="97">
        <v>28</v>
      </c>
      <c r="K41" s="102" t="s">
        <v>35</v>
      </c>
      <c r="L41" s="97">
        <v>10</v>
      </c>
      <c r="M41" s="102" t="s">
        <v>35</v>
      </c>
      <c r="N41" s="99">
        <v>23.409788825829231</v>
      </c>
      <c r="O41" s="98">
        <v>0.53992447447396053</v>
      </c>
      <c r="P41" s="100">
        <v>25.710510457327882</v>
      </c>
      <c r="Q41" s="101">
        <v>0.82451720696966113</v>
      </c>
      <c r="R41" s="97">
        <v>26.380453442179721</v>
      </c>
      <c r="S41" s="98">
        <v>0.8897536982482338</v>
      </c>
      <c r="T41" s="100">
        <v>24.773009560092252</v>
      </c>
      <c r="U41" s="101">
        <v>0.45951645745950942</v>
      </c>
      <c r="V41" s="97">
        <v>1.36322073426302</v>
      </c>
      <c r="W41" s="102">
        <v>0.76006043324213934</v>
      </c>
      <c r="X41" s="99">
        <v>25.360143793164291</v>
      </c>
      <c r="Y41" s="98">
        <v>0.31952947622423489</v>
      </c>
      <c r="Z41" s="100" t="s">
        <v>34</v>
      </c>
      <c r="AA41" s="101" t="s">
        <v>34</v>
      </c>
      <c r="AB41" s="100">
        <v>20.705557917262752</v>
      </c>
      <c r="AC41" s="103">
        <v>0.74264911753405594</v>
      </c>
      <c r="AD41" s="97">
        <v>-4.6545858759015388</v>
      </c>
      <c r="AE41" s="104">
        <v>0.79413644954252505</v>
      </c>
    </row>
    <row r="42" spans="1:31" s="105" customFormat="1" x14ac:dyDescent="0.25">
      <c r="A42" s="94" t="s">
        <v>227</v>
      </c>
      <c r="B42" s="95">
        <v>243</v>
      </c>
      <c r="C42" s="96">
        <v>97.620384216308594</v>
      </c>
      <c r="D42" s="97">
        <v>23.80009629098177</v>
      </c>
      <c r="E42" s="98">
        <v>0.20699119442068295</v>
      </c>
      <c r="F42" s="99">
        <v>18</v>
      </c>
      <c r="G42" s="98" t="s">
        <v>35</v>
      </c>
      <c r="H42" s="100">
        <v>23</v>
      </c>
      <c r="I42" s="101" t="s">
        <v>35</v>
      </c>
      <c r="J42" s="97">
        <v>28</v>
      </c>
      <c r="K42" s="102" t="s">
        <v>35</v>
      </c>
      <c r="L42" s="97">
        <v>10</v>
      </c>
      <c r="M42" s="102" t="s">
        <v>35</v>
      </c>
      <c r="N42" s="99">
        <v>21.631546527036569</v>
      </c>
      <c r="O42" s="98">
        <v>0.5661024758087404</v>
      </c>
      <c r="P42" s="100">
        <v>23.65950230990007</v>
      </c>
      <c r="Q42" s="101">
        <v>0.57895832285519133</v>
      </c>
      <c r="R42" s="97">
        <v>24.47088246722285</v>
      </c>
      <c r="S42" s="98">
        <v>0.68213652987901552</v>
      </c>
      <c r="T42" s="100">
        <v>25.46983472586102</v>
      </c>
      <c r="U42" s="101">
        <v>0.53660860943265121</v>
      </c>
      <c r="V42" s="97">
        <v>3.8382881988244431</v>
      </c>
      <c r="W42" s="102">
        <v>0.88478512964351352</v>
      </c>
      <c r="X42" s="99" t="s">
        <v>36</v>
      </c>
      <c r="Y42" s="98" t="s">
        <v>36</v>
      </c>
      <c r="Z42" s="100" t="s">
        <v>36</v>
      </c>
      <c r="AA42" s="101" t="s">
        <v>36</v>
      </c>
      <c r="AB42" s="100" t="s">
        <v>36</v>
      </c>
      <c r="AC42" s="103" t="s">
        <v>36</v>
      </c>
      <c r="AD42" s="97" t="s">
        <v>36</v>
      </c>
      <c r="AE42" s="104" t="s">
        <v>36</v>
      </c>
    </row>
    <row r="43" spans="1:31" s="105" customFormat="1" x14ac:dyDescent="0.25">
      <c r="A43" s="94" t="s">
        <v>228</v>
      </c>
      <c r="B43" s="95">
        <v>229</v>
      </c>
      <c r="C43" s="96">
        <v>98.568817138671875</v>
      </c>
      <c r="D43" s="97">
        <v>24.35636343558123</v>
      </c>
      <c r="E43" s="98">
        <v>0.48311814483286331</v>
      </c>
      <c r="F43" s="99">
        <v>18</v>
      </c>
      <c r="G43" s="98" t="s">
        <v>35</v>
      </c>
      <c r="H43" s="100">
        <v>23</v>
      </c>
      <c r="I43" s="101" t="s">
        <v>35</v>
      </c>
      <c r="J43" s="97">
        <v>28</v>
      </c>
      <c r="K43" s="102" t="s">
        <v>35</v>
      </c>
      <c r="L43" s="97">
        <v>10</v>
      </c>
      <c r="M43" s="102" t="s">
        <v>35</v>
      </c>
      <c r="N43" s="99">
        <v>22.510626228199161</v>
      </c>
      <c r="O43" s="98">
        <v>0.92131416833651325</v>
      </c>
      <c r="P43" s="100">
        <v>23.52385656333453</v>
      </c>
      <c r="Q43" s="101">
        <v>1.249557001095092</v>
      </c>
      <c r="R43" s="97">
        <v>25.706754973322049</v>
      </c>
      <c r="S43" s="98">
        <v>1.09637779495938</v>
      </c>
      <c r="T43" s="100">
        <v>25.686911882196849</v>
      </c>
      <c r="U43" s="101">
        <v>0.89106686136133462</v>
      </c>
      <c r="V43" s="97">
        <v>3.176285653997688</v>
      </c>
      <c r="W43" s="102">
        <v>1.2209455128773778</v>
      </c>
      <c r="X43" s="99">
        <v>24.519978275832671</v>
      </c>
      <c r="Y43" s="98">
        <v>0.48719092305832229</v>
      </c>
      <c r="Z43" s="100">
        <v>19.008554198372991</v>
      </c>
      <c r="AA43" s="101">
        <v>1.2286165988542403</v>
      </c>
      <c r="AB43" s="100" t="s">
        <v>34</v>
      </c>
      <c r="AC43" s="103" t="s">
        <v>34</v>
      </c>
      <c r="AD43" s="97">
        <v>-5.5114240774596794</v>
      </c>
      <c r="AE43" s="104">
        <v>1.301582918312896</v>
      </c>
    </row>
    <row r="44" spans="1:31" s="105" customFormat="1" x14ac:dyDescent="0.25">
      <c r="A44" s="94" t="s">
        <v>301</v>
      </c>
      <c r="B44" s="95">
        <v>230</v>
      </c>
      <c r="C44" s="96">
        <v>87.99951171875</v>
      </c>
      <c r="D44" s="97">
        <v>26.030371742350269</v>
      </c>
      <c r="E44" s="98">
        <v>0.15985217129988832</v>
      </c>
      <c r="F44" s="99">
        <v>23</v>
      </c>
      <c r="G44" s="98" t="s">
        <v>35</v>
      </c>
      <c r="H44" s="100">
        <v>28</v>
      </c>
      <c r="I44" s="101" t="s">
        <v>35</v>
      </c>
      <c r="J44" s="97">
        <v>28</v>
      </c>
      <c r="K44" s="102" t="s">
        <v>35</v>
      </c>
      <c r="L44" s="97">
        <v>5</v>
      </c>
      <c r="M44" s="102" t="s">
        <v>35</v>
      </c>
      <c r="N44" s="99">
        <v>24.681221008303741</v>
      </c>
      <c r="O44" s="98">
        <v>0.48794488527507085</v>
      </c>
      <c r="P44" s="100">
        <v>25.934408105772761</v>
      </c>
      <c r="Q44" s="101">
        <v>0.47871451366847917</v>
      </c>
      <c r="R44" s="97">
        <v>26.7474450500412</v>
      </c>
      <c r="S44" s="98">
        <v>0.40212347873252752</v>
      </c>
      <c r="T44" s="100">
        <v>26.799687086804472</v>
      </c>
      <c r="U44" s="101">
        <v>0.30716017522208028</v>
      </c>
      <c r="V44" s="97">
        <v>2.118466078500731</v>
      </c>
      <c r="W44" s="102">
        <v>0.59071111053357606</v>
      </c>
      <c r="X44" s="99">
        <v>26.387884285228619</v>
      </c>
      <c r="Y44" s="98">
        <v>0.13968805091284073</v>
      </c>
      <c r="Z44" s="100">
        <v>24.571732179835099</v>
      </c>
      <c r="AA44" s="101">
        <v>0.85113621193576372</v>
      </c>
      <c r="AB44" s="100">
        <v>23.34492457461684</v>
      </c>
      <c r="AC44" s="103">
        <v>1.0363658760455829</v>
      </c>
      <c r="AD44" s="97">
        <v>-2.4422322796670493</v>
      </c>
      <c r="AE44" s="104">
        <v>0.64962102803051347</v>
      </c>
    </row>
    <row r="45" spans="1:31" s="105" customFormat="1" x14ac:dyDescent="0.25">
      <c r="A45" s="94" t="s">
        <v>229</v>
      </c>
      <c r="B45" s="95">
        <v>357</v>
      </c>
      <c r="C45" s="96">
        <v>95.343818664550781</v>
      </c>
      <c r="D45" s="97">
        <v>21.941765533014539</v>
      </c>
      <c r="E45" s="98">
        <v>0.28418853162100205</v>
      </c>
      <c r="F45" s="99">
        <v>13</v>
      </c>
      <c r="G45" s="98" t="s">
        <v>35</v>
      </c>
      <c r="H45" s="100">
        <v>23</v>
      </c>
      <c r="I45" s="101" t="s">
        <v>35</v>
      </c>
      <c r="J45" s="97">
        <v>28</v>
      </c>
      <c r="K45" s="102" t="s">
        <v>35</v>
      </c>
      <c r="L45" s="97">
        <v>15</v>
      </c>
      <c r="M45" s="102" t="s">
        <v>35</v>
      </c>
      <c r="N45" s="99">
        <v>18.950378887403801</v>
      </c>
      <c r="O45" s="98">
        <v>0.57027992740530931</v>
      </c>
      <c r="P45" s="100">
        <v>21.71335247640155</v>
      </c>
      <c r="Q45" s="101">
        <v>0.73839424140427623</v>
      </c>
      <c r="R45" s="97">
        <v>22.455970382722651</v>
      </c>
      <c r="S45" s="98">
        <v>0.70251118163231097</v>
      </c>
      <c r="T45" s="100">
        <v>24.67338277908636</v>
      </c>
      <c r="U45" s="101">
        <v>0.63744628256188751</v>
      </c>
      <c r="V45" s="97">
        <v>5.7230038916825627</v>
      </c>
      <c r="W45" s="102">
        <v>0.88526157270018524</v>
      </c>
      <c r="X45" s="99">
        <v>21.77967726580184</v>
      </c>
      <c r="Y45" s="98">
        <v>0.32683059363833711</v>
      </c>
      <c r="Z45" s="100">
        <v>23.104648228128291</v>
      </c>
      <c r="AA45" s="101">
        <v>0.7843546521430389</v>
      </c>
      <c r="AB45" s="100" t="s">
        <v>34</v>
      </c>
      <c r="AC45" s="103" t="s">
        <v>34</v>
      </c>
      <c r="AD45" s="97">
        <v>1.3249709623264501</v>
      </c>
      <c r="AE45" s="104">
        <v>0.89439102587819275</v>
      </c>
    </row>
    <row r="46" spans="1:31" s="105" customFormat="1" x14ac:dyDescent="0.25">
      <c r="A46" s="94" t="s">
        <v>230</v>
      </c>
      <c r="B46" s="95">
        <v>276</v>
      </c>
      <c r="C46" s="96">
        <v>87.400062561035156</v>
      </c>
      <c r="D46" s="97">
        <v>26.088444167078631</v>
      </c>
      <c r="E46" s="98">
        <v>1.0285262341326784E-2</v>
      </c>
      <c r="F46" s="99">
        <v>23</v>
      </c>
      <c r="G46" s="98" t="s">
        <v>35</v>
      </c>
      <c r="H46" s="100">
        <v>28</v>
      </c>
      <c r="I46" s="101" t="s">
        <v>35</v>
      </c>
      <c r="J46" s="97">
        <v>28</v>
      </c>
      <c r="K46" s="102" t="s">
        <v>35</v>
      </c>
      <c r="L46" s="97">
        <v>5</v>
      </c>
      <c r="M46" s="102" t="s">
        <v>35</v>
      </c>
      <c r="N46" s="99">
        <v>24.190658750270352</v>
      </c>
      <c r="O46" s="98">
        <v>6.5700355190469947E-2</v>
      </c>
      <c r="P46" s="100">
        <v>26.35616034009113</v>
      </c>
      <c r="Q46" s="101">
        <v>6.5828416666269526E-2</v>
      </c>
      <c r="R46" s="97">
        <v>25.686363601366079</v>
      </c>
      <c r="S46" s="98">
        <v>2.3531385055411507E-2</v>
      </c>
      <c r="T46" s="100">
        <v>28.093292576479229</v>
      </c>
      <c r="U46" s="101">
        <v>1.5335252447885875E-2</v>
      </c>
      <c r="V46" s="97">
        <v>3.9026338262088842</v>
      </c>
      <c r="W46" s="102">
        <v>6.9746784693345817E-2</v>
      </c>
      <c r="X46" s="99">
        <v>25.962055752709482</v>
      </c>
      <c r="Y46" s="98">
        <v>1.2012370925170547E-2</v>
      </c>
      <c r="Z46" s="100">
        <v>30.870193349766321</v>
      </c>
      <c r="AA46" s="101">
        <v>7.2781235482340639E-2</v>
      </c>
      <c r="AB46" s="97" t="s">
        <v>34</v>
      </c>
      <c r="AC46" s="98" t="s">
        <v>34</v>
      </c>
      <c r="AD46" s="100">
        <v>4.9081375970568395</v>
      </c>
      <c r="AE46" s="104">
        <v>7.8554807926691644E-2</v>
      </c>
    </row>
    <row r="47" spans="1:31" s="105" customFormat="1" x14ac:dyDescent="0.25">
      <c r="A47" s="94" t="s">
        <v>231</v>
      </c>
      <c r="B47" s="95">
        <v>1048</v>
      </c>
      <c r="C47" s="96">
        <v>97.050041198730469</v>
      </c>
      <c r="D47" s="97">
        <v>29.448772796945981</v>
      </c>
      <c r="E47" s="98">
        <v>0.41440572805362752</v>
      </c>
      <c r="F47" s="99">
        <v>18</v>
      </c>
      <c r="G47" s="98">
        <v>6.324555320336759</v>
      </c>
      <c r="H47" s="100">
        <v>28</v>
      </c>
      <c r="I47" s="101" t="s">
        <v>35</v>
      </c>
      <c r="J47" s="97">
        <v>48</v>
      </c>
      <c r="K47" s="102">
        <v>6.1237243569579451</v>
      </c>
      <c r="L47" s="97">
        <v>30</v>
      </c>
      <c r="M47" s="102">
        <v>7.245688373094719</v>
      </c>
      <c r="N47" s="99">
        <v>28.911287598405231</v>
      </c>
      <c r="O47" s="98">
        <v>0.72007763174187323</v>
      </c>
      <c r="P47" s="100">
        <v>28.861047420793891</v>
      </c>
      <c r="Q47" s="101">
        <v>0.86388802644140039</v>
      </c>
      <c r="R47" s="97">
        <v>29.304278287651311</v>
      </c>
      <c r="S47" s="98">
        <v>0.92442832054161328</v>
      </c>
      <c r="T47" s="100">
        <v>30.73695778157477</v>
      </c>
      <c r="U47" s="101">
        <v>1.0037260938767527</v>
      </c>
      <c r="V47" s="97">
        <v>1.8256701831695421</v>
      </c>
      <c r="W47" s="102">
        <v>1.2765601801257973</v>
      </c>
      <c r="X47" s="99">
        <v>28.679851404975281</v>
      </c>
      <c r="Y47" s="98">
        <v>0.45872378408818304</v>
      </c>
      <c r="Z47" s="100">
        <v>31.01009293203246</v>
      </c>
      <c r="AA47" s="101">
        <v>1.0558561291775321</v>
      </c>
      <c r="AB47" s="100">
        <v>29.99291709707391</v>
      </c>
      <c r="AC47" s="103">
        <v>1.9738472690558395</v>
      </c>
      <c r="AD47" s="97">
        <v>2.1293565874594691</v>
      </c>
      <c r="AE47" s="104">
        <v>1.0501097329615754</v>
      </c>
    </row>
    <row r="48" spans="1:31" s="105" customFormat="1" x14ac:dyDescent="0.25">
      <c r="A48" s="94" t="s">
        <v>232</v>
      </c>
      <c r="B48" s="95">
        <v>197</v>
      </c>
      <c r="C48" s="96">
        <v>93.947181701660156</v>
      </c>
      <c r="D48" s="97">
        <v>24.349247312458679</v>
      </c>
      <c r="E48" s="98">
        <v>0.2707707890002824</v>
      </c>
      <c r="F48" s="99">
        <v>18</v>
      </c>
      <c r="G48" s="98">
        <v>1.1180339887498949</v>
      </c>
      <c r="H48" s="100">
        <v>23</v>
      </c>
      <c r="I48" s="101" t="s">
        <v>35</v>
      </c>
      <c r="J48" s="97">
        <v>28</v>
      </c>
      <c r="K48" s="102" t="s">
        <v>35</v>
      </c>
      <c r="L48" s="97">
        <v>10</v>
      </c>
      <c r="M48" s="102">
        <v>1.1180339887498949</v>
      </c>
      <c r="N48" s="99">
        <v>23.13898406333406</v>
      </c>
      <c r="O48" s="98">
        <v>0.60916985170102433</v>
      </c>
      <c r="P48" s="100">
        <v>23.68470413413975</v>
      </c>
      <c r="Q48" s="101">
        <v>0.60758349743839246</v>
      </c>
      <c r="R48" s="97">
        <v>24.773727345549108</v>
      </c>
      <c r="S48" s="98">
        <v>0.51367812543986946</v>
      </c>
      <c r="T48" s="100">
        <v>25.858307607579881</v>
      </c>
      <c r="U48" s="101">
        <v>0.5350966962455046</v>
      </c>
      <c r="V48" s="97">
        <v>2.719323544245817</v>
      </c>
      <c r="W48" s="102">
        <v>0.78923372004469128</v>
      </c>
      <c r="X48" s="99">
        <v>24.523077699707041</v>
      </c>
      <c r="Y48" s="98">
        <v>0.31430852552679733</v>
      </c>
      <c r="Z48" s="100">
        <v>23.6637340697364</v>
      </c>
      <c r="AA48" s="101">
        <v>0.64215118094618528</v>
      </c>
      <c r="AB48" s="100" t="s">
        <v>34</v>
      </c>
      <c r="AC48" s="103" t="s">
        <v>34</v>
      </c>
      <c r="AD48" s="97">
        <v>-0.85934362997064184</v>
      </c>
      <c r="AE48" s="104">
        <v>0.74026762791329159</v>
      </c>
    </row>
    <row r="49" spans="1:31" s="105" customFormat="1" x14ac:dyDescent="0.25">
      <c r="A49" s="94" t="s">
        <v>233</v>
      </c>
      <c r="B49" s="95">
        <v>157</v>
      </c>
      <c r="C49" s="96">
        <v>74.739677429199219</v>
      </c>
      <c r="D49" s="97">
        <v>19.153154244228169</v>
      </c>
      <c r="E49" s="98">
        <v>0.2371923273109901</v>
      </c>
      <c r="F49" s="99">
        <v>13</v>
      </c>
      <c r="G49" s="98">
        <v>4.1833001326703778</v>
      </c>
      <c r="H49" s="100">
        <v>18</v>
      </c>
      <c r="I49" s="101" t="s">
        <v>35</v>
      </c>
      <c r="J49" s="97">
        <v>23</v>
      </c>
      <c r="K49" s="102" t="s">
        <v>35</v>
      </c>
      <c r="L49" s="97">
        <v>10</v>
      </c>
      <c r="M49" s="102">
        <v>4.1833001326703778</v>
      </c>
      <c r="N49" s="99">
        <v>19.0148563008295</v>
      </c>
      <c r="O49" s="98">
        <v>0.69913298155382708</v>
      </c>
      <c r="P49" s="100">
        <v>18.704036205260849</v>
      </c>
      <c r="Q49" s="101">
        <v>0.74776427111881716</v>
      </c>
      <c r="R49" s="97">
        <v>18.570926685802991</v>
      </c>
      <c r="S49" s="98">
        <v>0.40260113057077479</v>
      </c>
      <c r="T49" s="100">
        <v>20.317057958767631</v>
      </c>
      <c r="U49" s="101">
        <v>0.54769848451296521</v>
      </c>
      <c r="V49" s="97">
        <v>1.302201657938131</v>
      </c>
      <c r="W49" s="102">
        <v>0.85974554117537338</v>
      </c>
      <c r="X49" s="99">
        <v>19.385361498718311</v>
      </c>
      <c r="Y49" s="98">
        <v>0.23146662908323043</v>
      </c>
      <c r="Z49" s="100" t="s">
        <v>34</v>
      </c>
      <c r="AA49" s="101" t="s">
        <v>34</v>
      </c>
      <c r="AB49" s="100">
        <v>14.59092431746417</v>
      </c>
      <c r="AC49" s="103">
        <v>0.89648619462161339</v>
      </c>
      <c r="AD49" s="97">
        <v>-4.7944371812541409</v>
      </c>
      <c r="AE49" s="104">
        <v>0.93530255683215502</v>
      </c>
    </row>
    <row r="50" spans="1:31" s="105" customFormat="1" x14ac:dyDescent="0.25">
      <c r="A50" s="94" t="s">
        <v>234</v>
      </c>
      <c r="B50" s="95">
        <v>180</v>
      </c>
      <c r="C50" s="96">
        <v>99.487930297851563</v>
      </c>
      <c r="D50" s="97">
        <v>42.256310607224478</v>
      </c>
      <c r="E50" s="98">
        <v>0.96336853291124136</v>
      </c>
      <c r="F50" s="99">
        <v>28</v>
      </c>
      <c r="G50" s="98">
        <v>3.3541019662496847</v>
      </c>
      <c r="H50" s="100">
        <v>48</v>
      </c>
      <c r="I50" s="101">
        <v>7.0710678118654755</v>
      </c>
      <c r="J50" s="97">
        <v>53</v>
      </c>
      <c r="K50" s="102" t="s">
        <v>35</v>
      </c>
      <c r="L50" s="97">
        <v>25</v>
      </c>
      <c r="M50" s="102">
        <v>3.3541019662496847</v>
      </c>
      <c r="N50" s="99">
        <v>42.084698864283638</v>
      </c>
      <c r="O50" s="98">
        <v>2.1573027602863828</v>
      </c>
      <c r="P50" s="100">
        <v>42.234393479643607</v>
      </c>
      <c r="Q50" s="101">
        <v>1.9593329168917728</v>
      </c>
      <c r="R50" s="97">
        <v>42.661811615629681</v>
      </c>
      <c r="S50" s="98">
        <v>1.8355613349977169</v>
      </c>
      <c r="T50" s="100">
        <v>42.033283092494351</v>
      </c>
      <c r="U50" s="101">
        <v>2.2586931447479244</v>
      </c>
      <c r="V50" s="97">
        <v>-5.14157717892871E-2</v>
      </c>
      <c r="W50" s="102">
        <v>3.0311304704887485</v>
      </c>
      <c r="X50" s="99">
        <v>42.721722913034753</v>
      </c>
      <c r="Y50" s="98">
        <v>0.9941822633486751</v>
      </c>
      <c r="Z50" s="100" t="s">
        <v>34</v>
      </c>
      <c r="AA50" s="101" t="s">
        <v>34</v>
      </c>
      <c r="AB50" s="100">
        <v>37.97016290673124</v>
      </c>
      <c r="AC50" s="103">
        <v>3.7824823535881618</v>
      </c>
      <c r="AD50" s="97">
        <v>-4.7515600063035137</v>
      </c>
      <c r="AE50" s="104">
        <v>3.8296639522568663</v>
      </c>
    </row>
    <row r="51" spans="1:31" s="105" customFormat="1" x14ac:dyDescent="0.25">
      <c r="A51" s="94" t="s">
        <v>235</v>
      </c>
      <c r="B51" s="95">
        <v>389</v>
      </c>
      <c r="C51" s="96">
        <v>79.248588562011719</v>
      </c>
      <c r="D51" s="97">
        <v>24.937825918672932</v>
      </c>
      <c r="E51" s="98">
        <v>0.28245190930610964</v>
      </c>
      <c r="F51" s="99">
        <v>18</v>
      </c>
      <c r="G51" s="98" t="s">
        <v>35</v>
      </c>
      <c r="H51" s="100">
        <v>23</v>
      </c>
      <c r="I51" s="101">
        <v>6.324555320336759</v>
      </c>
      <c r="J51" s="97">
        <v>28</v>
      </c>
      <c r="K51" s="102" t="s">
        <v>35</v>
      </c>
      <c r="L51" s="97">
        <v>10</v>
      </c>
      <c r="M51" s="102" t="s">
        <v>35</v>
      </c>
      <c r="N51" s="99">
        <v>24.942183763337841</v>
      </c>
      <c r="O51" s="98">
        <v>0.50340082589831125</v>
      </c>
      <c r="P51" s="100">
        <v>25.54574039005481</v>
      </c>
      <c r="Q51" s="101">
        <v>0.53718699583326868</v>
      </c>
      <c r="R51" s="97">
        <v>26.36858753672292</v>
      </c>
      <c r="S51" s="98">
        <v>0.7952509211008828</v>
      </c>
      <c r="T51" s="100">
        <v>22.71481494226359</v>
      </c>
      <c r="U51" s="101">
        <v>0.59062622245477314</v>
      </c>
      <c r="V51" s="97">
        <v>-2.227368821074251</v>
      </c>
      <c r="W51" s="102">
        <v>0.70580555039281256</v>
      </c>
      <c r="X51" s="99">
        <v>25.37663946846601</v>
      </c>
      <c r="Y51" s="98">
        <v>0.30702819441625229</v>
      </c>
      <c r="Z51" s="100">
        <v>25.897447827109339</v>
      </c>
      <c r="AA51" s="101">
        <v>0.40737168786293226</v>
      </c>
      <c r="AB51" s="100">
        <v>17.63650748597761</v>
      </c>
      <c r="AC51" s="103">
        <v>0.78317555688804852</v>
      </c>
      <c r="AD51" s="97">
        <v>-0.68250272720309013</v>
      </c>
      <c r="AE51" s="104">
        <v>0.4839538894504497</v>
      </c>
    </row>
    <row r="52" spans="1:31" s="105" customFormat="1" x14ac:dyDescent="0.25">
      <c r="A52" s="94" t="s">
        <v>302</v>
      </c>
      <c r="B52" s="95">
        <v>143</v>
      </c>
      <c r="C52" s="96">
        <v>87.245994567871094</v>
      </c>
      <c r="D52" s="97">
        <v>26.180641067451969</v>
      </c>
      <c r="E52" s="98">
        <v>0.39899311926893422</v>
      </c>
      <c r="F52" s="99">
        <v>18</v>
      </c>
      <c r="G52" s="98" t="s">
        <v>35</v>
      </c>
      <c r="H52" s="100">
        <v>28</v>
      </c>
      <c r="I52" s="101" t="s">
        <v>35</v>
      </c>
      <c r="J52" s="97">
        <v>33</v>
      </c>
      <c r="K52" s="102" t="s">
        <v>35</v>
      </c>
      <c r="L52" s="97">
        <v>15</v>
      </c>
      <c r="M52" s="102" t="s">
        <v>35</v>
      </c>
      <c r="N52" s="99">
        <v>26.208370627653231</v>
      </c>
      <c r="O52" s="98">
        <v>1.0521262560959201</v>
      </c>
      <c r="P52" s="100">
        <v>26.570652439166679</v>
      </c>
      <c r="Q52" s="101">
        <v>1.6256252521060337</v>
      </c>
      <c r="R52" s="97">
        <v>25.470923840996001</v>
      </c>
      <c r="S52" s="98">
        <v>1.4675741973702761</v>
      </c>
      <c r="T52" s="100">
        <v>26.448339280253439</v>
      </c>
      <c r="U52" s="101">
        <v>1.044758226735343</v>
      </c>
      <c r="V52" s="97">
        <v>0.2399686526002078</v>
      </c>
      <c r="W52" s="102">
        <v>1.6173425520236957</v>
      </c>
      <c r="X52" s="99">
        <v>26.605577460119111</v>
      </c>
      <c r="Y52" s="98">
        <v>0.40576115506558447</v>
      </c>
      <c r="Z52" s="100" t="s">
        <v>34</v>
      </c>
      <c r="AA52" s="101" t="s">
        <v>34</v>
      </c>
      <c r="AB52" s="100">
        <v>22.097419366909701</v>
      </c>
      <c r="AC52" s="103">
        <v>1.059992862763421</v>
      </c>
      <c r="AD52" s="97">
        <v>-4.5081580932094099</v>
      </c>
      <c r="AE52" s="104">
        <v>1.115556886750743</v>
      </c>
    </row>
    <row r="53" spans="1:31" s="105" customFormat="1" x14ac:dyDescent="0.25">
      <c r="A53" s="94" t="s">
        <v>236</v>
      </c>
      <c r="B53" s="95" t="s">
        <v>34</v>
      </c>
      <c r="C53" s="96" t="s">
        <v>34</v>
      </c>
      <c r="D53" s="97">
        <v>26.208097988023901</v>
      </c>
      <c r="E53" s="98">
        <v>6.0579673469749101E-2</v>
      </c>
      <c r="F53" s="99">
        <v>18.810810810810811</v>
      </c>
      <c r="G53" s="98">
        <v>0.35238931920014321</v>
      </c>
      <c r="H53" s="100">
        <v>26.648648648648649</v>
      </c>
      <c r="I53" s="101">
        <v>0.33648377291861442</v>
      </c>
      <c r="J53" s="97">
        <v>31.783783783783779</v>
      </c>
      <c r="K53" s="102">
        <v>0.40201283190928427</v>
      </c>
      <c r="L53" s="97">
        <v>12.97297297297297</v>
      </c>
      <c r="M53" s="102">
        <v>0.53969528507340159</v>
      </c>
      <c r="N53" s="99">
        <v>24.196952550220491</v>
      </c>
      <c r="O53" s="98">
        <v>0.1411740144893352</v>
      </c>
      <c r="P53" s="100">
        <v>26.276383912189811</v>
      </c>
      <c r="Q53" s="101">
        <v>0.15701422553139779</v>
      </c>
      <c r="R53" s="97">
        <v>27.258204793862511</v>
      </c>
      <c r="S53" s="98">
        <v>0.14823110108370149</v>
      </c>
      <c r="T53" s="100">
        <v>27.496506729769621</v>
      </c>
      <c r="U53" s="101">
        <v>0.1324266472849715</v>
      </c>
      <c r="V53" s="97">
        <v>3.2995541795491228</v>
      </c>
      <c r="W53" s="102">
        <v>0.19279369931877149</v>
      </c>
      <c r="X53" s="99">
        <v>26.72972844018787</v>
      </c>
      <c r="Y53" s="98">
        <v>7.6279735437102605E-2</v>
      </c>
      <c r="Z53" s="100">
        <v>25.848935670780708</v>
      </c>
      <c r="AA53" s="101">
        <v>0.21920410259002751</v>
      </c>
      <c r="AB53" s="100">
        <v>26.893756859533351</v>
      </c>
      <c r="AC53" s="103">
        <v>0.51710891252420688</v>
      </c>
      <c r="AD53" s="97">
        <v>-0.76061837042068114</v>
      </c>
      <c r="AE53" s="104">
        <v>0.28665676624415931</v>
      </c>
    </row>
    <row r="54" spans="1:31" s="105" customFormat="1" x14ac:dyDescent="0.25">
      <c r="A54" s="180" t="s">
        <v>279</v>
      </c>
      <c r="B54" s="95"/>
      <c r="C54" s="96"/>
      <c r="D54" s="97"/>
      <c r="E54" s="98"/>
      <c r="F54" s="99"/>
      <c r="G54" s="98"/>
      <c r="H54" s="100"/>
      <c r="I54" s="101"/>
      <c r="J54" s="97"/>
      <c r="K54" s="102"/>
      <c r="L54" s="97"/>
      <c r="M54" s="102"/>
      <c r="N54" s="99"/>
      <c r="O54" s="98"/>
      <c r="P54" s="100"/>
      <c r="Q54" s="101"/>
      <c r="R54" s="97"/>
      <c r="S54" s="98"/>
      <c r="T54" s="100"/>
      <c r="U54" s="101"/>
      <c r="V54" s="97"/>
      <c r="W54" s="102"/>
      <c r="X54" s="99"/>
      <c r="Y54" s="98"/>
      <c r="Z54" s="100"/>
      <c r="AA54" s="101"/>
      <c r="AB54" s="100"/>
      <c r="AC54" s="103"/>
      <c r="AD54" s="97"/>
      <c r="AE54" s="104"/>
    </row>
    <row r="55" spans="1:31" s="105" customFormat="1" x14ac:dyDescent="0.25">
      <c r="A55" s="94" t="s">
        <v>237</v>
      </c>
      <c r="B55" s="95">
        <v>325</v>
      </c>
      <c r="C55" s="96">
        <v>99.580276489257813</v>
      </c>
      <c r="D55" s="97">
        <v>26.159006324059511</v>
      </c>
      <c r="E55" s="98">
        <v>0.31972508007369527</v>
      </c>
      <c r="F55" s="99">
        <v>18</v>
      </c>
      <c r="G55" s="98" t="s">
        <v>35</v>
      </c>
      <c r="H55" s="100">
        <v>28</v>
      </c>
      <c r="I55" s="101" t="s">
        <v>35</v>
      </c>
      <c r="J55" s="97">
        <v>33</v>
      </c>
      <c r="K55" s="102" t="s">
        <v>35</v>
      </c>
      <c r="L55" s="97">
        <v>15</v>
      </c>
      <c r="M55" s="102" t="s">
        <v>35</v>
      </c>
      <c r="N55" s="99">
        <v>22.683160865942721</v>
      </c>
      <c r="O55" s="98">
        <v>0.76037919961084344</v>
      </c>
      <c r="P55" s="100">
        <v>25.92475950382423</v>
      </c>
      <c r="Q55" s="101">
        <v>0.83565566684857473</v>
      </c>
      <c r="R55" s="97">
        <v>29.13791680017566</v>
      </c>
      <c r="S55" s="98">
        <v>0.72843365526826054</v>
      </c>
      <c r="T55" s="100">
        <v>26.872650510070709</v>
      </c>
      <c r="U55" s="101">
        <v>0.59313566649120419</v>
      </c>
      <c r="V55" s="97">
        <v>4.1894896441279883</v>
      </c>
      <c r="W55" s="102">
        <v>0.99747846114806848</v>
      </c>
      <c r="X55" s="99">
        <v>26.960426997823721</v>
      </c>
      <c r="Y55" s="98">
        <v>0.32041994895475218</v>
      </c>
      <c r="Z55" s="100" t="s">
        <v>34</v>
      </c>
      <c r="AA55" s="101" t="s">
        <v>34</v>
      </c>
      <c r="AB55" s="100">
        <v>19.737797617859531</v>
      </c>
      <c r="AC55" s="103">
        <v>1.0099177863780751</v>
      </c>
      <c r="AD55" s="97">
        <v>-7.2226293799641894</v>
      </c>
      <c r="AE55" s="104">
        <v>1.0391640725775702</v>
      </c>
    </row>
    <row r="56" spans="1:31" s="105" customFormat="1" x14ac:dyDescent="0.25">
      <c r="A56" s="94" t="s">
        <v>238</v>
      </c>
      <c r="B56" s="95">
        <v>432</v>
      </c>
      <c r="C56" s="96">
        <v>95.497421264648438</v>
      </c>
      <c r="D56" s="97">
        <v>36.372610927507523</v>
      </c>
      <c r="E56" s="98">
        <v>0.99564112653587133</v>
      </c>
      <c r="F56" s="99">
        <v>18</v>
      </c>
      <c r="G56" s="98" t="s">
        <v>35</v>
      </c>
      <c r="H56" s="100">
        <v>33</v>
      </c>
      <c r="I56" s="101">
        <v>5</v>
      </c>
      <c r="J56" s="97">
        <v>53</v>
      </c>
      <c r="K56" s="102" t="s">
        <v>35</v>
      </c>
      <c r="L56" s="97">
        <v>35</v>
      </c>
      <c r="M56" s="102" t="s">
        <v>35</v>
      </c>
      <c r="N56" s="99">
        <v>34.114419563505322</v>
      </c>
      <c r="O56" s="98">
        <v>1.7359482725444062</v>
      </c>
      <c r="P56" s="100">
        <v>33.204781843329407</v>
      </c>
      <c r="Q56" s="101">
        <v>1.8533556614798723</v>
      </c>
      <c r="R56" s="97">
        <v>39.45656873032511</v>
      </c>
      <c r="S56" s="98">
        <v>2.4234872126510716</v>
      </c>
      <c r="T56" s="100">
        <v>38.828281247743291</v>
      </c>
      <c r="U56" s="101">
        <v>1.8370069395549018</v>
      </c>
      <c r="V56" s="97">
        <v>4.7138616842379761</v>
      </c>
      <c r="W56" s="102">
        <v>2.5857947158861911</v>
      </c>
      <c r="X56" s="99">
        <v>35.356574353935983</v>
      </c>
      <c r="Y56" s="98">
        <v>1.2523155183399421</v>
      </c>
      <c r="Z56" s="100">
        <v>39.047612969733628</v>
      </c>
      <c r="AA56" s="101">
        <v>1.9653763670703546</v>
      </c>
      <c r="AB56" s="100">
        <v>35.122912419529847</v>
      </c>
      <c r="AC56" s="103">
        <v>2.1727084748909311</v>
      </c>
      <c r="AD56" s="97">
        <v>2.6051370275276753</v>
      </c>
      <c r="AE56" s="104">
        <v>2.0175733377016796</v>
      </c>
    </row>
    <row r="57" spans="1:31" s="105" customFormat="1" x14ac:dyDescent="0.25">
      <c r="A57" s="94" t="s">
        <v>239</v>
      </c>
      <c r="B57" s="95">
        <v>111</v>
      </c>
      <c r="C57" s="96">
        <v>54.042346954345703</v>
      </c>
      <c r="D57" s="97">
        <v>26.4885617208779</v>
      </c>
      <c r="E57" s="98">
        <v>0.76410658539880161</v>
      </c>
      <c r="F57" s="99">
        <v>23</v>
      </c>
      <c r="G57" s="98">
        <v>6.9821200218844703</v>
      </c>
      <c r="H57" s="100">
        <v>23</v>
      </c>
      <c r="I57" s="101" t="s">
        <v>35</v>
      </c>
      <c r="J57" s="97">
        <v>33</v>
      </c>
      <c r="K57" s="102">
        <v>7.0710678118654755</v>
      </c>
      <c r="L57" s="97">
        <v>10</v>
      </c>
      <c r="M57" s="102">
        <v>11.236102527122116</v>
      </c>
      <c r="N57" s="99">
        <v>27.002182111452591</v>
      </c>
      <c r="O57" s="98">
        <v>1.3275102578912732</v>
      </c>
      <c r="P57" s="100">
        <v>27.227289184321361</v>
      </c>
      <c r="Q57" s="101">
        <v>1.7345432767479967</v>
      </c>
      <c r="R57" s="97">
        <v>25.314700566553839</v>
      </c>
      <c r="S57" s="98">
        <v>1.6715377015130848</v>
      </c>
      <c r="T57" s="100">
        <v>26.382283165253259</v>
      </c>
      <c r="U57" s="101">
        <v>1.7121335475035262</v>
      </c>
      <c r="V57" s="97">
        <v>-0.61989894619933494</v>
      </c>
      <c r="W57" s="102">
        <v>2.2018311820828038</v>
      </c>
      <c r="X57" s="99">
        <v>26.553902289966231</v>
      </c>
      <c r="Y57" s="98">
        <v>0.76921101820029891</v>
      </c>
      <c r="Z57" s="100" t="s">
        <v>34</v>
      </c>
      <c r="AA57" s="101" t="s">
        <v>34</v>
      </c>
      <c r="AB57" s="100" t="s">
        <v>34</v>
      </c>
      <c r="AC57" s="103" t="s">
        <v>34</v>
      </c>
      <c r="AD57" s="97" t="s">
        <v>34</v>
      </c>
      <c r="AE57" s="104" t="s">
        <v>34</v>
      </c>
    </row>
    <row r="58" spans="1:31" s="105" customFormat="1" x14ac:dyDescent="0.25">
      <c r="A58" s="94" t="s">
        <v>240</v>
      </c>
      <c r="B58" s="95">
        <v>234</v>
      </c>
      <c r="C58" s="96">
        <v>100</v>
      </c>
      <c r="D58" s="97">
        <v>23.289948115597781</v>
      </c>
      <c r="E58" s="98">
        <v>0.4375241528890349</v>
      </c>
      <c r="F58" s="99">
        <v>13</v>
      </c>
      <c r="G58" s="98">
        <v>5.7008771254956896</v>
      </c>
      <c r="H58" s="100">
        <v>23</v>
      </c>
      <c r="I58" s="101" t="s">
        <v>35</v>
      </c>
      <c r="J58" s="97">
        <v>28</v>
      </c>
      <c r="K58" s="102" t="s">
        <v>35</v>
      </c>
      <c r="L58" s="97">
        <v>15</v>
      </c>
      <c r="M58" s="102">
        <v>5.7008771254956896</v>
      </c>
      <c r="N58" s="99">
        <v>19.37232657920411</v>
      </c>
      <c r="O58" s="98">
        <v>0.44365192583803748</v>
      </c>
      <c r="P58" s="100">
        <v>25.059483505304829</v>
      </c>
      <c r="Q58" s="101">
        <v>1.3235985084687938</v>
      </c>
      <c r="R58" s="97">
        <v>24.096776670289909</v>
      </c>
      <c r="S58" s="98">
        <v>0.65247146386637211</v>
      </c>
      <c r="T58" s="100">
        <v>24.604684623880129</v>
      </c>
      <c r="U58" s="101">
        <v>0.86400512511621186</v>
      </c>
      <c r="V58" s="97">
        <v>5.2323580446760261</v>
      </c>
      <c r="W58" s="102">
        <v>0.94160456584218644</v>
      </c>
      <c r="X58" s="99">
        <v>23.291083078811511</v>
      </c>
      <c r="Y58" s="98">
        <v>0.439260289111568</v>
      </c>
      <c r="Z58" s="100" t="s">
        <v>34</v>
      </c>
      <c r="AA58" s="101" t="s">
        <v>34</v>
      </c>
      <c r="AB58" s="100" t="s">
        <v>34</v>
      </c>
      <c r="AC58" s="103" t="s">
        <v>34</v>
      </c>
      <c r="AD58" s="97" t="s">
        <v>34</v>
      </c>
      <c r="AE58" s="104" t="s">
        <v>34</v>
      </c>
    </row>
    <row r="59" spans="1:31" s="105" customFormat="1" x14ac:dyDescent="0.25">
      <c r="A59" s="94" t="s">
        <v>241</v>
      </c>
      <c r="B59" s="95">
        <v>128</v>
      </c>
      <c r="C59" s="96">
        <v>82.96954345703125</v>
      </c>
      <c r="D59" s="97">
        <v>23.184955445274021</v>
      </c>
      <c r="E59" s="98">
        <v>0.41376891420945783</v>
      </c>
      <c r="F59" s="99">
        <v>18</v>
      </c>
      <c r="G59" s="98" t="s">
        <v>35</v>
      </c>
      <c r="H59" s="100">
        <v>23</v>
      </c>
      <c r="I59" s="101" t="s">
        <v>35</v>
      </c>
      <c r="J59" s="97">
        <v>28</v>
      </c>
      <c r="K59" s="102" t="s">
        <v>35</v>
      </c>
      <c r="L59" s="97">
        <v>10</v>
      </c>
      <c r="M59" s="102" t="s">
        <v>35</v>
      </c>
      <c r="N59" s="99">
        <v>22.07714019521805</v>
      </c>
      <c r="O59" s="98">
        <v>0.60030374106706197</v>
      </c>
      <c r="P59" s="100">
        <v>23.10938519973628</v>
      </c>
      <c r="Q59" s="101">
        <v>1.3922561558940709</v>
      </c>
      <c r="R59" s="97">
        <v>23.53431172563457</v>
      </c>
      <c r="S59" s="98">
        <v>1.3578615281629105</v>
      </c>
      <c r="T59" s="100">
        <v>24.030353398803431</v>
      </c>
      <c r="U59" s="101">
        <v>0.68673315521346967</v>
      </c>
      <c r="V59" s="97">
        <v>1.953213203585378</v>
      </c>
      <c r="W59" s="102">
        <v>0.83632991422340375</v>
      </c>
      <c r="X59" s="99">
        <v>23.21479246470199</v>
      </c>
      <c r="Y59" s="98">
        <v>0.41551442275226547</v>
      </c>
      <c r="Z59" s="100" t="s">
        <v>34</v>
      </c>
      <c r="AA59" s="101" t="s">
        <v>34</v>
      </c>
      <c r="AB59" s="100" t="s">
        <v>34</v>
      </c>
      <c r="AC59" s="103" t="s">
        <v>34</v>
      </c>
      <c r="AD59" s="97" t="s">
        <v>34</v>
      </c>
      <c r="AE59" s="104" t="s">
        <v>34</v>
      </c>
    </row>
    <row r="60" spans="1:31" s="105" customFormat="1" x14ac:dyDescent="0.25">
      <c r="A60" s="94" t="s">
        <v>242</v>
      </c>
      <c r="B60" s="95">
        <v>420</v>
      </c>
      <c r="C60" s="96">
        <v>77.87353515625</v>
      </c>
      <c r="D60" s="97">
        <v>36.044120909816669</v>
      </c>
      <c r="E60" s="98">
        <v>0.36122471528378852</v>
      </c>
      <c r="F60" s="99">
        <v>28</v>
      </c>
      <c r="G60" s="98" t="s">
        <v>35</v>
      </c>
      <c r="H60" s="100">
        <v>38</v>
      </c>
      <c r="I60" s="101" t="s">
        <v>35</v>
      </c>
      <c r="J60" s="97">
        <v>43</v>
      </c>
      <c r="K60" s="102">
        <v>1.1180339887498949</v>
      </c>
      <c r="L60" s="97">
        <v>15</v>
      </c>
      <c r="M60" s="102">
        <v>1.1180339887498949</v>
      </c>
      <c r="N60" s="99">
        <v>36.361300440404577</v>
      </c>
      <c r="O60" s="98">
        <v>0.71833098909066362</v>
      </c>
      <c r="P60" s="100">
        <v>36.948565168507123</v>
      </c>
      <c r="Q60" s="101">
        <v>0.65337014226810064</v>
      </c>
      <c r="R60" s="97">
        <v>35.902699874789029</v>
      </c>
      <c r="S60" s="98">
        <v>0.82164723784318172</v>
      </c>
      <c r="T60" s="100">
        <v>34.957719674027189</v>
      </c>
      <c r="U60" s="101">
        <v>0.91910808909000197</v>
      </c>
      <c r="V60" s="97">
        <v>-1.4035807663773949</v>
      </c>
      <c r="W60" s="102">
        <v>1.2324507404734542</v>
      </c>
      <c r="X60" s="99">
        <v>36.50034693392314</v>
      </c>
      <c r="Y60" s="98">
        <v>0.36849512337209828</v>
      </c>
      <c r="Z60" s="100" t="s">
        <v>34</v>
      </c>
      <c r="AA60" s="101" t="s">
        <v>34</v>
      </c>
      <c r="AB60" s="100">
        <v>34.129290862677067</v>
      </c>
      <c r="AC60" s="103">
        <v>1.2537258952604815</v>
      </c>
      <c r="AD60" s="97">
        <v>-2.3710560712460733</v>
      </c>
      <c r="AE60" s="104">
        <v>1.332899761797216</v>
      </c>
    </row>
    <row r="61" spans="1:31" s="105" customFormat="1" x14ac:dyDescent="0.25">
      <c r="A61" s="94" t="s">
        <v>243</v>
      </c>
      <c r="B61" s="95">
        <v>55</v>
      </c>
      <c r="C61" s="96">
        <v>100</v>
      </c>
      <c r="D61" s="97">
        <v>24.199730921614432</v>
      </c>
      <c r="E61" s="98">
        <v>8.0999843145312493E-3</v>
      </c>
      <c r="F61" s="99">
        <v>18</v>
      </c>
      <c r="G61" s="98" t="s">
        <v>35</v>
      </c>
      <c r="H61" s="100">
        <v>23</v>
      </c>
      <c r="I61" s="101" t="s">
        <v>35</v>
      </c>
      <c r="J61" s="97">
        <v>28</v>
      </c>
      <c r="K61" s="102" t="s">
        <v>35</v>
      </c>
      <c r="L61" s="97">
        <v>10</v>
      </c>
      <c r="M61" s="102" t="s">
        <v>35</v>
      </c>
      <c r="N61" s="99">
        <v>23.717293453332498</v>
      </c>
      <c r="O61" s="98">
        <v>1.2292835532219951E-2</v>
      </c>
      <c r="P61" s="100">
        <v>24.65588038651595</v>
      </c>
      <c r="Q61" s="101">
        <v>1.4015709603564781E-2</v>
      </c>
      <c r="R61" s="97">
        <v>24.152075525210179</v>
      </c>
      <c r="S61" s="98">
        <v>1.5268162637667075E-2</v>
      </c>
      <c r="T61" s="100">
        <v>24.287662947153908</v>
      </c>
      <c r="U61" s="101">
        <v>1.7244313594648418E-2</v>
      </c>
      <c r="V61" s="97">
        <v>0.57036949382140634</v>
      </c>
      <c r="W61" s="102">
        <v>1.9280538470134563E-2</v>
      </c>
      <c r="X61" s="99">
        <v>23.72846081846745</v>
      </c>
      <c r="Y61" s="98">
        <v>7.6320770546297375E-3</v>
      </c>
      <c r="Z61" s="100" t="s">
        <v>34</v>
      </c>
      <c r="AA61" s="101" t="s">
        <v>34</v>
      </c>
      <c r="AB61" s="100">
        <v>26.73891716424923</v>
      </c>
      <c r="AC61" s="103">
        <v>2.508102379520101E-2</v>
      </c>
      <c r="AD61" s="97">
        <v>3.0104563457817797</v>
      </c>
      <c r="AE61" s="104">
        <v>2.5247921245602271E-2</v>
      </c>
    </row>
    <row r="62" spans="1:31" s="105" customFormat="1" x14ac:dyDescent="0.25">
      <c r="A62" s="94" t="s">
        <v>244</v>
      </c>
      <c r="B62" s="95">
        <v>361</v>
      </c>
      <c r="C62" s="96">
        <v>100</v>
      </c>
      <c r="D62" s="97">
        <v>41.666981058404382</v>
      </c>
      <c r="E62" s="98">
        <v>0.34156582427109822</v>
      </c>
      <c r="F62" s="99">
        <v>33</v>
      </c>
      <c r="G62" s="98" t="s">
        <v>35</v>
      </c>
      <c r="H62" s="100">
        <v>43</v>
      </c>
      <c r="I62" s="101" t="s">
        <v>35</v>
      </c>
      <c r="J62" s="97">
        <v>53</v>
      </c>
      <c r="K62" s="102">
        <v>5.4772255750516612</v>
      </c>
      <c r="L62" s="97">
        <v>20</v>
      </c>
      <c r="M62" s="102">
        <v>5.4772255750516612</v>
      </c>
      <c r="N62" s="99">
        <v>43.550810857688383</v>
      </c>
      <c r="O62" s="98">
        <v>0.9548664668018555</v>
      </c>
      <c r="P62" s="100">
        <v>41.671840322960129</v>
      </c>
      <c r="Q62" s="101">
        <v>1.0479460245500765</v>
      </c>
      <c r="R62" s="97">
        <v>41.763311663829398</v>
      </c>
      <c r="S62" s="98">
        <v>1.3254187685732397</v>
      </c>
      <c r="T62" s="100">
        <v>39.666644776591482</v>
      </c>
      <c r="U62" s="101">
        <v>1.0369392505379813</v>
      </c>
      <c r="V62" s="97">
        <v>-3.8841660810968932</v>
      </c>
      <c r="W62" s="102">
        <v>1.4524697156122346</v>
      </c>
      <c r="X62" s="99">
        <v>41.460765161164588</v>
      </c>
      <c r="Y62" s="98">
        <v>0.33993572612815143</v>
      </c>
      <c r="Z62" s="100" t="s">
        <v>34</v>
      </c>
      <c r="AA62" s="101" t="s">
        <v>34</v>
      </c>
      <c r="AB62" s="100">
        <v>42.857532868781782</v>
      </c>
      <c r="AC62" s="103">
        <v>1.2663508847147233</v>
      </c>
      <c r="AD62" s="97">
        <v>1.3967677076171938</v>
      </c>
      <c r="AE62" s="104">
        <v>1.3063161128197718</v>
      </c>
    </row>
    <row r="63" spans="1:31" s="105" customFormat="1" x14ac:dyDescent="0.25">
      <c r="A63" s="94" t="s">
        <v>245</v>
      </c>
      <c r="B63" s="95">
        <v>186</v>
      </c>
      <c r="C63" s="96">
        <v>94.134353637695313</v>
      </c>
      <c r="D63" s="97">
        <v>26.061045413822342</v>
      </c>
      <c r="E63" s="98">
        <v>0.65754719660223182</v>
      </c>
      <c r="F63" s="99">
        <v>18</v>
      </c>
      <c r="G63" s="98" t="s">
        <v>35</v>
      </c>
      <c r="H63" s="100">
        <v>23</v>
      </c>
      <c r="I63" s="101" t="s">
        <v>35</v>
      </c>
      <c r="J63" s="97">
        <v>28</v>
      </c>
      <c r="K63" s="102">
        <v>11.456439237389599</v>
      </c>
      <c r="L63" s="97">
        <v>10</v>
      </c>
      <c r="M63" s="102">
        <v>11.456439237389599</v>
      </c>
      <c r="N63" s="99">
        <v>22.85007710945867</v>
      </c>
      <c r="O63" s="98">
        <v>0.8851252219390604</v>
      </c>
      <c r="P63" s="100">
        <v>25.977016939301372</v>
      </c>
      <c r="Q63" s="101">
        <v>1.2793480637374546</v>
      </c>
      <c r="R63" s="97">
        <v>26.135067953379728</v>
      </c>
      <c r="S63" s="98">
        <v>1.0958840420149909</v>
      </c>
      <c r="T63" s="100">
        <v>29.34647815495736</v>
      </c>
      <c r="U63" s="101">
        <v>1.7904689647713927</v>
      </c>
      <c r="V63" s="97">
        <v>6.4964010454986827</v>
      </c>
      <c r="W63" s="102">
        <v>1.9100223203011453</v>
      </c>
      <c r="X63" s="99">
        <v>26.242086080977639</v>
      </c>
      <c r="Y63" s="98">
        <v>0.66302111340803482</v>
      </c>
      <c r="Z63" s="100" t="s">
        <v>34</v>
      </c>
      <c r="AA63" s="101" t="s">
        <v>34</v>
      </c>
      <c r="AB63" s="100" t="s">
        <v>34</v>
      </c>
      <c r="AC63" s="103" t="s">
        <v>34</v>
      </c>
      <c r="AD63" s="97" t="s">
        <v>34</v>
      </c>
      <c r="AE63" s="104" t="s">
        <v>34</v>
      </c>
    </row>
    <row r="64" spans="1:31" s="105" customFormat="1" x14ac:dyDescent="0.25">
      <c r="A64" s="94" t="s">
        <v>246</v>
      </c>
      <c r="B64" s="95">
        <v>205</v>
      </c>
      <c r="C64" s="96">
        <v>100</v>
      </c>
      <c r="D64" s="97">
        <v>27.090913004277411</v>
      </c>
      <c r="E64" s="98">
        <v>0.36982829969142161</v>
      </c>
      <c r="F64" s="99">
        <v>18</v>
      </c>
      <c r="G64" s="98">
        <v>2.2360679774997898</v>
      </c>
      <c r="H64" s="100">
        <v>28</v>
      </c>
      <c r="I64" s="101" t="s">
        <v>35</v>
      </c>
      <c r="J64" s="97">
        <v>33</v>
      </c>
      <c r="K64" s="102" t="s">
        <v>35</v>
      </c>
      <c r="L64" s="97">
        <v>15</v>
      </c>
      <c r="M64" s="102">
        <v>2.2360679774997898</v>
      </c>
      <c r="N64" s="99">
        <v>25.494687328239031</v>
      </c>
      <c r="O64" s="98">
        <v>0.82379212412885261</v>
      </c>
      <c r="P64" s="100">
        <v>27.60139100636869</v>
      </c>
      <c r="Q64" s="101">
        <v>0.87737508990676971</v>
      </c>
      <c r="R64" s="97">
        <v>28.66470606302417</v>
      </c>
      <c r="S64" s="98">
        <v>0.90291578305501774</v>
      </c>
      <c r="T64" s="100">
        <v>26.58436624146227</v>
      </c>
      <c r="U64" s="101">
        <v>0.92448903156764062</v>
      </c>
      <c r="V64" s="97">
        <v>1.089678913223239</v>
      </c>
      <c r="W64" s="102">
        <v>1.1786765988820509</v>
      </c>
      <c r="X64" s="99">
        <v>27.775890497028431</v>
      </c>
      <c r="Y64" s="98">
        <v>0.3706121686501001</v>
      </c>
      <c r="Z64" s="100" t="s">
        <v>34</v>
      </c>
      <c r="AA64" s="101" t="s">
        <v>34</v>
      </c>
      <c r="AB64" s="100">
        <v>22.965215029107149</v>
      </c>
      <c r="AC64" s="103">
        <v>1.2544718363140672</v>
      </c>
      <c r="AD64" s="97">
        <v>-4.810675467921282</v>
      </c>
      <c r="AE64" s="104">
        <v>1.2742027277272345</v>
      </c>
    </row>
    <row r="65" spans="1:31" s="105" customFormat="1" x14ac:dyDescent="0.25">
      <c r="A65" s="94" t="s">
        <v>247</v>
      </c>
      <c r="B65" s="95">
        <v>178</v>
      </c>
      <c r="C65" s="96">
        <v>99.149665832519531</v>
      </c>
      <c r="D65" s="97">
        <v>22.03618538896761</v>
      </c>
      <c r="E65" s="98">
        <v>0.17440582092861479</v>
      </c>
      <c r="F65" s="99">
        <v>18</v>
      </c>
      <c r="G65" s="98" t="s">
        <v>35</v>
      </c>
      <c r="H65" s="100">
        <v>23</v>
      </c>
      <c r="I65" s="101" t="s">
        <v>35</v>
      </c>
      <c r="J65" s="97">
        <v>28</v>
      </c>
      <c r="K65" s="102" t="s">
        <v>35</v>
      </c>
      <c r="L65" s="97">
        <v>10</v>
      </c>
      <c r="M65" s="102" t="s">
        <v>35</v>
      </c>
      <c r="N65" s="99">
        <v>19.917413821646591</v>
      </c>
      <c r="O65" s="98">
        <v>0.40750526101664275</v>
      </c>
      <c r="P65" s="100">
        <v>21.237131444630791</v>
      </c>
      <c r="Q65" s="101">
        <v>0.47472208594116971</v>
      </c>
      <c r="R65" s="97">
        <v>22.433539344584268</v>
      </c>
      <c r="S65" s="98">
        <v>0.41475152838440188</v>
      </c>
      <c r="T65" s="100">
        <v>24.541574586134409</v>
      </c>
      <c r="U65" s="101">
        <v>0.32750358368607008</v>
      </c>
      <c r="V65" s="97">
        <v>4.6241607644878151</v>
      </c>
      <c r="W65" s="102">
        <v>0.53327164776146929</v>
      </c>
      <c r="X65" s="99">
        <v>22.05069195221256</v>
      </c>
      <c r="Y65" s="98">
        <v>0.16884857873977929</v>
      </c>
      <c r="Z65" s="100" t="s">
        <v>34</v>
      </c>
      <c r="AA65" s="101" t="s">
        <v>34</v>
      </c>
      <c r="AB65" s="100" t="s">
        <v>34</v>
      </c>
      <c r="AC65" s="103" t="s">
        <v>34</v>
      </c>
      <c r="AD65" s="97" t="s">
        <v>34</v>
      </c>
      <c r="AE65" s="104" t="s">
        <v>34</v>
      </c>
    </row>
    <row r="66" spans="1:31" s="105" customFormat="1" x14ac:dyDescent="0.25">
      <c r="A66" s="94" t="s">
        <v>248</v>
      </c>
      <c r="B66" s="95">
        <v>77</v>
      </c>
      <c r="C66" s="96">
        <v>96.037605285644531</v>
      </c>
      <c r="D66" s="97">
        <v>20.059952788112732</v>
      </c>
      <c r="E66" s="98">
        <v>8.7617528889155794E-3</v>
      </c>
      <c r="F66" s="99">
        <v>18</v>
      </c>
      <c r="G66" s="98" t="s">
        <v>35</v>
      </c>
      <c r="H66" s="100">
        <v>18</v>
      </c>
      <c r="I66" s="101" t="s">
        <v>35</v>
      </c>
      <c r="J66" s="97">
        <v>23</v>
      </c>
      <c r="K66" s="102" t="s">
        <v>35</v>
      </c>
      <c r="L66" s="97">
        <v>5</v>
      </c>
      <c r="M66" s="102" t="s">
        <v>35</v>
      </c>
      <c r="N66" s="99">
        <v>19.475960667323172</v>
      </c>
      <c r="O66" s="98">
        <v>1.9881654187135691E-2</v>
      </c>
      <c r="P66" s="100">
        <v>19.739566966297989</v>
      </c>
      <c r="Q66" s="101">
        <v>8.6918426914487888E-3</v>
      </c>
      <c r="R66" s="97">
        <v>20.20182091398901</v>
      </c>
      <c r="S66" s="98">
        <v>1.676511424637768E-2</v>
      </c>
      <c r="T66" s="100">
        <v>20.867423372798068</v>
      </c>
      <c r="U66" s="101">
        <v>3.0488753856999489E-2</v>
      </c>
      <c r="V66" s="97">
        <v>1.3914627054749</v>
      </c>
      <c r="W66" s="102">
        <v>4.0407628695384196E-2</v>
      </c>
      <c r="X66" s="99">
        <v>19.917583187838481</v>
      </c>
      <c r="Y66" s="98">
        <v>7.6283500572021691E-3</v>
      </c>
      <c r="Z66" s="100" t="s">
        <v>34</v>
      </c>
      <c r="AA66" s="101" t="s">
        <v>34</v>
      </c>
      <c r="AB66" s="100">
        <v>20.735532691698332</v>
      </c>
      <c r="AC66" s="103">
        <v>4.3939594451262262E-2</v>
      </c>
      <c r="AD66" s="97">
        <v>0.81794950385985032</v>
      </c>
      <c r="AE66" s="104">
        <v>4.5991598734916185E-2</v>
      </c>
    </row>
    <row r="67" spans="1:31" s="105" customFormat="1" x14ac:dyDescent="0.25">
      <c r="A67" s="94" t="s">
        <v>249</v>
      </c>
      <c r="B67" s="95">
        <v>200</v>
      </c>
      <c r="C67" s="96">
        <v>87.961830139160156</v>
      </c>
      <c r="D67" s="97">
        <v>35.872456197028043</v>
      </c>
      <c r="E67" s="98">
        <v>0.74754602319452101</v>
      </c>
      <c r="F67" s="99">
        <v>23</v>
      </c>
      <c r="G67" s="98">
        <v>1.5811388300841898</v>
      </c>
      <c r="H67" s="100">
        <v>33</v>
      </c>
      <c r="I67" s="101" t="s">
        <v>35</v>
      </c>
      <c r="J67" s="97">
        <v>53</v>
      </c>
      <c r="K67" s="102">
        <v>2.5</v>
      </c>
      <c r="L67" s="97">
        <v>30</v>
      </c>
      <c r="M67" s="102">
        <v>2.9580398915498081</v>
      </c>
      <c r="N67" s="99">
        <v>31.714961301449261</v>
      </c>
      <c r="O67" s="98">
        <v>1.3544787753173861</v>
      </c>
      <c r="P67" s="100">
        <v>38.76860219266058</v>
      </c>
      <c r="Q67" s="101">
        <v>1.7002618239622329</v>
      </c>
      <c r="R67" s="97">
        <v>38.701106084608753</v>
      </c>
      <c r="S67" s="98">
        <v>1.5452249110479377</v>
      </c>
      <c r="T67" s="100">
        <v>34.363321849462729</v>
      </c>
      <c r="U67" s="101">
        <v>1.8197488820986836</v>
      </c>
      <c r="V67" s="97">
        <v>2.6483605480134642</v>
      </c>
      <c r="W67" s="102">
        <v>1.9690992412640833</v>
      </c>
      <c r="X67" s="99">
        <v>36.663599832236947</v>
      </c>
      <c r="Y67" s="98">
        <v>0.75153642374348684</v>
      </c>
      <c r="Z67" s="100">
        <v>34.13860572689385</v>
      </c>
      <c r="AA67" s="101">
        <v>3.4021128159013201</v>
      </c>
      <c r="AB67" s="100">
        <v>32.528378476606647</v>
      </c>
      <c r="AC67" s="103">
        <v>1.9025286683068916</v>
      </c>
      <c r="AD67" s="97">
        <v>-3.9722459240400454</v>
      </c>
      <c r="AE67" s="104">
        <v>1.7534846911234894</v>
      </c>
    </row>
    <row r="68" spans="1:31" s="105" customFormat="1" x14ac:dyDescent="0.25">
      <c r="A68" s="94" t="s">
        <v>250</v>
      </c>
      <c r="B68" s="95">
        <v>309</v>
      </c>
      <c r="C68" s="96">
        <v>98.463432312011719</v>
      </c>
      <c r="D68" s="97">
        <v>23.986989515160701</v>
      </c>
      <c r="E68" s="98">
        <v>0.50431537243466695</v>
      </c>
      <c r="F68" s="99">
        <v>13</v>
      </c>
      <c r="G68" s="98" t="s">
        <v>35</v>
      </c>
      <c r="H68" s="100">
        <v>23</v>
      </c>
      <c r="I68" s="101" t="s">
        <v>35</v>
      </c>
      <c r="J68" s="97">
        <v>33</v>
      </c>
      <c r="K68" s="102" t="s">
        <v>35</v>
      </c>
      <c r="L68" s="97">
        <v>20</v>
      </c>
      <c r="M68" s="102" t="s">
        <v>35</v>
      </c>
      <c r="N68" s="99">
        <v>20.227480989840551</v>
      </c>
      <c r="O68" s="98">
        <v>0.99668556760205196</v>
      </c>
      <c r="P68" s="100">
        <v>24.7555065293474</v>
      </c>
      <c r="Q68" s="101">
        <v>1.3014937204101371</v>
      </c>
      <c r="R68" s="97">
        <v>27.62242256946411</v>
      </c>
      <c r="S68" s="98">
        <v>1.3366149814883301</v>
      </c>
      <c r="T68" s="100">
        <v>23.349581253728459</v>
      </c>
      <c r="U68" s="101">
        <v>0.94865313897666703</v>
      </c>
      <c r="V68" s="97">
        <v>3.122100263887909</v>
      </c>
      <c r="W68" s="102">
        <v>1.3073460362679179</v>
      </c>
      <c r="X68" s="99">
        <v>24.584808545231841</v>
      </c>
      <c r="Y68" s="98">
        <v>0.50278325645224153</v>
      </c>
      <c r="Z68" s="100" t="s">
        <v>34</v>
      </c>
      <c r="AA68" s="101" t="s">
        <v>34</v>
      </c>
      <c r="AB68" s="100">
        <v>19.116428174699688</v>
      </c>
      <c r="AC68" s="103">
        <v>2.0642072671102474</v>
      </c>
      <c r="AD68" s="97">
        <v>-5.4683803705321523</v>
      </c>
      <c r="AE68" s="104">
        <v>2.095527518373153</v>
      </c>
    </row>
    <row r="69" spans="1:31" s="105" customFormat="1" x14ac:dyDescent="0.25">
      <c r="A69" s="94" t="s">
        <v>303</v>
      </c>
      <c r="B69" s="95">
        <v>111</v>
      </c>
      <c r="C69" s="96">
        <v>74.887275695800781</v>
      </c>
      <c r="D69" s="97">
        <v>27.688524044175999</v>
      </c>
      <c r="E69" s="98">
        <v>0.47502386389904711</v>
      </c>
      <c r="F69" s="99">
        <v>23</v>
      </c>
      <c r="G69" s="98">
        <v>4.4721359549995796</v>
      </c>
      <c r="H69" s="100">
        <v>28</v>
      </c>
      <c r="I69" s="101" t="s">
        <v>35</v>
      </c>
      <c r="J69" s="97">
        <v>33</v>
      </c>
      <c r="K69" s="102" t="s">
        <v>35</v>
      </c>
      <c r="L69" s="97">
        <v>10</v>
      </c>
      <c r="M69" s="102">
        <v>4.4721359549995796</v>
      </c>
      <c r="N69" s="99">
        <v>26.593350235772778</v>
      </c>
      <c r="O69" s="98">
        <v>1.5765984258396979</v>
      </c>
      <c r="P69" s="100">
        <v>26.520596979514281</v>
      </c>
      <c r="Q69" s="101">
        <v>1.1604955904780867</v>
      </c>
      <c r="R69" s="97">
        <v>28.44839171661765</v>
      </c>
      <c r="S69" s="98">
        <v>1.1092739638992424</v>
      </c>
      <c r="T69" s="100">
        <v>29.178914576331699</v>
      </c>
      <c r="U69" s="101">
        <v>1.4105309471919152</v>
      </c>
      <c r="V69" s="97">
        <v>2.5855643405589208</v>
      </c>
      <c r="W69" s="102">
        <v>2.1565383995636491</v>
      </c>
      <c r="X69" s="99">
        <v>30.760168042905981</v>
      </c>
      <c r="Y69" s="98">
        <v>0.61498838362317576</v>
      </c>
      <c r="Z69" s="100">
        <v>27.69459333271665</v>
      </c>
      <c r="AA69" s="101">
        <v>0.5060329987275699</v>
      </c>
      <c r="AB69" s="100" t="s">
        <v>34</v>
      </c>
      <c r="AC69" s="103" t="s">
        <v>34</v>
      </c>
      <c r="AD69" s="97">
        <v>-3.0655747101893311</v>
      </c>
      <c r="AE69" s="104">
        <v>0.85409647293052082</v>
      </c>
    </row>
    <row r="70" spans="1:31" s="105" customFormat="1" x14ac:dyDescent="0.25">
      <c r="A70" s="94" t="s">
        <v>251</v>
      </c>
      <c r="B70" s="95">
        <v>332</v>
      </c>
      <c r="C70" s="96">
        <v>88.557373046875</v>
      </c>
      <c r="D70" s="97">
        <v>30.030331209141629</v>
      </c>
      <c r="E70" s="98">
        <v>1.1358070222120171</v>
      </c>
      <c r="F70" s="99">
        <v>13</v>
      </c>
      <c r="G70" s="98" t="s">
        <v>35</v>
      </c>
      <c r="H70" s="100">
        <v>33</v>
      </c>
      <c r="I70" s="101">
        <v>5.4772255750516612</v>
      </c>
      <c r="J70" s="97">
        <v>53</v>
      </c>
      <c r="K70" s="102">
        <v>4.6097722286464435</v>
      </c>
      <c r="L70" s="97">
        <v>40</v>
      </c>
      <c r="M70" s="102">
        <v>4.6097722286464435</v>
      </c>
      <c r="N70" s="99">
        <v>27.094017638483979</v>
      </c>
      <c r="O70" s="98">
        <v>1.783449161424806</v>
      </c>
      <c r="P70" s="100">
        <v>29.77072291258893</v>
      </c>
      <c r="Q70" s="101">
        <v>2.1517409590552865</v>
      </c>
      <c r="R70" s="97">
        <v>33.055711705929937</v>
      </c>
      <c r="S70" s="98">
        <v>2.9421818066651269</v>
      </c>
      <c r="T70" s="100">
        <v>30.230040307854079</v>
      </c>
      <c r="U70" s="101">
        <v>3.0867561798803438</v>
      </c>
      <c r="V70" s="97">
        <v>3.1360226693700919</v>
      </c>
      <c r="W70" s="102">
        <v>3.5697383785996775</v>
      </c>
      <c r="X70" s="99">
        <v>32.09649789024855</v>
      </c>
      <c r="Y70" s="98">
        <v>1.1354048309205182</v>
      </c>
      <c r="Z70" s="100">
        <v>29.304544492297161</v>
      </c>
      <c r="AA70" s="101">
        <v>2.6939969599256486</v>
      </c>
      <c r="AB70" s="100">
        <v>26.17258317021377</v>
      </c>
      <c r="AC70" s="103">
        <v>3.7382882448324817</v>
      </c>
      <c r="AD70" s="97">
        <v>-4.1505976167639282</v>
      </c>
      <c r="AE70" s="104">
        <v>2.4496964995899639</v>
      </c>
    </row>
    <row r="71" spans="1:31" s="105" customFormat="1" x14ac:dyDescent="0.25">
      <c r="A71" s="94" t="s">
        <v>252</v>
      </c>
      <c r="B71" s="95">
        <v>303</v>
      </c>
      <c r="C71" s="96">
        <v>96.691795349121094</v>
      </c>
      <c r="D71" s="97">
        <v>33.613946533089347</v>
      </c>
      <c r="E71" s="98">
        <v>0.62376891752415919</v>
      </c>
      <c r="F71" s="99">
        <v>18</v>
      </c>
      <c r="G71" s="98" t="s">
        <v>35</v>
      </c>
      <c r="H71" s="100">
        <v>33</v>
      </c>
      <c r="I71" s="101" t="s">
        <v>35</v>
      </c>
      <c r="J71" s="97">
        <v>48</v>
      </c>
      <c r="K71" s="102">
        <v>2.5</v>
      </c>
      <c r="L71" s="97">
        <v>30</v>
      </c>
      <c r="M71" s="102">
        <v>2.5</v>
      </c>
      <c r="N71" s="99">
        <v>29.25745549944131</v>
      </c>
      <c r="O71" s="98">
        <v>1.5339545512393271</v>
      </c>
      <c r="P71" s="100">
        <v>37.098305137270032</v>
      </c>
      <c r="Q71" s="101">
        <v>1.2460200880126429</v>
      </c>
      <c r="R71" s="97">
        <v>36.896853149113888</v>
      </c>
      <c r="S71" s="98">
        <v>1.5938161446970363</v>
      </c>
      <c r="T71" s="100">
        <v>31.196901389245451</v>
      </c>
      <c r="U71" s="101">
        <v>1.8650760153398713</v>
      </c>
      <c r="V71" s="97">
        <v>1.939445889804144</v>
      </c>
      <c r="W71" s="102">
        <v>2.7021998177966724</v>
      </c>
      <c r="X71" s="99">
        <v>33.997903306580653</v>
      </c>
      <c r="Y71" s="98">
        <v>0.68145449788942491</v>
      </c>
      <c r="Z71" s="100" t="s">
        <v>34</v>
      </c>
      <c r="AA71" s="101" t="s">
        <v>34</v>
      </c>
      <c r="AB71" s="100">
        <v>32.214965890729751</v>
      </c>
      <c r="AC71" s="103">
        <v>1.5257011343915534</v>
      </c>
      <c r="AD71" s="97">
        <v>-1.7829374158509026</v>
      </c>
      <c r="AE71" s="104">
        <v>1.6763361638581187</v>
      </c>
    </row>
    <row r="72" spans="1:31" s="105" customFormat="1" x14ac:dyDescent="0.25">
      <c r="A72" s="94" t="s">
        <v>253</v>
      </c>
      <c r="B72" s="95">
        <v>516</v>
      </c>
      <c r="C72" s="96">
        <v>80.3912353515625</v>
      </c>
      <c r="D72" s="97">
        <v>30.6441907146801</v>
      </c>
      <c r="E72" s="98">
        <v>0.79256397753339958</v>
      </c>
      <c r="F72" s="99">
        <v>13</v>
      </c>
      <c r="G72" s="98" t="s">
        <v>35</v>
      </c>
      <c r="H72" s="100">
        <v>28</v>
      </c>
      <c r="I72" s="101">
        <v>7.245688373094719</v>
      </c>
      <c r="J72" s="97">
        <v>53</v>
      </c>
      <c r="K72" s="102" t="s">
        <v>35</v>
      </c>
      <c r="L72" s="97">
        <v>40</v>
      </c>
      <c r="M72" s="102" t="s">
        <v>35</v>
      </c>
      <c r="N72" s="99">
        <v>26.786508867775549</v>
      </c>
      <c r="O72" s="98">
        <v>1.6615390982834035</v>
      </c>
      <c r="P72" s="100">
        <v>31.80875534267177</v>
      </c>
      <c r="Q72" s="101">
        <v>1.8647964902668717</v>
      </c>
      <c r="R72" s="97">
        <v>32.492363207731231</v>
      </c>
      <c r="S72" s="98">
        <v>1.5788452888343363</v>
      </c>
      <c r="T72" s="100">
        <v>31.50064774757632</v>
      </c>
      <c r="U72" s="101">
        <v>1.8820152029872543</v>
      </c>
      <c r="V72" s="97">
        <v>4.7141388798007711</v>
      </c>
      <c r="W72" s="102">
        <v>2.6077293724950974</v>
      </c>
      <c r="X72" s="99">
        <v>30.775277121449498</v>
      </c>
      <c r="Y72" s="98">
        <v>0.79625313444058488</v>
      </c>
      <c r="Z72" s="100">
        <v>26.55907230312571</v>
      </c>
      <c r="AA72" s="101">
        <v>5.1670921557547986</v>
      </c>
      <c r="AB72" s="100" t="s">
        <v>34</v>
      </c>
      <c r="AC72" s="103" t="s">
        <v>34</v>
      </c>
      <c r="AD72" s="97">
        <v>-4.2162048183237886</v>
      </c>
      <c r="AE72" s="104">
        <v>5.1640181947263581</v>
      </c>
    </row>
    <row r="73" spans="1:31" s="105" customFormat="1" x14ac:dyDescent="0.25">
      <c r="A73" s="94" t="s">
        <v>254</v>
      </c>
      <c r="B73" s="95">
        <v>89</v>
      </c>
      <c r="C73" s="96">
        <v>73.644096374511719</v>
      </c>
      <c r="D73" s="97">
        <v>29.868240415043999</v>
      </c>
      <c r="E73" s="98">
        <v>0.19454778505254114</v>
      </c>
      <c r="F73" s="99">
        <v>23</v>
      </c>
      <c r="G73" s="98" t="s">
        <v>35</v>
      </c>
      <c r="H73" s="100">
        <v>33</v>
      </c>
      <c r="I73" s="101" t="s">
        <v>35</v>
      </c>
      <c r="J73" s="97">
        <v>38</v>
      </c>
      <c r="K73" s="102" t="s">
        <v>35</v>
      </c>
      <c r="L73" s="97">
        <v>15</v>
      </c>
      <c r="M73" s="102" t="s">
        <v>35</v>
      </c>
      <c r="N73" s="99">
        <v>26.07861251961657</v>
      </c>
      <c r="O73" s="98">
        <v>0.57218393833214198</v>
      </c>
      <c r="P73" s="100">
        <v>28.27706325942815</v>
      </c>
      <c r="Q73" s="101">
        <v>1.2687630250980086</v>
      </c>
      <c r="R73" s="97">
        <v>33.250764735861438</v>
      </c>
      <c r="S73" s="98">
        <v>0.68319431326689228</v>
      </c>
      <c r="T73" s="100">
        <v>32.428433599002389</v>
      </c>
      <c r="U73" s="101">
        <v>0.15715098615020501</v>
      </c>
      <c r="V73" s="97">
        <v>6.3498210793858192</v>
      </c>
      <c r="W73" s="102">
        <v>0.59109347136812707</v>
      </c>
      <c r="X73" s="99">
        <v>30.131382895760229</v>
      </c>
      <c r="Y73" s="98">
        <v>0.18833142320830468</v>
      </c>
      <c r="Z73" s="100" t="s">
        <v>34</v>
      </c>
      <c r="AA73" s="101" t="s">
        <v>34</v>
      </c>
      <c r="AB73" s="100" t="s">
        <v>34</v>
      </c>
      <c r="AC73" s="103" t="s">
        <v>34</v>
      </c>
      <c r="AD73" s="97" t="s">
        <v>34</v>
      </c>
      <c r="AE73" s="104" t="s">
        <v>34</v>
      </c>
    </row>
    <row r="74" spans="1:31" s="105" customFormat="1" x14ac:dyDescent="0.25">
      <c r="A74" s="94" t="s">
        <v>255</v>
      </c>
      <c r="B74" s="95">
        <v>195</v>
      </c>
      <c r="C74" s="96">
        <v>73.049797058105469</v>
      </c>
      <c r="D74" s="97">
        <v>27.911417682022151</v>
      </c>
      <c r="E74" s="98">
        <v>0.65188887521806527</v>
      </c>
      <c r="F74" s="99">
        <v>18</v>
      </c>
      <c r="G74" s="98" t="s">
        <v>35</v>
      </c>
      <c r="H74" s="100">
        <v>28</v>
      </c>
      <c r="I74" s="101" t="s">
        <v>35</v>
      </c>
      <c r="J74" s="97">
        <v>38</v>
      </c>
      <c r="K74" s="102">
        <v>3.5355339059327378</v>
      </c>
      <c r="L74" s="97">
        <v>20</v>
      </c>
      <c r="M74" s="102">
        <v>3.5355339059327378</v>
      </c>
      <c r="N74" s="99">
        <v>27.31850704383119</v>
      </c>
      <c r="O74" s="98">
        <v>1.4853481622273781</v>
      </c>
      <c r="P74" s="100">
        <v>28.93583259387124</v>
      </c>
      <c r="Q74" s="101">
        <v>1.5980272452191382</v>
      </c>
      <c r="R74" s="97">
        <v>28.51711980320902</v>
      </c>
      <c r="S74" s="98">
        <v>1.2561734421009443</v>
      </c>
      <c r="T74" s="100">
        <v>26.880947614542929</v>
      </c>
      <c r="U74" s="101">
        <v>1.4572970423201503</v>
      </c>
      <c r="V74" s="97">
        <v>-0.43755942928826391</v>
      </c>
      <c r="W74" s="102">
        <v>1.9843924058553024</v>
      </c>
      <c r="X74" s="99">
        <v>27.983453731139779</v>
      </c>
      <c r="Y74" s="98">
        <v>0.88940120415368362</v>
      </c>
      <c r="Z74" s="100" t="s">
        <v>34</v>
      </c>
      <c r="AA74" s="101" t="s">
        <v>34</v>
      </c>
      <c r="AB74" s="100">
        <v>27.969309322385069</v>
      </c>
      <c r="AC74" s="103">
        <v>0.9792639820611827</v>
      </c>
      <c r="AD74" s="97">
        <v>-1.4144408754710014E-2</v>
      </c>
      <c r="AE74" s="104">
        <v>1.2527067324889314</v>
      </c>
    </row>
    <row r="75" spans="1:31" s="105" customFormat="1" x14ac:dyDescent="0.25">
      <c r="A75" s="94" t="s">
        <v>256</v>
      </c>
      <c r="B75" s="95">
        <v>45</v>
      </c>
      <c r="C75" s="96">
        <v>100</v>
      </c>
      <c r="D75" s="97">
        <v>29.182171830867379</v>
      </c>
      <c r="E75" s="98">
        <v>5.6656420909689843E-3</v>
      </c>
      <c r="F75" s="99">
        <v>23</v>
      </c>
      <c r="G75" s="98" t="s">
        <v>35</v>
      </c>
      <c r="H75" s="100">
        <v>28</v>
      </c>
      <c r="I75" s="101" t="s">
        <v>35</v>
      </c>
      <c r="J75" s="97">
        <v>38</v>
      </c>
      <c r="K75" s="102" t="s">
        <v>35</v>
      </c>
      <c r="L75" s="97">
        <v>15</v>
      </c>
      <c r="M75" s="102" t="s">
        <v>35</v>
      </c>
      <c r="N75" s="99">
        <v>31.880078297361429</v>
      </c>
      <c r="O75" s="98">
        <v>1.6218644913111504E-2</v>
      </c>
      <c r="P75" s="100">
        <v>28.964217916528892</v>
      </c>
      <c r="Q75" s="101">
        <v>8.2278199010677316E-3</v>
      </c>
      <c r="R75" s="97">
        <v>26.50333561342093</v>
      </c>
      <c r="S75" s="98">
        <v>6.1487309473639701E-3</v>
      </c>
      <c r="T75" s="100">
        <v>28.779577423911832</v>
      </c>
      <c r="U75" s="101">
        <v>5.9911968385199148E-3</v>
      </c>
      <c r="V75" s="97">
        <v>-3.1005008734496009</v>
      </c>
      <c r="W75" s="102">
        <v>1.8066211335530599E-2</v>
      </c>
      <c r="X75" s="99">
        <v>24.347807439502461</v>
      </c>
      <c r="Y75" s="98">
        <v>5.742425866689862E-3</v>
      </c>
      <c r="Z75" s="100">
        <v>29.365148236054981</v>
      </c>
      <c r="AA75" s="101">
        <v>6.8801322880619005E-3</v>
      </c>
      <c r="AB75" s="100" t="s">
        <v>34</v>
      </c>
      <c r="AC75" s="103" t="s">
        <v>34</v>
      </c>
      <c r="AD75" s="97">
        <v>5.0173407965525207</v>
      </c>
      <c r="AE75" s="104">
        <v>8.3411781178570187E-3</v>
      </c>
    </row>
    <row r="76" spans="1:31" s="105" customFormat="1" x14ac:dyDescent="0.25">
      <c r="A76" s="94" t="s">
        <v>257</v>
      </c>
      <c r="B76" s="95">
        <v>191</v>
      </c>
      <c r="C76" s="96">
        <v>100</v>
      </c>
      <c r="D76" s="97">
        <v>32.387655350641687</v>
      </c>
      <c r="E76" s="98">
        <v>0.68715213223344718</v>
      </c>
      <c r="F76" s="99">
        <v>23</v>
      </c>
      <c r="G76" s="98" t="s">
        <v>35</v>
      </c>
      <c r="H76" s="100">
        <v>33</v>
      </c>
      <c r="I76" s="101">
        <v>4.1833001326703778</v>
      </c>
      <c r="J76" s="97">
        <v>43</v>
      </c>
      <c r="K76" s="102">
        <v>7.9056941504209481</v>
      </c>
      <c r="L76" s="97">
        <v>20</v>
      </c>
      <c r="M76" s="102">
        <v>7.9056941504209481</v>
      </c>
      <c r="N76" s="99">
        <v>31.110971359338869</v>
      </c>
      <c r="O76" s="98">
        <v>1.2682837119684021</v>
      </c>
      <c r="P76" s="100">
        <v>32.127744895831952</v>
      </c>
      <c r="Q76" s="101">
        <v>1.4409470689533734</v>
      </c>
      <c r="R76" s="97">
        <v>33.475444260741853</v>
      </c>
      <c r="S76" s="98">
        <v>1.6350310457054924</v>
      </c>
      <c r="T76" s="100">
        <v>32.836010165235081</v>
      </c>
      <c r="U76" s="101">
        <v>1.9386715552057714</v>
      </c>
      <c r="V76" s="97">
        <v>1.7250388058962121</v>
      </c>
      <c r="W76" s="102">
        <v>2.1868699234346756</v>
      </c>
      <c r="X76" s="99">
        <v>32.052375652066239</v>
      </c>
      <c r="Y76" s="98">
        <v>0.60692306053726364</v>
      </c>
      <c r="Z76" s="100" t="s">
        <v>34</v>
      </c>
      <c r="AA76" s="101" t="s">
        <v>34</v>
      </c>
      <c r="AB76" s="100">
        <v>38.790867191017668</v>
      </c>
      <c r="AC76" s="103">
        <v>4.3270867491351455</v>
      </c>
      <c r="AD76" s="97">
        <v>6.738491538951429</v>
      </c>
      <c r="AE76" s="104">
        <v>4.2570724628989574</v>
      </c>
    </row>
    <row r="77" spans="1:31" s="105" customFormat="1" x14ac:dyDescent="0.25">
      <c r="A77" s="94" t="s">
        <v>258</v>
      </c>
      <c r="B77" s="95">
        <v>49</v>
      </c>
      <c r="C77" s="96">
        <v>99.911201477050781</v>
      </c>
      <c r="D77" s="97">
        <v>19.602680746221981</v>
      </c>
      <c r="E77" s="98">
        <v>1.0581793112971E-2</v>
      </c>
      <c r="F77" s="99">
        <v>13</v>
      </c>
      <c r="G77" s="98" t="s">
        <v>35</v>
      </c>
      <c r="H77" s="100">
        <v>18</v>
      </c>
      <c r="I77" s="101" t="s">
        <v>35</v>
      </c>
      <c r="J77" s="97">
        <v>23</v>
      </c>
      <c r="K77" s="102" t="s">
        <v>35</v>
      </c>
      <c r="L77" s="97">
        <v>10</v>
      </c>
      <c r="M77" s="102" t="s">
        <v>35</v>
      </c>
      <c r="N77" s="99">
        <v>18.272262163391371</v>
      </c>
      <c r="O77" s="98">
        <v>2.3238904356029683E-2</v>
      </c>
      <c r="P77" s="100">
        <v>19.48488487276591</v>
      </c>
      <c r="Q77" s="101">
        <v>2.2100973489917769E-2</v>
      </c>
      <c r="R77" s="97">
        <v>19.589240002813291</v>
      </c>
      <c r="S77" s="98">
        <v>1.6986774159450737E-2</v>
      </c>
      <c r="T77" s="100">
        <v>20.998792390461769</v>
      </c>
      <c r="U77" s="101">
        <v>1.5719648502788688E-2</v>
      </c>
      <c r="V77" s="97">
        <v>2.7265302270704019</v>
      </c>
      <c r="W77" s="102">
        <v>2.8305345308956755E-2</v>
      </c>
      <c r="X77" s="99">
        <v>19.152142510354839</v>
      </c>
      <c r="Y77" s="98">
        <v>1.2769687658144872E-2</v>
      </c>
      <c r="Z77" s="100">
        <v>20.348693056944661</v>
      </c>
      <c r="AA77" s="101">
        <v>2.0104456695252616E-2</v>
      </c>
      <c r="AB77" s="100">
        <v>19.703853645766301</v>
      </c>
      <c r="AC77" s="103">
        <v>2.9892894544861229E-2</v>
      </c>
      <c r="AD77" s="97">
        <v>0.9996982230465612</v>
      </c>
      <c r="AE77" s="104">
        <v>1.9249999820631126E-2</v>
      </c>
    </row>
    <row r="78" spans="1:31" s="105" customFormat="1" x14ac:dyDescent="0.25">
      <c r="A78" s="94" t="s">
        <v>259</v>
      </c>
      <c r="B78" s="95">
        <v>217</v>
      </c>
      <c r="C78" s="96">
        <v>94.7230224609375</v>
      </c>
      <c r="D78" s="97">
        <v>27.14107197803234</v>
      </c>
      <c r="E78" s="98">
        <v>0.64545820748868854</v>
      </c>
      <c r="F78" s="99">
        <v>13</v>
      </c>
      <c r="G78" s="98" t="s">
        <v>35</v>
      </c>
      <c r="H78" s="100">
        <v>23</v>
      </c>
      <c r="I78" s="101" t="s">
        <v>35</v>
      </c>
      <c r="J78" s="97">
        <v>48</v>
      </c>
      <c r="K78" s="102">
        <v>7.3314391493075899</v>
      </c>
      <c r="L78" s="97">
        <v>35</v>
      </c>
      <c r="M78" s="102">
        <v>7.3314391493075899</v>
      </c>
      <c r="N78" s="99">
        <v>22.734819466143929</v>
      </c>
      <c r="O78" s="98">
        <v>1.4323943812430142</v>
      </c>
      <c r="P78" s="100">
        <v>24.234208561141159</v>
      </c>
      <c r="Q78" s="101">
        <v>1.36846447124693</v>
      </c>
      <c r="R78" s="97">
        <v>28.222783098251771</v>
      </c>
      <c r="S78" s="98">
        <v>1.8556623723766081</v>
      </c>
      <c r="T78" s="100">
        <v>33.47332465132785</v>
      </c>
      <c r="U78" s="101">
        <v>1.8927728088417115</v>
      </c>
      <c r="V78" s="97">
        <v>10.73850518518392</v>
      </c>
      <c r="W78" s="102">
        <v>2.5876438273254041</v>
      </c>
      <c r="X78" s="99">
        <v>27.179555695350238</v>
      </c>
      <c r="Y78" s="98">
        <v>0.65062064327386904</v>
      </c>
      <c r="Z78" s="100" t="s">
        <v>34</v>
      </c>
      <c r="AA78" s="101" t="s">
        <v>34</v>
      </c>
      <c r="AB78" s="100" t="s">
        <v>34</v>
      </c>
      <c r="AC78" s="103" t="s">
        <v>34</v>
      </c>
      <c r="AD78" s="97" t="s">
        <v>34</v>
      </c>
      <c r="AE78" s="104" t="s">
        <v>34</v>
      </c>
    </row>
    <row r="79" spans="1:31" s="105" customFormat="1" x14ac:dyDescent="0.25">
      <c r="A79" s="94" t="s">
        <v>260</v>
      </c>
      <c r="B79" s="95">
        <v>49</v>
      </c>
      <c r="C79" s="96">
        <v>96.651611328125</v>
      </c>
      <c r="D79" s="97">
        <v>27.439750044892339</v>
      </c>
      <c r="E79" s="98">
        <v>6.4393158961185805E-3</v>
      </c>
      <c r="F79" s="99">
        <v>23</v>
      </c>
      <c r="G79" s="98" t="s">
        <v>35</v>
      </c>
      <c r="H79" s="100">
        <v>28</v>
      </c>
      <c r="I79" s="101" t="s">
        <v>35</v>
      </c>
      <c r="J79" s="97">
        <v>33</v>
      </c>
      <c r="K79" s="102" t="s">
        <v>35</v>
      </c>
      <c r="L79" s="97">
        <v>10</v>
      </c>
      <c r="M79" s="102" t="s">
        <v>35</v>
      </c>
      <c r="N79" s="99">
        <v>23.79810442910809</v>
      </c>
      <c r="O79" s="98">
        <v>1.5325411357298271E-2</v>
      </c>
      <c r="P79" s="100">
        <v>27.724444679829709</v>
      </c>
      <c r="Q79" s="101">
        <v>1.1235482190551095E-2</v>
      </c>
      <c r="R79" s="97">
        <v>28.909400151467771</v>
      </c>
      <c r="S79" s="98">
        <v>2.8115064424180489E-3</v>
      </c>
      <c r="T79" s="100">
        <v>29.71131731271295</v>
      </c>
      <c r="U79" s="101">
        <v>1.303045977079605E-2</v>
      </c>
      <c r="V79" s="97">
        <v>5.9132128836048574</v>
      </c>
      <c r="W79" s="102">
        <v>2.0411340797870329E-2</v>
      </c>
      <c r="X79" s="99">
        <v>27.46720606421702</v>
      </c>
      <c r="Y79" s="98">
        <v>6.1127079665397755E-3</v>
      </c>
      <c r="Z79" s="100" t="s">
        <v>34</v>
      </c>
      <c r="AA79" s="101" t="s">
        <v>34</v>
      </c>
      <c r="AB79" s="100" t="s">
        <v>34</v>
      </c>
      <c r="AC79" s="103" t="s">
        <v>34</v>
      </c>
      <c r="AD79" s="97" t="s">
        <v>34</v>
      </c>
      <c r="AE79" s="104" t="s">
        <v>34</v>
      </c>
    </row>
    <row r="80" spans="1:31" s="105" customFormat="1" x14ac:dyDescent="0.25">
      <c r="A80" s="94" t="s">
        <v>261</v>
      </c>
      <c r="B80" s="95">
        <v>173</v>
      </c>
      <c r="C80" s="96">
        <v>96.623908996582031</v>
      </c>
      <c r="D80" s="97">
        <v>34.134455462594588</v>
      </c>
      <c r="E80" s="98">
        <v>0.50930210476861126</v>
      </c>
      <c r="F80" s="99">
        <v>23</v>
      </c>
      <c r="G80" s="98">
        <v>4.0311288741492746</v>
      </c>
      <c r="H80" s="100">
        <v>33</v>
      </c>
      <c r="I80" s="101">
        <v>5.9160797830996161</v>
      </c>
      <c r="J80" s="97">
        <v>38</v>
      </c>
      <c r="K80" s="102" t="s">
        <v>35</v>
      </c>
      <c r="L80" s="97">
        <v>15</v>
      </c>
      <c r="M80" s="102">
        <v>4.0311288741492746</v>
      </c>
      <c r="N80" s="99">
        <v>34.089874980256177</v>
      </c>
      <c r="O80" s="98">
        <v>1.1598312363620316</v>
      </c>
      <c r="P80" s="100">
        <v>35.265702816441859</v>
      </c>
      <c r="Q80" s="101">
        <v>1.133864538060692</v>
      </c>
      <c r="R80" s="97">
        <v>33.850518007727317</v>
      </c>
      <c r="S80" s="98">
        <v>0.98177022982215811</v>
      </c>
      <c r="T80" s="100">
        <v>33.31961396769448</v>
      </c>
      <c r="U80" s="101">
        <v>1.2341153013063624</v>
      </c>
      <c r="V80" s="97">
        <v>-0.7702610125616971</v>
      </c>
      <c r="W80" s="102">
        <v>1.7362736769343123</v>
      </c>
      <c r="X80" s="99">
        <v>34.664411706037313</v>
      </c>
      <c r="Y80" s="98">
        <v>0.50155546410942597</v>
      </c>
      <c r="Z80" s="100" t="s">
        <v>34</v>
      </c>
      <c r="AA80" s="101" t="s">
        <v>34</v>
      </c>
      <c r="AB80" s="100">
        <v>28.395277271144579</v>
      </c>
      <c r="AC80" s="103">
        <v>3.5264254697195945</v>
      </c>
      <c r="AD80" s="97">
        <v>-6.2691344348927345</v>
      </c>
      <c r="AE80" s="104">
        <v>3.5885314072594672</v>
      </c>
    </row>
    <row r="81" spans="1:31" s="105" customFormat="1" x14ac:dyDescent="0.25">
      <c r="A81" s="94" t="s">
        <v>262</v>
      </c>
      <c r="B81" s="95">
        <v>95</v>
      </c>
      <c r="C81" s="96">
        <v>88.580207824707031</v>
      </c>
      <c r="D81" s="97">
        <v>25.0345145349565</v>
      </c>
      <c r="E81" s="98">
        <v>1.9231986889269366E-2</v>
      </c>
      <c r="F81" s="99">
        <v>18</v>
      </c>
      <c r="G81" s="98" t="s">
        <v>35</v>
      </c>
      <c r="H81" s="100">
        <v>23</v>
      </c>
      <c r="I81" s="101" t="s">
        <v>35</v>
      </c>
      <c r="J81" s="97">
        <v>33</v>
      </c>
      <c r="K81" s="102" t="s">
        <v>35</v>
      </c>
      <c r="L81" s="97">
        <v>15</v>
      </c>
      <c r="M81" s="102" t="s">
        <v>35</v>
      </c>
      <c r="N81" s="99">
        <v>23.011906616970531</v>
      </c>
      <c r="O81" s="98">
        <v>4.9497623508651466E-2</v>
      </c>
      <c r="P81" s="100">
        <v>23.794884619336489</v>
      </c>
      <c r="Q81" s="101">
        <v>4.1171611853246595E-2</v>
      </c>
      <c r="R81" s="97">
        <v>25.09323110054844</v>
      </c>
      <c r="S81" s="98">
        <v>3.7204086147494264E-2</v>
      </c>
      <c r="T81" s="100">
        <v>28.359877755261898</v>
      </c>
      <c r="U81" s="101">
        <v>2.7652793201960974E-2</v>
      </c>
      <c r="V81" s="97">
        <v>5.3479711382913706</v>
      </c>
      <c r="W81" s="102">
        <v>5.6334369415152026E-2</v>
      </c>
      <c r="X81" s="99">
        <v>25.072451099655279</v>
      </c>
      <c r="Y81" s="98">
        <v>1.9189668112628001E-2</v>
      </c>
      <c r="Z81" s="100" t="s">
        <v>34</v>
      </c>
      <c r="AA81" s="101" t="s">
        <v>34</v>
      </c>
      <c r="AB81" s="100">
        <v>24.24834361094803</v>
      </c>
      <c r="AC81" s="103">
        <v>0.28434993940905412</v>
      </c>
      <c r="AD81" s="97">
        <v>-0.82410748870724859</v>
      </c>
      <c r="AE81" s="104">
        <v>0.28339049213999012</v>
      </c>
    </row>
    <row r="82" spans="1:31" s="105" customFormat="1" x14ac:dyDescent="0.25">
      <c r="A82" s="94" t="s">
        <v>263</v>
      </c>
      <c r="B82" s="95">
        <v>140</v>
      </c>
      <c r="C82" s="96">
        <v>69.153816223144531</v>
      </c>
      <c r="D82" s="97">
        <v>38.47072601695691</v>
      </c>
      <c r="E82" s="98">
        <v>0.80723982683270812</v>
      </c>
      <c r="F82" s="99">
        <v>23</v>
      </c>
      <c r="G82" s="98" t="s">
        <v>35</v>
      </c>
      <c r="H82" s="100">
        <v>38</v>
      </c>
      <c r="I82" s="101">
        <v>5.123475382979799</v>
      </c>
      <c r="J82" s="97">
        <v>53</v>
      </c>
      <c r="K82" s="102" t="s">
        <v>35</v>
      </c>
      <c r="L82" s="97">
        <v>30</v>
      </c>
      <c r="M82" s="102" t="s">
        <v>35</v>
      </c>
      <c r="N82" s="99">
        <v>37.11090758357993</v>
      </c>
      <c r="O82" s="98">
        <v>2.5849881990558696</v>
      </c>
      <c r="P82" s="100">
        <v>39.663700760290737</v>
      </c>
      <c r="Q82" s="101">
        <v>1.5274133929971743</v>
      </c>
      <c r="R82" s="97">
        <v>39.112295884338771</v>
      </c>
      <c r="S82" s="98">
        <v>1.619499354993559</v>
      </c>
      <c r="T82" s="100">
        <v>38.040412540614859</v>
      </c>
      <c r="U82" s="101">
        <v>1.9252298935813912</v>
      </c>
      <c r="V82" s="97">
        <v>0.92950495703492919</v>
      </c>
      <c r="W82" s="102">
        <v>3.3040413023577848</v>
      </c>
      <c r="X82" s="99">
        <v>39.392874584814663</v>
      </c>
      <c r="Y82" s="98">
        <v>0.82245775759938211</v>
      </c>
      <c r="Z82" s="100" t="s">
        <v>34</v>
      </c>
      <c r="AA82" s="101" t="s">
        <v>34</v>
      </c>
      <c r="AB82" s="100">
        <v>33.729239487494773</v>
      </c>
      <c r="AC82" s="103">
        <v>2.4067287276050515</v>
      </c>
      <c r="AD82" s="97">
        <v>-5.6636350973198901</v>
      </c>
      <c r="AE82" s="104">
        <v>2.5079320500971467</v>
      </c>
    </row>
    <row r="83" spans="1:31" s="105" customFormat="1" x14ac:dyDescent="0.25">
      <c r="A83" s="94" t="s">
        <v>264</v>
      </c>
      <c r="B83" s="95">
        <v>323</v>
      </c>
      <c r="C83" s="96">
        <v>97.6805419921875</v>
      </c>
      <c r="D83" s="97">
        <v>26.093537330084139</v>
      </c>
      <c r="E83" s="98">
        <v>0.38159720009325504</v>
      </c>
      <c r="F83" s="99">
        <v>13</v>
      </c>
      <c r="G83" s="98" t="s">
        <v>35</v>
      </c>
      <c r="H83" s="100">
        <v>28</v>
      </c>
      <c r="I83" s="101" t="s">
        <v>35</v>
      </c>
      <c r="J83" s="97">
        <v>33</v>
      </c>
      <c r="K83" s="102">
        <v>4.0311288741492746</v>
      </c>
      <c r="L83" s="97">
        <v>20</v>
      </c>
      <c r="M83" s="102">
        <v>4.0311288741492746</v>
      </c>
      <c r="N83" s="99">
        <v>21.69686380464881</v>
      </c>
      <c r="O83" s="98">
        <v>0.66166921071481699</v>
      </c>
      <c r="P83" s="100">
        <v>26.95992016299677</v>
      </c>
      <c r="Q83" s="101">
        <v>0.778214017146866</v>
      </c>
      <c r="R83" s="97">
        <v>27.409648706033799</v>
      </c>
      <c r="S83" s="98">
        <v>0.68847489062879841</v>
      </c>
      <c r="T83" s="100">
        <v>28.374476663361111</v>
      </c>
      <c r="U83" s="101">
        <v>1.0187621890811487</v>
      </c>
      <c r="V83" s="97">
        <v>6.677612858712294</v>
      </c>
      <c r="W83" s="102">
        <v>1.1170857710835809</v>
      </c>
      <c r="X83" s="99">
        <v>26.28863843587872</v>
      </c>
      <c r="Y83" s="98">
        <v>0.40856872887578699</v>
      </c>
      <c r="Z83" s="100" t="s">
        <v>34</v>
      </c>
      <c r="AA83" s="101" t="s">
        <v>34</v>
      </c>
      <c r="AB83" s="100">
        <v>25.615489954489401</v>
      </c>
      <c r="AC83" s="103">
        <v>0.89653941718429875</v>
      </c>
      <c r="AD83" s="97">
        <v>-0.67314848138931893</v>
      </c>
      <c r="AE83" s="104">
        <v>0.97002248762411081</v>
      </c>
    </row>
    <row r="84" spans="1:31" s="105" customFormat="1" x14ac:dyDescent="0.25">
      <c r="A84" s="94" t="s">
        <v>265</v>
      </c>
      <c r="B84" s="95">
        <v>186</v>
      </c>
      <c r="C84" s="96">
        <v>99.705375671386719</v>
      </c>
      <c r="D84" s="97">
        <v>44.021879700772502</v>
      </c>
      <c r="E84" s="98">
        <v>0.51731901310999706</v>
      </c>
      <c r="F84" s="99">
        <v>33</v>
      </c>
      <c r="G84" s="98">
        <v>1.9364916731037085</v>
      </c>
      <c r="H84" s="100">
        <v>43</v>
      </c>
      <c r="I84" s="101" t="s">
        <v>35</v>
      </c>
      <c r="J84" s="97">
        <v>53</v>
      </c>
      <c r="K84" s="102" t="s">
        <v>35</v>
      </c>
      <c r="L84" s="97">
        <v>20</v>
      </c>
      <c r="M84" s="102">
        <v>1.9364916731037085</v>
      </c>
      <c r="N84" s="99">
        <v>44.707478293614962</v>
      </c>
      <c r="O84" s="98">
        <v>1.428493462530763</v>
      </c>
      <c r="P84" s="100">
        <v>45.252807492550417</v>
      </c>
      <c r="Q84" s="101">
        <v>1.0240524458740143</v>
      </c>
      <c r="R84" s="97">
        <v>45.364745568401602</v>
      </c>
      <c r="S84" s="98">
        <v>1.1597963334782602</v>
      </c>
      <c r="T84" s="100">
        <v>40.784037370311047</v>
      </c>
      <c r="U84" s="101">
        <v>1.2523132610649714</v>
      </c>
      <c r="V84" s="97">
        <v>-3.923440923303914</v>
      </c>
      <c r="W84" s="102">
        <v>1.8801764625448349</v>
      </c>
      <c r="X84" s="99">
        <v>45.104094969216533</v>
      </c>
      <c r="Y84" s="98">
        <v>0.59688257842699066</v>
      </c>
      <c r="Z84" s="100">
        <v>41.88647723148371</v>
      </c>
      <c r="AA84" s="101">
        <v>2.0936042150432517</v>
      </c>
      <c r="AB84" s="100">
        <v>35.643134776735813</v>
      </c>
      <c r="AC84" s="103">
        <v>2.2124566551251728</v>
      </c>
      <c r="AD84" s="97">
        <v>-6.1993212814313097</v>
      </c>
      <c r="AE84" s="104">
        <v>1.6541624268268924</v>
      </c>
    </row>
    <row r="85" spans="1:31" s="105" customFormat="1" x14ac:dyDescent="0.25">
      <c r="A85" s="94" t="s">
        <v>266</v>
      </c>
      <c r="B85" s="95">
        <v>136</v>
      </c>
      <c r="C85" s="96">
        <v>85.952011108398438</v>
      </c>
      <c r="D85" s="97">
        <v>31.468661191269788</v>
      </c>
      <c r="E85" s="98">
        <v>1.8386965444791188E-2</v>
      </c>
      <c r="F85" s="99">
        <v>23</v>
      </c>
      <c r="G85" s="98" t="s">
        <v>35</v>
      </c>
      <c r="H85" s="100">
        <v>28</v>
      </c>
      <c r="I85" s="101" t="s">
        <v>35</v>
      </c>
      <c r="J85" s="97">
        <v>53</v>
      </c>
      <c r="K85" s="102" t="s">
        <v>35</v>
      </c>
      <c r="L85" s="97">
        <v>30</v>
      </c>
      <c r="M85" s="102" t="s">
        <v>35</v>
      </c>
      <c r="N85" s="99">
        <v>35.031527591358447</v>
      </c>
      <c r="O85" s="98">
        <v>0.24932776382394709</v>
      </c>
      <c r="P85" s="100">
        <v>32.649275408406353</v>
      </c>
      <c r="Q85" s="101">
        <v>0.19105834011648545</v>
      </c>
      <c r="R85" s="97">
        <v>33.273059521028152</v>
      </c>
      <c r="S85" s="98">
        <v>2.885653629054756E-2</v>
      </c>
      <c r="T85" s="100">
        <v>24.6931144329047</v>
      </c>
      <c r="U85" s="101">
        <v>1.9066710748248176E-2</v>
      </c>
      <c r="V85" s="97">
        <v>-10.338413158453751</v>
      </c>
      <c r="W85" s="102">
        <v>0.25114501066575567</v>
      </c>
      <c r="X85" s="99">
        <v>35.317464572122368</v>
      </c>
      <c r="Y85" s="98">
        <v>2.4190446367426441E-2</v>
      </c>
      <c r="Z85" s="100" t="s">
        <v>34</v>
      </c>
      <c r="AA85" s="101" t="s">
        <v>34</v>
      </c>
      <c r="AB85" s="100">
        <v>27.658833695506249</v>
      </c>
      <c r="AC85" s="103">
        <v>2.5140400961370584E-2</v>
      </c>
      <c r="AD85" s="97">
        <v>-7.6586308766161189</v>
      </c>
      <c r="AE85" s="104">
        <v>3.3947353214808997E-2</v>
      </c>
    </row>
    <row r="86" spans="1:31" s="105" customFormat="1" x14ac:dyDescent="0.25">
      <c r="A86" s="94" t="s">
        <v>267</v>
      </c>
      <c r="B86" s="95">
        <v>141</v>
      </c>
      <c r="C86" s="96">
        <v>93.061271667480469</v>
      </c>
      <c r="D86" s="97">
        <v>27.31745767286731</v>
      </c>
      <c r="E86" s="98">
        <v>0.36614734939798371</v>
      </c>
      <c r="F86" s="99">
        <v>23</v>
      </c>
      <c r="G86" s="98" t="s">
        <v>35</v>
      </c>
      <c r="H86" s="100">
        <v>28</v>
      </c>
      <c r="I86" s="101" t="s">
        <v>35</v>
      </c>
      <c r="J86" s="97">
        <v>28</v>
      </c>
      <c r="K86" s="102">
        <v>1.5811388300841898</v>
      </c>
      <c r="L86" s="97">
        <v>5</v>
      </c>
      <c r="M86" s="102">
        <v>1.5811388300841898</v>
      </c>
      <c r="N86" s="99">
        <v>26.05656508351214</v>
      </c>
      <c r="O86" s="98">
        <v>0.76497050334858518</v>
      </c>
      <c r="P86" s="100">
        <v>27.10492487008224</v>
      </c>
      <c r="Q86" s="101">
        <v>1.1767565530677893</v>
      </c>
      <c r="R86" s="97">
        <v>27.768606934837141</v>
      </c>
      <c r="S86" s="98">
        <v>0.92427432298076506</v>
      </c>
      <c r="T86" s="100">
        <v>28.37698629237271</v>
      </c>
      <c r="U86" s="101">
        <v>0.44561128539615391</v>
      </c>
      <c r="V86" s="97">
        <v>2.3204212088605729</v>
      </c>
      <c r="W86" s="102">
        <v>0.94621145238952065</v>
      </c>
      <c r="X86" s="99">
        <v>27.373462724473612</v>
      </c>
      <c r="Y86" s="98">
        <v>0.36315686749127823</v>
      </c>
      <c r="Z86" s="100" t="s">
        <v>34</v>
      </c>
      <c r="AA86" s="101" t="s">
        <v>34</v>
      </c>
      <c r="AB86" s="100" t="s">
        <v>34</v>
      </c>
      <c r="AC86" s="103" t="s">
        <v>34</v>
      </c>
      <c r="AD86" s="97" t="s">
        <v>34</v>
      </c>
      <c r="AE86" s="104" t="s">
        <v>34</v>
      </c>
    </row>
    <row r="87" spans="1:31" s="105" customFormat="1" x14ac:dyDescent="0.25">
      <c r="A87" s="94" t="s">
        <v>268</v>
      </c>
      <c r="B87" s="95">
        <v>235</v>
      </c>
      <c r="C87" s="96">
        <v>91.496650695800781</v>
      </c>
      <c r="D87" s="97">
        <v>23.66775651586287</v>
      </c>
      <c r="E87" s="98">
        <v>0.25309439194960714</v>
      </c>
      <c r="F87" s="99">
        <v>13</v>
      </c>
      <c r="G87" s="98">
        <v>6.2249497989943663</v>
      </c>
      <c r="H87" s="100">
        <v>23</v>
      </c>
      <c r="I87" s="101" t="s">
        <v>35</v>
      </c>
      <c r="J87" s="97">
        <v>28</v>
      </c>
      <c r="K87" s="102" t="s">
        <v>35</v>
      </c>
      <c r="L87" s="97">
        <v>15</v>
      </c>
      <c r="M87" s="102">
        <v>6.2249497989943663</v>
      </c>
      <c r="N87" s="99">
        <v>19.242799708175848</v>
      </c>
      <c r="O87" s="98">
        <v>0.62028177341573065</v>
      </c>
      <c r="P87" s="100">
        <v>24.587746434925979</v>
      </c>
      <c r="Q87" s="101">
        <v>0.57667804407224454</v>
      </c>
      <c r="R87" s="97">
        <v>24.00486015706959</v>
      </c>
      <c r="S87" s="98">
        <v>0.62824396460101206</v>
      </c>
      <c r="T87" s="100">
        <v>26.846265185602238</v>
      </c>
      <c r="U87" s="101">
        <v>0.46207953232558308</v>
      </c>
      <c r="V87" s="97">
        <v>7.6034654774263926</v>
      </c>
      <c r="W87" s="102">
        <v>0.69660194870401004</v>
      </c>
      <c r="X87" s="99">
        <v>23.66775651586287</v>
      </c>
      <c r="Y87" s="98">
        <v>0.25309439194960714</v>
      </c>
      <c r="Z87" s="100" t="s">
        <v>34</v>
      </c>
      <c r="AA87" s="101" t="s">
        <v>34</v>
      </c>
      <c r="AB87" s="100" t="s">
        <v>34</v>
      </c>
      <c r="AC87" s="103" t="s">
        <v>34</v>
      </c>
      <c r="AD87" s="97" t="s">
        <v>34</v>
      </c>
      <c r="AE87" s="104" t="s">
        <v>34</v>
      </c>
    </row>
    <row r="88" spans="1:31" s="105" customFormat="1" x14ac:dyDescent="0.25">
      <c r="A88" s="94" t="s">
        <v>269</v>
      </c>
      <c r="B88" s="95">
        <v>168</v>
      </c>
      <c r="C88" s="96">
        <v>80.200897216796875</v>
      </c>
      <c r="D88" s="97">
        <v>39.001980069367619</v>
      </c>
      <c r="E88" s="98">
        <v>0.93858314290479727</v>
      </c>
      <c r="F88" s="99">
        <v>23</v>
      </c>
      <c r="G88" s="98">
        <v>5.9160797830996161</v>
      </c>
      <c r="H88" s="100">
        <v>38</v>
      </c>
      <c r="I88" s="101">
        <v>1.5811388300841898</v>
      </c>
      <c r="J88" s="97">
        <v>53</v>
      </c>
      <c r="K88" s="102" t="s">
        <v>35</v>
      </c>
      <c r="L88" s="97">
        <v>30</v>
      </c>
      <c r="M88" s="102">
        <v>5.9160797830996161</v>
      </c>
      <c r="N88" s="99">
        <v>36.563112764336587</v>
      </c>
      <c r="O88" s="98">
        <v>2.1682882902243001</v>
      </c>
      <c r="P88" s="100">
        <v>40.958634210319417</v>
      </c>
      <c r="Q88" s="101">
        <v>1.8651574307481269</v>
      </c>
      <c r="R88" s="97">
        <v>39.637627468211711</v>
      </c>
      <c r="S88" s="98">
        <v>2.0416988113936494</v>
      </c>
      <c r="T88" s="100">
        <v>38.803493768712983</v>
      </c>
      <c r="U88" s="101">
        <v>1.6225364724250562</v>
      </c>
      <c r="V88" s="97">
        <v>2.2403810043763812</v>
      </c>
      <c r="W88" s="102">
        <v>2.8712399221434222</v>
      </c>
      <c r="X88" s="99">
        <v>39.26145419770306</v>
      </c>
      <c r="Y88" s="98">
        <v>1.0127788168680176</v>
      </c>
      <c r="Z88" s="100" t="s">
        <v>34</v>
      </c>
      <c r="AA88" s="101" t="s">
        <v>34</v>
      </c>
      <c r="AB88" s="100">
        <v>37.215423833589178</v>
      </c>
      <c r="AC88" s="103">
        <v>3.9264490680982136</v>
      </c>
      <c r="AD88" s="97">
        <v>-2.0460303641138822</v>
      </c>
      <c r="AE88" s="104">
        <v>3.9434931538583005</v>
      </c>
    </row>
    <row r="89" spans="1:31" s="105" customFormat="1" x14ac:dyDescent="0.25">
      <c r="A89" s="94" t="s">
        <v>270</v>
      </c>
      <c r="B89" s="95">
        <v>177</v>
      </c>
      <c r="C89" s="96">
        <v>98.513496398925781</v>
      </c>
      <c r="D89" s="97">
        <v>28.668096503775072</v>
      </c>
      <c r="E89" s="98">
        <v>0.55930119073156781</v>
      </c>
      <c r="F89" s="99">
        <v>23</v>
      </c>
      <c r="G89" s="98" t="s">
        <v>35</v>
      </c>
      <c r="H89" s="100">
        <v>28</v>
      </c>
      <c r="I89" s="101" t="s">
        <v>35</v>
      </c>
      <c r="J89" s="97">
        <v>33</v>
      </c>
      <c r="K89" s="102" t="s">
        <v>35</v>
      </c>
      <c r="L89" s="97">
        <v>10</v>
      </c>
      <c r="M89" s="102" t="s">
        <v>35</v>
      </c>
      <c r="N89" s="99">
        <v>27.586683772658532</v>
      </c>
      <c r="O89" s="98">
        <v>1.1881616534254125</v>
      </c>
      <c r="P89" s="100">
        <v>30.987482371225141</v>
      </c>
      <c r="Q89" s="101">
        <v>1.9340095653342448</v>
      </c>
      <c r="R89" s="97">
        <v>27.414394318275988</v>
      </c>
      <c r="S89" s="98">
        <v>1.072083032403536</v>
      </c>
      <c r="T89" s="100">
        <v>28.653081302166711</v>
      </c>
      <c r="U89" s="101">
        <v>0.93082936206254352</v>
      </c>
      <c r="V89" s="97">
        <v>1.06639752950818</v>
      </c>
      <c r="W89" s="102">
        <v>1.5216978912742731</v>
      </c>
      <c r="X89" s="99">
        <v>28.844989148434781</v>
      </c>
      <c r="Y89" s="98">
        <v>0.56363971997548268</v>
      </c>
      <c r="Z89" s="100" t="s">
        <v>34</v>
      </c>
      <c r="AA89" s="101" t="s">
        <v>34</v>
      </c>
      <c r="AB89" s="100">
        <v>23.372369518354489</v>
      </c>
      <c r="AC89" s="103">
        <v>2.7106936503885608</v>
      </c>
      <c r="AD89" s="97">
        <v>-5.4726196300802918</v>
      </c>
      <c r="AE89" s="104">
        <v>2.7575071195440275</v>
      </c>
    </row>
    <row r="90" spans="1:31" s="105" customFormat="1" x14ac:dyDescent="0.25">
      <c r="A90" s="94" t="s">
        <v>271</v>
      </c>
      <c r="B90" s="95">
        <v>166</v>
      </c>
      <c r="C90" s="96">
        <v>100</v>
      </c>
      <c r="D90" s="97">
        <v>33.418734280833903</v>
      </c>
      <c r="E90" s="98">
        <v>0.17834542997337641</v>
      </c>
      <c r="F90" s="99">
        <v>23</v>
      </c>
      <c r="G90" s="98" t="s">
        <v>35</v>
      </c>
      <c r="H90" s="100">
        <v>33</v>
      </c>
      <c r="I90" s="101" t="s">
        <v>35</v>
      </c>
      <c r="J90" s="97">
        <v>38</v>
      </c>
      <c r="K90" s="102" t="s">
        <v>35</v>
      </c>
      <c r="L90" s="97">
        <v>15</v>
      </c>
      <c r="M90" s="102" t="s">
        <v>35</v>
      </c>
      <c r="N90" s="99">
        <v>33.275124436434012</v>
      </c>
      <c r="O90" s="98">
        <v>8.7631466831954316E-2</v>
      </c>
      <c r="P90" s="100">
        <v>36.082338957367632</v>
      </c>
      <c r="Q90" s="101">
        <v>0.18642257935558326</v>
      </c>
      <c r="R90" s="97">
        <v>34.987658457748687</v>
      </c>
      <c r="S90" s="98">
        <v>9.5911648142205652E-2</v>
      </c>
      <c r="T90" s="100">
        <v>29.23772196798673</v>
      </c>
      <c r="U90" s="101">
        <v>0.83871541622222112</v>
      </c>
      <c r="V90" s="97">
        <v>-4.0374024684472758</v>
      </c>
      <c r="W90" s="102">
        <v>0.8643292237203628</v>
      </c>
      <c r="X90" s="99">
        <v>34.210548205514641</v>
      </c>
      <c r="Y90" s="98">
        <v>8.3657915262656216E-2</v>
      </c>
      <c r="Z90" s="100" t="s">
        <v>34</v>
      </c>
      <c r="AA90" s="101" t="s">
        <v>34</v>
      </c>
      <c r="AB90" s="100">
        <v>23.607983394042201</v>
      </c>
      <c r="AC90" s="103">
        <v>1.606361848430677</v>
      </c>
      <c r="AD90" s="97">
        <v>-10.60256481147244</v>
      </c>
      <c r="AE90" s="104">
        <v>1.6113541935869373</v>
      </c>
    </row>
    <row r="91" spans="1:31" s="105" customFormat="1" x14ac:dyDescent="0.25">
      <c r="A91" s="94" t="s">
        <v>272</v>
      </c>
      <c r="B91" s="95">
        <v>189</v>
      </c>
      <c r="C91" s="96">
        <v>98.293815612792969</v>
      </c>
      <c r="D91" s="97">
        <v>35.493038490970321</v>
      </c>
      <c r="E91" s="98">
        <v>0.33092441934081857</v>
      </c>
      <c r="F91" s="99">
        <v>28</v>
      </c>
      <c r="G91" s="98" t="s">
        <v>35</v>
      </c>
      <c r="H91" s="100">
        <v>38</v>
      </c>
      <c r="I91" s="101">
        <v>5.7008771254956896</v>
      </c>
      <c r="J91" s="97">
        <v>43</v>
      </c>
      <c r="K91" s="102">
        <v>2.2360679774997898</v>
      </c>
      <c r="L91" s="97">
        <v>15</v>
      </c>
      <c r="M91" s="102">
        <v>2.2360679774997898</v>
      </c>
      <c r="N91" s="99">
        <v>34.271582883266298</v>
      </c>
      <c r="O91" s="98">
        <v>1.5158774006483744</v>
      </c>
      <c r="P91" s="100">
        <v>35.666541457368552</v>
      </c>
      <c r="Q91" s="101">
        <v>1.4062961428233556</v>
      </c>
      <c r="R91" s="97">
        <v>34.720708229025092</v>
      </c>
      <c r="S91" s="98">
        <v>1.1164765221176445</v>
      </c>
      <c r="T91" s="100">
        <v>37.311877490437418</v>
      </c>
      <c r="U91" s="101">
        <v>0.8135588446872738</v>
      </c>
      <c r="V91" s="97">
        <v>3.0402946071711199</v>
      </c>
      <c r="W91" s="102">
        <v>1.6998671870339028</v>
      </c>
      <c r="X91" s="99">
        <v>32.614449640276597</v>
      </c>
      <c r="Y91" s="98">
        <v>0.3101267904419181</v>
      </c>
      <c r="Z91" s="100">
        <v>41.003520367573437</v>
      </c>
      <c r="AA91" s="101">
        <v>1.7205873375196274</v>
      </c>
      <c r="AB91" s="100">
        <v>42.337190951056471</v>
      </c>
      <c r="AC91" s="103">
        <v>0.93421243999689929</v>
      </c>
      <c r="AD91" s="97">
        <v>9.2531690710419738</v>
      </c>
      <c r="AE91" s="104">
        <v>0.89985874261270504</v>
      </c>
    </row>
    <row r="92" spans="1:31" s="105" customFormat="1" x14ac:dyDescent="0.25">
      <c r="A92" s="94" t="s">
        <v>273</v>
      </c>
      <c r="B92" s="95">
        <v>204</v>
      </c>
      <c r="C92" s="96">
        <v>92.950508117675781</v>
      </c>
      <c r="D92" s="97">
        <v>37.304730066504483</v>
      </c>
      <c r="E92" s="98">
        <v>0.48562856100289387</v>
      </c>
      <c r="F92" s="99">
        <v>28</v>
      </c>
      <c r="G92" s="98" t="s">
        <v>35</v>
      </c>
      <c r="H92" s="100">
        <v>38</v>
      </c>
      <c r="I92" s="101" t="s">
        <v>35</v>
      </c>
      <c r="J92" s="97">
        <v>43</v>
      </c>
      <c r="K92" s="102">
        <v>1.5811388300841898</v>
      </c>
      <c r="L92" s="97">
        <v>15</v>
      </c>
      <c r="M92" s="102">
        <v>1.5811388300841898</v>
      </c>
      <c r="N92" s="99">
        <v>33.470712277570989</v>
      </c>
      <c r="O92" s="98">
        <v>1.2785154471087772</v>
      </c>
      <c r="P92" s="100">
        <v>35.979094044105977</v>
      </c>
      <c r="Q92" s="101">
        <v>1.039313372124903</v>
      </c>
      <c r="R92" s="97">
        <v>38.428109420937467</v>
      </c>
      <c r="S92" s="98">
        <v>1.0909341822798275</v>
      </c>
      <c r="T92" s="100">
        <v>41.407896646690617</v>
      </c>
      <c r="U92" s="101">
        <v>1.4422498292535781</v>
      </c>
      <c r="V92" s="97">
        <v>7.9371843691196284</v>
      </c>
      <c r="W92" s="102">
        <v>2.0480519814649449</v>
      </c>
      <c r="X92" s="99">
        <v>37.108655732288369</v>
      </c>
      <c r="Y92" s="98">
        <v>0.57227768087795239</v>
      </c>
      <c r="Z92" s="100">
        <v>39.397943188636333</v>
      </c>
      <c r="AA92" s="101">
        <v>1.0281281968044611</v>
      </c>
      <c r="AB92" s="100">
        <v>36.958449612458899</v>
      </c>
      <c r="AC92" s="103">
        <v>1.7479912084358002</v>
      </c>
      <c r="AD92" s="97">
        <v>1.1719291528661486</v>
      </c>
      <c r="AE92" s="104">
        <v>1.191116308498896</v>
      </c>
    </row>
    <row r="93" spans="1:31" s="105" customFormat="1" x14ac:dyDescent="0.25">
      <c r="A93" s="94" t="s">
        <v>274</v>
      </c>
      <c r="B93" s="95">
        <v>0</v>
      </c>
      <c r="C93" s="96">
        <v>0</v>
      </c>
      <c r="D93" s="97" t="s">
        <v>34</v>
      </c>
      <c r="E93" s="98" t="s">
        <v>34</v>
      </c>
      <c r="F93" s="99" t="s">
        <v>34</v>
      </c>
      <c r="G93" s="98" t="s">
        <v>34</v>
      </c>
      <c r="H93" s="100" t="s">
        <v>34</v>
      </c>
      <c r="I93" s="101" t="s">
        <v>34</v>
      </c>
      <c r="J93" s="97" t="s">
        <v>34</v>
      </c>
      <c r="K93" s="102" t="s">
        <v>34</v>
      </c>
      <c r="L93" s="97" t="s">
        <v>34</v>
      </c>
      <c r="M93" s="102" t="s">
        <v>34</v>
      </c>
      <c r="N93" s="99" t="s">
        <v>34</v>
      </c>
      <c r="O93" s="98" t="s">
        <v>34</v>
      </c>
      <c r="P93" s="100" t="s">
        <v>34</v>
      </c>
      <c r="Q93" s="101" t="s">
        <v>34</v>
      </c>
      <c r="R93" s="97" t="s">
        <v>34</v>
      </c>
      <c r="S93" s="98" t="s">
        <v>34</v>
      </c>
      <c r="T93" s="100" t="s">
        <v>34</v>
      </c>
      <c r="U93" s="101" t="s">
        <v>34</v>
      </c>
      <c r="V93" s="97" t="s">
        <v>34</v>
      </c>
      <c r="W93" s="102" t="s">
        <v>34</v>
      </c>
      <c r="X93" s="99" t="s">
        <v>34</v>
      </c>
      <c r="Y93" s="98" t="s">
        <v>34</v>
      </c>
      <c r="Z93" s="100" t="s">
        <v>34</v>
      </c>
      <c r="AA93" s="101" t="s">
        <v>34</v>
      </c>
      <c r="AB93" s="100" t="s">
        <v>34</v>
      </c>
      <c r="AC93" s="103" t="s">
        <v>34</v>
      </c>
      <c r="AD93" s="97" t="s">
        <v>34</v>
      </c>
      <c r="AE93" s="104" t="s">
        <v>34</v>
      </c>
    </row>
    <row r="94" spans="1:31" s="105" customFormat="1" x14ac:dyDescent="0.25">
      <c r="A94" s="94" t="s">
        <v>275</v>
      </c>
      <c r="B94" s="95">
        <v>589</v>
      </c>
      <c r="C94" s="96">
        <v>90.689033508300781</v>
      </c>
      <c r="D94" s="97">
        <v>30.999355883341959</v>
      </c>
      <c r="E94" s="98">
        <v>0.23244049365007138</v>
      </c>
      <c r="F94" s="99">
        <v>23</v>
      </c>
      <c r="G94" s="98" t="s">
        <v>35</v>
      </c>
      <c r="H94" s="100">
        <v>28</v>
      </c>
      <c r="I94" s="101" t="s">
        <v>35</v>
      </c>
      <c r="J94" s="97">
        <v>53</v>
      </c>
      <c r="K94" s="102" t="s">
        <v>35</v>
      </c>
      <c r="L94" s="97">
        <v>30</v>
      </c>
      <c r="M94" s="102" t="s">
        <v>35</v>
      </c>
      <c r="N94" s="99">
        <v>34.971336428236079</v>
      </c>
      <c r="O94" s="98">
        <v>0.29299724497915952</v>
      </c>
      <c r="P94" s="100">
        <v>34.213378926896908</v>
      </c>
      <c r="Q94" s="101">
        <v>0.76631203013791627</v>
      </c>
      <c r="R94" s="97">
        <v>29.227555054303949</v>
      </c>
      <c r="S94" s="98">
        <v>0.37812208028128796</v>
      </c>
      <c r="T94" s="100">
        <v>25.639612373001391</v>
      </c>
      <c r="U94" s="101">
        <v>0.38781448557233777</v>
      </c>
      <c r="V94" s="97">
        <v>-9.3317240552346874</v>
      </c>
      <c r="W94" s="102">
        <v>0.57127514369621002</v>
      </c>
      <c r="X94" s="99">
        <v>34.852604801627997</v>
      </c>
      <c r="Y94" s="98">
        <v>0.1886786310037771</v>
      </c>
      <c r="Z94" s="100" t="s">
        <v>34</v>
      </c>
      <c r="AA94" s="101" t="s">
        <v>34</v>
      </c>
      <c r="AB94" s="100">
        <v>28.76218811646353</v>
      </c>
      <c r="AC94" s="103">
        <v>0.36798110700360914</v>
      </c>
      <c r="AD94" s="97">
        <v>-6.0904166851644668</v>
      </c>
      <c r="AE94" s="104">
        <v>0.42030098783753655</v>
      </c>
    </row>
    <row r="95" spans="1:31" s="105" customFormat="1" x14ac:dyDescent="0.25">
      <c r="A95" s="94" t="s">
        <v>276</v>
      </c>
      <c r="B95" s="95">
        <v>189</v>
      </c>
      <c r="C95" s="96">
        <v>100</v>
      </c>
      <c r="D95" s="97">
        <v>27.417544383263021</v>
      </c>
      <c r="E95" s="98">
        <v>0.41585644595941768</v>
      </c>
      <c r="F95" s="99">
        <v>18</v>
      </c>
      <c r="G95" s="98">
        <v>4.0311288741492746</v>
      </c>
      <c r="H95" s="100">
        <v>28</v>
      </c>
      <c r="I95" s="101" t="s">
        <v>35</v>
      </c>
      <c r="J95" s="97">
        <v>33</v>
      </c>
      <c r="K95" s="102" t="s">
        <v>35</v>
      </c>
      <c r="L95" s="97">
        <v>15</v>
      </c>
      <c r="M95" s="102">
        <v>4.0311288741492746</v>
      </c>
      <c r="N95" s="99">
        <v>26.49433148019676</v>
      </c>
      <c r="O95" s="98">
        <v>0.93448527516667801</v>
      </c>
      <c r="P95" s="100">
        <v>27.172264770730841</v>
      </c>
      <c r="Q95" s="101">
        <v>0.98051772832769668</v>
      </c>
      <c r="R95" s="97">
        <v>29.049964357986202</v>
      </c>
      <c r="S95" s="98">
        <v>1.1858775471593974</v>
      </c>
      <c r="T95" s="100">
        <v>26.92555235817893</v>
      </c>
      <c r="U95" s="101">
        <v>1.1225204358524006</v>
      </c>
      <c r="V95" s="97">
        <v>0.43122087798217379</v>
      </c>
      <c r="W95" s="102">
        <v>1.410388577061092</v>
      </c>
      <c r="X95" s="99">
        <v>27.982991000468679</v>
      </c>
      <c r="Y95" s="98">
        <v>0.47313091609735497</v>
      </c>
      <c r="Z95" s="100" t="s">
        <v>34</v>
      </c>
      <c r="AA95" s="101" t="s">
        <v>34</v>
      </c>
      <c r="AB95" s="100">
        <v>24.296704716749481</v>
      </c>
      <c r="AC95" s="103">
        <v>0.63104749129375515</v>
      </c>
      <c r="AD95" s="97">
        <v>-3.6862862837191983</v>
      </c>
      <c r="AE95" s="104">
        <v>0.78677639385422371</v>
      </c>
    </row>
    <row r="96" spans="1:31" s="105" customFormat="1" ht="13.8" thickBot="1" x14ac:dyDescent="0.3">
      <c r="A96" s="107" t="s">
        <v>277</v>
      </c>
      <c r="B96" s="108">
        <v>123</v>
      </c>
      <c r="C96" s="109">
        <v>95.170951843261719</v>
      </c>
      <c r="D96" s="110">
        <v>42.620890211235242</v>
      </c>
      <c r="E96" s="111">
        <v>0.6445394089656723</v>
      </c>
      <c r="F96" s="112">
        <v>38</v>
      </c>
      <c r="G96" s="111">
        <v>6.9821200218844703</v>
      </c>
      <c r="H96" s="113">
        <v>43</v>
      </c>
      <c r="I96" s="114" t="s">
        <v>35</v>
      </c>
      <c r="J96" s="110">
        <v>53</v>
      </c>
      <c r="K96" s="115" t="s">
        <v>35</v>
      </c>
      <c r="L96" s="110">
        <v>15</v>
      </c>
      <c r="M96" s="115">
        <v>6.9821200218844703</v>
      </c>
      <c r="N96" s="112">
        <v>44.528898153562437</v>
      </c>
      <c r="O96" s="111">
        <v>2.1409583151522833</v>
      </c>
      <c r="P96" s="113">
        <v>41.490048552908391</v>
      </c>
      <c r="Q96" s="114">
        <v>1.5602220701587757</v>
      </c>
      <c r="R96" s="110">
        <v>42.887900218318208</v>
      </c>
      <c r="S96" s="111">
        <v>1.3392443167095751</v>
      </c>
      <c r="T96" s="113">
        <v>41.657410316957403</v>
      </c>
      <c r="U96" s="114">
        <v>1.1860966926396281</v>
      </c>
      <c r="V96" s="110">
        <v>-2.871487836605048</v>
      </c>
      <c r="W96" s="115">
        <v>2.4160360338773117</v>
      </c>
      <c r="X96" s="112">
        <v>42.449965748133899</v>
      </c>
      <c r="Y96" s="111">
        <v>0.64889971536759183</v>
      </c>
      <c r="Z96" s="113" t="s">
        <v>34</v>
      </c>
      <c r="AA96" s="114" t="s">
        <v>34</v>
      </c>
      <c r="AB96" s="113">
        <v>45.759259346863608</v>
      </c>
      <c r="AC96" s="116">
        <v>2.9814943609588025</v>
      </c>
      <c r="AD96" s="110">
        <v>3.3092935987297096</v>
      </c>
      <c r="AE96" s="117">
        <v>3.0025375572805855</v>
      </c>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38</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8">
    <mergeCell ref="B11:K11"/>
    <mergeCell ref="N11:W12"/>
    <mergeCell ref="B12:B13"/>
    <mergeCell ref="C12:C13"/>
    <mergeCell ref="D12:E13"/>
    <mergeCell ref="F12:K13"/>
    <mergeCell ref="L12:M12"/>
    <mergeCell ref="L13:M13"/>
    <mergeCell ref="N13:O13"/>
    <mergeCell ref="P13:Q13"/>
    <mergeCell ref="R13:S13"/>
    <mergeCell ref="T13:U13"/>
    <mergeCell ref="V13:W13"/>
    <mergeCell ref="X11:AE12"/>
    <mergeCell ref="AD13:AE13"/>
    <mergeCell ref="X13:Y13"/>
    <mergeCell ref="Z13:AA13"/>
    <mergeCell ref="AB13:AC13"/>
  </mergeCells>
  <conditionalFormatting sqref="V16:V53 AD16:AD53 AD55:AD96 V55:V96">
    <cfRule type="expression" dxfId="26" priority="6">
      <formula>ABS(V16/W16)&gt;1.96</formula>
    </cfRule>
  </conditionalFormatting>
  <conditionalFormatting sqref="V54 AD54">
    <cfRule type="expression" dxfId="25" priority="2">
      <formula>ABS(V54/W54)&gt;1.96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E112"/>
  <sheetViews>
    <sheetView showGridLines="0" zoomScale="80" zoomScaleNormal="80" workbookViewId="0"/>
  </sheetViews>
  <sheetFormatPr defaultColWidth="9.109375" defaultRowHeight="13.2" x14ac:dyDescent="0.25"/>
  <cols>
    <col min="1" max="1" width="25.33203125" style="4" customWidth="1"/>
    <col min="2" max="4" width="13.109375" style="4" customWidth="1"/>
    <col min="5"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44</v>
      </c>
      <c r="B6" s="2"/>
      <c r="C6" s="3"/>
      <c r="D6" s="2"/>
      <c r="E6" s="3"/>
      <c r="F6" s="3"/>
      <c r="G6" s="3"/>
      <c r="H6" s="3"/>
      <c r="I6" s="3"/>
      <c r="J6" s="3"/>
      <c r="K6" s="3"/>
      <c r="L6" s="3"/>
      <c r="M6" s="3"/>
      <c r="N6" s="3"/>
      <c r="O6" s="3"/>
      <c r="P6" s="3"/>
    </row>
    <row r="7" spans="1:31" x14ac:dyDescent="0.25">
      <c r="A7" s="5" t="s">
        <v>45</v>
      </c>
    </row>
    <row r="8" spans="1:31" x14ac:dyDescent="0.25">
      <c r="A8" s="6" t="s">
        <v>46</v>
      </c>
    </row>
    <row r="9" spans="1:31" x14ac:dyDescent="0.25">
      <c r="A9" s="59"/>
    </row>
    <row r="10" spans="1:31" x14ac:dyDescent="0.25">
      <c r="A10" s="6"/>
    </row>
    <row r="11" spans="1:31" ht="25.5" customHeight="1" thickBot="1" x14ac:dyDescent="0.3">
      <c r="A11" s="7"/>
      <c r="B11" s="8"/>
      <c r="C11" s="9"/>
      <c r="D11" s="8"/>
      <c r="E11" s="9"/>
      <c r="F11" s="9"/>
      <c r="G11" s="9"/>
      <c r="H11" s="9"/>
      <c r="I11" s="9"/>
      <c r="J11" s="9"/>
      <c r="K11" s="9"/>
      <c r="L11" s="9"/>
      <c r="M11" s="9"/>
      <c r="N11" s="9"/>
      <c r="O11" s="9"/>
      <c r="P11" s="9"/>
    </row>
    <row r="12" spans="1:31" ht="30" customHeight="1" x14ac:dyDescent="0.25">
      <c r="A12" s="28"/>
      <c r="B12" s="211" t="s">
        <v>7</v>
      </c>
      <c r="C12" s="212"/>
      <c r="D12" s="212"/>
      <c r="E12" s="212"/>
      <c r="F12" s="237"/>
      <c r="G12" s="211" t="s">
        <v>47</v>
      </c>
      <c r="H12" s="212"/>
      <c r="I12" s="212"/>
      <c r="J12" s="212"/>
      <c r="K12" s="212"/>
      <c r="L12" s="212"/>
      <c r="M12" s="212"/>
      <c r="N12" s="212"/>
      <c r="O12" s="212"/>
      <c r="P12" s="237"/>
      <c r="Q12" s="201" t="s">
        <v>48</v>
      </c>
      <c r="R12" s="202"/>
      <c r="S12" s="202"/>
      <c r="T12" s="202"/>
      <c r="U12" s="202"/>
      <c r="V12" s="202"/>
      <c r="W12" s="202"/>
      <c r="X12" s="203"/>
    </row>
    <row r="13" spans="1:31" ht="120" customHeight="1" x14ac:dyDescent="0.25">
      <c r="A13" s="32"/>
      <c r="B13" s="209" t="s">
        <v>10</v>
      </c>
      <c r="C13" s="236"/>
      <c r="D13" s="92" t="s">
        <v>11</v>
      </c>
      <c r="E13" s="209" t="s">
        <v>49</v>
      </c>
      <c r="F13" s="236"/>
      <c r="G13" s="229" t="s">
        <v>16</v>
      </c>
      <c r="H13" s="230"/>
      <c r="I13" s="231" t="s">
        <v>17</v>
      </c>
      <c r="J13" s="230"/>
      <c r="K13" s="234" t="s">
        <v>50</v>
      </c>
      <c r="L13" s="235"/>
      <c r="M13" s="234" t="s">
        <v>19</v>
      </c>
      <c r="N13" s="235"/>
      <c r="O13" s="207" t="s">
        <v>20</v>
      </c>
      <c r="P13" s="236"/>
      <c r="Q13" s="209" t="s">
        <v>21</v>
      </c>
      <c r="R13" s="210"/>
      <c r="S13" s="207" t="s">
        <v>22</v>
      </c>
      <c r="T13" s="210"/>
      <c r="U13" s="207" t="s">
        <v>23</v>
      </c>
      <c r="V13" s="210"/>
      <c r="W13" s="207" t="s">
        <v>70</v>
      </c>
      <c r="X13" s="208"/>
    </row>
    <row r="14" spans="1:31" ht="27" customHeight="1" x14ac:dyDescent="0.25">
      <c r="A14" s="33"/>
      <c r="B14" s="34" t="s">
        <v>51</v>
      </c>
      <c r="C14" s="47" t="s">
        <v>25</v>
      </c>
      <c r="D14" s="36" t="s">
        <v>26</v>
      </c>
      <c r="E14" s="34" t="s">
        <v>52</v>
      </c>
      <c r="F14" s="35" t="s">
        <v>28</v>
      </c>
      <c r="G14" s="34" t="s">
        <v>52</v>
      </c>
      <c r="H14" s="36" t="s">
        <v>28</v>
      </c>
      <c r="I14" s="44" t="s">
        <v>52</v>
      </c>
      <c r="J14" s="36" t="s">
        <v>28</v>
      </c>
      <c r="K14" s="44" t="s">
        <v>52</v>
      </c>
      <c r="L14" s="36" t="s">
        <v>28</v>
      </c>
      <c r="M14" s="44" t="s">
        <v>52</v>
      </c>
      <c r="N14" s="36" t="s">
        <v>28</v>
      </c>
      <c r="O14" s="44" t="s">
        <v>33</v>
      </c>
      <c r="P14" s="35" t="s">
        <v>28</v>
      </c>
      <c r="Q14" s="34" t="s">
        <v>52</v>
      </c>
      <c r="R14" s="36" t="s">
        <v>28</v>
      </c>
      <c r="S14" s="44" t="s">
        <v>52</v>
      </c>
      <c r="T14" s="36" t="s">
        <v>28</v>
      </c>
      <c r="U14" s="44" t="s">
        <v>52</v>
      </c>
      <c r="V14" s="36" t="s">
        <v>28</v>
      </c>
      <c r="W14" s="44" t="s">
        <v>33</v>
      </c>
      <c r="X14" s="46" t="s">
        <v>28</v>
      </c>
    </row>
    <row r="15" spans="1:31" ht="13.5" customHeight="1" x14ac:dyDescent="0.25">
      <c r="A15" s="182" t="s">
        <v>278</v>
      </c>
      <c r="B15" s="183"/>
      <c r="C15" s="184"/>
      <c r="D15" s="185"/>
      <c r="E15" s="186"/>
      <c r="F15" s="187"/>
      <c r="G15" s="188"/>
      <c r="H15" s="189"/>
      <c r="I15" s="190"/>
      <c r="J15" s="189"/>
      <c r="K15" s="190"/>
      <c r="L15" s="189"/>
      <c r="M15" s="190"/>
      <c r="N15" s="189"/>
      <c r="O15" s="190"/>
      <c r="P15" s="187"/>
      <c r="Q15" s="188"/>
      <c r="R15" s="189"/>
      <c r="S15" s="190"/>
      <c r="T15" s="189"/>
      <c r="U15" s="190"/>
      <c r="V15" s="189"/>
      <c r="W15" s="190"/>
      <c r="X15" s="191"/>
    </row>
    <row r="16" spans="1:31" s="105" customFormat="1" x14ac:dyDescent="0.25">
      <c r="A16" s="118" t="s">
        <v>202</v>
      </c>
      <c r="B16" s="167">
        <v>46214</v>
      </c>
      <c r="C16" s="133">
        <v>596</v>
      </c>
      <c r="D16" s="97">
        <v>78.766448974609375</v>
      </c>
      <c r="E16" s="99">
        <v>12.808252443773677</v>
      </c>
      <c r="F16" s="102">
        <v>0.31006515745147334</v>
      </c>
      <c r="G16" s="99">
        <v>11.861668757252218</v>
      </c>
      <c r="H16" s="98">
        <v>0.2427268877721164</v>
      </c>
      <c r="I16" s="100">
        <v>13.116003334164613</v>
      </c>
      <c r="J16" s="98">
        <v>0.23951434157365886</v>
      </c>
      <c r="K16" s="100">
        <v>12.569428882328245</v>
      </c>
      <c r="L16" s="98">
        <v>0.38463118511103184</v>
      </c>
      <c r="M16" s="100">
        <v>13.56736976057663</v>
      </c>
      <c r="N16" s="98">
        <v>1.0275278299636494</v>
      </c>
      <c r="O16" s="100">
        <v>1.7057010033244122</v>
      </c>
      <c r="P16" s="102">
        <v>1.048193520058031</v>
      </c>
      <c r="Q16" s="99">
        <v>12.900624747797155</v>
      </c>
      <c r="R16" s="98">
        <v>0.16877976453874058</v>
      </c>
      <c r="S16" s="100">
        <v>13.012406208222139</v>
      </c>
      <c r="T16" s="98">
        <v>0.24943573388782395</v>
      </c>
      <c r="U16" s="100">
        <v>12.262632689597995</v>
      </c>
      <c r="V16" s="98">
        <v>1.4179255270960829</v>
      </c>
      <c r="W16" s="100">
        <v>-0.21067788493977702</v>
      </c>
      <c r="X16" s="104">
        <v>0.64803572100981943</v>
      </c>
      <c r="Y16" s="124"/>
      <c r="Z16" s="124"/>
      <c r="AA16" s="124"/>
      <c r="AB16" s="124"/>
      <c r="AC16" s="124"/>
      <c r="AD16" s="124"/>
      <c r="AE16" s="124"/>
    </row>
    <row r="17" spans="1:31" s="105" customFormat="1" x14ac:dyDescent="0.25">
      <c r="A17" s="118" t="s">
        <v>203</v>
      </c>
      <c r="B17" s="167">
        <v>13477.5</v>
      </c>
      <c r="C17" s="133">
        <v>291</v>
      </c>
      <c r="D17" s="97" t="s">
        <v>34</v>
      </c>
      <c r="E17" s="99" t="s">
        <v>34</v>
      </c>
      <c r="F17" s="102" t="s">
        <v>34</v>
      </c>
      <c r="G17" s="99" t="s">
        <v>34</v>
      </c>
      <c r="H17" s="98" t="s">
        <v>34</v>
      </c>
      <c r="I17" s="100" t="s">
        <v>34</v>
      </c>
      <c r="J17" s="98" t="s">
        <v>34</v>
      </c>
      <c r="K17" s="100" t="s">
        <v>34</v>
      </c>
      <c r="L17" s="98" t="s">
        <v>34</v>
      </c>
      <c r="M17" s="100" t="s">
        <v>34</v>
      </c>
      <c r="N17" s="98" t="s">
        <v>34</v>
      </c>
      <c r="O17" s="100" t="s">
        <v>34</v>
      </c>
      <c r="P17" s="102" t="s">
        <v>34</v>
      </c>
      <c r="Q17" s="99" t="s">
        <v>34</v>
      </c>
      <c r="R17" s="98" t="s">
        <v>34</v>
      </c>
      <c r="S17" s="100" t="s">
        <v>34</v>
      </c>
      <c r="T17" s="98" t="s">
        <v>34</v>
      </c>
      <c r="U17" s="100" t="s">
        <v>34</v>
      </c>
      <c r="V17" s="98" t="s">
        <v>34</v>
      </c>
      <c r="W17" s="100" t="s">
        <v>34</v>
      </c>
      <c r="X17" s="104" t="s">
        <v>34</v>
      </c>
      <c r="Y17" s="124"/>
      <c r="Z17" s="124"/>
      <c r="AA17" s="124"/>
      <c r="AB17" s="124"/>
      <c r="AC17" s="124"/>
      <c r="AD17" s="124"/>
      <c r="AE17" s="124"/>
    </row>
    <row r="18" spans="1:31" s="105" customFormat="1" x14ac:dyDescent="0.25">
      <c r="A18" s="118" t="s">
        <v>204</v>
      </c>
      <c r="B18" s="167">
        <v>20661.5</v>
      </c>
      <c r="C18" s="133">
        <v>224</v>
      </c>
      <c r="D18" s="97">
        <v>80.128440856933594</v>
      </c>
      <c r="E18" s="99">
        <v>8.3407494124018928</v>
      </c>
      <c r="F18" s="102">
        <v>0.23674891162310585</v>
      </c>
      <c r="G18" s="99">
        <v>7.3453780214739286</v>
      </c>
      <c r="H18" s="98">
        <v>0.26262023681023239</v>
      </c>
      <c r="I18" s="100">
        <v>7.441300702319853</v>
      </c>
      <c r="J18" s="98">
        <v>0.52513093679974321</v>
      </c>
      <c r="K18" s="100">
        <v>9.1820646107945691</v>
      </c>
      <c r="L18" s="98">
        <v>0.44742224001608566</v>
      </c>
      <c r="M18" s="100">
        <v>10.583079490183101</v>
      </c>
      <c r="N18" s="98">
        <v>0.58925122319037782</v>
      </c>
      <c r="O18" s="100">
        <v>3.2377014687091723</v>
      </c>
      <c r="P18" s="102">
        <v>0.64304730977887414</v>
      </c>
      <c r="Q18" s="99" t="s">
        <v>34</v>
      </c>
      <c r="R18" s="98" t="s">
        <v>34</v>
      </c>
      <c r="S18" s="100" t="s">
        <v>34</v>
      </c>
      <c r="T18" s="98" t="s">
        <v>34</v>
      </c>
      <c r="U18" s="100" t="s">
        <v>34</v>
      </c>
      <c r="V18" s="98" t="s">
        <v>34</v>
      </c>
      <c r="W18" s="100" t="s">
        <v>34</v>
      </c>
      <c r="X18" s="104" t="s">
        <v>34</v>
      </c>
      <c r="Y18" s="124"/>
      <c r="Z18" s="124"/>
      <c r="AA18" s="124"/>
      <c r="AB18" s="124"/>
      <c r="AC18" s="124"/>
      <c r="AD18" s="124"/>
      <c r="AE18" s="124"/>
    </row>
    <row r="19" spans="1:31" s="105" customFormat="1" x14ac:dyDescent="0.25">
      <c r="A19" s="118" t="s">
        <v>205</v>
      </c>
      <c r="B19" s="167">
        <v>30429</v>
      </c>
      <c r="C19" s="133">
        <v>575</v>
      </c>
      <c r="D19" s="97">
        <v>74.785079956054688</v>
      </c>
      <c r="E19" s="99">
        <v>14.616874927662035</v>
      </c>
      <c r="F19" s="102">
        <v>0.16029603258776076</v>
      </c>
      <c r="G19" s="99">
        <v>13.617841027851995</v>
      </c>
      <c r="H19" s="98">
        <v>0.3474908100842849</v>
      </c>
      <c r="I19" s="100">
        <v>15.256319951243331</v>
      </c>
      <c r="J19" s="98">
        <v>0.18494255508572727</v>
      </c>
      <c r="K19" s="100">
        <v>15.757064255860692</v>
      </c>
      <c r="L19" s="98">
        <v>0.27679825640575934</v>
      </c>
      <c r="M19" s="100">
        <v>14.379037396926948</v>
      </c>
      <c r="N19" s="98">
        <v>0.50268950785428246</v>
      </c>
      <c r="O19" s="100">
        <v>0.76119636907495369</v>
      </c>
      <c r="P19" s="102">
        <v>0.68366870377605637</v>
      </c>
      <c r="Q19" s="99">
        <v>14.878265941351941</v>
      </c>
      <c r="R19" s="98">
        <v>0.15249285174163224</v>
      </c>
      <c r="S19" s="100">
        <v>15.301220048819209</v>
      </c>
      <c r="T19" s="98">
        <v>0.90739572676068714</v>
      </c>
      <c r="U19" s="100">
        <v>11.883426027483779</v>
      </c>
      <c r="V19" s="98">
        <v>0.75909468861555174</v>
      </c>
      <c r="W19" s="100">
        <v>-2.0626387372723141</v>
      </c>
      <c r="X19" s="104">
        <v>0.65754765161066475</v>
      </c>
      <c r="Y19" s="124"/>
      <c r="Z19" s="124"/>
      <c r="AA19" s="124"/>
      <c r="AB19" s="124"/>
      <c r="AC19" s="124"/>
      <c r="AD19" s="124"/>
      <c r="AE19" s="124"/>
    </row>
    <row r="20" spans="1:31" s="105" customFormat="1" x14ac:dyDescent="0.25">
      <c r="A20" s="118" t="s">
        <v>206</v>
      </c>
      <c r="B20" s="167">
        <v>7383</v>
      </c>
      <c r="C20" s="133">
        <v>135</v>
      </c>
      <c r="D20" s="97">
        <v>57.024799346923828</v>
      </c>
      <c r="E20" s="99">
        <v>18.859110031493987</v>
      </c>
      <c r="F20" s="102">
        <v>0.69259546252761195</v>
      </c>
      <c r="G20" s="99">
        <v>15.409987685712215</v>
      </c>
      <c r="H20" s="98">
        <v>1.0508527555392708</v>
      </c>
      <c r="I20" s="100">
        <v>20.980516515919085</v>
      </c>
      <c r="J20" s="98">
        <v>2.7555981893685346</v>
      </c>
      <c r="K20" s="100">
        <v>19.094565604218012</v>
      </c>
      <c r="L20" s="98">
        <v>1.0243370828210514</v>
      </c>
      <c r="M20" s="100">
        <v>19.685935766935732</v>
      </c>
      <c r="N20" s="98">
        <v>1.0792146975428532</v>
      </c>
      <c r="O20" s="100">
        <v>4.2759480812235164</v>
      </c>
      <c r="P20" s="102">
        <v>1.4814878782300289</v>
      </c>
      <c r="Q20" s="99">
        <v>13.928932388739307</v>
      </c>
      <c r="R20" s="98">
        <v>0.55248721431356851</v>
      </c>
      <c r="S20" s="100">
        <v>22.454722107656995</v>
      </c>
      <c r="T20" s="98">
        <v>1.2756943594657149</v>
      </c>
      <c r="U20" s="100">
        <v>15.563264908361054</v>
      </c>
      <c r="V20" s="98">
        <v>0.7959012438646581</v>
      </c>
      <c r="W20" s="100">
        <v>6.4238523066909803</v>
      </c>
      <c r="X20" s="104">
        <v>0.98648581429629256</v>
      </c>
      <c r="Y20" s="124"/>
      <c r="Z20" s="124"/>
      <c r="AA20" s="124"/>
      <c r="AB20" s="124"/>
      <c r="AC20" s="124"/>
      <c r="AD20" s="124"/>
      <c r="AE20" s="124"/>
    </row>
    <row r="21" spans="1:31" s="105" customFormat="1" x14ac:dyDescent="0.25">
      <c r="A21" s="118" t="s">
        <v>207</v>
      </c>
      <c r="B21" s="167">
        <v>13463</v>
      </c>
      <c r="C21" s="133">
        <v>241</v>
      </c>
      <c r="D21" s="97">
        <v>96.856422424316406</v>
      </c>
      <c r="E21" s="99">
        <v>22.744306494960117</v>
      </c>
      <c r="F21" s="102">
        <v>0.81149515971881259</v>
      </c>
      <c r="G21" s="99">
        <v>21.963308565441288</v>
      </c>
      <c r="H21" s="98">
        <v>1.1772260422492546</v>
      </c>
      <c r="I21" s="100">
        <v>23.087400974967412</v>
      </c>
      <c r="J21" s="98">
        <v>1.1777589378047044</v>
      </c>
      <c r="K21" s="100">
        <v>27.066380873521155</v>
      </c>
      <c r="L21" s="98">
        <v>1.2072825229782924</v>
      </c>
      <c r="M21" s="100">
        <v>18.400689387571433</v>
      </c>
      <c r="N21" s="98">
        <v>0.87439874334613776</v>
      </c>
      <c r="O21" s="100">
        <v>-3.5626191778698555</v>
      </c>
      <c r="P21" s="102">
        <v>1.4207307651930805</v>
      </c>
      <c r="Q21" s="99">
        <v>24.09165461441998</v>
      </c>
      <c r="R21" s="98">
        <v>0.946352250247399</v>
      </c>
      <c r="S21" s="100" t="s">
        <v>34</v>
      </c>
      <c r="T21" s="98" t="s">
        <v>34</v>
      </c>
      <c r="U21" s="100">
        <v>16.3642153944371</v>
      </c>
      <c r="V21" s="98">
        <v>0.73270112764542816</v>
      </c>
      <c r="W21" s="100">
        <v>-7.7274392199828803</v>
      </c>
      <c r="X21" s="104">
        <v>1.1074493080984125</v>
      </c>
      <c r="Y21" s="124"/>
      <c r="Z21" s="124"/>
      <c r="AA21" s="124"/>
      <c r="AB21" s="124"/>
      <c r="AC21" s="124"/>
      <c r="AD21" s="124"/>
      <c r="AE21" s="124"/>
    </row>
    <row r="22" spans="1:31" s="105" customFormat="1" x14ac:dyDescent="0.25">
      <c r="A22" s="118" t="s">
        <v>208</v>
      </c>
      <c r="B22" s="167">
        <v>11324.5</v>
      </c>
      <c r="C22" s="133">
        <v>311</v>
      </c>
      <c r="D22" s="97">
        <v>92.462928771972656</v>
      </c>
      <c r="E22" s="99">
        <v>12.3232282504057</v>
      </c>
      <c r="F22" s="102">
        <v>0.31985449858009118</v>
      </c>
      <c r="G22" s="99">
        <v>11.619522176830099</v>
      </c>
      <c r="H22" s="98">
        <v>0.42338806070730778</v>
      </c>
      <c r="I22" s="100">
        <v>13.866953885085863</v>
      </c>
      <c r="J22" s="98">
        <v>0.47512462480344148</v>
      </c>
      <c r="K22" s="100">
        <v>12.982969117955122</v>
      </c>
      <c r="L22" s="98">
        <v>0.71892983455444814</v>
      </c>
      <c r="M22" s="100">
        <v>11.33971141797187</v>
      </c>
      <c r="N22" s="98">
        <v>0.90404564703282608</v>
      </c>
      <c r="O22" s="100">
        <v>-0.27981075885822904</v>
      </c>
      <c r="P22" s="102">
        <v>1.0037434191283729</v>
      </c>
      <c r="Q22" s="99">
        <v>12.471460925854259</v>
      </c>
      <c r="R22" s="98">
        <v>0.33371318393231331</v>
      </c>
      <c r="S22" s="100">
        <v>11.148409650192026</v>
      </c>
      <c r="T22" s="98">
        <v>0.81238313407857421</v>
      </c>
      <c r="U22" s="100" t="s">
        <v>34</v>
      </c>
      <c r="V22" s="98" t="s">
        <v>34</v>
      </c>
      <c r="W22" s="100">
        <v>-1.3230512756622339</v>
      </c>
      <c r="X22" s="104">
        <v>0.86829035904333218</v>
      </c>
      <c r="Y22" s="124"/>
      <c r="Z22" s="124"/>
      <c r="AA22" s="124"/>
      <c r="AB22" s="124"/>
      <c r="AC22" s="124"/>
      <c r="AD22" s="124"/>
      <c r="AE22" s="124"/>
    </row>
    <row r="23" spans="1:31" s="105" customFormat="1" x14ac:dyDescent="0.25">
      <c r="A23" s="118" t="s">
        <v>209</v>
      </c>
      <c r="B23" s="167">
        <v>8955</v>
      </c>
      <c r="C23" s="133">
        <v>212</v>
      </c>
      <c r="D23" s="97">
        <v>65.4781494140625</v>
      </c>
      <c r="E23" s="99">
        <v>12.377794586280404</v>
      </c>
      <c r="F23" s="102">
        <v>0.44508288855192513</v>
      </c>
      <c r="G23" s="99">
        <v>10.652464603345766</v>
      </c>
      <c r="H23" s="98">
        <v>0.52679472442235098</v>
      </c>
      <c r="I23" s="100">
        <v>13.134783465795483</v>
      </c>
      <c r="J23" s="98">
        <v>0.62749342966905874</v>
      </c>
      <c r="K23" s="100">
        <v>14.055446989944716</v>
      </c>
      <c r="L23" s="98">
        <v>0.48343824980342237</v>
      </c>
      <c r="M23" s="100">
        <v>12.295831532922273</v>
      </c>
      <c r="N23" s="98">
        <v>1.3912355593423551</v>
      </c>
      <c r="O23" s="100">
        <v>1.6433669295765068</v>
      </c>
      <c r="P23" s="102">
        <v>1.4935649762914478</v>
      </c>
      <c r="Q23" s="99">
        <v>12.289723056211797</v>
      </c>
      <c r="R23" s="98">
        <v>0.53880764577375295</v>
      </c>
      <c r="S23" s="100">
        <v>13.997169677717377</v>
      </c>
      <c r="T23" s="98">
        <v>0.63466338917492193</v>
      </c>
      <c r="U23" s="100">
        <v>6.9301633346948464</v>
      </c>
      <c r="V23" s="98">
        <v>1.0987750664691647</v>
      </c>
      <c r="W23" s="100">
        <v>0.36289717393634469</v>
      </c>
      <c r="X23" s="104">
        <v>0.95962834815549114</v>
      </c>
      <c r="Y23" s="124"/>
      <c r="Z23" s="124"/>
      <c r="AA23" s="124"/>
      <c r="AB23" s="124"/>
      <c r="AC23" s="124"/>
      <c r="AD23" s="124"/>
      <c r="AE23" s="124"/>
    </row>
    <row r="24" spans="1:31" s="105" customFormat="1" x14ac:dyDescent="0.25">
      <c r="A24" s="118" t="s">
        <v>210</v>
      </c>
      <c r="B24" s="167">
        <v>9219</v>
      </c>
      <c r="C24" s="133">
        <v>224</v>
      </c>
      <c r="D24" s="97">
        <v>99.549774169921875</v>
      </c>
      <c r="E24" s="99">
        <v>11.604146012862326</v>
      </c>
      <c r="F24" s="102">
        <v>0.13850557749544526</v>
      </c>
      <c r="G24" s="99">
        <v>9.4237600260885319</v>
      </c>
      <c r="H24" s="98">
        <v>0.28057841771289421</v>
      </c>
      <c r="I24" s="100">
        <v>10.999645720798062</v>
      </c>
      <c r="J24" s="98">
        <v>0.3329721008044485</v>
      </c>
      <c r="K24" s="100">
        <v>13.577988347327599</v>
      </c>
      <c r="L24" s="98">
        <v>0.24245883334899315</v>
      </c>
      <c r="M24" s="100">
        <v>12.993747287076259</v>
      </c>
      <c r="N24" s="98">
        <v>0.31115666008834825</v>
      </c>
      <c r="O24" s="100">
        <v>3.5699872609877268</v>
      </c>
      <c r="P24" s="102">
        <v>0.40591320581049439</v>
      </c>
      <c r="Q24" s="99">
        <v>11.732817606393247</v>
      </c>
      <c r="R24" s="98">
        <v>0.12460610937069436</v>
      </c>
      <c r="S24" s="100">
        <v>10.540371569409935</v>
      </c>
      <c r="T24" s="98">
        <v>1.4406284601301889</v>
      </c>
      <c r="U24" s="100">
        <v>7.6782844668853532</v>
      </c>
      <c r="V24" s="98">
        <v>1.0270934964735494</v>
      </c>
      <c r="W24" s="100">
        <v>-2.5947291500961374</v>
      </c>
      <c r="X24" s="104">
        <v>0.89641040883797241</v>
      </c>
      <c r="Y24" s="124"/>
      <c r="Z24" s="124"/>
      <c r="AA24" s="124"/>
      <c r="AB24" s="124"/>
      <c r="AC24" s="124"/>
      <c r="AD24" s="124"/>
      <c r="AE24" s="124"/>
    </row>
    <row r="25" spans="1:31" s="105" customFormat="1" x14ac:dyDescent="0.25">
      <c r="A25" s="118" t="s">
        <v>211</v>
      </c>
      <c r="B25" s="167">
        <v>7698.5</v>
      </c>
      <c r="C25" s="133">
        <v>177</v>
      </c>
      <c r="D25" s="97">
        <v>85.729896545410156</v>
      </c>
      <c r="E25" s="99">
        <v>10.668734930021328</v>
      </c>
      <c r="F25" s="102">
        <v>0.23782506782891091</v>
      </c>
      <c r="G25" s="99">
        <v>10.433955604301081</v>
      </c>
      <c r="H25" s="98">
        <v>0.33748092104724575</v>
      </c>
      <c r="I25" s="100">
        <v>10.609030834749708</v>
      </c>
      <c r="J25" s="98">
        <v>0.43127721869671043</v>
      </c>
      <c r="K25" s="100">
        <v>11.34508548274146</v>
      </c>
      <c r="L25" s="98">
        <v>0.37549032376140323</v>
      </c>
      <c r="M25" s="100">
        <v>10.432849469690863</v>
      </c>
      <c r="N25" s="98">
        <v>0.67040236602258285</v>
      </c>
      <c r="O25" s="100">
        <v>-1.1061346102181346E-3</v>
      </c>
      <c r="P25" s="102">
        <v>0.7503948258301737</v>
      </c>
      <c r="Q25" s="99">
        <v>10.616650570017391</v>
      </c>
      <c r="R25" s="98">
        <v>0.21135941925450147</v>
      </c>
      <c r="S25" s="100">
        <v>11.441216996914079</v>
      </c>
      <c r="T25" s="98">
        <v>1.5767069576353911</v>
      </c>
      <c r="U25" s="100" t="s">
        <v>34</v>
      </c>
      <c r="V25" s="98" t="s">
        <v>34</v>
      </c>
      <c r="W25" s="100">
        <v>0.82456642689668769</v>
      </c>
      <c r="X25" s="104">
        <v>1.5586501379032889</v>
      </c>
      <c r="Y25" s="124"/>
      <c r="Z25" s="124"/>
      <c r="AA25" s="124"/>
      <c r="AB25" s="124"/>
      <c r="AC25" s="124"/>
      <c r="AD25" s="124"/>
      <c r="AE25" s="124"/>
    </row>
    <row r="26" spans="1:31" s="105" customFormat="1" x14ac:dyDescent="0.25">
      <c r="A26" s="118" t="s">
        <v>212</v>
      </c>
      <c r="B26" s="167">
        <v>15510</v>
      </c>
      <c r="C26" s="133">
        <v>151</v>
      </c>
      <c r="D26" s="97">
        <v>70.429939270019531</v>
      </c>
      <c r="E26" s="99">
        <v>10.557089256806441</v>
      </c>
      <c r="F26" s="102">
        <v>0.28366946167656615</v>
      </c>
      <c r="G26" s="99">
        <v>10.08353890587555</v>
      </c>
      <c r="H26" s="98">
        <v>0.37390192146938905</v>
      </c>
      <c r="I26" s="100">
        <v>10.035726641054749</v>
      </c>
      <c r="J26" s="98">
        <v>0.61794847981746115</v>
      </c>
      <c r="K26" s="100">
        <v>10.666394256722031</v>
      </c>
      <c r="L26" s="98">
        <v>0.49443660198554246</v>
      </c>
      <c r="M26" s="100">
        <v>11.71663198324336</v>
      </c>
      <c r="N26" s="98">
        <v>0.73391809424931731</v>
      </c>
      <c r="O26" s="100">
        <v>1.6330930773678105</v>
      </c>
      <c r="P26" s="102">
        <v>0.82392204520707124</v>
      </c>
      <c r="Q26" s="99">
        <v>10.484848415625986</v>
      </c>
      <c r="R26" s="98">
        <v>0.29778359460531373</v>
      </c>
      <c r="S26" s="100">
        <v>10.265355256631004</v>
      </c>
      <c r="T26" s="98">
        <v>0.84623151330667279</v>
      </c>
      <c r="U26" s="100">
        <v>10.506756051123936</v>
      </c>
      <c r="V26" s="98">
        <v>1.415381168352871</v>
      </c>
      <c r="W26" s="100">
        <v>-0.12718260280020566</v>
      </c>
      <c r="X26" s="104">
        <v>0.7916502317367673</v>
      </c>
      <c r="Y26" s="124"/>
      <c r="Z26" s="124"/>
      <c r="AA26" s="124"/>
      <c r="AB26" s="124"/>
      <c r="AC26" s="124"/>
      <c r="AD26" s="124"/>
      <c r="AE26" s="124"/>
    </row>
    <row r="27" spans="1:31" s="105" customFormat="1" x14ac:dyDescent="0.25">
      <c r="A27" s="118" t="s">
        <v>213</v>
      </c>
      <c r="B27" s="167">
        <v>9393</v>
      </c>
      <c r="C27" s="133">
        <v>177</v>
      </c>
      <c r="D27" s="97">
        <v>78.697334289550781</v>
      </c>
      <c r="E27" s="99">
        <v>13.863463807427145</v>
      </c>
      <c r="F27" s="102">
        <v>0.31602930046768102</v>
      </c>
      <c r="G27" s="99">
        <v>14.348154431868625</v>
      </c>
      <c r="H27" s="98">
        <v>0.70986065201308646</v>
      </c>
      <c r="I27" s="100">
        <v>14.819556667263488</v>
      </c>
      <c r="J27" s="98">
        <v>0.85300609515101755</v>
      </c>
      <c r="K27" s="100">
        <v>13.196582081183218</v>
      </c>
      <c r="L27" s="98">
        <v>0.57996456441107713</v>
      </c>
      <c r="M27" s="100">
        <v>12.815289325074103</v>
      </c>
      <c r="N27" s="98">
        <v>0.35360538048964002</v>
      </c>
      <c r="O27" s="100">
        <v>-1.5328651067945227</v>
      </c>
      <c r="P27" s="102">
        <v>0.82394203449286474</v>
      </c>
      <c r="Q27" s="99">
        <v>13.900851593920258</v>
      </c>
      <c r="R27" s="98">
        <v>0.34813749329654664</v>
      </c>
      <c r="S27" s="100">
        <v>12.345585578700863</v>
      </c>
      <c r="T27" s="98">
        <v>1.5446747011135495</v>
      </c>
      <c r="U27" s="100" t="s">
        <v>34</v>
      </c>
      <c r="V27" s="98" t="s">
        <v>34</v>
      </c>
      <c r="W27" s="100">
        <v>-1.5552660152193951</v>
      </c>
      <c r="X27" s="104">
        <v>1.7068023272777664</v>
      </c>
      <c r="Y27" s="124"/>
      <c r="Z27" s="124"/>
      <c r="AA27" s="124"/>
      <c r="AB27" s="124"/>
      <c r="AC27" s="124"/>
      <c r="AD27" s="124"/>
      <c r="AE27" s="124"/>
    </row>
    <row r="28" spans="1:31" s="105" customFormat="1" x14ac:dyDescent="0.25">
      <c r="A28" s="118" t="s">
        <v>214</v>
      </c>
      <c r="B28" s="167">
        <v>5672.5</v>
      </c>
      <c r="C28" s="133">
        <v>180</v>
      </c>
      <c r="D28" s="97">
        <v>82.492141723632813</v>
      </c>
      <c r="E28" s="99">
        <v>8.4936013271914721</v>
      </c>
      <c r="F28" s="102">
        <v>0.2753180993252356</v>
      </c>
      <c r="G28" s="99">
        <v>7.2925516457213231</v>
      </c>
      <c r="H28" s="98">
        <v>0.64358848938420954</v>
      </c>
      <c r="I28" s="100">
        <v>9.2420612700974711</v>
      </c>
      <c r="J28" s="98">
        <v>0.33387952584331965</v>
      </c>
      <c r="K28" s="100">
        <v>10.173169637198376</v>
      </c>
      <c r="L28" s="98">
        <v>0.40730668954478488</v>
      </c>
      <c r="M28" s="100">
        <v>8.5005952282118979</v>
      </c>
      <c r="N28" s="98">
        <v>0.46961037495970087</v>
      </c>
      <c r="O28" s="100">
        <v>1.2080435824905749</v>
      </c>
      <c r="P28" s="102">
        <v>0.78618030261523131</v>
      </c>
      <c r="Q28" s="99">
        <v>8.6986938798536535</v>
      </c>
      <c r="R28" s="98">
        <v>0.29362817509544892</v>
      </c>
      <c r="S28" s="100" t="s">
        <v>34</v>
      </c>
      <c r="T28" s="98" t="s">
        <v>34</v>
      </c>
      <c r="U28" s="100">
        <v>6.5554657751494743</v>
      </c>
      <c r="V28" s="98">
        <v>0.35568361479067545</v>
      </c>
      <c r="W28" s="100">
        <v>-2.1432281047041792</v>
      </c>
      <c r="X28" s="104">
        <v>0.45864611519536547</v>
      </c>
      <c r="Y28" s="124"/>
      <c r="Z28" s="124"/>
      <c r="AA28" s="124"/>
      <c r="AB28" s="124"/>
      <c r="AC28" s="124"/>
      <c r="AD28" s="124"/>
      <c r="AE28" s="124"/>
    </row>
    <row r="29" spans="1:31" s="105" customFormat="1" x14ac:dyDescent="0.25">
      <c r="A29" s="118" t="s">
        <v>215</v>
      </c>
      <c r="B29" s="167">
        <v>9640</v>
      </c>
      <c r="C29" s="133">
        <v>147</v>
      </c>
      <c r="D29" s="97">
        <v>81.979499816894531</v>
      </c>
      <c r="E29" s="99">
        <v>10.138571353716912</v>
      </c>
      <c r="F29" s="102">
        <v>0.23190335488489841</v>
      </c>
      <c r="G29" s="99">
        <v>9.577989267639353</v>
      </c>
      <c r="H29" s="98">
        <v>0.66934342141462988</v>
      </c>
      <c r="I29" s="100">
        <v>9.5429322703193655</v>
      </c>
      <c r="J29" s="98">
        <v>0.61977063754769945</v>
      </c>
      <c r="K29" s="100">
        <v>10.429156617354444</v>
      </c>
      <c r="L29" s="98">
        <v>0.44775491641016607</v>
      </c>
      <c r="M29" s="100">
        <v>10.893491653706429</v>
      </c>
      <c r="N29" s="98">
        <v>0.3972134251173563</v>
      </c>
      <c r="O29" s="100">
        <v>1.3155023860670756</v>
      </c>
      <c r="P29" s="102">
        <v>0.77791333459802214</v>
      </c>
      <c r="Q29" s="99">
        <v>10.188000623304063</v>
      </c>
      <c r="R29" s="98">
        <v>0.31442549897887972</v>
      </c>
      <c r="S29" s="100">
        <v>10.174565016599201</v>
      </c>
      <c r="T29" s="98">
        <v>0.41820069117444669</v>
      </c>
      <c r="U29" s="100" t="s">
        <v>34</v>
      </c>
      <c r="V29" s="98" t="s">
        <v>34</v>
      </c>
      <c r="W29" s="100">
        <v>-1.3435606704861769E-2</v>
      </c>
      <c r="X29" s="104">
        <v>0.57037801131747479</v>
      </c>
      <c r="Y29" s="142"/>
      <c r="Z29" s="124"/>
      <c r="AA29" s="124"/>
      <c r="AB29" s="124"/>
      <c r="AC29" s="124"/>
      <c r="AD29" s="124"/>
      <c r="AE29" s="124"/>
    </row>
    <row r="30" spans="1:31" s="105" customFormat="1" x14ac:dyDescent="0.25">
      <c r="A30" s="118" t="s">
        <v>216</v>
      </c>
      <c r="B30" s="167">
        <v>3440</v>
      </c>
      <c r="C30" s="133">
        <v>114</v>
      </c>
      <c r="D30" s="97">
        <v>84.909385681152344</v>
      </c>
      <c r="E30" s="99">
        <v>10.0103658148915</v>
      </c>
      <c r="F30" s="102">
        <v>1.9370493676909434E-2</v>
      </c>
      <c r="G30" s="99">
        <v>9.0990672141073521</v>
      </c>
      <c r="H30" s="98">
        <v>4.1198388132677413E-2</v>
      </c>
      <c r="I30" s="100">
        <v>10.486182351164103</v>
      </c>
      <c r="J30" s="98">
        <v>1.1050852764113848E-2</v>
      </c>
      <c r="K30" s="100">
        <v>9.9351234515881117</v>
      </c>
      <c r="L30" s="98">
        <v>3.8840545393376259E-2</v>
      </c>
      <c r="M30" s="100">
        <v>11.42387400861247</v>
      </c>
      <c r="N30" s="98" t="s">
        <v>35</v>
      </c>
      <c r="O30" s="100">
        <v>2.3248067945051183</v>
      </c>
      <c r="P30" s="102">
        <v>4.1198388132677413E-2</v>
      </c>
      <c r="Q30" s="99">
        <v>10.017292249030367</v>
      </c>
      <c r="R30" s="98">
        <v>1.9448698559754805E-2</v>
      </c>
      <c r="S30" s="100" t="s">
        <v>34</v>
      </c>
      <c r="T30" s="98" t="s">
        <v>34</v>
      </c>
      <c r="U30" s="100" t="s">
        <v>34</v>
      </c>
      <c r="V30" s="98" t="s">
        <v>34</v>
      </c>
      <c r="W30" s="100" t="s">
        <v>34</v>
      </c>
      <c r="X30" s="104" t="s">
        <v>34</v>
      </c>
      <c r="Y30" s="124"/>
      <c r="Z30" s="124"/>
      <c r="AA30" s="124"/>
      <c r="AB30" s="124"/>
      <c r="AC30" s="124"/>
      <c r="AD30" s="124"/>
      <c r="AE30" s="124"/>
    </row>
    <row r="31" spans="1:31" s="105" customFormat="1" x14ac:dyDescent="0.25">
      <c r="A31" s="118" t="s">
        <v>217</v>
      </c>
      <c r="B31" s="167">
        <v>6478.5</v>
      </c>
      <c r="C31" s="133">
        <v>127</v>
      </c>
      <c r="D31" s="97">
        <v>81.618850708007813</v>
      </c>
      <c r="E31" s="99">
        <v>12.404252937258393</v>
      </c>
      <c r="F31" s="102">
        <v>0.20844359186270917</v>
      </c>
      <c r="G31" s="99">
        <v>10.433709162090683</v>
      </c>
      <c r="H31" s="98">
        <v>0.46613143106671773</v>
      </c>
      <c r="I31" s="100">
        <v>13.186218730351698</v>
      </c>
      <c r="J31" s="98">
        <v>0.19738104163946069</v>
      </c>
      <c r="K31" s="100">
        <v>13.726091884758533</v>
      </c>
      <c r="L31" s="98">
        <v>0.24681129824192344</v>
      </c>
      <c r="M31" s="100">
        <v>13.211513211900488</v>
      </c>
      <c r="N31" s="98">
        <v>0.28918800847042303</v>
      </c>
      <c r="O31" s="100">
        <v>2.7778040498098058</v>
      </c>
      <c r="P31" s="102">
        <v>0.54685832456600747</v>
      </c>
      <c r="Q31" s="99" t="s">
        <v>34</v>
      </c>
      <c r="R31" s="98" t="s">
        <v>34</v>
      </c>
      <c r="S31" s="100" t="s">
        <v>34</v>
      </c>
      <c r="T31" s="98" t="s">
        <v>34</v>
      </c>
      <c r="U31" s="100" t="s">
        <v>34</v>
      </c>
      <c r="V31" s="98" t="s">
        <v>34</v>
      </c>
      <c r="W31" s="100" t="s">
        <v>34</v>
      </c>
      <c r="X31" s="104" t="s">
        <v>34</v>
      </c>
      <c r="Y31" s="124"/>
      <c r="Z31" s="124"/>
      <c r="AA31" s="124"/>
      <c r="AB31" s="124"/>
      <c r="AC31" s="124"/>
      <c r="AD31" s="124"/>
      <c r="AE31" s="124"/>
    </row>
    <row r="32" spans="1:31" s="105" customFormat="1" x14ac:dyDescent="0.25">
      <c r="A32" s="118" t="s">
        <v>218</v>
      </c>
      <c r="B32" s="167">
        <v>10092.5</v>
      </c>
      <c r="C32" s="133">
        <v>144</v>
      </c>
      <c r="D32" s="97">
        <v>84.238327026367188</v>
      </c>
      <c r="E32" s="99">
        <v>9.8165481618988224</v>
      </c>
      <c r="F32" s="102">
        <v>0.23231932954200898</v>
      </c>
      <c r="G32" s="99">
        <v>8.9083708273140445</v>
      </c>
      <c r="H32" s="98">
        <v>0.48424335966964582</v>
      </c>
      <c r="I32" s="100">
        <v>9.9402792620133162</v>
      </c>
      <c r="J32" s="98">
        <v>0.58240826877434104</v>
      </c>
      <c r="K32" s="100">
        <v>10.881155569071337</v>
      </c>
      <c r="L32" s="98">
        <v>0.4284471931601212</v>
      </c>
      <c r="M32" s="100">
        <v>9.6843177562624163</v>
      </c>
      <c r="N32" s="98">
        <v>0.39254833054816962</v>
      </c>
      <c r="O32" s="100">
        <v>0.77594692894837181</v>
      </c>
      <c r="P32" s="102">
        <v>0.60525128138319617</v>
      </c>
      <c r="Q32" s="99">
        <v>9.8165481618988224</v>
      </c>
      <c r="R32" s="98">
        <v>0.23231932954200898</v>
      </c>
      <c r="S32" s="100" t="s">
        <v>34</v>
      </c>
      <c r="T32" s="98" t="s">
        <v>34</v>
      </c>
      <c r="U32" s="100" t="s">
        <v>34</v>
      </c>
      <c r="V32" s="98" t="s">
        <v>34</v>
      </c>
      <c r="W32" s="100" t="s">
        <v>34</v>
      </c>
      <c r="X32" s="104" t="s">
        <v>34</v>
      </c>
      <c r="Y32" s="124"/>
      <c r="Z32" s="124"/>
      <c r="AA32" s="124"/>
      <c r="AB32" s="124"/>
      <c r="AC32" s="124"/>
      <c r="AD32" s="124"/>
      <c r="AE32" s="124"/>
    </row>
    <row r="33" spans="1:31" s="105" customFormat="1" x14ac:dyDescent="0.25">
      <c r="A33" s="118" t="s">
        <v>219</v>
      </c>
      <c r="B33" s="167">
        <v>43774</v>
      </c>
      <c r="C33" s="133">
        <v>427</v>
      </c>
      <c r="D33" s="97">
        <v>82.103225708007813</v>
      </c>
      <c r="E33" s="99">
        <v>7.9867908408138968</v>
      </c>
      <c r="F33" s="102">
        <v>0.19617101911455204</v>
      </c>
      <c r="G33" s="99">
        <v>6.6196106537979782</v>
      </c>
      <c r="H33" s="98">
        <v>0.22953846248984361</v>
      </c>
      <c r="I33" s="100">
        <v>7.4377403264095197</v>
      </c>
      <c r="J33" s="98">
        <v>0.41222235021642784</v>
      </c>
      <c r="K33" s="100">
        <v>8.9425955296515589</v>
      </c>
      <c r="L33" s="98">
        <v>0.39358338019620004</v>
      </c>
      <c r="M33" s="100">
        <v>10.513731069288768</v>
      </c>
      <c r="N33" s="98">
        <v>0.56874400007202186</v>
      </c>
      <c r="O33" s="100">
        <v>3.8941204154907902</v>
      </c>
      <c r="P33" s="102">
        <v>0.6358836886983833</v>
      </c>
      <c r="Q33" s="99">
        <v>7.8553606461529375</v>
      </c>
      <c r="R33" s="98">
        <v>0.18702764190199866</v>
      </c>
      <c r="S33" s="100">
        <v>10.649559878303821</v>
      </c>
      <c r="T33" s="98">
        <v>0.53928128758152094</v>
      </c>
      <c r="U33" s="100">
        <v>10.89349836229991</v>
      </c>
      <c r="V33" s="98">
        <v>2.4030999444101937</v>
      </c>
      <c r="W33" s="100">
        <v>2.9708220904033231</v>
      </c>
      <c r="X33" s="104">
        <v>1.7058481916120436</v>
      </c>
      <c r="Y33" s="124"/>
      <c r="Z33" s="124"/>
      <c r="AA33" s="124"/>
      <c r="AB33" s="124"/>
      <c r="AC33" s="124"/>
      <c r="AD33" s="124"/>
      <c r="AE33" s="124"/>
    </row>
    <row r="34" spans="1:31" s="105" customFormat="1" x14ac:dyDescent="0.25">
      <c r="A34" s="118" t="s">
        <v>220</v>
      </c>
      <c r="B34" s="167">
        <v>11435</v>
      </c>
      <c r="C34" s="133">
        <v>183</v>
      </c>
      <c r="D34" s="97">
        <v>100</v>
      </c>
      <c r="E34" s="99">
        <v>8.6251228447607744</v>
      </c>
      <c r="F34" s="102">
        <v>0.36765057497895803</v>
      </c>
      <c r="G34" s="99">
        <v>6.6672372453416813</v>
      </c>
      <c r="H34" s="98">
        <v>0.87485231466148539</v>
      </c>
      <c r="I34" s="100">
        <v>8.4674598350663448</v>
      </c>
      <c r="J34" s="98">
        <v>1.2180423860785077</v>
      </c>
      <c r="K34" s="100">
        <v>10.859569949352892</v>
      </c>
      <c r="L34" s="98">
        <v>1.356462879693489</v>
      </c>
      <c r="M34" s="100">
        <v>9.6416126382977883</v>
      </c>
      <c r="N34" s="98">
        <v>1.16230597946403</v>
      </c>
      <c r="O34" s="100">
        <v>2.974375392956107</v>
      </c>
      <c r="P34" s="102">
        <v>1.442942697084499</v>
      </c>
      <c r="Q34" s="99">
        <v>9.0815268700007472</v>
      </c>
      <c r="R34" s="98">
        <v>0.3188343875252494</v>
      </c>
      <c r="S34" s="100">
        <v>11.470067377178658</v>
      </c>
      <c r="T34" s="98">
        <v>2.60039161983708</v>
      </c>
      <c r="U34" s="100">
        <v>7.5223435530066416</v>
      </c>
      <c r="V34" s="98">
        <v>0.77650148892713622</v>
      </c>
      <c r="W34" s="100">
        <v>-1.2414988224341226</v>
      </c>
      <c r="X34" s="104">
        <v>0.79628070645033389</v>
      </c>
      <c r="Y34" s="124"/>
      <c r="Z34" s="124"/>
      <c r="AA34" s="124"/>
      <c r="AB34" s="124"/>
      <c r="AC34" s="124"/>
      <c r="AD34" s="124"/>
      <c r="AE34" s="124"/>
    </row>
    <row r="35" spans="1:31" s="105" customFormat="1" x14ac:dyDescent="0.25">
      <c r="A35" s="118" t="s">
        <v>221</v>
      </c>
      <c r="B35" s="167">
        <v>8736.5</v>
      </c>
      <c r="C35" s="133">
        <v>126</v>
      </c>
      <c r="D35" s="97">
        <v>69.099594116210938</v>
      </c>
      <c r="E35" s="99">
        <v>12.379539371415843</v>
      </c>
      <c r="F35" s="102">
        <v>0.27764682484177944</v>
      </c>
      <c r="G35" s="99">
        <v>10.764268682535228</v>
      </c>
      <c r="H35" s="98">
        <v>0.56548757546056982</v>
      </c>
      <c r="I35" s="100">
        <v>12.489834602634456</v>
      </c>
      <c r="J35" s="98">
        <v>0.46451273170539548</v>
      </c>
      <c r="K35" s="100">
        <v>13.888211420733001</v>
      </c>
      <c r="L35" s="98">
        <v>0.44318718144180891</v>
      </c>
      <c r="M35" s="100">
        <v>12.98675066925056</v>
      </c>
      <c r="N35" s="98">
        <v>0.90127615062486621</v>
      </c>
      <c r="O35" s="100">
        <v>2.2224819867153318</v>
      </c>
      <c r="P35" s="102">
        <v>1.0638789094991612</v>
      </c>
      <c r="Q35" s="99">
        <v>11.903807981823579</v>
      </c>
      <c r="R35" s="98">
        <v>0.42560180065135361</v>
      </c>
      <c r="S35" s="100">
        <v>12.747518328582691</v>
      </c>
      <c r="T35" s="98">
        <v>0.4654250340050281</v>
      </c>
      <c r="U35" s="100">
        <v>15.996120723805156</v>
      </c>
      <c r="V35" s="98">
        <v>1.2089896962391244</v>
      </c>
      <c r="W35" s="100">
        <v>1.2023616582086554</v>
      </c>
      <c r="X35" s="104">
        <v>0.69614601466282799</v>
      </c>
      <c r="Y35" s="124"/>
      <c r="Z35" s="124"/>
      <c r="AA35" s="124"/>
      <c r="AB35" s="124"/>
      <c r="AC35" s="124"/>
      <c r="AD35" s="124"/>
      <c r="AE35" s="124"/>
    </row>
    <row r="36" spans="1:31" s="105" customFormat="1" x14ac:dyDescent="0.25">
      <c r="A36" s="118" t="s">
        <v>222</v>
      </c>
      <c r="B36" s="167">
        <v>11985</v>
      </c>
      <c r="C36" s="133">
        <v>275</v>
      </c>
      <c r="D36" s="97">
        <v>89.130889892578125</v>
      </c>
      <c r="E36" s="99">
        <v>9.8176649334607831</v>
      </c>
      <c r="F36" s="102">
        <v>0.17469947443813139</v>
      </c>
      <c r="G36" s="99">
        <v>8.1016531318512079</v>
      </c>
      <c r="H36" s="98">
        <v>0.2260049652181863</v>
      </c>
      <c r="I36" s="100">
        <v>10.396692350141846</v>
      </c>
      <c r="J36" s="98">
        <v>0.30398411805817188</v>
      </c>
      <c r="K36" s="100">
        <v>11.092825848462244</v>
      </c>
      <c r="L36" s="98">
        <v>0.44971833244414811</v>
      </c>
      <c r="M36" s="100">
        <v>10.331973098958256</v>
      </c>
      <c r="N36" s="98">
        <v>0.47931531220693518</v>
      </c>
      <c r="O36" s="100">
        <v>2.2303199671070484</v>
      </c>
      <c r="P36" s="102">
        <v>0.53061191686122333</v>
      </c>
      <c r="Q36" s="99">
        <v>10.027977113071664</v>
      </c>
      <c r="R36" s="98">
        <v>0.13659773356401603</v>
      </c>
      <c r="S36" s="100" t="s">
        <v>34</v>
      </c>
      <c r="T36" s="98" t="s">
        <v>34</v>
      </c>
      <c r="U36" s="100" t="s">
        <v>34</v>
      </c>
      <c r="V36" s="98" t="s">
        <v>34</v>
      </c>
      <c r="W36" s="100" t="s">
        <v>34</v>
      </c>
      <c r="X36" s="104" t="s">
        <v>34</v>
      </c>
      <c r="Y36" s="124"/>
      <c r="Z36" s="124"/>
      <c r="AA36" s="124"/>
      <c r="AB36" s="124"/>
      <c r="AC36" s="124"/>
      <c r="AD36" s="124"/>
      <c r="AE36" s="124"/>
    </row>
    <row r="37" spans="1:31" s="105" customFormat="1" x14ac:dyDescent="0.25">
      <c r="A37" s="118" t="s">
        <v>223</v>
      </c>
      <c r="B37" s="167">
        <v>14979</v>
      </c>
      <c r="C37" s="133">
        <v>362</v>
      </c>
      <c r="D37" s="97">
        <v>100</v>
      </c>
      <c r="E37" s="99">
        <v>9.8667266334313428</v>
      </c>
      <c r="F37" s="102">
        <v>0.24798326244632979</v>
      </c>
      <c r="G37" s="99">
        <v>8.9346070182478119</v>
      </c>
      <c r="H37" s="98">
        <v>0.3669113822985472</v>
      </c>
      <c r="I37" s="100">
        <v>10.41030479776259</v>
      </c>
      <c r="J37" s="98">
        <v>0.55510837719909545</v>
      </c>
      <c r="K37" s="100">
        <v>10.717154392745933</v>
      </c>
      <c r="L37" s="98">
        <v>0.3491013771263643</v>
      </c>
      <c r="M37" s="100">
        <v>10.684451792274768</v>
      </c>
      <c r="N37" s="98">
        <v>0.73387330142549823</v>
      </c>
      <c r="O37" s="100">
        <v>1.7498447740269558</v>
      </c>
      <c r="P37" s="102">
        <v>0.75458525694648448</v>
      </c>
      <c r="Q37" s="99">
        <v>9.842475090510419</v>
      </c>
      <c r="R37" s="98">
        <v>0.25321179442872538</v>
      </c>
      <c r="S37" s="100">
        <v>10.736211419898645</v>
      </c>
      <c r="T37" s="98">
        <v>1.2764842766916902</v>
      </c>
      <c r="U37" s="100" t="s">
        <v>34</v>
      </c>
      <c r="V37" s="98" t="s">
        <v>34</v>
      </c>
      <c r="W37" s="100">
        <v>0.89373632938822567</v>
      </c>
      <c r="X37" s="104">
        <v>1.2715116096202077</v>
      </c>
      <c r="Y37" s="124"/>
      <c r="Z37" s="124"/>
      <c r="AA37" s="124"/>
      <c r="AB37" s="124"/>
      <c r="AC37" s="124"/>
      <c r="AD37" s="124"/>
      <c r="AE37" s="124"/>
    </row>
    <row r="38" spans="1:31" s="105" customFormat="1" x14ac:dyDescent="0.25">
      <c r="A38" s="118" t="s">
        <v>224</v>
      </c>
      <c r="B38" s="167">
        <v>4914</v>
      </c>
      <c r="C38" s="133">
        <v>39</v>
      </c>
      <c r="D38" s="97">
        <v>88.643150329589844</v>
      </c>
      <c r="E38" s="99">
        <v>8.9989565943238734</v>
      </c>
      <c r="F38" s="102" t="s">
        <v>35</v>
      </c>
      <c r="G38" s="99">
        <v>9.3031674208144803</v>
      </c>
      <c r="H38" s="98" t="s">
        <v>35</v>
      </c>
      <c r="I38" s="100">
        <v>8.6618650492797578</v>
      </c>
      <c r="J38" s="98" t="s">
        <v>35</v>
      </c>
      <c r="K38" s="100">
        <v>8.4850828729281762</v>
      </c>
      <c r="L38" s="98" t="s">
        <v>35</v>
      </c>
      <c r="M38" s="100">
        <v>9.406602254428341</v>
      </c>
      <c r="N38" s="98" t="s">
        <v>35</v>
      </c>
      <c r="O38" s="100">
        <v>0.10343483361386063</v>
      </c>
      <c r="P38" s="102" t="s">
        <v>35</v>
      </c>
      <c r="Q38" s="99">
        <v>8.9125676185683727</v>
      </c>
      <c r="R38" s="98" t="s">
        <v>35</v>
      </c>
      <c r="S38" s="100">
        <v>9.9623318385650226</v>
      </c>
      <c r="T38" s="98" t="s">
        <v>35</v>
      </c>
      <c r="U38" s="100" t="s">
        <v>34</v>
      </c>
      <c r="V38" s="98" t="s">
        <v>34</v>
      </c>
      <c r="W38" s="100">
        <v>1.0497642199966499</v>
      </c>
      <c r="X38" s="104" t="s">
        <v>35</v>
      </c>
      <c r="Y38" s="124"/>
      <c r="Z38" s="124"/>
      <c r="AA38" s="124"/>
      <c r="AB38" s="124"/>
      <c r="AC38" s="124"/>
      <c r="AD38" s="124"/>
      <c r="AE38" s="124"/>
    </row>
    <row r="39" spans="1:31" s="105" customFormat="1" x14ac:dyDescent="0.25">
      <c r="A39" s="118" t="s">
        <v>225</v>
      </c>
      <c r="B39" s="167">
        <v>8688</v>
      </c>
      <c r="C39" s="133">
        <v>165</v>
      </c>
      <c r="D39" s="97">
        <v>63.440715789794922</v>
      </c>
      <c r="E39" s="99">
        <v>25.787448804795172</v>
      </c>
      <c r="F39" s="102">
        <v>1.5669013918634744</v>
      </c>
      <c r="G39" s="99">
        <v>24.107633342498662</v>
      </c>
      <c r="H39" s="98">
        <v>2.3961902147936889</v>
      </c>
      <c r="I39" s="100">
        <v>31.079748123298597</v>
      </c>
      <c r="J39" s="98">
        <v>2.2571674364136136</v>
      </c>
      <c r="K39" s="100">
        <v>26.536647296783329</v>
      </c>
      <c r="L39" s="98">
        <v>2.8029743837483267</v>
      </c>
      <c r="M39" s="100">
        <v>22.642662506274995</v>
      </c>
      <c r="N39" s="98">
        <v>3.4319987571256103</v>
      </c>
      <c r="O39" s="100">
        <v>-1.4649708362236673</v>
      </c>
      <c r="P39" s="102">
        <v>4.2351404376289423</v>
      </c>
      <c r="Q39" s="99">
        <v>29.831866603445064</v>
      </c>
      <c r="R39" s="98">
        <v>2.1468188100768821</v>
      </c>
      <c r="S39" s="100" t="s">
        <v>34</v>
      </c>
      <c r="T39" s="98" t="s">
        <v>34</v>
      </c>
      <c r="U39" s="100">
        <v>14.446542311780263</v>
      </c>
      <c r="V39" s="98">
        <v>1.1335294091178902</v>
      </c>
      <c r="W39" s="100">
        <v>-15.385324291664801</v>
      </c>
      <c r="X39" s="104">
        <v>2.4277690176196489</v>
      </c>
      <c r="Y39" s="142"/>
      <c r="Z39" s="124"/>
      <c r="AA39" s="124"/>
      <c r="AB39" s="124"/>
      <c r="AC39" s="124"/>
      <c r="AD39" s="124"/>
      <c r="AE39" s="124"/>
    </row>
    <row r="40" spans="1:31" s="105" customFormat="1" x14ac:dyDescent="0.25">
      <c r="A40" s="118" t="s">
        <v>300</v>
      </c>
      <c r="B40" s="167">
        <v>8355</v>
      </c>
      <c r="C40" s="133">
        <v>133</v>
      </c>
      <c r="D40" s="97">
        <v>86.277153015136719</v>
      </c>
      <c r="E40" s="99">
        <v>16.730229885143178</v>
      </c>
      <c r="F40" s="102">
        <v>0.537477792648965</v>
      </c>
      <c r="G40" s="99">
        <v>14.000941290494373</v>
      </c>
      <c r="H40" s="98">
        <v>0.55245327549285661</v>
      </c>
      <c r="I40" s="100">
        <v>15.266045724982453</v>
      </c>
      <c r="J40" s="98">
        <v>1.003067258315836</v>
      </c>
      <c r="K40" s="100">
        <v>18.388237182767451</v>
      </c>
      <c r="L40" s="98">
        <v>1.4985103323451048</v>
      </c>
      <c r="M40" s="100">
        <v>19.398418670785308</v>
      </c>
      <c r="N40" s="98">
        <v>0.52679626856194517</v>
      </c>
      <c r="O40" s="100">
        <v>5.397477380290935</v>
      </c>
      <c r="P40" s="102">
        <v>0.72874473280981455</v>
      </c>
      <c r="Q40" s="99">
        <v>17.335896642833301</v>
      </c>
      <c r="R40" s="98">
        <v>0.76516552784977998</v>
      </c>
      <c r="S40" s="100">
        <v>16.46818632822643</v>
      </c>
      <c r="T40" s="98">
        <v>0.72828628013767782</v>
      </c>
      <c r="U40" s="100" t="s">
        <v>34</v>
      </c>
      <c r="V40" s="98" t="s">
        <v>34</v>
      </c>
      <c r="W40" s="100">
        <v>-0.86771031460687098</v>
      </c>
      <c r="X40" s="104">
        <v>1.0515748457968563</v>
      </c>
      <c r="Y40" s="124"/>
      <c r="Z40" s="124"/>
      <c r="AA40" s="124"/>
      <c r="AB40" s="124"/>
      <c r="AC40" s="124"/>
      <c r="AD40" s="124"/>
      <c r="AE40" s="124"/>
    </row>
    <row r="41" spans="1:31" s="105" customFormat="1" x14ac:dyDescent="0.25">
      <c r="A41" s="118" t="s">
        <v>226</v>
      </c>
      <c r="B41" s="167">
        <v>11789.5</v>
      </c>
      <c r="C41" s="133">
        <v>175</v>
      </c>
      <c r="D41" s="97">
        <v>90.983940124511719</v>
      </c>
      <c r="E41" s="99">
        <v>13.802468475020827</v>
      </c>
      <c r="F41" s="102">
        <v>0.22375647386230188</v>
      </c>
      <c r="G41" s="99">
        <v>13.425226673745037</v>
      </c>
      <c r="H41" s="98">
        <v>0.51784657629554254</v>
      </c>
      <c r="I41" s="100">
        <v>13.72568664689099</v>
      </c>
      <c r="J41" s="98">
        <v>0.4184356794482057</v>
      </c>
      <c r="K41" s="100">
        <v>14.977755391563186</v>
      </c>
      <c r="L41" s="98">
        <v>0.2245846437275989</v>
      </c>
      <c r="M41" s="100">
        <v>13.358449940754053</v>
      </c>
      <c r="N41" s="98">
        <v>0.52981705923081823</v>
      </c>
      <c r="O41" s="100">
        <v>-6.67767329909843E-2</v>
      </c>
      <c r="P41" s="102">
        <v>0.77495152306107817</v>
      </c>
      <c r="Q41" s="99">
        <v>14.121129435480677</v>
      </c>
      <c r="R41" s="98">
        <v>0.20200134202165715</v>
      </c>
      <c r="S41" s="100" t="s">
        <v>34</v>
      </c>
      <c r="T41" s="98" t="s">
        <v>34</v>
      </c>
      <c r="U41" s="100">
        <v>11.248006151531179</v>
      </c>
      <c r="V41" s="98">
        <v>0.90955634100125193</v>
      </c>
      <c r="W41" s="100">
        <v>-2.8731232839494982</v>
      </c>
      <c r="X41" s="104">
        <v>0.92904448338284273</v>
      </c>
      <c r="Y41" s="124"/>
      <c r="Z41" s="124"/>
      <c r="AA41" s="124"/>
      <c r="AB41" s="124"/>
      <c r="AC41" s="124"/>
      <c r="AD41" s="124"/>
      <c r="AE41" s="124"/>
    </row>
    <row r="42" spans="1:31" s="105" customFormat="1" x14ac:dyDescent="0.25">
      <c r="A42" s="118" t="s">
        <v>227</v>
      </c>
      <c r="B42" s="167">
        <v>7396</v>
      </c>
      <c r="C42" s="133">
        <v>230</v>
      </c>
      <c r="D42" s="97">
        <v>92.369697570800781</v>
      </c>
      <c r="E42" s="99">
        <v>9.3105190436487764</v>
      </c>
      <c r="F42" s="102">
        <v>0.18576077072541206</v>
      </c>
      <c r="G42" s="99">
        <v>8.5656577418607469</v>
      </c>
      <c r="H42" s="98">
        <v>0.2843453412450026</v>
      </c>
      <c r="I42" s="100">
        <v>9.1945549328170202</v>
      </c>
      <c r="J42" s="98">
        <v>0.32224138414575565</v>
      </c>
      <c r="K42" s="100">
        <v>10.048202961683295</v>
      </c>
      <c r="L42" s="98">
        <v>0.51442951758820554</v>
      </c>
      <c r="M42" s="100">
        <v>10.085777168993967</v>
      </c>
      <c r="N42" s="98">
        <v>0.47825645363221858</v>
      </c>
      <c r="O42" s="100">
        <v>1.5201194271332206</v>
      </c>
      <c r="P42" s="102">
        <v>0.50472505769217435</v>
      </c>
      <c r="Q42" s="99" t="s">
        <v>36</v>
      </c>
      <c r="R42" s="98" t="s">
        <v>36</v>
      </c>
      <c r="S42" s="100" t="s">
        <v>36</v>
      </c>
      <c r="T42" s="98" t="s">
        <v>36</v>
      </c>
      <c r="U42" s="100" t="s">
        <v>36</v>
      </c>
      <c r="V42" s="98" t="s">
        <v>36</v>
      </c>
      <c r="W42" s="100" t="s">
        <v>36</v>
      </c>
      <c r="X42" s="104" t="s">
        <v>36</v>
      </c>
      <c r="Y42" s="124"/>
      <c r="Z42" s="124"/>
      <c r="AA42" s="124"/>
      <c r="AB42" s="124"/>
      <c r="AC42" s="124"/>
      <c r="AD42" s="124"/>
      <c r="AE42" s="124"/>
    </row>
    <row r="43" spans="1:31" s="105" customFormat="1" x14ac:dyDescent="0.25">
      <c r="A43" s="118" t="s">
        <v>228</v>
      </c>
      <c r="B43" s="167">
        <v>10178</v>
      </c>
      <c r="C43" s="133">
        <v>229</v>
      </c>
      <c r="D43" s="97">
        <v>98.568817138671875</v>
      </c>
      <c r="E43" s="99">
        <v>7.9385793438527372</v>
      </c>
      <c r="F43" s="102">
        <v>0.22324524972099702</v>
      </c>
      <c r="G43" s="99">
        <v>8.9592381870786841</v>
      </c>
      <c r="H43" s="98">
        <v>0.23808737259724905</v>
      </c>
      <c r="I43" s="100">
        <v>7.9446382067188202</v>
      </c>
      <c r="J43" s="98">
        <v>0.4355119558969141</v>
      </c>
      <c r="K43" s="100">
        <v>7.2847754152610706</v>
      </c>
      <c r="L43" s="98">
        <v>0.6102445901059067</v>
      </c>
      <c r="M43" s="100">
        <v>6.818999290621897</v>
      </c>
      <c r="N43" s="98">
        <v>0.52980119484497801</v>
      </c>
      <c r="O43" s="100">
        <v>-2.1402388964567871</v>
      </c>
      <c r="P43" s="102">
        <v>0.55566485675855715</v>
      </c>
      <c r="Q43" s="99">
        <v>8.072148083412193</v>
      </c>
      <c r="R43" s="98">
        <v>0.22921654675519909</v>
      </c>
      <c r="S43" s="100">
        <v>4.5124517571432037</v>
      </c>
      <c r="T43" s="98">
        <v>0.59386120139490672</v>
      </c>
      <c r="U43" s="100" t="s">
        <v>34</v>
      </c>
      <c r="V43" s="98" t="s">
        <v>34</v>
      </c>
      <c r="W43" s="100">
        <v>-3.5596963262689894</v>
      </c>
      <c r="X43" s="104">
        <v>0.62784664982148752</v>
      </c>
      <c r="Y43" s="124"/>
      <c r="Z43" s="124"/>
      <c r="AA43" s="124"/>
      <c r="AB43" s="124"/>
      <c r="AC43" s="124"/>
      <c r="AD43" s="124"/>
      <c r="AE43" s="124"/>
    </row>
    <row r="44" spans="1:31" s="105" customFormat="1" x14ac:dyDescent="0.25">
      <c r="A44" s="118" t="s">
        <v>301</v>
      </c>
      <c r="B44" s="167">
        <v>29113.5</v>
      </c>
      <c r="C44" s="133">
        <v>179</v>
      </c>
      <c r="D44" s="97">
        <v>67.669883728027344</v>
      </c>
      <c r="E44" s="99">
        <v>10.01053506373224</v>
      </c>
      <c r="F44" s="102">
        <v>0.43414475688657961</v>
      </c>
      <c r="G44" s="99">
        <v>9.4227228934039324</v>
      </c>
      <c r="H44" s="98">
        <v>0.57606573529928717</v>
      </c>
      <c r="I44" s="100">
        <v>8.8016493883376103</v>
      </c>
      <c r="J44" s="98">
        <v>0.67567381412109573</v>
      </c>
      <c r="K44" s="100">
        <v>9.2557113376339331</v>
      </c>
      <c r="L44" s="98">
        <v>0.4096564611924608</v>
      </c>
      <c r="M44" s="100">
        <v>12.776878961601689</v>
      </c>
      <c r="N44" s="98">
        <v>1.1979383015370444</v>
      </c>
      <c r="O44" s="100">
        <v>3.3541560681977565</v>
      </c>
      <c r="P44" s="102">
        <v>1.3324282489000248</v>
      </c>
      <c r="Q44" s="99">
        <v>9.2608743341589506</v>
      </c>
      <c r="R44" s="98">
        <v>0.42409057320664351</v>
      </c>
      <c r="S44" s="100">
        <v>11.387197272497239</v>
      </c>
      <c r="T44" s="98">
        <v>1.0222197674067441</v>
      </c>
      <c r="U44" s="100">
        <v>15.339321813438678</v>
      </c>
      <c r="V44" s="98">
        <v>1.5009254060396027</v>
      </c>
      <c r="W44" s="100">
        <v>4.2914927009248842</v>
      </c>
      <c r="X44" s="104">
        <v>1.424244287231299</v>
      </c>
      <c r="Y44" s="124"/>
      <c r="Z44" s="124"/>
      <c r="AA44" s="124"/>
      <c r="AB44" s="124"/>
      <c r="AC44" s="124"/>
      <c r="AD44" s="124"/>
      <c r="AE44" s="124"/>
    </row>
    <row r="45" spans="1:31" s="105" customFormat="1" x14ac:dyDescent="0.25">
      <c r="A45" s="118" t="s">
        <v>229</v>
      </c>
      <c r="B45" s="167">
        <v>9456</v>
      </c>
      <c r="C45" s="133">
        <v>325</v>
      </c>
      <c r="D45" s="97">
        <v>87.601799011230469</v>
      </c>
      <c r="E45" s="99">
        <v>12.515620883736737</v>
      </c>
      <c r="F45" s="102">
        <v>0.32206470442431462</v>
      </c>
      <c r="G45" s="99">
        <v>11.238815222100611</v>
      </c>
      <c r="H45" s="98">
        <v>0.36806615770498008</v>
      </c>
      <c r="I45" s="100">
        <v>12.895493155771918</v>
      </c>
      <c r="J45" s="98">
        <v>0.44252077931889522</v>
      </c>
      <c r="K45" s="100">
        <v>12.334804143956777</v>
      </c>
      <c r="L45" s="98">
        <v>0.55200576469421303</v>
      </c>
      <c r="M45" s="100">
        <v>14.159521461092586</v>
      </c>
      <c r="N45" s="98">
        <v>1.1523199390044132</v>
      </c>
      <c r="O45" s="100">
        <v>2.9207062389919756</v>
      </c>
      <c r="P45" s="102">
        <v>1.1884977652237743</v>
      </c>
      <c r="Q45" s="99">
        <v>12.554546124249004</v>
      </c>
      <c r="R45" s="98">
        <v>0.35814462733025426</v>
      </c>
      <c r="S45" s="100">
        <v>12.164393229586585</v>
      </c>
      <c r="T45" s="98">
        <v>0.55757338869558326</v>
      </c>
      <c r="U45" s="100" t="s">
        <v>34</v>
      </c>
      <c r="V45" s="98" t="s">
        <v>34</v>
      </c>
      <c r="W45" s="100">
        <v>-0.39015289466241931</v>
      </c>
      <c r="X45" s="104">
        <v>0.64050414037644066</v>
      </c>
      <c r="Y45" s="124"/>
      <c r="Z45" s="124"/>
      <c r="AA45" s="124"/>
      <c r="AB45" s="124"/>
      <c r="AC45" s="124"/>
      <c r="AD45" s="124"/>
      <c r="AE45" s="124"/>
    </row>
    <row r="46" spans="1:31" s="105" customFormat="1" x14ac:dyDescent="0.25">
      <c r="A46" s="118" t="s">
        <v>230</v>
      </c>
      <c r="B46" s="167">
        <v>12044</v>
      </c>
      <c r="C46" s="133">
        <v>251</v>
      </c>
      <c r="D46" s="97">
        <v>80.752029418945313</v>
      </c>
      <c r="E46" s="99">
        <v>7.1182740061024976</v>
      </c>
      <c r="F46" s="102">
        <v>4.5569121023694946E-2</v>
      </c>
      <c r="G46" s="99">
        <v>6.3012811558045891</v>
      </c>
      <c r="H46" s="98">
        <v>0.12594022741137376</v>
      </c>
      <c r="I46" s="100">
        <v>7.3411916030529163</v>
      </c>
      <c r="J46" s="98">
        <v>8.1439268874571591E-3</v>
      </c>
      <c r="K46" s="100">
        <v>7.2231733666050522</v>
      </c>
      <c r="L46" s="98">
        <v>1.7029116671760235E-2</v>
      </c>
      <c r="M46" s="100">
        <v>8.3292225201072387</v>
      </c>
      <c r="N46" s="98">
        <v>9.3408746524175426E-2</v>
      </c>
      <c r="O46" s="100">
        <v>2.0279413643026496</v>
      </c>
      <c r="P46" s="102">
        <v>0.16457920541803783</v>
      </c>
      <c r="Q46" s="99">
        <v>7.043779240198182</v>
      </c>
      <c r="R46" s="98">
        <v>4.6571976202107401E-2</v>
      </c>
      <c r="S46" s="100">
        <v>12.469750889679716</v>
      </c>
      <c r="T46" s="98">
        <v>3.6551484133678362E-2</v>
      </c>
      <c r="U46" s="100" t="s">
        <v>34</v>
      </c>
      <c r="V46" s="98" t="s">
        <v>34</v>
      </c>
      <c r="W46" s="100">
        <v>5.425971649481534</v>
      </c>
      <c r="X46" s="104">
        <v>6.3343164103367419E-2</v>
      </c>
      <c r="Y46" s="124"/>
      <c r="Z46" s="124"/>
      <c r="AA46" s="124"/>
      <c r="AB46" s="124"/>
      <c r="AC46" s="124"/>
      <c r="AD46" s="124"/>
      <c r="AE46" s="124"/>
    </row>
    <row r="47" spans="1:31" s="105" customFormat="1" x14ac:dyDescent="0.25">
      <c r="A47" s="118" t="s">
        <v>231</v>
      </c>
      <c r="B47" s="167">
        <v>58845.5</v>
      </c>
      <c r="C47" s="133">
        <v>933</v>
      </c>
      <c r="D47" s="97">
        <v>84.700050354003906</v>
      </c>
      <c r="E47" s="99">
        <v>11.85714424953712</v>
      </c>
      <c r="F47" s="102">
        <v>0.15922567842093943</v>
      </c>
      <c r="G47" s="99">
        <v>10.142792893524668</v>
      </c>
      <c r="H47" s="98">
        <v>0.21147921718695428</v>
      </c>
      <c r="I47" s="100">
        <v>11.097619255389061</v>
      </c>
      <c r="J47" s="98">
        <v>0.2979338147732557</v>
      </c>
      <c r="K47" s="100">
        <v>12.850968837928406</v>
      </c>
      <c r="L47" s="98">
        <v>0.33643275177925658</v>
      </c>
      <c r="M47" s="100">
        <v>13.086780769108442</v>
      </c>
      <c r="N47" s="98">
        <v>0.43276405333876233</v>
      </c>
      <c r="O47" s="100">
        <v>2.9439878755837743</v>
      </c>
      <c r="P47" s="102">
        <v>0.45365004115223495</v>
      </c>
      <c r="Q47" s="99">
        <v>10.287591002174125</v>
      </c>
      <c r="R47" s="98">
        <v>0.13377801112135987</v>
      </c>
      <c r="S47" s="100">
        <v>14.525670775581684</v>
      </c>
      <c r="T47" s="98">
        <v>0.45435135392756276</v>
      </c>
      <c r="U47" s="100">
        <v>13.335767668204962</v>
      </c>
      <c r="V47" s="98">
        <v>0.8610670690751111</v>
      </c>
      <c r="W47" s="100">
        <v>3.9610000856737937</v>
      </c>
      <c r="X47" s="104">
        <v>0.40597745984506906</v>
      </c>
      <c r="Y47" s="124"/>
      <c r="Z47" s="124"/>
      <c r="AA47" s="124"/>
      <c r="AB47" s="124"/>
      <c r="AC47" s="124"/>
      <c r="AD47" s="124"/>
      <c r="AE47" s="124"/>
    </row>
    <row r="48" spans="1:31" s="105" customFormat="1" x14ac:dyDescent="0.25">
      <c r="A48" s="118" t="s">
        <v>232</v>
      </c>
      <c r="B48" s="167">
        <v>6390.5</v>
      </c>
      <c r="C48" s="133">
        <v>161</v>
      </c>
      <c r="D48" s="97">
        <v>76.801795959472656</v>
      </c>
      <c r="E48" s="99">
        <v>11.372786951340697</v>
      </c>
      <c r="F48" s="102">
        <v>0.25141063759499338</v>
      </c>
      <c r="G48" s="99">
        <v>9.974347866838734</v>
      </c>
      <c r="H48" s="98">
        <v>0.41871458512501347</v>
      </c>
      <c r="I48" s="100">
        <v>10.728078699429446</v>
      </c>
      <c r="J48" s="98">
        <v>0.65403329548705991</v>
      </c>
      <c r="K48" s="100">
        <v>12.152769750540182</v>
      </c>
      <c r="L48" s="98">
        <v>0.42384108127949627</v>
      </c>
      <c r="M48" s="100">
        <v>13.061328816706594</v>
      </c>
      <c r="N48" s="98">
        <v>0.62999391573515839</v>
      </c>
      <c r="O48" s="100">
        <v>3.0869809498678595</v>
      </c>
      <c r="P48" s="102">
        <v>0.88901172329858702</v>
      </c>
      <c r="Q48" s="99">
        <v>11.012115096751046</v>
      </c>
      <c r="R48" s="98">
        <v>0.27530328635438966</v>
      </c>
      <c r="S48" s="100">
        <v>12.865078927777382</v>
      </c>
      <c r="T48" s="98">
        <v>0.68351069829142685</v>
      </c>
      <c r="U48" s="100" t="s">
        <v>34</v>
      </c>
      <c r="V48" s="98" t="s">
        <v>34</v>
      </c>
      <c r="W48" s="100">
        <v>1.8529638310263365</v>
      </c>
      <c r="X48" s="104">
        <v>0.74377906364793078</v>
      </c>
      <c r="Y48" s="124"/>
      <c r="Z48" s="124"/>
      <c r="AA48" s="124"/>
      <c r="AB48" s="124"/>
      <c r="AC48" s="124"/>
      <c r="AD48" s="124"/>
      <c r="AE48" s="124"/>
    </row>
    <row r="49" spans="1:31" s="105" customFormat="1" x14ac:dyDescent="0.25">
      <c r="A49" s="118" t="s">
        <v>233</v>
      </c>
      <c r="B49" s="167">
        <v>10675.5</v>
      </c>
      <c r="C49" s="133">
        <v>152</v>
      </c>
      <c r="D49" s="97">
        <v>71.60064697265625</v>
      </c>
      <c r="E49" s="99">
        <v>11.753382044394076</v>
      </c>
      <c r="F49" s="102">
        <v>0.25690217451304759</v>
      </c>
      <c r="G49" s="99">
        <v>12.032997470342256</v>
      </c>
      <c r="H49" s="98">
        <v>0.5104532196907049</v>
      </c>
      <c r="I49" s="100">
        <v>12.072268579530045</v>
      </c>
      <c r="J49" s="98">
        <v>0.46302112586380012</v>
      </c>
      <c r="K49" s="100">
        <v>11.70863426710757</v>
      </c>
      <c r="L49" s="98">
        <v>0.58036374178596606</v>
      </c>
      <c r="M49" s="100">
        <v>10.690579679306719</v>
      </c>
      <c r="N49" s="98">
        <v>0.57624873726478187</v>
      </c>
      <c r="O49" s="100">
        <v>-1.3424177910355368</v>
      </c>
      <c r="P49" s="102">
        <v>0.9040206372591395</v>
      </c>
      <c r="Q49" s="99">
        <v>12.041199696568535</v>
      </c>
      <c r="R49" s="98">
        <v>0.24993292666531328</v>
      </c>
      <c r="S49" s="100" t="s">
        <v>34</v>
      </c>
      <c r="T49" s="98" t="s">
        <v>34</v>
      </c>
      <c r="U49" s="100">
        <v>8.4343885025828413</v>
      </c>
      <c r="V49" s="98">
        <v>0.78900024812424285</v>
      </c>
      <c r="W49" s="100">
        <v>-3.6068111939856937</v>
      </c>
      <c r="X49" s="104">
        <v>0.82474828203205408</v>
      </c>
      <c r="Y49" s="124"/>
      <c r="Z49" s="124"/>
      <c r="AA49" s="124"/>
      <c r="AB49" s="124"/>
      <c r="AC49" s="124"/>
      <c r="AD49" s="124"/>
      <c r="AE49" s="124"/>
    </row>
    <row r="50" spans="1:31" s="105" customFormat="1" x14ac:dyDescent="0.25">
      <c r="A50" s="118" t="s">
        <v>234</v>
      </c>
      <c r="B50" s="167">
        <v>8745.5</v>
      </c>
      <c r="C50" s="133">
        <v>177</v>
      </c>
      <c r="D50" s="97">
        <v>98.006034851074219</v>
      </c>
      <c r="E50" s="99">
        <v>11.987879946307096</v>
      </c>
      <c r="F50" s="102">
        <v>0.35444999185367509</v>
      </c>
      <c r="G50" s="99">
        <v>13.460683991114932</v>
      </c>
      <c r="H50" s="98">
        <v>0.63348381069929571</v>
      </c>
      <c r="I50" s="100">
        <v>12.58162977689558</v>
      </c>
      <c r="J50" s="98">
        <v>0.37412283420106174</v>
      </c>
      <c r="K50" s="100">
        <v>12.080568363351508</v>
      </c>
      <c r="L50" s="98">
        <v>0.63291517914953155</v>
      </c>
      <c r="M50" s="100">
        <v>10.245054327685647</v>
      </c>
      <c r="N50" s="98">
        <v>0.72815185153205608</v>
      </c>
      <c r="O50" s="100">
        <v>-3.2156296634292847</v>
      </c>
      <c r="P50" s="102">
        <v>0.92821966487425278</v>
      </c>
      <c r="Q50" s="99">
        <v>13.100845059446137</v>
      </c>
      <c r="R50" s="98">
        <v>0.28708045692349377</v>
      </c>
      <c r="S50" s="100" t="s">
        <v>34</v>
      </c>
      <c r="T50" s="98" t="s">
        <v>34</v>
      </c>
      <c r="U50" s="100">
        <v>7.5813743504587396</v>
      </c>
      <c r="V50" s="98">
        <v>0.79041744137458803</v>
      </c>
      <c r="W50" s="100">
        <v>-5.5194707089873969</v>
      </c>
      <c r="X50" s="104">
        <v>0.86318250165652866</v>
      </c>
      <c r="Y50" s="124"/>
      <c r="Z50" s="124"/>
      <c r="AA50" s="124"/>
      <c r="AB50" s="124"/>
      <c r="AC50" s="124"/>
      <c r="AD50" s="124"/>
      <c r="AE50" s="124"/>
    </row>
    <row r="51" spans="1:31" s="105" customFormat="1" x14ac:dyDescent="0.25">
      <c r="A51" s="118" t="s">
        <v>235</v>
      </c>
      <c r="B51" s="167">
        <v>21988</v>
      </c>
      <c r="C51" s="133">
        <v>322</v>
      </c>
      <c r="D51" s="97">
        <v>65.821578979492188</v>
      </c>
      <c r="E51" s="99">
        <v>14.21312214373145</v>
      </c>
      <c r="F51" s="102">
        <v>0.28652280532527441</v>
      </c>
      <c r="G51" s="99">
        <v>15.01545323238197</v>
      </c>
      <c r="H51" s="98">
        <v>0.32703428816261365</v>
      </c>
      <c r="I51" s="100">
        <v>15.381102055529778</v>
      </c>
      <c r="J51" s="98">
        <v>0.38901689849064014</v>
      </c>
      <c r="K51" s="100">
        <v>15.422237767923427</v>
      </c>
      <c r="L51" s="98">
        <v>0.91157722942311981</v>
      </c>
      <c r="M51" s="100">
        <v>12.532564008548576</v>
      </c>
      <c r="N51" s="98">
        <v>0.48540210112706711</v>
      </c>
      <c r="O51" s="100">
        <v>-2.4828892238333946</v>
      </c>
      <c r="P51" s="102">
        <v>0.5555250202158587</v>
      </c>
      <c r="Q51" s="99">
        <v>14.448505596663757</v>
      </c>
      <c r="R51" s="98">
        <v>0.64571736967212801</v>
      </c>
      <c r="S51" s="100">
        <v>16.311911628347818</v>
      </c>
      <c r="T51" s="98">
        <v>0.31413091812953547</v>
      </c>
      <c r="U51" s="100">
        <v>8.5431785067074664</v>
      </c>
      <c r="V51" s="98">
        <v>0.33795972410874814</v>
      </c>
      <c r="W51" s="100">
        <v>-0.27782894984480144</v>
      </c>
      <c r="X51" s="104">
        <v>0.70236329565778155</v>
      </c>
      <c r="Y51" s="124"/>
      <c r="Z51" s="124"/>
      <c r="AA51" s="124"/>
      <c r="AB51" s="124"/>
      <c r="AC51" s="124"/>
      <c r="AD51" s="124"/>
      <c r="AE51" s="124"/>
    </row>
    <row r="52" spans="1:31" s="105" customFormat="1" x14ac:dyDescent="0.25">
      <c r="A52" s="118" t="s">
        <v>302</v>
      </c>
      <c r="B52" s="167">
        <v>7615</v>
      </c>
      <c r="C52" s="133">
        <v>96</v>
      </c>
      <c r="D52" s="97">
        <v>58.897884368896484</v>
      </c>
      <c r="E52" s="99">
        <v>14.48057715404094</v>
      </c>
      <c r="F52" s="102">
        <v>0.4370491684119831</v>
      </c>
      <c r="G52" s="99">
        <v>14.905178542692493</v>
      </c>
      <c r="H52" s="98">
        <v>0.71283118507655308</v>
      </c>
      <c r="I52" s="100">
        <v>13.146616507031181</v>
      </c>
      <c r="J52" s="98">
        <v>0.91733268674282264</v>
      </c>
      <c r="K52" s="100">
        <v>15.203888517700685</v>
      </c>
      <c r="L52" s="98">
        <v>1.1314458579516278</v>
      </c>
      <c r="M52" s="100">
        <v>14.635842579369413</v>
      </c>
      <c r="N52" s="98">
        <v>0.76338553840032886</v>
      </c>
      <c r="O52" s="100">
        <v>-0.26933596332307985</v>
      </c>
      <c r="P52" s="102">
        <v>1.0808269205015335</v>
      </c>
      <c r="Q52" s="99">
        <v>14.987746628806153</v>
      </c>
      <c r="R52" s="98">
        <v>0.45054103814184904</v>
      </c>
      <c r="S52" s="100" t="s">
        <v>34</v>
      </c>
      <c r="T52" s="98" t="s">
        <v>34</v>
      </c>
      <c r="U52" s="100">
        <v>12.78429306628839</v>
      </c>
      <c r="V52" s="98">
        <v>0.93373830896026178</v>
      </c>
      <c r="W52" s="100">
        <v>-2.2034535625177636</v>
      </c>
      <c r="X52" s="104">
        <v>1.0446356760729198</v>
      </c>
      <c r="Y52" s="124"/>
      <c r="Z52" s="124"/>
      <c r="AA52" s="124"/>
      <c r="AB52" s="124"/>
      <c r="AC52" s="124"/>
      <c r="AD52" s="124"/>
      <c r="AE52" s="124"/>
    </row>
    <row r="53" spans="1:31" s="105" customFormat="1" x14ac:dyDescent="0.25">
      <c r="A53" s="118" t="s">
        <v>236</v>
      </c>
      <c r="B53" s="167" t="s">
        <v>34</v>
      </c>
      <c r="C53" s="133" t="s">
        <v>34</v>
      </c>
      <c r="D53" s="97" t="s">
        <v>34</v>
      </c>
      <c r="E53" s="99">
        <v>12.11612386007339</v>
      </c>
      <c r="F53" s="102">
        <v>6.8991744756573298E-2</v>
      </c>
      <c r="G53" s="99">
        <v>11.22263284942734</v>
      </c>
      <c r="H53" s="98">
        <v>0.1079548856505317</v>
      </c>
      <c r="I53" s="100">
        <v>12.357364783174379</v>
      </c>
      <c r="J53" s="98">
        <v>0.13495269485219891</v>
      </c>
      <c r="K53" s="100">
        <v>12.891457841034651</v>
      </c>
      <c r="L53" s="98">
        <v>0.13027272877527299</v>
      </c>
      <c r="M53" s="100">
        <v>12.42531019167561</v>
      </c>
      <c r="N53" s="98">
        <v>0.1503635954483305</v>
      </c>
      <c r="O53" s="100">
        <v>1.2026773422482711</v>
      </c>
      <c r="P53" s="102">
        <v>0.18607909690949709</v>
      </c>
      <c r="Q53" s="99">
        <v>12.355706776931299</v>
      </c>
      <c r="R53" s="98">
        <v>9.1013816241106396E-2</v>
      </c>
      <c r="S53" s="100">
        <v>12.476145728792689</v>
      </c>
      <c r="T53" s="98">
        <v>0.20998516106064871</v>
      </c>
      <c r="U53" s="100">
        <v>11.25626545567567</v>
      </c>
      <c r="V53" s="98">
        <v>0.25420752971718641</v>
      </c>
      <c r="W53" s="100">
        <v>-0.81410968245589765</v>
      </c>
      <c r="X53" s="104">
        <v>0.188880918275557</v>
      </c>
      <c r="Y53" s="124"/>
      <c r="Z53" s="124"/>
      <c r="AA53" s="124"/>
      <c r="AB53" s="124"/>
      <c r="AC53" s="124"/>
      <c r="AD53" s="124"/>
      <c r="AE53" s="124"/>
    </row>
    <row r="54" spans="1:31" s="105" customFormat="1" x14ac:dyDescent="0.25">
      <c r="A54" s="181" t="s">
        <v>279</v>
      </c>
      <c r="B54" s="167"/>
      <c r="C54" s="133"/>
      <c r="D54" s="97"/>
      <c r="E54" s="99"/>
      <c r="F54" s="102"/>
      <c r="G54" s="99"/>
      <c r="H54" s="98"/>
      <c r="I54" s="100"/>
      <c r="J54" s="98"/>
      <c r="K54" s="100"/>
      <c r="L54" s="98"/>
      <c r="M54" s="100"/>
      <c r="N54" s="98"/>
      <c r="O54" s="100"/>
      <c r="P54" s="102"/>
      <c r="Q54" s="99"/>
      <c r="R54" s="98"/>
      <c r="S54" s="100"/>
      <c r="T54" s="98"/>
      <c r="U54" s="100"/>
      <c r="V54" s="98"/>
      <c r="W54" s="100"/>
      <c r="X54" s="104"/>
      <c r="Y54" s="124"/>
      <c r="Z54" s="124"/>
      <c r="AA54" s="124"/>
      <c r="AB54" s="124"/>
      <c r="AC54" s="124"/>
      <c r="AD54" s="124"/>
      <c r="AE54" s="124"/>
    </row>
    <row r="55" spans="1:31" s="105" customFormat="1" x14ac:dyDescent="0.25">
      <c r="A55" s="118" t="s">
        <v>237</v>
      </c>
      <c r="B55" s="167">
        <v>7616</v>
      </c>
      <c r="C55" s="133">
        <v>98</v>
      </c>
      <c r="D55" s="97">
        <v>32.831954956054688</v>
      </c>
      <c r="E55" s="99">
        <v>12.101041162541318</v>
      </c>
      <c r="F55" s="102">
        <v>0.89753350386906017</v>
      </c>
      <c r="G55" s="99">
        <v>10.770648569087649</v>
      </c>
      <c r="H55" s="98">
        <v>1.2389858671811422</v>
      </c>
      <c r="I55" s="100">
        <v>10.474116232711044</v>
      </c>
      <c r="J55" s="98">
        <v>1.5900870703082319</v>
      </c>
      <c r="K55" s="100">
        <v>14.83138916114534</v>
      </c>
      <c r="L55" s="98">
        <v>1.1777131294143435</v>
      </c>
      <c r="M55" s="100">
        <v>13.611627788517003</v>
      </c>
      <c r="N55" s="98">
        <v>2.2710210624392011</v>
      </c>
      <c r="O55" s="100">
        <v>2.8409792194293537</v>
      </c>
      <c r="P55" s="102">
        <v>2.7193576055385229</v>
      </c>
      <c r="Q55" s="99">
        <v>12.727449482195137</v>
      </c>
      <c r="R55" s="98">
        <v>0.98371744972430042</v>
      </c>
      <c r="S55" s="100" t="s">
        <v>34</v>
      </c>
      <c r="T55" s="98" t="s">
        <v>34</v>
      </c>
      <c r="U55" s="100">
        <v>9.0785853785550135</v>
      </c>
      <c r="V55" s="98">
        <v>0.97728597534891626</v>
      </c>
      <c r="W55" s="100">
        <v>-3.6488641036401237</v>
      </c>
      <c r="X55" s="104">
        <v>1.3793101939791794</v>
      </c>
      <c r="Y55" s="124"/>
      <c r="Z55" s="124"/>
      <c r="AA55" s="124"/>
      <c r="AB55" s="124"/>
      <c r="AC55" s="124"/>
      <c r="AD55" s="124"/>
      <c r="AE55" s="124"/>
    </row>
    <row r="56" spans="1:31" s="105" customFormat="1" x14ac:dyDescent="0.25">
      <c r="A56" s="118" t="s">
        <v>238</v>
      </c>
      <c r="B56" s="167">
        <v>21431.5</v>
      </c>
      <c r="C56" s="133">
        <v>294</v>
      </c>
      <c r="D56" s="97">
        <v>66.801193237304688</v>
      </c>
      <c r="E56" s="99">
        <v>6.4743899659104942</v>
      </c>
      <c r="F56" s="102">
        <v>0.27689742138038564</v>
      </c>
      <c r="G56" s="99">
        <v>4.9929450114710852</v>
      </c>
      <c r="H56" s="98">
        <v>0.45361000737143914</v>
      </c>
      <c r="I56" s="100">
        <v>6.1425905909252014</v>
      </c>
      <c r="J56" s="98">
        <v>0.57918574740341944</v>
      </c>
      <c r="K56" s="100">
        <v>6.96216406207723</v>
      </c>
      <c r="L56" s="98">
        <v>0.51915642567349618</v>
      </c>
      <c r="M56" s="100">
        <v>10.047301673828184</v>
      </c>
      <c r="N56" s="98">
        <v>0.75572675313358173</v>
      </c>
      <c r="O56" s="100">
        <v>5.0543566623570984</v>
      </c>
      <c r="P56" s="102">
        <v>0.90026909849976089</v>
      </c>
      <c r="Q56" s="99">
        <v>5.6005792288817595</v>
      </c>
      <c r="R56" s="98">
        <v>0.28433423649766365</v>
      </c>
      <c r="S56" s="100">
        <v>9.659476247525804</v>
      </c>
      <c r="T56" s="98">
        <v>0.69479349462206863</v>
      </c>
      <c r="U56" s="100">
        <v>9.7694389405500246</v>
      </c>
      <c r="V56" s="98">
        <v>1.2100644039105544</v>
      </c>
      <c r="W56" s="100">
        <v>4.0911900153181087</v>
      </c>
      <c r="X56" s="104">
        <v>0.66536083328748719</v>
      </c>
      <c r="Y56" s="124"/>
      <c r="Z56" s="124"/>
      <c r="AA56" s="124"/>
      <c r="AB56" s="124"/>
      <c r="AC56" s="124"/>
      <c r="AD56" s="124"/>
      <c r="AE56" s="124"/>
    </row>
    <row r="57" spans="1:31" s="105" customFormat="1" x14ac:dyDescent="0.25">
      <c r="A57" s="118" t="s">
        <v>239</v>
      </c>
      <c r="B57" s="167">
        <v>4382.5</v>
      </c>
      <c r="C57" s="133">
        <v>41</v>
      </c>
      <c r="D57" s="97">
        <v>19.183544158935547</v>
      </c>
      <c r="E57" s="99">
        <v>12.80436909959826</v>
      </c>
      <c r="F57" s="102">
        <v>0.77711204224620356</v>
      </c>
      <c r="G57" s="99">
        <v>19.126646178644641</v>
      </c>
      <c r="H57" s="98">
        <v>4.1903649351521475</v>
      </c>
      <c r="I57" s="100">
        <v>14.212040792256296</v>
      </c>
      <c r="J57" s="98">
        <v>2.9948256604067707</v>
      </c>
      <c r="K57" s="100">
        <v>12.236255165015068</v>
      </c>
      <c r="L57" s="98">
        <v>0.9697666839336293</v>
      </c>
      <c r="M57" s="100">
        <v>11.199129822224341</v>
      </c>
      <c r="N57" s="98">
        <v>0.57026875065600202</v>
      </c>
      <c r="O57" s="100">
        <v>-7.9275163564203002</v>
      </c>
      <c r="P57" s="102">
        <v>4.2528530331076286</v>
      </c>
      <c r="Q57" s="99">
        <v>12.860169523262236</v>
      </c>
      <c r="R57" s="98">
        <v>0.78739065209115577</v>
      </c>
      <c r="S57" s="100" t="s">
        <v>34</v>
      </c>
      <c r="T57" s="98" t="s">
        <v>34</v>
      </c>
      <c r="U57" s="100" t="s">
        <v>34</v>
      </c>
      <c r="V57" s="98" t="s">
        <v>34</v>
      </c>
      <c r="W57" s="100" t="s">
        <v>34</v>
      </c>
      <c r="X57" s="104" t="s">
        <v>34</v>
      </c>
      <c r="Y57" s="124"/>
      <c r="Z57" s="124"/>
      <c r="AA57" s="124"/>
      <c r="AB57" s="124"/>
      <c r="AC57" s="124"/>
      <c r="AD57" s="124"/>
      <c r="AE57" s="124"/>
    </row>
    <row r="58" spans="1:31" s="105" customFormat="1" x14ac:dyDescent="0.25">
      <c r="A58" s="118" t="s">
        <v>240</v>
      </c>
      <c r="B58" s="167">
        <v>12396.5</v>
      </c>
      <c r="C58" s="133">
        <v>234</v>
      </c>
      <c r="D58" s="97">
        <v>100</v>
      </c>
      <c r="E58" s="99">
        <v>9.1244440172911752</v>
      </c>
      <c r="F58" s="102">
        <v>0.18624064855794562</v>
      </c>
      <c r="G58" s="99">
        <v>6.3377449545744593</v>
      </c>
      <c r="H58" s="98">
        <v>0.48095184060265539</v>
      </c>
      <c r="I58" s="100">
        <v>9.5603532767356363</v>
      </c>
      <c r="J58" s="98">
        <v>0.35602742639625773</v>
      </c>
      <c r="K58" s="100">
        <v>10.617714755365975</v>
      </c>
      <c r="L58" s="98">
        <v>0.29785015311922219</v>
      </c>
      <c r="M58" s="100">
        <v>11.127115259901679</v>
      </c>
      <c r="N58" s="98">
        <v>0.34907632183442883</v>
      </c>
      <c r="O58" s="100">
        <v>4.7893703053272194</v>
      </c>
      <c r="P58" s="102">
        <v>0.58774293639303943</v>
      </c>
      <c r="Q58" s="99">
        <v>9.1217807656854699</v>
      </c>
      <c r="R58" s="98">
        <v>0.1871388453033061</v>
      </c>
      <c r="S58" s="100" t="s">
        <v>34</v>
      </c>
      <c r="T58" s="98" t="s">
        <v>34</v>
      </c>
      <c r="U58" s="100" t="s">
        <v>34</v>
      </c>
      <c r="V58" s="98" t="s">
        <v>34</v>
      </c>
      <c r="W58" s="100" t="s">
        <v>34</v>
      </c>
      <c r="X58" s="104" t="s">
        <v>34</v>
      </c>
      <c r="Y58" s="124"/>
      <c r="Z58" s="124"/>
      <c r="AA58" s="124"/>
      <c r="AB58" s="124"/>
      <c r="AC58" s="124"/>
      <c r="AD58" s="124"/>
      <c r="AE58" s="124"/>
    </row>
    <row r="59" spans="1:31" s="105" customFormat="1" x14ac:dyDescent="0.25">
      <c r="A59" s="118" t="s">
        <v>241</v>
      </c>
      <c r="B59" s="167">
        <v>8812.5</v>
      </c>
      <c r="C59" s="133">
        <v>84</v>
      </c>
      <c r="D59" s="97">
        <v>54.023906707763672</v>
      </c>
      <c r="E59" s="99">
        <v>9.3833892794430405</v>
      </c>
      <c r="F59" s="102">
        <v>0.60611168095241408</v>
      </c>
      <c r="G59" s="99">
        <v>10.085632813033614</v>
      </c>
      <c r="H59" s="98">
        <v>0.87089494599763806</v>
      </c>
      <c r="I59" s="100">
        <v>9.2966379913790984</v>
      </c>
      <c r="J59" s="98">
        <v>1.1221728599382985</v>
      </c>
      <c r="K59" s="100">
        <v>8.5267718869196134</v>
      </c>
      <c r="L59" s="98">
        <v>1.7572945154136481</v>
      </c>
      <c r="M59" s="100">
        <v>9.5009675936279621</v>
      </c>
      <c r="N59" s="98">
        <v>0.99079280887130483</v>
      </c>
      <c r="O59" s="100">
        <v>-0.58466521940565208</v>
      </c>
      <c r="P59" s="102">
        <v>1.2456851202783663</v>
      </c>
      <c r="Q59" s="99">
        <v>9.5546406424924282</v>
      </c>
      <c r="R59" s="98">
        <v>0.60812582772241897</v>
      </c>
      <c r="S59" s="100" t="s">
        <v>34</v>
      </c>
      <c r="T59" s="98" t="s">
        <v>34</v>
      </c>
      <c r="U59" s="100" t="s">
        <v>34</v>
      </c>
      <c r="V59" s="98" t="s">
        <v>34</v>
      </c>
      <c r="W59" s="100" t="s">
        <v>34</v>
      </c>
      <c r="X59" s="104" t="s">
        <v>34</v>
      </c>
      <c r="Y59" s="124"/>
      <c r="Z59" s="124"/>
      <c r="AA59" s="124"/>
      <c r="AB59" s="124"/>
      <c r="AC59" s="124"/>
      <c r="AD59" s="124"/>
      <c r="AE59" s="124"/>
    </row>
    <row r="60" spans="1:31" s="105" customFormat="1" x14ac:dyDescent="0.25">
      <c r="A60" s="118" t="s">
        <v>242</v>
      </c>
      <c r="B60" s="167">
        <v>13242</v>
      </c>
      <c r="C60" s="133">
        <v>277</v>
      </c>
      <c r="D60" s="97">
        <v>50.448024749755859</v>
      </c>
      <c r="E60" s="99">
        <v>21.858667364781589</v>
      </c>
      <c r="F60" s="102">
        <v>0.67900123742928609</v>
      </c>
      <c r="G60" s="99">
        <v>21.304870502473893</v>
      </c>
      <c r="H60" s="98">
        <v>1.8168860732799597</v>
      </c>
      <c r="I60" s="100">
        <v>22.085059628971518</v>
      </c>
      <c r="J60" s="98">
        <v>1.6890893402822595</v>
      </c>
      <c r="K60" s="100">
        <v>23.632349736815851</v>
      </c>
      <c r="L60" s="98">
        <v>1.5035169590617354</v>
      </c>
      <c r="M60" s="100">
        <v>20.765096997063154</v>
      </c>
      <c r="N60" s="98">
        <v>0.94088838118556029</v>
      </c>
      <c r="O60" s="100">
        <v>-0.53977350541073932</v>
      </c>
      <c r="P60" s="102">
        <v>2.0215930319976145</v>
      </c>
      <c r="Q60" s="99">
        <v>21.761295466884196</v>
      </c>
      <c r="R60" s="98">
        <v>0.7838655606681606</v>
      </c>
      <c r="S60" s="100" t="s">
        <v>34</v>
      </c>
      <c r="T60" s="98" t="s">
        <v>34</v>
      </c>
      <c r="U60" s="100">
        <v>22.182345068140066</v>
      </c>
      <c r="V60" s="98">
        <v>1.3444574168388124</v>
      </c>
      <c r="W60" s="100">
        <v>0.42104960125586999</v>
      </c>
      <c r="X60" s="104">
        <v>1.5513747254373909</v>
      </c>
      <c r="Y60" s="124"/>
      <c r="Z60" s="124"/>
      <c r="AA60" s="124"/>
      <c r="AB60" s="124"/>
      <c r="AC60" s="124"/>
      <c r="AD60" s="124"/>
      <c r="AE60" s="124"/>
    </row>
    <row r="61" spans="1:31" s="105" customFormat="1" x14ac:dyDescent="0.25">
      <c r="A61" s="118" t="s">
        <v>243</v>
      </c>
      <c r="B61" s="167">
        <v>5180.5</v>
      </c>
      <c r="C61" s="133">
        <v>54</v>
      </c>
      <c r="D61" s="97">
        <v>98.753440856933594</v>
      </c>
      <c r="E61" s="99">
        <v>8.9682463082714019</v>
      </c>
      <c r="F61" s="102" t="s">
        <v>35</v>
      </c>
      <c r="G61" s="99">
        <v>7.621873675286138</v>
      </c>
      <c r="H61" s="98" t="s">
        <v>35</v>
      </c>
      <c r="I61" s="100">
        <v>8.3098591549295779</v>
      </c>
      <c r="J61" s="98" t="s">
        <v>35</v>
      </c>
      <c r="K61" s="100">
        <v>9.5703069236259815</v>
      </c>
      <c r="L61" s="98" t="s">
        <v>35</v>
      </c>
      <c r="M61" s="100">
        <v>9.9479826608869626</v>
      </c>
      <c r="N61" s="98" t="s">
        <v>35</v>
      </c>
      <c r="O61" s="100">
        <v>2.3261089856008246</v>
      </c>
      <c r="P61" s="102" t="s">
        <v>35</v>
      </c>
      <c r="Q61" s="99">
        <v>7.9298493408662898</v>
      </c>
      <c r="R61" s="98" t="s">
        <v>35</v>
      </c>
      <c r="S61" s="100" t="s">
        <v>34</v>
      </c>
      <c r="T61" s="98" t="s">
        <v>34</v>
      </c>
      <c r="U61" s="100">
        <v>13.698659517426274</v>
      </c>
      <c r="V61" s="98" t="s">
        <v>35</v>
      </c>
      <c r="W61" s="100">
        <v>5.7688101765599837</v>
      </c>
      <c r="X61" s="104" t="s">
        <v>35</v>
      </c>
      <c r="Y61" s="124"/>
      <c r="Z61" s="124"/>
      <c r="AA61" s="124"/>
      <c r="AB61" s="124"/>
      <c r="AC61" s="124"/>
      <c r="AD61" s="124"/>
      <c r="AE61" s="124"/>
    </row>
    <row r="62" spans="1:31" s="105" customFormat="1" x14ac:dyDescent="0.25">
      <c r="A62" s="118" t="s">
        <v>244</v>
      </c>
      <c r="B62" s="167">
        <v>63500</v>
      </c>
      <c r="C62" s="133">
        <v>360</v>
      </c>
      <c r="D62" s="97">
        <v>99.654151916503906</v>
      </c>
      <c r="E62" s="99">
        <v>10.708139261965572</v>
      </c>
      <c r="F62" s="102">
        <v>0.34075840985930228</v>
      </c>
      <c r="G62" s="99">
        <v>10.514300854209507</v>
      </c>
      <c r="H62" s="98">
        <v>0.45564160316976593</v>
      </c>
      <c r="I62" s="100">
        <v>10.699109131756222</v>
      </c>
      <c r="J62" s="98">
        <v>0.49172998593023026</v>
      </c>
      <c r="K62" s="100">
        <v>12.4481664970859</v>
      </c>
      <c r="L62" s="98">
        <v>0.79662498656271852</v>
      </c>
      <c r="M62" s="100">
        <v>9.0384384753934626</v>
      </c>
      <c r="N62" s="98">
        <v>0.36608262003717346</v>
      </c>
      <c r="O62" s="100">
        <v>-1.4758623788160445</v>
      </c>
      <c r="P62" s="102">
        <v>0.58746150540124209</v>
      </c>
      <c r="Q62" s="99">
        <v>10.418980012841018</v>
      </c>
      <c r="R62" s="98">
        <v>0.36637900225703612</v>
      </c>
      <c r="S62" s="100" t="s">
        <v>34</v>
      </c>
      <c r="T62" s="98" t="s">
        <v>34</v>
      </c>
      <c r="U62" s="100">
        <v>12.907650453425997</v>
      </c>
      <c r="V62" s="98">
        <v>1.1203769969763584</v>
      </c>
      <c r="W62" s="100">
        <v>2.4886704405849791</v>
      </c>
      <c r="X62" s="104">
        <v>1.154336857277481</v>
      </c>
      <c r="Y62" s="124"/>
      <c r="Z62" s="124"/>
      <c r="AA62" s="124"/>
      <c r="AB62" s="124"/>
      <c r="AC62" s="124"/>
      <c r="AD62" s="124"/>
      <c r="AE62" s="124"/>
    </row>
    <row r="63" spans="1:31" s="105" customFormat="1" x14ac:dyDescent="0.25">
      <c r="A63" s="118" t="s">
        <v>245</v>
      </c>
      <c r="B63" s="167">
        <v>5982</v>
      </c>
      <c r="C63" s="133">
        <v>114</v>
      </c>
      <c r="D63" s="97">
        <v>57.128757476806641</v>
      </c>
      <c r="E63" s="99">
        <v>11.20183927757618</v>
      </c>
      <c r="F63" s="102">
        <v>0.30275739287859826</v>
      </c>
      <c r="G63" s="99">
        <v>11.24745781234525</v>
      </c>
      <c r="H63" s="98">
        <v>0.54850542384251044</v>
      </c>
      <c r="I63" s="100">
        <v>10.804407316449918</v>
      </c>
      <c r="J63" s="98">
        <v>0.32190671105218766</v>
      </c>
      <c r="K63" s="100">
        <v>11.926113367591384</v>
      </c>
      <c r="L63" s="98">
        <v>0.56226276502982775</v>
      </c>
      <c r="M63" s="100">
        <v>10.822086110405699</v>
      </c>
      <c r="N63" s="98">
        <v>1.3197768379334172</v>
      </c>
      <c r="O63" s="100">
        <v>-0.42537170193955021</v>
      </c>
      <c r="P63" s="102">
        <v>1.4344535270542658</v>
      </c>
      <c r="Q63" s="99">
        <v>11.35220249984968</v>
      </c>
      <c r="R63" s="98">
        <v>0.29055902743299661</v>
      </c>
      <c r="S63" s="100" t="s">
        <v>34</v>
      </c>
      <c r="T63" s="98" t="s">
        <v>34</v>
      </c>
      <c r="U63" s="100" t="s">
        <v>34</v>
      </c>
      <c r="V63" s="98" t="s">
        <v>34</v>
      </c>
      <c r="W63" s="100" t="s">
        <v>34</v>
      </c>
      <c r="X63" s="104" t="s">
        <v>34</v>
      </c>
      <c r="Y63" s="124"/>
      <c r="Z63" s="124"/>
      <c r="AA63" s="124"/>
      <c r="AB63" s="124"/>
      <c r="AC63" s="124"/>
      <c r="AD63" s="124"/>
      <c r="AE63" s="124"/>
    </row>
    <row r="64" spans="1:31" s="105" customFormat="1" x14ac:dyDescent="0.25">
      <c r="A64" s="118" t="s">
        <v>246</v>
      </c>
      <c r="B64" s="167">
        <v>9593.5</v>
      </c>
      <c r="C64" s="133">
        <v>204</v>
      </c>
      <c r="D64" s="97">
        <v>99.642402648925781</v>
      </c>
      <c r="E64" s="99">
        <v>13.62268532005236</v>
      </c>
      <c r="F64" s="102">
        <v>0.44776623130010906</v>
      </c>
      <c r="G64" s="99">
        <v>13.34482573339711</v>
      </c>
      <c r="H64" s="98">
        <v>0.59670509193147214</v>
      </c>
      <c r="I64" s="100">
        <v>12.877007664841464</v>
      </c>
      <c r="J64" s="98">
        <v>0.90392974035091511</v>
      </c>
      <c r="K64" s="100">
        <v>15.340533443148276</v>
      </c>
      <c r="L64" s="98">
        <v>0.73687709988453698</v>
      </c>
      <c r="M64" s="100">
        <v>13.19431954878681</v>
      </c>
      <c r="N64" s="98">
        <v>1.0578880990440096</v>
      </c>
      <c r="O64" s="100">
        <v>-0.15050618461030041</v>
      </c>
      <c r="P64" s="102">
        <v>1.1271983090485771</v>
      </c>
      <c r="Q64" s="99">
        <v>14.374761907262229</v>
      </c>
      <c r="R64" s="98">
        <v>0.32979467436897658</v>
      </c>
      <c r="S64" s="100" t="s">
        <v>34</v>
      </c>
      <c r="T64" s="98" t="s">
        <v>34</v>
      </c>
      <c r="U64" s="100">
        <v>10.46350887939005</v>
      </c>
      <c r="V64" s="98">
        <v>1.4035098906113734</v>
      </c>
      <c r="W64" s="100">
        <v>-3.9112530278721795</v>
      </c>
      <c r="X64" s="104">
        <v>1.3760379533655351</v>
      </c>
      <c r="Y64" s="124"/>
      <c r="Z64" s="124"/>
      <c r="AA64" s="124"/>
      <c r="AB64" s="124"/>
      <c r="AC64" s="124"/>
      <c r="AD64" s="124"/>
      <c r="AE64" s="124"/>
    </row>
    <row r="65" spans="1:31" s="105" customFormat="1" x14ac:dyDescent="0.25">
      <c r="A65" s="118" t="s">
        <v>247</v>
      </c>
      <c r="B65" s="167">
        <v>8839</v>
      </c>
      <c r="C65" s="133">
        <v>168</v>
      </c>
      <c r="D65" s="97">
        <v>93.635665893554688</v>
      </c>
      <c r="E65" s="99">
        <v>9.4559345822450904</v>
      </c>
      <c r="F65" s="102">
        <v>0.15095855419498516</v>
      </c>
      <c r="G65" s="99">
        <v>8.3777840912998904</v>
      </c>
      <c r="H65" s="98">
        <v>0.33596297218990706</v>
      </c>
      <c r="I65" s="100">
        <v>9.0841158433123983</v>
      </c>
      <c r="J65" s="98">
        <v>0.30577759419968242</v>
      </c>
      <c r="K65" s="100">
        <v>9.7123792592019011</v>
      </c>
      <c r="L65" s="98">
        <v>0.34707254738729548</v>
      </c>
      <c r="M65" s="100">
        <v>11.145688701090849</v>
      </c>
      <c r="N65" s="98">
        <v>0.28981935271734388</v>
      </c>
      <c r="O65" s="100">
        <v>2.7679046097909588</v>
      </c>
      <c r="P65" s="102">
        <v>0.47692360307894466</v>
      </c>
      <c r="Q65" s="99">
        <v>9.519615457526335</v>
      </c>
      <c r="R65" s="98">
        <v>0.14924287127328056</v>
      </c>
      <c r="S65" s="100" t="s">
        <v>34</v>
      </c>
      <c r="T65" s="98" t="s">
        <v>34</v>
      </c>
      <c r="U65" s="100" t="s">
        <v>34</v>
      </c>
      <c r="V65" s="98" t="s">
        <v>34</v>
      </c>
      <c r="W65" s="100" t="s">
        <v>34</v>
      </c>
      <c r="X65" s="104" t="s">
        <v>34</v>
      </c>
      <c r="Y65" s="124"/>
      <c r="Z65" s="124"/>
      <c r="AA65" s="124"/>
      <c r="AB65" s="124"/>
      <c r="AC65" s="124"/>
      <c r="AD65" s="124"/>
      <c r="AE65" s="124"/>
    </row>
    <row r="66" spans="1:31" s="105" customFormat="1" x14ac:dyDescent="0.25">
      <c r="A66" s="118" t="s">
        <v>248</v>
      </c>
      <c r="B66" s="167">
        <v>5467.5</v>
      </c>
      <c r="C66" s="133">
        <v>77</v>
      </c>
      <c r="D66" s="97">
        <v>96.037605285644531</v>
      </c>
      <c r="E66" s="99">
        <v>6.7885145258129498</v>
      </c>
      <c r="F66" s="102">
        <v>9.5957374806037356E-3</v>
      </c>
      <c r="G66" s="99">
        <v>5.3679622230294228</v>
      </c>
      <c r="H66" s="98">
        <v>2.9197651538747549E-3</v>
      </c>
      <c r="I66" s="100">
        <v>6.6137512639029321</v>
      </c>
      <c r="J66" s="98" t="s">
        <v>35</v>
      </c>
      <c r="K66" s="100">
        <v>6.9071018355292537</v>
      </c>
      <c r="L66" s="98">
        <v>4.7752586658815571E-2</v>
      </c>
      <c r="M66" s="100">
        <v>8.011181210092337</v>
      </c>
      <c r="N66" s="98">
        <v>6.7819985844752237E-4</v>
      </c>
      <c r="O66" s="100">
        <v>2.6432189870629141</v>
      </c>
      <c r="P66" s="102">
        <v>2.9974962221459948E-3</v>
      </c>
      <c r="Q66" s="99">
        <v>6.2128559345926133</v>
      </c>
      <c r="R66" s="98">
        <v>1.1075972816689312E-2</v>
      </c>
      <c r="S66" s="100" t="s">
        <v>34</v>
      </c>
      <c r="T66" s="98" t="s">
        <v>34</v>
      </c>
      <c r="U66" s="100">
        <v>8.1914448264892545</v>
      </c>
      <c r="V66" s="98">
        <v>7.0162109868475361E-3</v>
      </c>
      <c r="W66" s="100">
        <v>1.9785888918966412</v>
      </c>
      <c r="X66" s="104">
        <v>1.2506904498939294E-2</v>
      </c>
      <c r="Y66" s="124"/>
      <c r="Z66" s="124"/>
      <c r="AA66" s="124"/>
      <c r="AB66" s="124"/>
      <c r="AC66" s="124"/>
      <c r="AD66" s="124"/>
      <c r="AE66" s="124"/>
    </row>
    <row r="67" spans="1:31" s="105" customFormat="1" x14ac:dyDescent="0.25">
      <c r="A67" s="118" t="s">
        <v>249</v>
      </c>
      <c r="B67" s="167">
        <v>2031</v>
      </c>
      <c r="C67" s="133">
        <v>75</v>
      </c>
      <c r="D67" s="97">
        <v>32.741115570068359</v>
      </c>
      <c r="E67" s="99">
        <v>22.56332673423573</v>
      </c>
      <c r="F67" s="102">
        <v>1.424333551668084</v>
      </c>
      <c r="G67" s="99">
        <v>21.800111873441395</v>
      </c>
      <c r="H67" s="98">
        <v>2.4566654339109184</v>
      </c>
      <c r="I67" s="100">
        <v>28.360616616078794</v>
      </c>
      <c r="J67" s="98">
        <v>5.2099068780054116</v>
      </c>
      <c r="K67" s="100">
        <v>24.145016888718573</v>
      </c>
      <c r="L67" s="98">
        <v>1.9109483219423793</v>
      </c>
      <c r="M67" s="100">
        <v>16.564310576193499</v>
      </c>
      <c r="N67" s="98">
        <v>1.6317458542114947</v>
      </c>
      <c r="O67" s="100">
        <v>-5.235801297247896</v>
      </c>
      <c r="P67" s="102">
        <v>3.0564176502979543</v>
      </c>
      <c r="Q67" s="99">
        <v>23.030018823814743</v>
      </c>
      <c r="R67" s="98">
        <v>1.6491376646188913</v>
      </c>
      <c r="S67" s="100" t="s">
        <v>34</v>
      </c>
      <c r="T67" s="98" t="s">
        <v>34</v>
      </c>
      <c r="U67" s="100">
        <v>17.993839688311521</v>
      </c>
      <c r="V67" s="98">
        <v>2.302933755493386</v>
      </c>
      <c r="W67" s="100">
        <v>-5.0361791355032217</v>
      </c>
      <c r="X67" s="104">
        <v>2.8068391161912913</v>
      </c>
      <c r="Y67" s="124"/>
      <c r="Z67" s="124"/>
      <c r="AA67" s="124"/>
      <c r="AB67" s="124"/>
      <c r="AC67" s="124"/>
      <c r="AD67" s="124"/>
      <c r="AE67" s="124"/>
    </row>
    <row r="68" spans="1:31" s="105" customFormat="1" x14ac:dyDescent="0.25">
      <c r="A68" s="118" t="s">
        <v>250</v>
      </c>
      <c r="B68" s="167">
        <v>11990.5</v>
      </c>
      <c r="C68" s="133">
        <v>301</v>
      </c>
      <c r="D68" s="97">
        <v>96.19378662109375</v>
      </c>
      <c r="E68" s="99">
        <v>10.388922706807438</v>
      </c>
      <c r="F68" s="102">
        <v>0.40002941976119211</v>
      </c>
      <c r="G68" s="99">
        <v>6.9639085250276613</v>
      </c>
      <c r="H68" s="98">
        <v>0.37908196265312827</v>
      </c>
      <c r="I68" s="100">
        <v>13.000028838928479</v>
      </c>
      <c r="J68" s="98">
        <v>0.57301362893258145</v>
      </c>
      <c r="K68" s="100">
        <v>13.781048787550681</v>
      </c>
      <c r="L68" s="98">
        <v>0.63783599050698525</v>
      </c>
      <c r="M68" s="100">
        <v>10.185981450226768</v>
      </c>
      <c r="N68" s="98">
        <v>1.3776336756759093</v>
      </c>
      <c r="O68" s="100">
        <v>3.2220729251991065</v>
      </c>
      <c r="P68" s="102">
        <v>1.4364136375212211</v>
      </c>
      <c r="Q68" s="99">
        <v>11.272420515437119</v>
      </c>
      <c r="R68" s="98">
        <v>0.30012334631744569</v>
      </c>
      <c r="S68" s="100" t="s">
        <v>34</v>
      </c>
      <c r="T68" s="98" t="s">
        <v>34</v>
      </c>
      <c r="U68" s="100">
        <v>5.9975941074858437</v>
      </c>
      <c r="V68" s="98">
        <v>1.2943978087341583</v>
      </c>
      <c r="W68" s="100">
        <v>-5.2748264079512754</v>
      </c>
      <c r="X68" s="104">
        <v>1.3478676858132836</v>
      </c>
      <c r="Y68" s="124"/>
      <c r="Z68" s="124"/>
      <c r="AA68" s="124"/>
      <c r="AB68" s="124"/>
      <c r="AC68" s="124"/>
      <c r="AD68" s="124"/>
      <c r="AE68" s="124"/>
    </row>
    <row r="69" spans="1:31" s="105" customFormat="1" x14ac:dyDescent="0.25">
      <c r="A69" s="118" t="s">
        <v>303</v>
      </c>
      <c r="B69" s="167">
        <v>5547.5</v>
      </c>
      <c r="C69" s="133">
        <v>85</v>
      </c>
      <c r="D69" s="97">
        <v>58.074901580810547</v>
      </c>
      <c r="E69" s="99">
        <v>11.481074123050945</v>
      </c>
      <c r="F69" s="102">
        <v>0.21985123594269904</v>
      </c>
      <c r="G69" s="99">
        <v>10.766530368062714</v>
      </c>
      <c r="H69" s="98">
        <v>0.3906370898639393</v>
      </c>
      <c r="I69" s="100">
        <v>11.212175129245903</v>
      </c>
      <c r="J69" s="98">
        <v>0.74178699294067219</v>
      </c>
      <c r="K69" s="100">
        <v>12.836542945668779</v>
      </c>
      <c r="L69" s="98">
        <v>0.26620276072701027</v>
      </c>
      <c r="M69" s="100">
        <v>11.524072740588755</v>
      </c>
      <c r="N69" s="98">
        <v>0.56094810149920893</v>
      </c>
      <c r="O69" s="100">
        <v>0.75754237252604106</v>
      </c>
      <c r="P69" s="102">
        <v>0.71547834697966284</v>
      </c>
      <c r="Q69" s="99">
        <v>13.481814079547222</v>
      </c>
      <c r="R69" s="98">
        <v>0.86279453154316443</v>
      </c>
      <c r="S69" s="100">
        <v>11.606726108280309</v>
      </c>
      <c r="T69" s="98">
        <v>0.21886094126959202</v>
      </c>
      <c r="U69" s="100" t="s">
        <v>34</v>
      </c>
      <c r="V69" s="98" t="s">
        <v>34</v>
      </c>
      <c r="W69" s="100">
        <v>-1.8750879712669128</v>
      </c>
      <c r="X69" s="104">
        <v>0.92965345268586297</v>
      </c>
      <c r="Y69" s="124"/>
      <c r="Z69" s="124"/>
      <c r="AA69" s="124"/>
      <c r="AB69" s="124"/>
      <c r="AC69" s="124"/>
      <c r="AD69" s="124"/>
      <c r="AE69" s="124"/>
    </row>
    <row r="70" spans="1:31" s="105" customFormat="1" x14ac:dyDescent="0.25">
      <c r="A70" s="118" t="s">
        <v>251</v>
      </c>
      <c r="B70" s="167">
        <v>9618</v>
      </c>
      <c r="C70" s="133">
        <v>275</v>
      </c>
      <c r="D70" s="97">
        <v>72.804054260253906</v>
      </c>
      <c r="E70" s="99">
        <v>15.56562793041064</v>
      </c>
      <c r="F70" s="102">
        <v>0.846007522693208</v>
      </c>
      <c r="G70" s="99">
        <v>14.65801158869901</v>
      </c>
      <c r="H70" s="98">
        <v>1.2111534127407266</v>
      </c>
      <c r="I70" s="100">
        <v>14.486824684948138</v>
      </c>
      <c r="J70" s="98">
        <v>1.2025132570389481</v>
      </c>
      <c r="K70" s="100">
        <v>15.228448146938758</v>
      </c>
      <c r="L70" s="98">
        <v>1.4242614820722577</v>
      </c>
      <c r="M70" s="100">
        <v>18.433707760563689</v>
      </c>
      <c r="N70" s="98">
        <v>2.9581947371526951</v>
      </c>
      <c r="O70" s="100">
        <v>3.7756961718646789</v>
      </c>
      <c r="P70" s="102">
        <v>3.1955914429228431</v>
      </c>
      <c r="Q70" s="99">
        <v>16.229654750692834</v>
      </c>
      <c r="R70" s="98">
        <v>0.59054479093853063</v>
      </c>
      <c r="S70" s="100">
        <v>14.665104091225079</v>
      </c>
      <c r="T70" s="98">
        <v>1.7537826464446986</v>
      </c>
      <c r="U70" s="100">
        <v>15.132485858499431</v>
      </c>
      <c r="V70" s="98">
        <v>3.9238198302961282</v>
      </c>
      <c r="W70" s="100">
        <v>-1.364482537701301</v>
      </c>
      <c r="X70" s="104">
        <v>2.0379277162822054</v>
      </c>
      <c r="Y70" s="124"/>
      <c r="Z70" s="124"/>
      <c r="AA70" s="124"/>
      <c r="AB70" s="124"/>
      <c r="AC70" s="124"/>
      <c r="AD70" s="124"/>
      <c r="AE70" s="124"/>
    </row>
    <row r="71" spans="1:31" s="105" customFormat="1" x14ac:dyDescent="0.25">
      <c r="A71" s="118" t="s">
        <v>252</v>
      </c>
      <c r="B71" s="167">
        <v>9680.5</v>
      </c>
      <c r="C71" s="133">
        <v>219</v>
      </c>
      <c r="D71" s="97">
        <v>64.081382751464844</v>
      </c>
      <c r="E71" s="99">
        <v>14.762399722562938</v>
      </c>
      <c r="F71" s="102">
        <v>0.69128992953778445</v>
      </c>
      <c r="G71" s="99">
        <v>15.403294830629905</v>
      </c>
      <c r="H71" s="98">
        <v>1.0337496515918947</v>
      </c>
      <c r="I71" s="100">
        <v>18.287258286725805</v>
      </c>
      <c r="J71" s="98">
        <v>0.99601411374525384</v>
      </c>
      <c r="K71" s="100">
        <v>16.029243607809054</v>
      </c>
      <c r="L71" s="98">
        <v>1.5990012650634868</v>
      </c>
      <c r="M71" s="100">
        <v>12.723398400503639</v>
      </c>
      <c r="N71" s="98">
        <v>1.2036586049261899</v>
      </c>
      <c r="O71" s="100">
        <v>-2.6798964301262664</v>
      </c>
      <c r="P71" s="102">
        <v>1.6172447319829231</v>
      </c>
      <c r="Q71" s="99">
        <v>15.352792991206409</v>
      </c>
      <c r="R71" s="98">
        <v>0.84490747965037949</v>
      </c>
      <c r="S71" s="100" t="s">
        <v>34</v>
      </c>
      <c r="T71" s="98" t="s">
        <v>34</v>
      </c>
      <c r="U71" s="100">
        <v>13.888402677845949</v>
      </c>
      <c r="V71" s="98">
        <v>1.0456544766664597</v>
      </c>
      <c r="W71" s="100">
        <v>-1.4643903133604592</v>
      </c>
      <c r="X71" s="104">
        <v>1.250856771601903</v>
      </c>
      <c r="Y71" s="124"/>
      <c r="Z71" s="124"/>
      <c r="AA71" s="124"/>
      <c r="AB71" s="124"/>
      <c r="AC71" s="124"/>
      <c r="AD71" s="124"/>
      <c r="AE71" s="124"/>
    </row>
    <row r="72" spans="1:31" s="105" customFormat="1" x14ac:dyDescent="0.25">
      <c r="A72" s="118" t="s">
        <v>253</v>
      </c>
      <c r="B72" s="167">
        <v>44880</v>
      </c>
      <c r="C72" s="133">
        <v>496</v>
      </c>
      <c r="D72" s="97">
        <v>78.635963439941406</v>
      </c>
      <c r="E72" s="99">
        <v>7.6399021823182238</v>
      </c>
      <c r="F72" s="102">
        <v>0.54183571910533068</v>
      </c>
      <c r="G72" s="99">
        <v>5.7807375244026664</v>
      </c>
      <c r="H72" s="98">
        <v>0.77919083506960196</v>
      </c>
      <c r="I72" s="100">
        <v>7.7448819542785365</v>
      </c>
      <c r="J72" s="98">
        <v>1.0006847976905962</v>
      </c>
      <c r="K72" s="100">
        <v>8.1551820075957959</v>
      </c>
      <c r="L72" s="98">
        <v>1.4924369921989331</v>
      </c>
      <c r="M72" s="100">
        <v>9.7069797747141404</v>
      </c>
      <c r="N72" s="98">
        <v>0.65001788373726987</v>
      </c>
      <c r="O72" s="100">
        <v>3.926242250311474</v>
      </c>
      <c r="P72" s="102">
        <v>0.98033492602348871</v>
      </c>
      <c r="Q72" s="99">
        <v>7.6270113192370284</v>
      </c>
      <c r="R72" s="98">
        <v>0.54960624115100609</v>
      </c>
      <c r="S72" s="100">
        <v>10.687927022482794</v>
      </c>
      <c r="T72" s="98">
        <v>0.90645868478352376</v>
      </c>
      <c r="U72" s="100" t="s">
        <v>34</v>
      </c>
      <c r="V72" s="98" t="s">
        <v>34</v>
      </c>
      <c r="W72" s="100">
        <v>3.0609157032457661</v>
      </c>
      <c r="X72" s="104">
        <v>1.0852619744144087</v>
      </c>
      <c r="Y72" s="142"/>
      <c r="Z72" s="124"/>
      <c r="AA72" s="124"/>
      <c r="AB72" s="124"/>
      <c r="AC72" s="124"/>
      <c r="AD72" s="124"/>
      <c r="AE72" s="124"/>
    </row>
    <row r="73" spans="1:31" s="105" customFormat="1" x14ac:dyDescent="0.25">
      <c r="A73" s="118" t="s">
        <v>254</v>
      </c>
      <c r="B73" s="167">
        <v>5881</v>
      </c>
      <c r="C73" s="133">
        <v>59</v>
      </c>
      <c r="D73" s="97">
        <v>47.861846923828125</v>
      </c>
      <c r="E73" s="99">
        <v>13.81721705483319</v>
      </c>
      <c r="F73" s="102">
        <v>0.26523058622794915</v>
      </c>
      <c r="G73" s="99">
        <v>12.486984751497019</v>
      </c>
      <c r="H73" s="98">
        <v>0.60770493097771972</v>
      </c>
      <c r="I73" s="100">
        <v>13.770911116306847</v>
      </c>
      <c r="J73" s="98">
        <v>0.30194468158934351</v>
      </c>
      <c r="K73" s="100">
        <v>17.849630715774651</v>
      </c>
      <c r="L73" s="98">
        <v>1.0559084470825448</v>
      </c>
      <c r="M73" s="100">
        <v>10.885983582383393</v>
      </c>
      <c r="N73" s="98">
        <v>0.19671682903727783</v>
      </c>
      <c r="O73" s="100">
        <v>-1.6010011691136263</v>
      </c>
      <c r="P73" s="102">
        <v>0.63899696973858378</v>
      </c>
      <c r="Q73" s="99">
        <v>14.002423267734867</v>
      </c>
      <c r="R73" s="98">
        <v>0.24791282129542075</v>
      </c>
      <c r="S73" s="100" t="s">
        <v>34</v>
      </c>
      <c r="T73" s="98" t="s">
        <v>34</v>
      </c>
      <c r="U73" s="100" t="s">
        <v>34</v>
      </c>
      <c r="V73" s="98" t="s">
        <v>34</v>
      </c>
      <c r="W73" s="100" t="s">
        <v>34</v>
      </c>
      <c r="X73" s="104" t="s">
        <v>34</v>
      </c>
      <c r="Y73" s="124"/>
      <c r="Z73" s="124"/>
      <c r="AA73" s="124"/>
      <c r="AB73" s="124"/>
      <c r="AC73" s="124"/>
      <c r="AD73" s="124"/>
      <c r="AE73" s="124"/>
    </row>
    <row r="74" spans="1:31" s="105" customFormat="1" x14ac:dyDescent="0.25">
      <c r="A74" s="118" t="s">
        <v>255</v>
      </c>
      <c r="B74" s="167">
        <v>13587</v>
      </c>
      <c r="C74" s="133">
        <v>142</v>
      </c>
      <c r="D74" s="97">
        <v>53.1158447265625</v>
      </c>
      <c r="E74" s="99">
        <v>10.352821736159376</v>
      </c>
      <c r="F74" s="102">
        <v>0.53562554157435016</v>
      </c>
      <c r="G74" s="99">
        <v>12.958929481774028</v>
      </c>
      <c r="H74" s="98">
        <v>2.1083186561743781</v>
      </c>
      <c r="I74" s="100">
        <v>8.2631616717635783</v>
      </c>
      <c r="J74" s="98">
        <v>1.3544370532458534</v>
      </c>
      <c r="K74" s="100">
        <v>10.494425898122206</v>
      </c>
      <c r="L74" s="98">
        <v>0.75742553422599712</v>
      </c>
      <c r="M74" s="100">
        <v>10.700683657971263</v>
      </c>
      <c r="N74" s="98">
        <v>0.6052583536776911</v>
      </c>
      <c r="O74" s="100">
        <v>-2.2582458238027652</v>
      </c>
      <c r="P74" s="102">
        <v>2.1797625146701436</v>
      </c>
      <c r="Q74" s="99">
        <v>8.5007316847497645</v>
      </c>
      <c r="R74" s="98">
        <v>0.88759188570333125</v>
      </c>
      <c r="S74" s="100" t="s">
        <v>34</v>
      </c>
      <c r="T74" s="98" t="s">
        <v>34</v>
      </c>
      <c r="U74" s="100">
        <v>10.304491928604756</v>
      </c>
      <c r="V74" s="98">
        <v>0.80353722773793412</v>
      </c>
      <c r="W74" s="100">
        <v>1.8037602438549918</v>
      </c>
      <c r="X74" s="104">
        <v>1.1741457328684146</v>
      </c>
      <c r="Y74" s="124"/>
      <c r="Z74" s="124"/>
      <c r="AA74" s="124"/>
      <c r="AB74" s="124"/>
      <c r="AC74" s="124"/>
      <c r="AD74" s="124"/>
      <c r="AE74" s="124"/>
    </row>
    <row r="75" spans="1:31" s="105" customFormat="1" x14ac:dyDescent="0.25">
      <c r="A75" s="118" t="s">
        <v>256</v>
      </c>
      <c r="B75" s="167" t="s">
        <v>34</v>
      </c>
      <c r="C75" s="133" t="s">
        <v>34</v>
      </c>
      <c r="D75" s="97" t="s">
        <v>34</v>
      </c>
      <c r="E75" s="99" t="s">
        <v>34</v>
      </c>
      <c r="F75" s="102" t="s">
        <v>34</v>
      </c>
      <c r="G75" s="99" t="s">
        <v>34</v>
      </c>
      <c r="H75" s="98" t="s">
        <v>34</v>
      </c>
      <c r="I75" s="100" t="s">
        <v>34</v>
      </c>
      <c r="J75" s="98" t="s">
        <v>34</v>
      </c>
      <c r="K75" s="100" t="s">
        <v>34</v>
      </c>
      <c r="L75" s="98" t="s">
        <v>34</v>
      </c>
      <c r="M75" s="100" t="s">
        <v>34</v>
      </c>
      <c r="N75" s="98" t="s">
        <v>34</v>
      </c>
      <c r="O75" s="100" t="s">
        <v>34</v>
      </c>
      <c r="P75" s="102" t="s">
        <v>34</v>
      </c>
      <c r="Q75" s="99" t="s">
        <v>34</v>
      </c>
      <c r="R75" s="98" t="s">
        <v>34</v>
      </c>
      <c r="S75" s="100" t="s">
        <v>34</v>
      </c>
      <c r="T75" s="98" t="s">
        <v>34</v>
      </c>
      <c r="U75" s="100" t="s">
        <v>34</v>
      </c>
      <c r="V75" s="98" t="s">
        <v>34</v>
      </c>
      <c r="W75" s="100" t="s">
        <v>34</v>
      </c>
      <c r="X75" s="104" t="s">
        <v>34</v>
      </c>
      <c r="Y75" s="124"/>
      <c r="Z75" s="124"/>
      <c r="AA75" s="124"/>
      <c r="AB75" s="124"/>
      <c r="AC75" s="124"/>
      <c r="AD75" s="124"/>
      <c r="AE75" s="124"/>
    </row>
    <row r="76" spans="1:31" s="105" customFormat="1" x14ac:dyDescent="0.25">
      <c r="A76" s="118" t="s">
        <v>257</v>
      </c>
      <c r="B76" s="167">
        <v>16800.5</v>
      </c>
      <c r="C76" s="133">
        <v>180</v>
      </c>
      <c r="D76" s="97">
        <v>94.2938232421875</v>
      </c>
      <c r="E76" s="99">
        <v>10.823542082732638</v>
      </c>
      <c r="F76" s="102">
        <v>0.23235660838957145</v>
      </c>
      <c r="G76" s="99">
        <v>10.918663276558938</v>
      </c>
      <c r="H76" s="98">
        <v>0.44144671491587439</v>
      </c>
      <c r="I76" s="100">
        <v>11.291099330031555</v>
      </c>
      <c r="J76" s="98">
        <v>0.4520185304044384</v>
      </c>
      <c r="K76" s="100">
        <v>10.427057442964081</v>
      </c>
      <c r="L76" s="98">
        <v>0.59918195067167479</v>
      </c>
      <c r="M76" s="100">
        <v>10.684921375636478</v>
      </c>
      <c r="N76" s="98">
        <v>0.63941224793184259</v>
      </c>
      <c r="O76" s="100">
        <v>-0.23374190092246039</v>
      </c>
      <c r="P76" s="102">
        <v>0.77445211242750189</v>
      </c>
      <c r="Q76" s="99">
        <v>10.767408680861845</v>
      </c>
      <c r="R76" s="98">
        <v>0.23722207616689528</v>
      </c>
      <c r="S76" s="100" t="s">
        <v>34</v>
      </c>
      <c r="T76" s="98" t="s">
        <v>34</v>
      </c>
      <c r="U76" s="100">
        <v>11.664157398309621</v>
      </c>
      <c r="V76" s="98">
        <v>1.4315852413960077</v>
      </c>
      <c r="W76" s="100">
        <v>0.8967487174477764</v>
      </c>
      <c r="X76" s="104">
        <v>1.4557944407250916</v>
      </c>
      <c r="Y76" s="124"/>
      <c r="Z76" s="124"/>
      <c r="AA76" s="124"/>
      <c r="AB76" s="124"/>
      <c r="AC76" s="124"/>
      <c r="AD76" s="124"/>
      <c r="AE76" s="124"/>
    </row>
    <row r="77" spans="1:31" s="105" customFormat="1" x14ac:dyDescent="0.25">
      <c r="A77" s="118" t="s">
        <v>258</v>
      </c>
      <c r="B77" s="167">
        <v>3006.5</v>
      </c>
      <c r="C77" s="133">
        <v>47</v>
      </c>
      <c r="D77" s="97">
        <v>93.734725952148438</v>
      </c>
      <c r="E77" s="99">
        <v>6.7415665693255775</v>
      </c>
      <c r="F77" s="102" t="s">
        <v>35</v>
      </c>
      <c r="G77" s="99">
        <v>5.3180661577608141</v>
      </c>
      <c r="H77" s="98" t="s">
        <v>35</v>
      </c>
      <c r="I77" s="100">
        <v>5.4374286866238251</v>
      </c>
      <c r="J77" s="98" t="s">
        <v>35</v>
      </c>
      <c r="K77" s="100">
        <v>7.4471571507427221</v>
      </c>
      <c r="L77" s="98" t="s">
        <v>35</v>
      </c>
      <c r="M77" s="100">
        <v>8.5176886792452837</v>
      </c>
      <c r="N77" s="98" t="s">
        <v>35</v>
      </c>
      <c r="O77" s="100">
        <v>3.1996225214844696</v>
      </c>
      <c r="P77" s="102" t="s">
        <v>35</v>
      </c>
      <c r="Q77" s="99">
        <v>5.3526402278611185</v>
      </c>
      <c r="R77" s="98" t="s">
        <v>35</v>
      </c>
      <c r="S77" s="100">
        <v>8.290909090909091</v>
      </c>
      <c r="T77" s="98" t="s">
        <v>35</v>
      </c>
      <c r="U77" s="100">
        <v>8.3927927927927932</v>
      </c>
      <c r="V77" s="98" t="s">
        <v>35</v>
      </c>
      <c r="W77" s="100">
        <v>2.9800769625270513</v>
      </c>
      <c r="X77" s="104" t="s">
        <v>35</v>
      </c>
      <c r="Y77" s="124"/>
      <c r="Z77" s="124"/>
      <c r="AA77" s="124"/>
      <c r="AB77" s="124"/>
      <c r="AC77" s="124"/>
      <c r="AD77" s="124"/>
      <c r="AE77" s="124"/>
    </row>
    <row r="78" spans="1:31" s="105" customFormat="1" x14ac:dyDescent="0.25">
      <c r="A78" s="118" t="s">
        <v>259</v>
      </c>
      <c r="B78" s="167">
        <v>6719.5</v>
      </c>
      <c r="C78" s="133">
        <v>174</v>
      </c>
      <c r="D78" s="97">
        <v>77.011222839355469</v>
      </c>
      <c r="E78" s="99">
        <v>12.327921638594075</v>
      </c>
      <c r="F78" s="102">
        <v>0.36721349171176587</v>
      </c>
      <c r="G78" s="99">
        <v>11.061829908446033</v>
      </c>
      <c r="H78" s="98">
        <v>0.52453595756264348</v>
      </c>
      <c r="I78" s="100">
        <v>10.77517453414535</v>
      </c>
      <c r="J78" s="98">
        <v>1.0199517189375031</v>
      </c>
      <c r="K78" s="100">
        <v>14.021614443422299</v>
      </c>
      <c r="L78" s="98">
        <v>0.59049737077225206</v>
      </c>
      <c r="M78" s="100">
        <v>13.89938897594687</v>
      </c>
      <c r="N78" s="98">
        <v>0.71413631532313981</v>
      </c>
      <c r="O78" s="100">
        <v>2.8375590675008375</v>
      </c>
      <c r="P78" s="102">
        <v>0.88188502140741309</v>
      </c>
      <c r="Q78" s="99">
        <v>12.356261217694003</v>
      </c>
      <c r="R78" s="98">
        <v>0.36903667610646951</v>
      </c>
      <c r="S78" s="100" t="s">
        <v>34</v>
      </c>
      <c r="T78" s="98" t="s">
        <v>34</v>
      </c>
      <c r="U78" s="100" t="s">
        <v>34</v>
      </c>
      <c r="V78" s="98" t="s">
        <v>34</v>
      </c>
      <c r="W78" s="100" t="s">
        <v>34</v>
      </c>
      <c r="X78" s="104" t="s">
        <v>34</v>
      </c>
      <c r="Y78" s="124"/>
      <c r="Z78" s="124"/>
      <c r="AA78" s="124"/>
      <c r="AB78" s="124"/>
      <c r="AC78" s="124"/>
      <c r="AD78" s="124"/>
      <c r="AE78" s="124"/>
    </row>
    <row r="79" spans="1:31" s="105" customFormat="1" x14ac:dyDescent="0.25">
      <c r="A79" s="118" t="s">
        <v>260</v>
      </c>
      <c r="B79" s="167">
        <v>3045</v>
      </c>
      <c r="C79" s="133">
        <v>49</v>
      </c>
      <c r="D79" s="97">
        <v>96.651611328125</v>
      </c>
      <c r="E79" s="99">
        <v>11.699029126213592</v>
      </c>
      <c r="F79" s="102" t="s">
        <v>35</v>
      </c>
      <c r="G79" s="99">
        <v>8.3076923076923084</v>
      </c>
      <c r="H79" s="98" t="s">
        <v>35</v>
      </c>
      <c r="I79" s="100">
        <v>12.491064491064492</v>
      </c>
      <c r="J79" s="98" t="s">
        <v>35</v>
      </c>
      <c r="K79" s="100">
        <v>14.03756906077348</v>
      </c>
      <c r="L79" s="98" t="s">
        <v>35</v>
      </c>
      <c r="M79" s="100">
        <v>13.068398268398269</v>
      </c>
      <c r="N79" s="98" t="s">
        <v>35</v>
      </c>
      <c r="O79" s="100">
        <v>4.7607059607059607</v>
      </c>
      <c r="P79" s="102" t="s">
        <v>35</v>
      </c>
      <c r="Q79" s="99">
        <v>11.726039016115353</v>
      </c>
      <c r="R79" s="98" t="s">
        <v>35</v>
      </c>
      <c r="S79" s="100" t="s">
        <v>34</v>
      </c>
      <c r="T79" s="98" t="s">
        <v>34</v>
      </c>
      <c r="U79" s="100" t="s">
        <v>34</v>
      </c>
      <c r="V79" s="98" t="s">
        <v>34</v>
      </c>
      <c r="W79" s="100" t="s">
        <v>34</v>
      </c>
      <c r="X79" s="104" t="s">
        <v>34</v>
      </c>
      <c r="Y79" s="124"/>
      <c r="Z79" s="124"/>
      <c r="AA79" s="124"/>
      <c r="AB79" s="124"/>
      <c r="AC79" s="124"/>
      <c r="AD79" s="124"/>
      <c r="AE79" s="124"/>
    </row>
    <row r="80" spans="1:31" s="105" customFormat="1" x14ac:dyDescent="0.25">
      <c r="A80" s="118" t="s">
        <v>261</v>
      </c>
      <c r="B80" s="167">
        <v>6514</v>
      </c>
      <c r="C80" s="133">
        <v>56</v>
      </c>
      <c r="D80" s="97">
        <v>30.666772842407227</v>
      </c>
      <c r="E80" s="99">
        <v>21.416396474585095</v>
      </c>
      <c r="F80" s="102">
        <v>2.3957403251807499</v>
      </c>
      <c r="G80" s="99">
        <v>23.669531122900203</v>
      </c>
      <c r="H80" s="98">
        <v>2.2332313073287628</v>
      </c>
      <c r="I80" s="100">
        <v>29.743362913257855</v>
      </c>
      <c r="J80" s="98">
        <v>1.9841029410055366</v>
      </c>
      <c r="K80" s="100">
        <v>24.380457646913001</v>
      </c>
      <c r="L80" s="98">
        <v>1.8131303921761615</v>
      </c>
      <c r="M80" s="100">
        <v>14.941103800375357</v>
      </c>
      <c r="N80" s="98">
        <v>5.1790935656488521</v>
      </c>
      <c r="O80" s="100">
        <v>-8.7284273225248459</v>
      </c>
      <c r="P80" s="102">
        <v>5.6980176219030323</v>
      </c>
      <c r="Q80" s="99">
        <v>21.465097512627668</v>
      </c>
      <c r="R80" s="98">
        <v>2.4449022000839875</v>
      </c>
      <c r="S80" s="100" t="s">
        <v>34</v>
      </c>
      <c r="T80" s="98" t="s">
        <v>34</v>
      </c>
      <c r="U80" s="100">
        <v>21.18146746185651</v>
      </c>
      <c r="V80" s="98">
        <v>11.243800651840283</v>
      </c>
      <c r="W80" s="100">
        <v>-0.28363005077115844</v>
      </c>
      <c r="X80" s="104">
        <v>12.024051707998876</v>
      </c>
      <c r="Y80" s="124"/>
      <c r="Z80" s="124"/>
      <c r="AA80" s="124"/>
      <c r="AB80" s="124"/>
      <c r="AC80" s="124"/>
      <c r="AD80" s="124"/>
      <c r="AE80" s="124"/>
    </row>
    <row r="81" spans="1:31" s="105" customFormat="1" x14ac:dyDescent="0.25">
      <c r="A81" s="118" t="s">
        <v>262</v>
      </c>
      <c r="B81" s="167">
        <v>6540</v>
      </c>
      <c r="C81" s="133">
        <v>86</v>
      </c>
      <c r="D81" s="97">
        <v>76.562538146972656</v>
      </c>
      <c r="E81" s="99">
        <v>8.5080151129134549</v>
      </c>
      <c r="F81" s="102" t="s">
        <v>35</v>
      </c>
      <c r="G81" s="99">
        <v>8.7778052685177315</v>
      </c>
      <c r="H81" s="98" t="s">
        <v>35</v>
      </c>
      <c r="I81" s="100">
        <v>10.364729844695745</v>
      </c>
      <c r="J81" s="98" t="s">
        <v>35</v>
      </c>
      <c r="K81" s="100">
        <v>8.947258136433998</v>
      </c>
      <c r="L81" s="98" t="s">
        <v>35</v>
      </c>
      <c r="M81" s="100">
        <v>6.8300579928265313</v>
      </c>
      <c r="N81" s="98" t="s">
        <v>35</v>
      </c>
      <c r="O81" s="100">
        <v>-1.9477472756912002</v>
      </c>
      <c r="P81" s="102" t="s">
        <v>35</v>
      </c>
      <c r="Q81" s="99">
        <v>8.5530041771336283</v>
      </c>
      <c r="R81" s="98" t="s">
        <v>35</v>
      </c>
      <c r="S81" s="100" t="s">
        <v>34</v>
      </c>
      <c r="T81" s="98" t="s">
        <v>34</v>
      </c>
      <c r="U81" s="100">
        <v>5.1180130629385756</v>
      </c>
      <c r="V81" s="98" t="s">
        <v>35</v>
      </c>
      <c r="W81" s="100">
        <v>-3.4349911141950527</v>
      </c>
      <c r="X81" s="104" t="s">
        <v>35</v>
      </c>
      <c r="Y81" s="124"/>
      <c r="Z81" s="124"/>
      <c r="AA81" s="124"/>
      <c r="AB81" s="124"/>
      <c r="AC81" s="124"/>
      <c r="AD81" s="124"/>
      <c r="AE81" s="124"/>
    </row>
    <row r="82" spans="1:31" s="105" customFormat="1" x14ac:dyDescent="0.25">
      <c r="A82" s="118" t="s">
        <v>263</v>
      </c>
      <c r="B82" s="167">
        <v>7259</v>
      </c>
      <c r="C82" s="133">
        <v>80</v>
      </c>
      <c r="D82" s="97">
        <v>39.907878875732422</v>
      </c>
      <c r="E82" s="99">
        <v>14.852085271978934</v>
      </c>
      <c r="F82" s="102">
        <v>0.50252255612259589</v>
      </c>
      <c r="G82" s="99">
        <v>12.527394655126184</v>
      </c>
      <c r="H82" s="98">
        <v>1.0586219615090344</v>
      </c>
      <c r="I82" s="100">
        <v>12.851377444814064</v>
      </c>
      <c r="J82" s="98">
        <v>0.80674118304571507</v>
      </c>
      <c r="K82" s="100">
        <v>14.821882625630185</v>
      </c>
      <c r="L82" s="98">
        <v>0.62313288917258314</v>
      </c>
      <c r="M82" s="100">
        <v>17.608867921312019</v>
      </c>
      <c r="N82" s="98">
        <v>1.2448225535717992</v>
      </c>
      <c r="O82" s="100">
        <v>5.0814732661858351</v>
      </c>
      <c r="P82" s="102">
        <v>1.6240411016789127</v>
      </c>
      <c r="Q82" s="99">
        <v>13.505709752038447</v>
      </c>
      <c r="R82" s="98">
        <v>0.41382315614290949</v>
      </c>
      <c r="S82" s="100" t="s">
        <v>34</v>
      </c>
      <c r="T82" s="98" t="s">
        <v>34</v>
      </c>
      <c r="U82" s="100">
        <v>16.722701145209761</v>
      </c>
      <c r="V82" s="98">
        <v>1.3677483063330678</v>
      </c>
      <c r="W82" s="100">
        <v>3.2169913931713143</v>
      </c>
      <c r="X82" s="104">
        <v>1.4132604636778183</v>
      </c>
      <c r="Y82" s="124"/>
      <c r="Z82" s="124"/>
      <c r="AA82" s="124"/>
      <c r="AB82" s="124"/>
      <c r="AC82" s="124"/>
      <c r="AD82" s="124"/>
      <c r="AE82" s="124"/>
    </row>
    <row r="83" spans="1:31" s="105" customFormat="1" x14ac:dyDescent="0.25">
      <c r="A83" s="118" t="s">
        <v>264</v>
      </c>
      <c r="B83" s="167">
        <v>10791.5</v>
      </c>
      <c r="C83" s="133">
        <v>317</v>
      </c>
      <c r="D83" s="97">
        <v>95.819053649902344</v>
      </c>
      <c r="E83" s="99">
        <v>13.796445259733586</v>
      </c>
      <c r="F83" s="102">
        <v>0.41777922649148586</v>
      </c>
      <c r="G83" s="99">
        <v>11.924438727081901</v>
      </c>
      <c r="H83" s="98">
        <v>0.73557695656018218</v>
      </c>
      <c r="I83" s="100">
        <v>14.498809647833109</v>
      </c>
      <c r="J83" s="98">
        <v>1.0973988226587319</v>
      </c>
      <c r="K83" s="100">
        <v>14.042988876579495</v>
      </c>
      <c r="L83" s="98">
        <v>1.0613165718137738</v>
      </c>
      <c r="M83" s="100">
        <v>14.637379997822803</v>
      </c>
      <c r="N83" s="98">
        <v>0.67819188831074317</v>
      </c>
      <c r="O83" s="100">
        <v>2.7129412707409024</v>
      </c>
      <c r="P83" s="102">
        <v>0.99639221531485322</v>
      </c>
      <c r="Q83" s="99">
        <v>14.005842658639414</v>
      </c>
      <c r="R83" s="98">
        <v>0.49772759086646279</v>
      </c>
      <c r="S83" s="100" t="s">
        <v>34</v>
      </c>
      <c r="T83" s="98" t="s">
        <v>34</v>
      </c>
      <c r="U83" s="100">
        <v>13.389467517784272</v>
      </c>
      <c r="V83" s="98">
        <v>0.66506626609686648</v>
      </c>
      <c r="W83" s="100">
        <v>-0.61637514085514233</v>
      </c>
      <c r="X83" s="104">
        <v>0.79317248220864234</v>
      </c>
      <c r="Y83" s="124"/>
      <c r="Z83" s="124"/>
      <c r="AA83" s="124"/>
      <c r="AB83" s="124"/>
      <c r="AC83" s="124"/>
      <c r="AD83" s="124"/>
      <c r="AE83" s="124"/>
    </row>
    <row r="84" spans="1:31" s="105" customFormat="1" x14ac:dyDescent="0.25">
      <c r="A84" s="118" t="s">
        <v>265</v>
      </c>
      <c r="B84" s="167">
        <v>10434</v>
      </c>
      <c r="C84" s="133">
        <v>121</v>
      </c>
      <c r="D84" s="97">
        <v>65.761711120605469</v>
      </c>
      <c r="E84" s="99">
        <v>21.130750454759326</v>
      </c>
      <c r="F84" s="102">
        <v>1.4551597619100973</v>
      </c>
      <c r="G84" s="99">
        <v>24.771414772098289</v>
      </c>
      <c r="H84" s="98">
        <v>1.5493642124115128</v>
      </c>
      <c r="I84" s="100">
        <v>25.549579399891076</v>
      </c>
      <c r="J84" s="98">
        <v>0.83926682279871767</v>
      </c>
      <c r="K84" s="100">
        <v>26.377906384830272</v>
      </c>
      <c r="L84" s="98">
        <v>1.3834265547500879</v>
      </c>
      <c r="M84" s="100">
        <v>15.496630958257294</v>
      </c>
      <c r="N84" s="98">
        <v>2.4048659132570971</v>
      </c>
      <c r="O84" s="100">
        <v>-9.2747838138409957</v>
      </c>
      <c r="P84" s="102">
        <v>2.6368846285771372</v>
      </c>
      <c r="Q84" s="99">
        <v>23.112903018155851</v>
      </c>
      <c r="R84" s="98">
        <v>1.727922090213629</v>
      </c>
      <c r="S84" s="100">
        <v>26.129172929842202</v>
      </c>
      <c r="T84" s="98">
        <v>2.8704734382411599</v>
      </c>
      <c r="U84" s="100">
        <v>13.281795560312839</v>
      </c>
      <c r="V84" s="98">
        <v>2.9564226650232714</v>
      </c>
      <c r="W84" s="100">
        <v>-6.4087779472156399</v>
      </c>
      <c r="X84" s="104">
        <v>3.2177932552387025</v>
      </c>
      <c r="Y84" s="124"/>
      <c r="Z84" s="124"/>
      <c r="AA84" s="124"/>
      <c r="AB84" s="124"/>
      <c r="AC84" s="124"/>
      <c r="AD84" s="124"/>
      <c r="AE84" s="124"/>
    </row>
    <row r="85" spans="1:31" s="105" customFormat="1" x14ac:dyDescent="0.25">
      <c r="A85" s="118" t="s">
        <v>266</v>
      </c>
      <c r="B85" s="167">
        <v>15697</v>
      </c>
      <c r="C85" s="133">
        <v>135</v>
      </c>
      <c r="D85" s="97">
        <v>85.563591003417969</v>
      </c>
      <c r="E85" s="99">
        <v>11.392788307099261</v>
      </c>
      <c r="F85" s="102" t="s">
        <v>35</v>
      </c>
      <c r="G85" s="99">
        <v>8.4101934295363829</v>
      </c>
      <c r="H85" s="98" t="s">
        <v>35</v>
      </c>
      <c r="I85" s="100">
        <v>11.913541255428346</v>
      </c>
      <c r="J85" s="98" t="s">
        <v>35</v>
      </c>
      <c r="K85" s="100">
        <v>12.103706476974915</v>
      </c>
      <c r="L85" s="98" t="s">
        <v>35</v>
      </c>
      <c r="M85" s="100">
        <v>11.684491502802741</v>
      </c>
      <c r="N85" s="98" t="s">
        <v>35</v>
      </c>
      <c r="O85" s="100">
        <v>3.2742980732663582</v>
      </c>
      <c r="P85" s="102" t="s">
        <v>35</v>
      </c>
      <c r="Q85" s="99">
        <v>7.6067106051527862</v>
      </c>
      <c r="R85" s="98" t="s">
        <v>35</v>
      </c>
      <c r="S85" s="100" t="s">
        <v>34</v>
      </c>
      <c r="T85" s="98" t="s">
        <v>34</v>
      </c>
      <c r="U85" s="100">
        <v>13.352534846429013</v>
      </c>
      <c r="V85" s="98" t="s">
        <v>35</v>
      </c>
      <c r="W85" s="100">
        <v>5.7458242412762264</v>
      </c>
      <c r="X85" s="104" t="s">
        <v>35</v>
      </c>
      <c r="Y85" s="124"/>
      <c r="Z85" s="124"/>
      <c r="AA85" s="124"/>
      <c r="AB85" s="124"/>
      <c r="AC85" s="124"/>
      <c r="AD85" s="124"/>
      <c r="AE85" s="124"/>
    </row>
    <row r="86" spans="1:31" s="105" customFormat="1" x14ac:dyDescent="0.25">
      <c r="A86" s="118" t="s">
        <v>267</v>
      </c>
      <c r="B86" s="167">
        <v>8620</v>
      </c>
      <c r="C86" s="133">
        <v>126</v>
      </c>
      <c r="D86" s="97">
        <v>83.592994689941406</v>
      </c>
      <c r="E86" s="99">
        <v>14.010079081320326</v>
      </c>
      <c r="F86" s="102">
        <v>0.62994307991465393</v>
      </c>
      <c r="G86" s="99">
        <v>14.683187663303467</v>
      </c>
      <c r="H86" s="98">
        <v>0.75946605975927362</v>
      </c>
      <c r="I86" s="100">
        <v>14.52682885812769</v>
      </c>
      <c r="J86" s="98">
        <v>0.46195644014656617</v>
      </c>
      <c r="K86" s="100">
        <v>14.228648930918135</v>
      </c>
      <c r="L86" s="98">
        <v>1.0571671148695923</v>
      </c>
      <c r="M86" s="100">
        <v>12.451106485080452</v>
      </c>
      <c r="N86" s="98">
        <v>2.1047786215969864</v>
      </c>
      <c r="O86" s="100">
        <v>-2.2320811782230159</v>
      </c>
      <c r="P86" s="102">
        <v>2.2431093585825037</v>
      </c>
      <c r="Q86" s="99">
        <v>13.97010003529056</v>
      </c>
      <c r="R86" s="98">
        <v>0.63543214933280134</v>
      </c>
      <c r="S86" s="100" t="s">
        <v>34</v>
      </c>
      <c r="T86" s="98" t="s">
        <v>34</v>
      </c>
      <c r="U86" s="100" t="s">
        <v>34</v>
      </c>
      <c r="V86" s="98" t="s">
        <v>34</v>
      </c>
      <c r="W86" s="100" t="s">
        <v>34</v>
      </c>
      <c r="X86" s="104" t="s">
        <v>34</v>
      </c>
      <c r="Y86" s="124"/>
      <c r="Z86" s="124"/>
      <c r="AA86" s="124"/>
      <c r="AB86" s="124"/>
      <c r="AC86" s="124"/>
      <c r="AD86" s="124"/>
      <c r="AE86" s="124"/>
    </row>
    <row r="87" spans="1:31" s="105" customFormat="1" x14ac:dyDescent="0.25">
      <c r="A87" s="118" t="s">
        <v>268</v>
      </c>
      <c r="B87" s="167">
        <v>12098</v>
      </c>
      <c r="C87" s="133">
        <v>235</v>
      </c>
      <c r="D87" s="97">
        <v>91.496650695800781</v>
      </c>
      <c r="E87" s="99">
        <v>13.54941048634084</v>
      </c>
      <c r="F87" s="102">
        <v>0.3038203271781782</v>
      </c>
      <c r="G87" s="99">
        <v>9.8999821890066553</v>
      </c>
      <c r="H87" s="98">
        <v>0.53730095036144521</v>
      </c>
      <c r="I87" s="100">
        <v>15.120720005862605</v>
      </c>
      <c r="J87" s="98">
        <v>0.60430075147932538</v>
      </c>
      <c r="K87" s="100">
        <v>15.570923142657941</v>
      </c>
      <c r="L87" s="98">
        <v>0.642159741962676</v>
      </c>
      <c r="M87" s="100">
        <v>15.630290727376702</v>
      </c>
      <c r="N87" s="98">
        <v>0.87228351832220585</v>
      </c>
      <c r="O87" s="100">
        <v>5.7303085383700463</v>
      </c>
      <c r="P87" s="102">
        <v>0.99684232481766599</v>
      </c>
      <c r="Q87" s="99">
        <v>13.54941048634084</v>
      </c>
      <c r="R87" s="98">
        <v>0.3038203271781782</v>
      </c>
      <c r="S87" s="100" t="s">
        <v>34</v>
      </c>
      <c r="T87" s="98" t="s">
        <v>34</v>
      </c>
      <c r="U87" s="100" t="s">
        <v>34</v>
      </c>
      <c r="V87" s="98" t="s">
        <v>34</v>
      </c>
      <c r="W87" s="100" t="s">
        <v>34</v>
      </c>
      <c r="X87" s="104" t="s">
        <v>34</v>
      </c>
      <c r="Y87" s="124"/>
      <c r="Z87" s="124"/>
      <c r="AA87" s="124"/>
      <c r="AB87" s="124"/>
      <c r="AC87" s="124"/>
      <c r="AD87" s="124"/>
      <c r="AE87" s="124"/>
    </row>
    <row r="88" spans="1:31" s="105" customFormat="1" x14ac:dyDescent="0.25">
      <c r="A88" s="118" t="s">
        <v>269</v>
      </c>
      <c r="B88" s="167">
        <v>2729.5</v>
      </c>
      <c r="C88" s="133">
        <v>35</v>
      </c>
      <c r="D88" s="97">
        <v>17.18110466003418</v>
      </c>
      <c r="E88" s="99">
        <v>8.8299756787681556</v>
      </c>
      <c r="F88" s="102">
        <v>1.3701302402971571</v>
      </c>
      <c r="G88" s="99">
        <v>5.1112077206605644</v>
      </c>
      <c r="H88" s="98">
        <v>1.9951630087386265</v>
      </c>
      <c r="I88" s="100">
        <v>10.105721077930426</v>
      </c>
      <c r="J88" s="98">
        <v>1.539630548840909</v>
      </c>
      <c r="K88" s="100">
        <v>12.886523994921347</v>
      </c>
      <c r="L88" s="98">
        <v>0.95484315803770403</v>
      </c>
      <c r="M88" s="100">
        <v>10.549500483373258</v>
      </c>
      <c r="N88" s="98">
        <v>1.6356936480689146</v>
      </c>
      <c r="O88" s="100">
        <v>5.4382927627126936</v>
      </c>
      <c r="P88" s="102">
        <v>2.6465655411644646</v>
      </c>
      <c r="Q88" s="99">
        <v>8.6369207153605299</v>
      </c>
      <c r="R88" s="98">
        <v>1.6266413956565509</v>
      </c>
      <c r="S88" s="100" t="s">
        <v>34</v>
      </c>
      <c r="T88" s="98" t="s">
        <v>34</v>
      </c>
      <c r="U88" s="100" t="s">
        <v>34</v>
      </c>
      <c r="V88" s="98" t="s">
        <v>34</v>
      </c>
      <c r="W88" s="100" t="s">
        <v>34</v>
      </c>
      <c r="X88" s="104" t="s">
        <v>34</v>
      </c>
      <c r="Y88" s="124"/>
      <c r="Z88" s="124"/>
      <c r="AA88" s="124"/>
      <c r="AB88" s="124"/>
      <c r="AC88" s="124"/>
      <c r="AD88" s="124"/>
      <c r="AE88" s="124"/>
    </row>
    <row r="89" spans="1:31" s="105" customFormat="1" x14ac:dyDescent="0.25">
      <c r="A89" s="118" t="s">
        <v>270</v>
      </c>
      <c r="B89" s="167">
        <v>11245</v>
      </c>
      <c r="C89" s="133">
        <v>163</v>
      </c>
      <c r="D89" s="97">
        <v>90.900154113769531</v>
      </c>
      <c r="E89" s="99">
        <v>9.7929032258945519</v>
      </c>
      <c r="F89" s="102">
        <v>0.60319200896313607</v>
      </c>
      <c r="G89" s="99">
        <v>9.3568969943057088</v>
      </c>
      <c r="H89" s="98">
        <v>0.41081385094359557</v>
      </c>
      <c r="I89" s="100">
        <v>8.579323524546524</v>
      </c>
      <c r="J89" s="98">
        <v>1.7597113147438874</v>
      </c>
      <c r="K89" s="100">
        <v>10.523409372480621</v>
      </c>
      <c r="L89" s="98">
        <v>0.47312647110365508</v>
      </c>
      <c r="M89" s="100">
        <v>10.927069121233636</v>
      </c>
      <c r="N89" s="98">
        <v>0.87250890909921131</v>
      </c>
      <c r="O89" s="100">
        <v>1.5701721269279272</v>
      </c>
      <c r="P89" s="102">
        <v>0.96643288408441008</v>
      </c>
      <c r="Q89" s="99">
        <v>9.8722286086501665</v>
      </c>
      <c r="R89" s="98">
        <v>0.61835872066553943</v>
      </c>
      <c r="S89" s="100" t="s">
        <v>34</v>
      </c>
      <c r="T89" s="98" t="s">
        <v>34</v>
      </c>
      <c r="U89" s="100" t="s">
        <v>34</v>
      </c>
      <c r="V89" s="98" t="s">
        <v>34</v>
      </c>
      <c r="W89" s="100" t="s">
        <v>34</v>
      </c>
      <c r="X89" s="104" t="s">
        <v>34</v>
      </c>
      <c r="Y89" s="124"/>
      <c r="Z89" s="124"/>
      <c r="AA89" s="124"/>
      <c r="AB89" s="124"/>
      <c r="AC89" s="124"/>
      <c r="AD89" s="124"/>
      <c r="AE89" s="124"/>
    </row>
    <row r="90" spans="1:31" s="105" customFormat="1" x14ac:dyDescent="0.25">
      <c r="A90" s="118" t="s">
        <v>271</v>
      </c>
      <c r="B90" s="167">
        <v>15993</v>
      </c>
      <c r="C90" s="133">
        <v>155</v>
      </c>
      <c r="D90" s="97">
        <v>92.551307678222656</v>
      </c>
      <c r="E90" s="99">
        <v>11.310668818344535</v>
      </c>
      <c r="F90" s="102">
        <v>4.6795921878758924E-2</v>
      </c>
      <c r="G90" s="99">
        <v>10.364716289649943</v>
      </c>
      <c r="H90" s="98" t="s">
        <v>35</v>
      </c>
      <c r="I90" s="100">
        <v>11.540218432190574</v>
      </c>
      <c r="J90" s="98">
        <v>1.7979954430711001E-2</v>
      </c>
      <c r="K90" s="100">
        <v>10.984351549579049</v>
      </c>
      <c r="L90" s="98">
        <v>0.42924729432479847</v>
      </c>
      <c r="M90" s="100">
        <v>11.910096721224802</v>
      </c>
      <c r="N90" s="98">
        <v>0.31534380543156959</v>
      </c>
      <c r="O90" s="100">
        <v>1.5453804315748592</v>
      </c>
      <c r="P90" s="102">
        <v>0.31534380543156959</v>
      </c>
      <c r="Q90" s="99">
        <v>11.221665893375215</v>
      </c>
      <c r="R90" s="98">
        <v>3.3376248072790543E-3</v>
      </c>
      <c r="S90" s="100" t="s">
        <v>34</v>
      </c>
      <c r="T90" s="98" t="s">
        <v>34</v>
      </c>
      <c r="U90" s="100">
        <v>11.624514306399249</v>
      </c>
      <c r="V90" s="98">
        <v>0.23173894630260941</v>
      </c>
      <c r="W90" s="100">
        <v>0.40284841302403329</v>
      </c>
      <c r="X90" s="104">
        <v>0.22956418086260211</v>
      </c>
      <c r="Y90" s="124"/>
      <c r="Z90" s="124"/>
      <c r="AA90" s="124"/>
      <c r="AB90" s="124"/>
      <c r="AC90" s="124"/>
      <c r="AD90" s="124"/>
      <c r="AE90" s="124"/>
    </row>
    <row r="91" spans="1:31" s="105" customFormat="1" x14ac:dyDescent="0.25">
      <c r="A91" s="118" t="s">
        <v>272</v>
      </c>
      <c r="B91" s="167">
        <v>22720.5</v>
      </c>
      <c r="C91" s="133">
        <v>163</v>
      </c>
      <c r="D91" s="97">
        <v>85.732131958007813</v>
      </c>
      <c r="E91" s="99">
        <v>12.981138828733862</v>
      </c>
      <c r="F91" s="102">
        <v>0.31742823060736486</v>
      </c>
      <c r="G91" s="99">
        <v>12.413536817114187</v>
      </c>
      <c r="H91" s="98">
        <v>0.98372012407323173</v>
      </c>
      <c r="I91" s="100">
        <v>13.405305605084054</v>
      </c>
      <c r="J91" s="98">
        <v>0.81288457735214736</v>
      </c>
      <c r="K91" s="100">
        <v>12.443850094528081</v>
      </c>
      <c r="L91" s="98">
        <v>0.46418628333962719</v>
      </c>
      <c r="M91" s="100">
        <v>13.802590531107047</v>
      </c>
      <c r="N91" s="98">
        <v>0.48579027133857688</v>
      </c>
      <c r="O91" s="100">
        <v>1.38905371399286</v>
      </c>
      <c r="P91" s="102">
        <v>1.2077375333803722</v>
      </c>
      <c r="Q91" s="99">
        <v>11.327869179577574</v>
      </c>
      <c r="R91" s="98">
        <v>0.2682611067364104</v>
      </c>
      <c r="S91" s="100">
        <v>19.940719069644782</v>
      </c>
      <c r="T91" s="98">
        <v>0.78844436860316403</v>
      </c>
      <c r="U91" s="100">
        <v>19.838000580982818</v>
      </c>
      <c r="V91" s="98">
        <v>1.085265368224694</v>
      </c>
      <c r="W91" s="100">
        <v>8.5442992097789752</v>
      </c>
      <c r="X91" s="104">
        <v>0.72328985490319253</v>
      </c>
      <c r="Y91" s="124"/>
      <c r="Z91" s="124"/>
      <c r="AA91" s="124"/>
      <c r="AB91" s="124"/>
      <c r="AC91" s="124"/>
      <c r="AD91" s="124"/>
      <c r="AE91" s="124"/>
    </row>
    <row r="92" spans="1:31" s="105" customFormat="1" x14ac:dyDescent="0.25">
      <c r="A92" s="118" t="s">
        <v>273</v>
      </c>
      <c r="B92" s="167">
        <v>24950</v>
      </c>
      <c r="C92" s="133">
        <v>200</v>
      </c>
      <c r="D92" s="97">
        <v>91.022132873535156</v>
      </c>
      <c r="E92" s="99">
        <v>13.553374817397383</v>
      </c>
      <c r="F92" s="102">
        <v>3.6072759608100342</v>
      </c>
      <c r="G92" s="99">
        <v>18.867031593863647</v>
      </c>
      <c r="H92" s="98">
        <v>1.2600778671179964</v>
      </c>
      <c r="I92" s="100">
        <v>7.6116802256473797</v>
      </c>
      <c r="J92" s="98">
        <v>4.8956332179161324</v>
      </c>
      <c r="K92" s="100">
        <v>18.967903682121307</v>
      </c>
      <c r="L92" s="98">
        <v>1.0235497281141346</v>
      </c>
      <c r="M92" s="100">
        <v>17.349784090435776</v>
      </c>
      <c r="N92" s="98">
        <v>1.2504866852880896</v>
      </c>
      <c r="O92" s="100">
        <v>-1.5172475034278712</v>
      </c>
      <c r="P92" s="102">
        <v>1.7834134009452192</v>
      </c>
      <c r="Q92" s="99">
        <v>18.421355278148759</v>
      </c>
      <c r="R92" s="98">
        <v>0.43342405144502483</v>
      </c>
      <c r="S92" s="100">
        <v>4.6272161929336013</v>
      </c>
      <c r="T92" s="98">
        <v>3.9603506351954527</v>
      </c>
      <c r="U92" s="100">
        <v>17.548140167089116</v>
      </c>
      <c r="V92" s="98">
        <v>3.033434201256846</v>
      </c>
      <c r="W92" s="100">
        <v>-11.287481676780285</v>
      </c>
      <c r="X92" s="104">
        <v>4.7981623078745406</v>
      </c>
      <c r="Y92" s="124"/>
      <c r="Z92" s="124"/>
      <c r="AA92" s="124"/>
      <c r="AB92" s="124"/>
      <c r="AC92" s="124"/>
      <c r="AD92" s="124"/>
      <c r="AE92" s="124"/>
    </row>
    <row r="93" spans="1:31" s="105" customFormat="1" x14ac:dyDescent="0.25">
      <c r="A93" s="118" t="s">
        <v>274</v>
      </c>
      <c r="B93" s="167">
        <v>9646.5</v>
      </c>
      <c r="C93" s="133">
        <v>227</v>
      </c>
      <c r="D93" s="97">
        <v>92.06353759765625</v>
      </c>
      <c r="E93" s="99">
        <v>10.648127099447901</v>
      </c>
      <c r="F93" s="102">
        <v>0.25761911177602592</v>
      </c>
      <c r="G93" s="99">
        <v>9.1624937168802649</v>
      </c>
      <c r="H93" s="98">
        <v>0.54716047724075045</v>
      </c>
      <c r="I93" s="100">
        <v>10.167603260217559</v>
      </c>
      <c r="J93" s="98">
        <v>0.59985840796687706</v>
      </c>
      <c r="K93" s="100">
        <v>11.405189418710465</v>
      </c>
      <c r="L93" s="98">
        <v>0.59372206240794301</v>
      </c>
      <c r="M93" s="100">
        <v>12.023965255802832</v>
      </c>
      <c r="N93" s="98">
        <v>0.49475668986376692</v>
      </c>
      <c r="O93" s="100">
        <v>2.8614715389225669</v>
      </c>
      <c r="P93" s="102">
        <v>0.73010672537579302</v>
      </c>
      <c r="Q93" s="99">
        <v>10.662550944870462</v>
      </c>
      <c r="R93" s="98">
        <v>0.25785099477313489</v>
      </c>
      <c r="S93" s="100" t="s">
        <v>34</v>
      </c>
      <c r="T93" s="98" t="s">
        <v>34</v>
      </c>
      <c r="U93" s="100" t="s">
        <v>34</v>
      </c>
      <c r="V93" s="98" t="s">
        <v>34</v>
      </c>
      <c r="W93" s="100" t="s">
        <v>34</v>
      </c>
      <c r="X93" s="104" t="s">
        <v>34</v>
      </c>
      <c r="Y93" s="124"/>
      <c r="Z93" s="124"/>
      <c r="AA93" s="124"/>
      <c r="AB93" s="124"/>
      <c r="AC93" s="124"/>
      <c r="AD93" s="124"/>
      <c r="AE93" s="124"/>
    </row>
    <row r="94" spans="1:31" s="105" customFormat="1" x14ac:dyDescent="0.25">
      <c r="A94" s="118" t="s">
        <v>275</v>
      </c>
      <c r="B94" s="167">
        <v>25099.5</v>
      </c>
      <c r="C94" s="133">
        <v>213</v>
      </c>
      <c r="D94" s="97">
        <v>32.464153289794922</v>
      </c>
      <c r="E94" s="99">
        <v>12.778963222701142</v>
      </c>
      <c r="F94" s="102">
        <v>0.1856514804018799</v>
      </c>
      <c r="G94" s="99">
        <v>13.156665999947814</v>
      </c>
      <c r="H94" s="98">
        <v>0.6073849185055521</v>
      </c>
      <c r="I94" s="100">
        <v>13.853250420541178</v>
      </c>
      <c r="J94" s="98">
        <v>0.38925527320264247</v>
      </c>
      <c r="K94" s="100">
        <v>13.694861349311154</v>
      </c>
      <c r="L94" s="98">
        <v>0.21322531602207523</v>
      </c>
      <c r="M94" s="100">
        <v>11.559245466664777</v>
      </c>
      <c r="N94" s="98">
        <v>0.24934553936269255</v>
      </c>
      <c r="O94" s="100">
        <v>-1.5974205332830369</v>
      </c>
      <c r="P94" s="102">
        <v>0.65448056878632033</v>
      </c>
      <c r="Q94" s="99">
        <v>9.5932828706013407</v>
      </c>
      <c r="R94" s="98">
        <v>1.4455204233977602E-2</v>
      </c>
      <c r="S94" s="100" t="s">
        <v>34</v>
      </c>
      <c r="T94" s="98" t="s">
        <v>34</v>
      </c>
      <c r="U94" s="100">
        <v>13.340200141543558</v>
      </c>
      <c r="V94" s="98">
        <v>0.19179259153554523</v>
      </c>
      <c r="W94" s="100">
        <v>3.7469172709422178</v>
      </c>
      <c r="X94" s="104">
        <v>0.19236058741393872</v>
      </c>
      <c r="Y94" s="124"/>
      <c r="Z94" s="124"/>
      <c r="AA94" s="124"/>
      <c r="AB94" s="124"/>
      <c r="AC94" s="124"/>
      <c r="AD94" s="124"/>
      <c r="AE94" s="124"/>
    </row>
    <row r="95" spans="1:31" s="105" customFormat="1" x14ac:dyDescent="0.25">
      <c r="A95" s="118" t="s">
        <v>276</v>
      </c>
      <c r="B95" s="167">
        <v>12283</v>
      </c>
      <c r="C95" s="133">
        <v>188</v>
      </c>
      <c r="D95" s="97">
        <v>99.480300903320313</v>
      </c>
      <c r="E95" s="99">
        <v>10.700712797988347</v>
      </c>
      <c r="F95" s="102">
        <v>0.62058349706753657</v>
      </c>
      <c r="G95" s="99">
        <v>9.9132459376535298</v>
      </c>
      <c r="H95" s="98">
        <v>0.67028351891790916</v>
      </c>
      <c r="I95" s="100">
        <v>9.5295606360949829</v>
      </c>
      <c r="J95" s="98">
        <v>1.7869800394499447</v>
      </c>
      <c r="K95" s="100">
        <v>13.677346314307089</v>
      </c>
      <c r="L95" s="98">
        <v>1.0370865498626676</v>
      </c>
      <c r="M95" s="100">
        <v>11.394422176167646</v>
      </c>
      <c r="N95" s="98">
        <v>0.899035701982008</v>
      </c>
      <c r="O95" s="100">
        <v>1.4811762385141165</v>
      </c>
      <c r="P95" s="102">
        <v>1.1309371702657156</v>
      </c>
      <c r="Q95" s="99">
        <v>10.595456405692463</v>
      </c>
      <c r="R95" s="98">
        <v>0.67764761099345083</v>
      </c>
      <c r="S95" s="100" t="s">
        <v>34</v>
      </c>
      <c r="T95" s="98" t="s">
        <v>34</v>
      </c>
      <c r="U95" s="100">
        <v>11.347339685957303</v>
      </c>
      <c r="V95" s="98">
        <v>1.6522849756156499</v>
      </c>
      <c r="W95" s="100">
        <v>0.75188328026484008</v>
      </c>
      <c r="X95" s="104">
        <v>1.813491269438027</v>
      </c>
      <c r="Y95" s="124"/>
      <c r="Z95" s="124"/>
      <c r="AA95" s="124"/>
      <c r="AB95" s="124"/>
      <c r="AC95" s="124"/>
      <c r="AD95" s="124"/>
      <c r="AE95" s="124"/>
    </row>
    <row r="96" spans="1:31" s="105" customFormat="1" ht="13.8" thickBot="1" x14ac:dyDescent="0.3">
      <c r="A96" s="125" t="s">
        <v>277</v>
      </c>
      <c r="B96" s="168">
        <v>3904.5</v>
      </c>
      <c r="C96" s="144">
        <v>53</v>
      </c>
      <c r="D96" s="110">
        <v>42.494709014892578</v>
      </c>
      <c r="E96" s="112">
        <v>16.571245696484439</v>
      </c>
      <c r="F96" s="115">
        <v>0.70127302377150769</v>
      </c>
      <c r="G96" s="112">
        <v>15.871311958820197</v>
      </c>
      <c r="H96" s="111">
        <v>1.2966722311458199</v>
      </c>
      <c r="I96" s="113">
        <v>15.83240587707334</v>
      </c>
      <c r="J96" s="111">
        <v>1.6985646596991597</v>
      </c>
      <c r="K96" s="113">
        <v>18.233040742797499</v>
      </c>
      <c r="L96" s="111">
        <v>0.53615289754304729</v>
      </c>
      <c r="M96" s="113">
        <v>16.177703676450808</v>
      </c>
      <c r="N96" s="111">
        <v>1.5670863648151518</v>
      </c>
      <c r="O96" s="113">
        <v>0.30639171763061057</v>
      </c>
      <c r="P96" s="115">
        <v>2.0458302908176513</v>
      </c>
      <c r="Q96" s="112">
        <v>16.638197637216173</v>
      </c>
      <c r="R96" s="111">
        <v>0.58600637941849343</v>
      </c>
      <c r="S96" s="113" t="s">
        <v>34</v>
      </c>
      <c r="T96" s="111" t="s">
        <v>34</v>
      </c>
      <c r="U96" s="113">
        <v>16.105242240914396</v>
      </c>
      <c r="V96" s="111">
        <v>3.8507610257266518</v>
      </c>
      <c r="W96" s="113">
        <v>-0.53295539630177657</v>
      </c>
      <c r="X96" s="117">
        <v>3.9032377633347184</v>
      </c>
      <c r="Y96" s="124"/>
      <c r="Z96" s="124"/>
      <c r="AA96" s="124"/>
      <c r="AB96" s="124"/>
      <c r="AC96" s="124"/>
      <c r="AD96" s="124"/>
      <c r="AE96" s="124"/>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54</v>
      </c>
    </row>
    <row r="109" spans="1:21" x14ac:dyDescent="0.25">
      <c r="A109" s="27" t="s">
        <v>55</v>
      </c>
    </row>
    <row r="110" spans="1:21" x14ac:dyDescent="0.25">
      <c r="A110" s="27" t="s">
        <v>56</v>
      </c>
    </row>
    <row r="111" spans="1:21" x14ac:dyDescent="0.25">
      <c r="A111" s="4" t="s">
        <v>43</v>
      </c>
    </row>
    <row r="112" spans="1:21" x14ac:dyDescent="0.25">
      <c r="A112" s="27" t="s">
        <v>42</v>
      </c>
    </row>
  </sheetData>
  <mergeCells count="14">
    <mergeCell ref="B12:F12"/>
    <mergeCell ref="G12:P12"/>
    <mergeCell ref="B13:C13"/>
    <mergeCell ref="E13:F13"/>
    <mergeCell ref="O13:P13"/>
    <mergeCell ref="G13:H13"/>
    <mergeCell ref="I13:J13"/>
    <mergeCell ref="K13:L13"/>
    <mergeCell ref="M13:N13"/>
    <mergeCell ref="Q12:X12"/>
    <mergeCell ref="Q13:R13"/>
    <mergeCell ref="S13:T13"/>
    <mergeCell ref="U13:V13"/>
    <mergeCell ref="W13:X13"/>
  </mergeCells>
  <conditionalFormatting sqref="W16:W96 O16:O96">
    <cfRule type="expression" dxfId="24" priority="3">
      <formula>ABS(O16/P16)&gt;1.96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E112"/>
  <sheetViews>
    <sheetView showGridLines="0" zoomScale="80" zoomScaleNormal="80" workbookViewId="0"/>
  </sheetViews>
  <sheetFormatPr defaultColWidth="9.109375" defaultRowHeight="13.2" x14ac:dyDescent="0.25"/>
  <cols>
    <col min="1" max="1" width="25.33203125" style="4" customWidth="1"/>
    <col min="2" max="4" width="13.109375" style="4" customWidth="1"/>
    <col min="5"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57</v>
      </c>
      <c r="B6" s="2"/>
      <c r="C6" s="3"/>
      <c r="D6" s="2"/>
      <c r="E6" s="3"/>
      <c r="F6" s="3"/>
      <c r="G6" s="3"/>
      <c r="H6" s="3"/>
      <c r="I6" s="3"/>
      <c r="J6" s="3"/>
      <c r="K6" s="3"/>
      <c r="L6" s="3"/>
      <c r="M6" s="3"/>
      <c r="N6" s="3"/>
      <c r="O6" s="3"/>
      <c r="P6" s="3"/>
    </row>
    <row r="7" spans="1:31" x14ac:dyDescent="0.25">
      <c r="A7" s="5" t="s">
        <v>58</v>
      </c>
    </row>
    <row r="8" spans="1:31" x14ac:dyDescent="0.25">
      <c r="A8" s="6" t="s">
        <v>59</v>
      </c>
    </row>
    <row r="9" spans="1:31" x14ac:dyDescent="0.25">
      <c r="A9" s="6"/>
    </row>
    <row r="10" spans="1:31" x14ac:dyDescent="0.25">
      <c r="A10" s="59"/>
    </row>
    <row r="11" spans="1:31" ht="25.5" customHeight="1" thickBot="1" x14ac:dyDescent="0.3">
      <c r="A11" s="7"/>
      <c r="B11" s="8"/>
      <c r="C11" s="9"/>
      <c r="D11" s="8"/>
      <c r="E11" s="9"/>
      <c r="F11" s="9"/>
      <c r="G11" s="9"/>
      <c r="H11" s="9"/>
      <c r="I11" s="9"/>
      <c r="J11" s="9"/>
      <c r="K11" s="9"/>
      <c r="L11" s="9"/>
      <c r="M11" s="9"/>
      <c r="N11" s="9"/>
      <c r="O11" s="9"/>
      <c r="P11" s="9"/>
    </row>
    <row r="12" spans="1:31" ht="30" customHeight="1" x14ac:dyDescent="0.25">
      <c r="A12" s="28"/>
      <c r="B12" s="211" t="s">
        <v>7</v>
      </c>
      <c r="C12" s="212"/>
      <c r="D12" s="212"/>
      <c r="E12" s="212"/>
      <c r="F12" s="237"/>
      <c r="G12" s="211" t="s">
        <v>60</v>
      </c>
      <c r="H12" s="212"/>
      <c r="I12" s="212"/>
      <c r="J12" s="212"/>
      <c r="K12" s="212"/>
      <c r="L12" s="212"/>
      <c r="M12" s="212"/>
      <c r="N12" s="212"/>
      <c r="O12" s="212"/>
      <c r="P12" s="237"/>
      <c r="Q12" s="201" t="s">
        <v>61</v>
      </c>
      <c r="R12" s="202"/>
      <c r="S12" s="202"/>
      <c r="T12" s="202"/>
      <c r="U12" s="202"/>
      <c r="V12" s="202"/>
      <c r="W12" s="202"/>
      <c r="X12" s="203"/>
    </row>
    <row r="13" spans="1:31" ht="120" customHeight="1" x14ac:dyDescent="0.25">
      <c r="A13" s="32"/>
      <c r="B13" s="209" t="s">
        <v>10</v>
      </c>
      <c r="C13" s="236"/>
      <c r="D13" s="92" t="s">
        <v>11</v>
      </c>
      <c r="E13" s="209" t="s">
        <v>62</v>
      </c>
      <c r="F13" s="236"/>
      <c r="G13" s="229" t="s">
        <v>16</v>
      </c>
      <c r="H13" s="230"/>
      <c r="I13" s="231" t="s">
        <v>17</v>
      </c>
      <c r="J13" s="230"/>
      <c r="K13" s="234" t="s">
        <v>50</v>
      </c>
      <c r="L13" s="235"/>
      <c r="M13" s="234" t="s">
        <v>19</v>
      </c>
      <c r="N13" s="235"/>
      <c r="O13" s="207" t="s">
        <v>20</v>
      </c>
      <c r="P13" s="236"/>
      <c r="Q13" s="209" t="s">
        <v>21</v>
      </c>
      <c r="R13" s="210"/>
      <c r="S13" s="207" t="s">
        <v>22</v>
      </c>
      <c r="T13" s="210"/>
      <c r="U13" s="207" t="s">
        <v>23</v>
      </c>
      <c r="V13" s="210"/>
      <c r="W13" s="207" t="s">
        <v>70</v>
      </c>
      <c r="X13" s="208"/>
    </row>
    <row r="14" spans="1:31" ht="27" customHeight="1" x14ac:dyDescent="0.25">
      <c r="A14" s="33"/>
      <c r="B14" s="34" t="s">
        <v>51</v>
      </c>
      <c r="C14" s="47" t="s">
        <v>25</v>
      </c>
      <c r="D14" s="36" t="s">
        <v>26</v>
      </c>
      <c r="E14" s="34" t="s">
        <v>26</v>
      </c>
      <c r="F14" s="35" t="s">
        <v>28</v>
      </c>
      <c r="G14" s="34" t="s">
        <v>26</v>
      </c>
      <c r="H14" s="36" t="s">
        <v>28</v>
      </c>
      <c r="I14" s="44" t="s">
        <v>26</v>
      </c>
      <c r="J14" s="36" t="s">
        <v>28</v>
      </c>
      <c r="K14" s="44" t="s">
        <v>26</v>
      </c>
      <c r="L14" s="36" t="s">
        <v>28</v>
      </c>
      <c r="M14" s="44" t="s">
        <v>26</v>
      </c>
      <c r="N14" s="36" t="s">
        <v>28</v>
      </c>
      <c r="O14" s="44" t="s">
        <v>63</v>
      </c>
      <c r="P14" s="35" t="s">
        <v>28</v>
      </c>
      <c r="Q14" s="34" t="s">
        <v>26</v>
      </c>
      <c r="R14" s="36" t="s">
        <v>28</v>
      </c>
      <c r="S14" s="44" t="s">
        <v>26</v>
      </c>
      <c r="T14" s="36" t="s">
        <v>28</v>
      </c>
      <c r="U14" s="44" t="s">
        <v>26</v>
      </c>
      <c r="V14" s="36" t="s">
        <v>28</v>
      </c>
      <c r="W14" s="44" t="s">
        <v>63</v>
      </c>
      <c r="X14" s="46" t="s">
        <v>28</v>
      </c>
    </row>
    <row r="15" spans="1:31" ht="13.5" customHeight="1" x14ac:dyDescent="0.25">
      <c r="A15" s="182" t="s">
        <v>278</v>
      </c>
      <c r="B15" s="183"/>
      <c r="C15" s="184"/>
      <c r="D15" s="185"/>
      <c r="E15" s="186"/>
      <c r="F15" s="187"/>
      <c r="G15" s="188"/>
      <c r="H15" s="189"/>
      <c r="I15" s="190"/>
      <c r="J15" s="189"/>
      <c r="K15" s="190"/>
      <c r="L15" s="189"/>
      <c r="M15" s="190"/>
      <c r="N15" s="189"/>
      <c r="O15" s="190"/>
      <c r="P15" s="187"/>
      <c r="Q15" s="188"/>
      <c r="R15" s="189"/>
      <c r="S15" s="190"/>
      <c r="T15" s="189"/>
      <c r="U15" s="190"/>
      <c r="V15" s="189"/>
      <c r="W15" s="190"/>
      <c r="X15" s="191"/>
    </row>
    <row r="16" spans="1:31" s="105" customFormat="1" x14ac:dyDescent="0.25">
      <c r="A16" s="118" t="s">
        <v>202</v>
      </c>
      <c r="B16" s="167">
        <v>39792</v>
      </c>
      <c r="C16" s="133">
        <v>506</v>
      </c>
      <c r="D16" s="97">
        <v>67.317924499511719</v>
      </c>
      <c r="E16" s="99">
        <v>97.827086944999834</v>
      </c>
      <c r="F16" s="102">
        <v>0.55627811834263163</v>
      </c>
      <c r="G16" s="99">
        <v>97.225673294397097</v>
      </c>
      <c r="H16" s="98">
        <v>0.93364358009155257</v>
      </c>
      <c r="I16" s="100">
        <v>96.250188891935011</v>
      </c>
      <c r="J16" s="98">
        <v>1.8594014900550371</v>
      </c>
      <c r="K16" s="100">
        <v>97.863080829381374</v>
      </c>
      <c r="L16" s="98">
        <v>1.1426462152214076</v>
      </c>
      <c r="M16" s="100">
        <v>99.220959677959769</v>
      </c>
      <c r="N16" s="98">
        <v>0.57085005674641842</v>
      </c>
      <c r="O16" s="100">
        <v>1.9952863835626715</v>
      </c>
      <c r="P16" s="102">
        <v>1.0866173842752627</v>
      </c>
      <c r="Q16" s="99">
        <v>97.349287374961492</v>
      </c>
      <c r="R16" s="98">
        <v>0.76401139807766849</v>
      </c>
      <c r="S16" s="100">
        <v>98.14170370978951</v>
      </c>
      <c r="T16" s="98">
        <v>1.0675932033580307</v>
      </c>
      <c r="U16" s="100">
        <v>99.545434564311392</v>
      </c>
      <c r="V16" s="98">
        <v>0.28416908288587084</v>
      </c>
      <c r="W16" s="100">
        <v>1.3980632971902622</v>
      </c>
      <c r="X16" s="104">
        <v>0.97200301130223155</v>
      </c>
      <c r="Y16" s="124"/>
      <c r="Z16" s="124"/>
      <c r="AA16" s="124"/>
      <c r="AB16" s="124"/>
      <c r="AC16" s="124"/>
      <c r="AD16" s="124"/>
      <c r="AE16" s="124"/>
    </row>
    <row r="17" spans="1:31" s="105" customFormat="1" x14ac:dyDescent="0.25">
      <c r="A17" s="118" t="s">
        <v>203</v>
      </c>
      <c r="B17" s="167">
        <v>10864</v>
      </c>
      <c r="C17" s="133">
        <v>291</v>
      </c>
      <c r="D17" s="97" t="s">
        <v>34</v>
      </c>
      <c r="E17" s="99">
        <v>92.323612760238561</v>
      </c>
      <c r="F17" s="102">
        <v>2.0201280418332486</v>
      </c>
      <c r="G17" s="99" t="s">
        <v>34</v>
      </c>
      <c r="H17" s="98" t="s">
        <v>34</v>
      </c>
      <c r="I17" s="100" t="s">
        <v>34</v>
      </c>
      <c r="J17" s="98" t="s">
        <v>34</v>
      </c>
      <c r="K17" s="100" t="s">
        <v>34</v>
      </c>
      <c r="L17" s="98" t="s">
        <v>34</v>
      </c>
      <c r="M17" s="100" t="s">
        <v>34</v>
      </c>
      <c r="N17" s="98" t="s">
        <v>34</v>
      </c>
      <c r="O17" s="100" t="s">
        <v>34</v>
      </c>
      <c r="P17" s="102" t="s">
        <v>34</v>
      </c>
      <c r="Q17" s="99" t="s">
        <v>34</v>
      </c>
      <c r="R17" s="98" t="s">
        <v>34</v>
      </c>
      <c r="S17" s="100" t="s">
        <v>34</v>
      </c>
      <c r="T17" s="98" t="s">
        <v>34</v>
      </c>
      <c r="U17" s="100" t="s">
        <v>34</v>
      </c>
      <c r="V17" s="98" t="s">
        <v>34</v>
      </c>
      <c r="W17" s="100" t="s">
        <v>34</v>
      </c>
      <c r="X17" s="104" t="s">
        <v>34</v>
      </c>
      <c r="Y17" s="124"/>
      <c r="Z17" s="124"/>
      <c r="AA17" s="124"/>
      <c r="AB17" s="124"/>
      <c r="AC17" s="124"/>
      <c r="AD17" s="124"/>
      <c r="AE17" s="124"/>
    </row>
    <row r="18" spans="1:31" s="105" customFormat="1" x14ac:dyDescent="0.25">
      <c r="A18" s="118" t="s">
        <v>204</v>
      </c>
      <c r="B18" s="167">
        <v>17834.5</v>
      </c>
      <c r="C18" s="133">
        <v>195</v>
      </c>
      <c r="D18" s="97">
        <v>69.305091857910156</v>
      </c>
      <c r="E18" s="99">
        <v>89.666109979981002</v>
      </c>
      <c r="F18" s="102">
        <v>1.7774072154273903</v>
      </c>
      <c r="G18" s="99">
        <v>89.264055746265299</v>
      </c>
      <c r="H18" s="98">
        <v>3.8156615390598794</v>
      </c>
      <c r="I18" s="100">
        <v>90.07082989115942</v>
      </c>
      <c r="J18" s="98">
        <v>2.7407102194185056</v>
      </c>
      <c r="K18" s="100">
        <v>89.452627748824469</v>
      </c>
      <c r="L18" s="98">
        <v>3.3111794523970262</v>
      </c>
      <c r="M18" s="100">
        <v>89.886840965961127</v>
      </c>
      <c r="N18" s="98">
        <v>5.6691286457584482</v>
      </c>
      <c r="O18" s="100">
        <v>0.62278521969582812</v>
      </c>
      <c r="P18" s="102">
        <v>7.1436311978939564</v>
      </c>
      <c r="Q18" s="99" t="s">
        <v>34</v>
      </c>
      <c r="R18" s="98" t="s">
        <v>34</v>
      </c>
      <c r="S18" s="100" t="s">
        <v>34</v>
      </c>
      <c r="T18" s="98" t="s">
        <v>34</v>
      </c>
      <c r="U18" s="100" t="s">
        <v>34</v>
      </c>
      <c r="V18" s="98" t="s">
        <v>34</v>
      </c>
      <c r="W18" s="100" t="s">
        <v>34</v>
      </c>
      <c r="X18" s="104" t="s">
        <v>34</v>
      </c>
      <c r="Y18" s="124"/>
      <c r="Z18" s="124"/>
      <c r="AA18" s="124"/>
      <c r="AB18" s="124"/>
      <c r="AC18" s="124"/>
      <c r="AD18" s="124"/>
      <c r="AE18" s="124"/>
    </row>
    <row r="19" spans="1:31" s="105" customFormat="1" x14ac:dyDescent="0.25">
      <c r="A19" s="118" t="s">
        <v>205</v>
      </c>
      <c r="B19" s="167">
        <v>22452</v>
      </c>
      <c r="C19" s="133">
        <v>442</v>
      </c>
      <c r="D19" s="97">
        <v>58.412197113037109</v>
      </c>
      <c r="E19" s="99">
        <v>96.472542133080808</v>
      </c>
      <c r="F19" s="102">
        <v>1.1709867284261226</v>
      </c>
      <c r="G19" s="99">
        <v>95.127046847673341</v>
      </c>
      <c r="H19" s="98">
        <v>3.1313676852034749</v>
      </c>
      <c r="I19" s="100">
        <v>97.08699423675624</v>
      </c>
      <c r="J19" s="98">
        <v>2.0744714430534228</v>
      </c>
      <c r="K19" s="100">
        <v>97.945432632445915</v>
      </c>
      <c r="L19" s="98">
        <v>1.2011047916972148</v>
      </c>
      <c r="M19" s="100">
        <v>96.067331674666661</v>
      </c>
      <c r="N19" s="98">
        <v>2.1144790358598784</v>
      </c>
      <c r="O19" s="100">
        <v>0.94028482699332017</v>
      </c>
      <c r="P19" s="102">
        <v>3.8798540585401988</v>
      </c>
      <c r="Q19" s="99">
        <v>98.447431700864442</v>
      </c>
      <c r="R19" s="98">
        <v>0.65062793484418047</v>
      </c>
      <c r="S19" s="100">
        <v>97.188665990357705</v>
      </c>
      <c r="T19" s="98">
        <v>1.7765509284498364</v>
      </c>
      <c r="U19" s="100">
        <v>76.450921999017083</v>
      </c>
      <c r="V19" s="98">
        <v>10.154337800124006</v>
      </c>
      <c r="W19" s="100">
        <v>-15.998050701379938</v>
      </c>
      <c r="X19" s="104">
        <v>7.6838482481413193</v>
      </c>
      <c r="Y19" s="124"/>
      <c r="Z19" s="124"/>
      <c r="AA19" s="124"/>
      <c r="AB19" s="124"/>
      <c r="AC19" s="124"/>
      <c r="AD19" s="124"/>
      <c r="AE19" s="124"/>
    </row>
    <row r="20" spans="1:31" s="105" customFormat="1" x14ac:dyDescent="0.25">
      <c r="A20" s="118" t="s">
        <v>206</v>
      </c>
      <c r="B20" s="167">
        <v>5939</v>
      </c>
      <c r="C20" s="133">
        <v>107</v>
      </c>
      <c r="D20" s="97">
        <v>47.296905517578125</v>
      </c>
      <c r="E20" s="99">
        <v>25.766479342253195</v>
      </c>
      <c r="F20" s="102">
        <v>4.235789343835938</v>
      </c>
      <c r="G20" s="99">
        <v>30.175580930694252</v>
      </c>
      <c r="H20" s="98">
        <v>10.83228081591777</v>
      </c>
      <c r="I20" s="100">
        <v>16.606083749571773</v>
      </c>
      <c r="J20" s="98">
        <v>5.8630100737776596</v>
      </c>
      <c r="K20" s="100">
        <v>16.522924068360993</v>
      </c>
      <c r="L20" s="98">
        <v>8.5265065699630558</v>
      </c>
      <c r="M20" s="100">
        <v>36.177019628686978</v>
      </c>
      <c r="N20" s="98">
        <v>7.844193374904914</v>
      </c>
      <c r="O20" s="100">
        <v>6.0014386979927252</v>
      </c>
      <c r="P20" s="102">
        <v>13.767979296045128</v>
      </c>
      <c r="Q20" s="99">
        <v>25.410055040782254</v>
      </c>
      <c r="R20" s="98">
        <v>6.9142317032824163</v>
      </c>
      <c r="S20" s="100">
        <v>21.283521522352466</v>
      </c>
      <c r="T20" s="98">
        <v>6.3694635546212544</v>
      </c>
      <c r="U20" s="100">
        <v>36.777197342532496</v>
      </c>
      <c r="V20" s="98">
        <v>9.149369452371495</v>
      </c>
      <c r="W20" s="100">
        <v>0.47230624005155875</v>
      </c>
      <c r="X20" s="104">
        <v>8.5639623200892796</v>
      </c>
      <c r="Y20" s="124"/>
      <c r="Z20" s="124"/>
      <c r="AA20" s="124"/>
      <c r="AB20" s="124"/>
      <c r="AC20" s="124"/>
      <c r="AD20" s="124"/>
      <c r="AE20" s="124"/>
    </row>
    <row r="21" spans="1:31" s="105" customFormat="1" x14ac:dyDescent="0.25">
      <c r="A21" s="118" t="s">
        <v>207</v>
      </c>
      <c r="B21" s="167">
        <v>5791.5</v>
      </c>
      <c r="C21" s="133">
        <v>122</v>
      </c>
      <c r="D21" s="97">
        <v>48.036758422851563</v>
      </c>
      <c r="E21" s="99">
        <v>72.895223729206535</v>
      </c>
      <c r="F21" s="102">
        <v>4.327747985655555</v>
      </c>
      <c r="G21" s="99">
        <v>77.777703465380256</v>
      </c>
      <c r="H21" s="98">
        <v>8.3545551530994455</v>
      </c>
      <c r="I21" s="100">
        <v>71.115627789520161</v>
      </c>
      <c r="J21" s="98">
        <v>12.421493534942732</v>
      </c>
      <c r="K21" s="100">
        <v>80.493427521393372</v>
      </c>
      <c r="L21" s="98">
        <v>7.9139083117370266</v>
      </c>
      <c r="M21" s="100">
        <v>62.440752916228021</v>
      </c>
      <c r="N21" s="98">
        <v>6.3151597417594187</v>
      </c>
      <c r="O21" s="100">
        <v>-15.336950549152235</v>
      </c>
      <c r="P21" s="102">
        <v>10.03697671169205</v>
      </c>
      <c r="Q21" s="99">
        <v>76.925593883981378</v>
      </c>
      <c r="R21" s="98">
        <v>5.5476294870784502</v>
      </c>
      <c r="S21" s="100" t="s">
        <v>34</v>
      </c>
      <c r="T21" s="98" t="s">
        <v>34</v>
      </c>
      <c r="U21" s="100">
        <v>62.969482840894777</v>
      </c>
      <c r="V21" s="98">
        <v>6.2027257873841872</v>
      </c>
      <c r="W21" s="100">
        <v>-13.956111043086601</v>
      </c>
      <c r="X21" s="104">
        <v>8.4282811130770288</v>
      </c>
      <c r="Y21" s="124"/>
      <c r="Z21" s="124"/>
      <c r="AA21" s="124"/>
      <c r="AB21" s="124"/>
      <c r="AC21" s="124"/>
      <c r="AD21" s="124"/>
      <c r="AE21" s="124"/>
    </row>
    <row r="22" spans="1:31" s="105" customFormat="1" x14ac:dyDescent="0.25">
      <c r="A22" s="118" t="s">
        <v>208</v>
      </c>
      <c r="B22" s="167">
        <v>10337</v>
      </c>
      <c r="C22" s="133">
        <v>284</v>
      </c>
      <c r="D22" s="97">
        <v>83.931358337402344</v>
      </c>
      <c r="E22" s="99">
        <v>94.58131931059124</v>
      </c>
      <c r="F22" s="102">
        <v>0.88681197287393387</v>
      </c>
      <c r="G22" s="99">
        <v>91.501229543982149</v>
      </c>
      <c r="H22" s="98">
        <v>2.0430518812990659</v>
      </c>
      <c r="I22" s="100">
        <v>97.529122818761607</v>
      </c>
      <c r="J22" s="98">
        <v>0.49735714518813606</v>
      </c>
      <c r="K22" s="100">
        <v>96.418121914880317</v>
      </c>
      <c r="L22" s="98">
        <v>0.76673985651429388</v>
      </c>
      <c r="M22" s="100">
        <v>94.517317832285599</v>
      </c>
      <c r="N22" s="98">
        <v>2.1365922004801319</v>
      </c>
      <c r="O22" s="100">
        <v>3.0160882883034503</v>
      </c>
      <c r="P22" s="102">
        <v>2.9483002021626956</v>
      </c>
      <c r="Q22" s="99">
        <v>95.229093548985517</v>
      </c>
      <c r="R22" s="98">
        <v>0.79433674097564166</v>
      </c>
      <c r="S22" s="100">
        <v>82.088592442735035</v>
      </c>
      <c r="T22" s="98">
        <v>8.0213843952189787</v>
      </c>
      <c r="U22" s="100" t="s">
        <v>34</v>
      </c>
      <c r="V22" s="98" t="s">
        <v>34</v>
      </c>
      <c r="W22" s="100">
        <v>-13.140501106250483</v>
      </c>
      <c r="X22" s="104">
        <v>8.0514747798422146</v>
      </c>
      <c r="Y22" s="124"/>
      <c r="Z22" s="124"/>
      <c r="AA22" s="124"/>
      <c r="AB22" s="124"/>
      <c r="AC22" s="124"/>
      <c r="AD22" s="124"/>
      <c r="AE22" s="124"/>
    </row>
    <row r="23" spans="1:31" s="105" customFormat="1" x14ac:dyDescent="0.25">
      <c r="A23" s="118" t="s">
        <v>209</v>
      </c>
      <c r="B23" s="167" t="s">
        <v>34</v>
      </c>
      <c r="C23" s="133" t="s">
        <v>34</v>
      </c>
      <c r="D23" s="97" t="s">
        <v>34</v>
      </c>
      <c r="E23" s="99" t="s">
        <v>34</v>
      </c>
      <c r="F23" s="102" t="s">
        <v>34</v>
      </c>
      <c r="G23" s="99" t="s">
        <v>34</v>
      </c>
      <c r="H23" s="98" t="s">
        <v>34</v>
      </c>
      <c r="I23" s="100" t="s">
        <v>34</v>
      </c>
      <c r="J23" s="98" t="s">
        <v>34</v>
      </c>
      <c r="K23" s="100" t="s">
        <v>34</v>
      </c>
      <c r="L23" s="98" t="s">
        <v>34</v>
      </c>
      <c r="M23" s="100" t="s">
        <v>34</v>
      </c>
      <c r="N23" s="98" t="s">
        <v>34</v>
      </c>
      <c r="O23" s="100" t="s">
        <v>34</v>
      </c>
      <c r="P23" s="102" t="s">
        <v>34</v>
      </c>
      <c r="Q23" s="99" t="s">
        <v>34</v>
      </c>
      <c r="R23" s="98" t="s">
        <v>34</v>
      </c>
      <c r="S23" s="100" t="s">
        <v>34</v>
      </c>
      <c r="T23" s="98" t="s">
        <v>34</v>
      </c>
      <c r="U23" s="100" t="s">
        <v>34</v>
      </c>
      <c r="V23" s="98" t="s">
        <v>34</v>
      </c>
      <c r="W23" s="100" t="s">
        <v>34</v>
      </c>
      <c r="X23" s="104" t="s">
        <v>34</v>
      </c>
      <c r="Y23" s="124"/>
      <c r="Z23" s="124"/>
      <c r="AA23" s="124"/>
      <c r="AB23" s="124"/>
      <c r="AC23" s="124"/>
      <c r="AD23" s="124"/>
      <c r="AE23" s="124"/>
    </row>
    <row r="24" spans="1:31" s="105" customFormat="1" x14ac:dyDescent="0.25">
      <c r="A24" s="118" t="s">
        <v>210</v>
      </c>
      <c r="B24" s="167">
        <v>8230</v>
      </c>
      <c r="C24" s="133">
        <v>197</v>
      </c>
      <c r="D24" s="97">
        <v>88.77349853515625</v>
      </c>
      <c r="E24" s="99">
        <v>89.425153991393117</v>
      </c>
      <c r="F24" s="102">
        <v>0.90980967215996256</v>
      </c>
      <c r="G24" s="99">
        <v>88.962989987494581</v>
      </c>
      <c r="H24" s="98">
        <v>1.7257672029209552</v>
      </c>
      <c r="I24" s="100">
        <v>90.345612598214245</v>
      </c>
      <c r="J24" s="98">
        <v>2.0259515976633464</v>
      </c>
      <c r="K24" s="100">
        <v>87.983237079326258</v>
      </c>
      <c r="L24" s="98">
        <v>2.1989880216067568</v>
      </c>
      <c r="M24" s="100">
        <v>90.505092155261366</v>
      </c>
      <c r="N24" s="98">
        <v>0.83264637950810916</v>
      </c>
      <c r="O24" s="100">
        <v>1.5421021677667852</v>
      </c>
      <c r="P24" s="102">
        <v>1.8901184782817804</v>
      </c>
      <c r="Q24" s="99">
        <v>89.081612598949377</v>
      </c>
      <c r="R24" s="98">
        <v>0.95361885471789942</v>
      </c>
      <c r="S24" s="100">
        <v>95.455081819842761</v>
      </c>
      <c r="T24" s="98">
        <v>1.4465836017633704</v>
      </c>
      <c r="U24" s="100">
        <v>95.085316583033119</v>
      </c>
      <c r="V24" s="98">
        <v>3.1532852959655515</v>
      </c>
      <c r="W24" s="100">
        <v>6.1923022861285517</v>
      </c>
      <c r="X24" s="104">
        <v>1.9013856348204101</v>
      </c>
      <c r="Y24" s="124"/>
      <c r="Z24" s="124"/>
      <c r="AA24" s="124"/>
      <c r="AB24" s="124"/>
      <c r="AC24" s="124"/>
      <c r="AD24" s="124"/>
      <c r="AE24" s="124"/>
    </row>
    <row r="25" spans="1:31" s="105" customFormat="1" x14ac:dyDescent="0.25">
      <c r="A25" s="118" t="s">
        <v>211</v>
      </c>
      <c r="B25" s="167">
        <v>5636.5</v>
      </c>
      <c r="C25" s="133">
        <v>133</v>
      </c>
      <c r="D25" s="97">
        <v>63.926307678222656</v>
      </c>
      <c r="E25" s="99">
        <v>93.391956482425158</v>
      </c>
      <c r="F25" s="102">
        <v>1.2209689165363109</v>
      </c>
      <c r="G25" s="99">
        <v>91.013180380839216</v>
      </c>
      <c r="H25" s="98">
        <v>3.5136781389137193</v>
      </c>
      <c r="I25" s="100">
        <v>94.509263477997507</v>
      </c>
      <c r="J25" s="98">
        <v>1.0373782230365038</v>
      </c>
      <c r="K25" s="100">
        <v>94.886463955694992</v>
      </c>
      <c r="L25" s="98">
        <v>1.9326247731330737</v>
      </c>
      <c r="M25" s="100">
        <v>94.103859069880642</v>
      </c>
      <c r="N25" s="98">
        <v>1.2841455168394669</v>
      </c>
      <c r="O25" s="100">
        <v>3.0906786890414253</v>
      </c>
      <c r="P25" s="102">
        <v>3.571034701003839</v>
      </c>
      <c r="Q25" s="99">
        <v>93.332847286003457</v>
      </c>
      <c r="R25" s="98">
        <v>1.2863343533022755</v>
      </c>
      <c r="S25" s="100">
        <v>94.098794072482534</v>
      </c>
      <c r="T25" s="98">
        <v>3.5900385511321971</v>
      </c>
      <c r="U25" s="100" t="s">
        <v>34</v>
      </c>
      <c r="V25" s="98" t="s">
        <v>34</v>
      </c>
      <c r="W25" s="100">
        <v>0.76594678647907699</v>
      </c>
      <c r="X25" s="104">
        <v>3.8334184448592405</v>
      </c>
      <c r="Y25" s="124"/>
      <c r="Z25" s="124"/>
      <c r="AA25" s="124"/>
      <c r="AB25" s="124"/>
      <c r="AC25" s="124"/>
      <c r="AD25" s="124"/>
      <c r="AE25" s="124"/>
    </row>
    <row r="26" spans="1:31" s="105" customFormat="1" x14ac:dyDescent="0.25">
      <c r="A26" s="118" t="s">
        <v>212</v>
      </c>
      <c r="B26" s="167">
        <v>13905.5</v>
      </c>
      <c r="C26" s="133">
        <v>135</v>
      </c>
      <c r="D26" s="97">
        <v>63.497051239013672</v>
      </c>
      <c r="E26" s="99">
        <v>71.79499530488404</v>
      </c>
      <c r="F26" s="102">
        <v>3.2646267882607778</v>
      </c>
      <c r="G26" s="99">
        <v>58.13884856408167</v>
      </c>
      <c r="H26" s="98">
        <v>8.6755793003957447</v>
      </c>
      <c r="I26" s="100">
        <v>62.548151412095464</v>
      </c>
      <c r="J26" s="98">
        <v>6.791010610061079</v>
      </c>
      <c r="K26" s="100">
        <v>80.788239912401835</v>
      </c>
      <c r="L26" s="98">
        <v>3.7805972032387483</v>
      </c>
      <c r="M26" s="100">
        <v>87.257298413531657</v>
      </c>
      <c r="N26" s="98">
        <v>4.4928822863513567</v>
      </c>
      <c r="O26" s="100">
        <v>29.118449849449988</v>
      </c>
      <c r="P26" s="102">
        <v>9.8599738320496755</v>
      </c>
      <c r="Q26" s="99">
        <v>74.647681640545883</v>
      </c>
      <c r="R26" s="98">
        <v>3.2195469352958246</v>
      </c>
      <c r="S26" s="100">
        <v>52.005747902928597</v>
      </c>
      <c r="T26" s="98">
        <v>13.275254242879472</v>
      </c>
      <c r="U26" s="100">
        <v>79.053801943320565</v>
      </c>
      <c r="V26" s="98">
        <v>10.0700089208477</v>
      </c>
      <c r="W26" s="100">
        <v>-12.005998285585385</v>
      </c>
      <c r="X26" s="104">
        <v>9.4621941534176166</v>
      </c>
      <c r="Y26" s="124"/>
      <c r="Z26" s="124"/>
      <c r="AA26" s="124"/>
      <c r="AB26" s="124"/>
      <c r="AC26" s="124"/>
      <c r="AD26" s="124"/>
      <c r="AE26" s="124"/>
    </row>
    <row r="27" spans="1:31" s="105" customFormat="1" x14ac:dyDescent="0.25">
      <c r="A27" s="118" t="s">
        <v>213</v>
      </c>
      <c r="B27" s="167">
        <v>8681.5</v>
      </c>
      <c r="C27" s="133">
        <v>167</v>
      </c>
      <c r="D27" s="97">
        <v>75.171958923339844</v>
      </c>
      <c r="E27" s="99">
        <v>90.343303083385464</v>
      </c>
      <c r="F27" s="102">
        <v>2.1999549821366515</v>
      </c>
      <c r="G27" s="99">
        <v>93.915796736467513</v>
      </c>
      <c r="H27" s="98">
        <v>2.0732477483018275</v>
      </c>
      <c r="I27" s="100">
        <v>94.348290672330862</v>
      </c>
      <c r="J27" s="98">
        <v>3.3964936018303509</v>
      </c>
      <c r="K27" s="100">
        <v>88.082438208017891</v>
      </c>
      <c r="L27" s="98">
        <v>4.9302651617481041</v>
      </c>
      <c r="M27" s="100">
        <v>84.741588963712985</v>
      </c>
      <c r="N27" s="98">
        <v>5.2382095777159163</v>
      </c>
      <c r="O27" s="100">
        <v>-9.1742077727545279</v>
      </c>
      <c r="P27" s="102">
        <v>5.2779030235969939</v>
      </c>
      <c r="Q27" s="99">
        <v>90.210222222678368</v>
      </c>
      <c r="R27" s="98">
        <v>2.2776941468451248</v>
      </c>
      <c r="S27" s="100">
        <v>94.480512536085286</v>
      </c>
      <c r="T27" s="98">
        <v>3.3453450591052856</v>
      </c>
      <c r="U27" s="100" t="s">
        <v>34</v>
      </c>
      <c r="V27" s="98" t="s">
        <v>34</v>
      </c>
      <c r="W27" s="100">
        <v>4.2702903134069174</v>
      </c>
      <c r="X27" s="104">
        <v>3.8887326897928469</v>
      </c>
      <c r="Y27" s="124"/>
      <c r="Z27" s="124"/>
      <c r="AA27" s="124"/>
      <c r="AB27" s="124"/>
      <c r="AC27" s="124"/>
      <c r="AD27" s="124"/>
      <c r="AE27" s="124"/>
    </row>
    <row r="28" spans="1:31" s="105" customFormat="1" x14ac:dyDescent="0.25">
      <c r="A28" s="118" t="s">
        <v>214</v>
      </c>
      <c r="B28" s="167">
        <v>4299.5</v>
      </c>
      <c r="C28" s="133">
        <v>143</v>
      </c>
      <c r="D28" s="97">
        <v>65.612922668457031</v>
      </c>
      <c r="E28" s="99">
        <v>88.829709949937154</v>
      </c>
      <c r="F28" s="102">
        <v>2.5706783544849912</v>
      </c>
      <c r="G28" s="99">
        <v>86.693811052465861</v>
      </c>
      <c r="H28" s="98">
        <v>5.4166058820521998</v>
      </c>
      <c r="I28" s="100">
        <v>91.602325091670025</v>
      </c>
      <c r="J28" s="98">
        <v>3.3424237339478777</v>
      </c>
      <c r="K28" s="100">
        <v>92.244920149688213</v>
      </c>
      <c r="L28" s="98">
        <v>4.75237422516064</v>
      </c>
      <c r="M28" s="100">
        <v>86.40103329506816</v>
      </c>
      <c r="N28" s="98">
        <v>6.3615640014204269</v>
      </c>
      <c r="O28" s="100">
        <v>-0.29277775739770107</v>
      </c>
      <c r="P28" s="102">
        <v>8.4079420619115322</v>
      </c>
      <c r="Q28" s="99">
        <v>89.208088635704826</v>
      </c>
      <c r="R28" s="98">
        <v>2.5313776118392681</v>
      </c>
      <c r="S28" s="100" t="s">
        <v>34</v>
      </c>
      <c r="T28" s="98" t="s">
        <v>34</v>
      </c>
      <c r="U28" s="100">
        <v>80.812448453042336</v>
      </c>
      <c r="V28" s="98">
        <v>20.006070786379979</v>
      </c>
      <c r="W28" s="100">
        <v>-8.3956401826624898</v>
      </c>
      <c r="X28" s="104">
        <v>19.992610872752923</v>
      </c>
      <c r="Y28" s="124"/>
      <c r="Z28" s="124"/>
      <c r="AA28" s="124"/>
      <c r="AB28" s="124"/>
      <c r="AC28" s="124"/>
      <c r="AD28" s="124"/>
      <c r="AE28" s="124"/>
    </row>
    <row r="29" spans="1:31" s="105" customFormat="1" x14ac:dyDescent="0.25">
      <c r="A29" s="118" t="s">
        <v>215</v>
      </c>
      <c r="B29" s="167" t="s">
        <v>34</v>
      </c>
      <c r="C29" s="133" t="s">
        <v>34</v>
      </c>
      <c r="D29" s="97" t="s">
        <v>34</v>
      </c>
      <c r="E29" s="99" t="s">
        <v>34</v>
      </c>
      <c r="F29" s="102" t="s">
        <v>34</v>
      </c>
      <c r="G29" s="99" t="s">
        <v>34</v>
      </c>
      <c r="H29" s="98" t="s">
        <v>34</v>
      </c>
      <c r="I29" s="100" t="s">
        <v>34</v>
      </c>
      <c r="J29" s="98" t="s">
        <v>34</v>
      </c>
      <c r="K29" s="100" t="s">
        <v>34</v>
      </c>
      <c r="L29" s="98" t="s">
        <v>34</v>
      </c>
      <c r="M29" s="100" t="s">
        <v>34</v>
      </c>
      <c r="N29" s="98" t="s">
        <v>34</v>
      </c>
      <c r="O29" s="100" t="s">
        <v>34</v>
      </c>
      <c r="P29" s="102" t="s">
        <v>34</v>
      </c>
      <c r="Q29" s="99" t="s">
        <v>34</v>
      </c>
      <c r="R29" s="98" t="s">
        <v>34</v>
      </c>
      <c r="S29" s="100" t="s">
        <v>34</v>
      </c>
      <c r="T29" s="98" t="s">
        <v>34</v>
      </c>
      <c r="U29" s="100" t="s">
        <v>34</v>
      </c>
      <c r="V29" s="98" t="s">
        <v>34</v>
      </c>
      <c r="W29" s="100" t="s">
        <v>34</v>
      </c>
      <c r="X29" s="104" t="s">
        <v>34</v>
      </c>
      <c r="Y29" s="142"/>
      <c r="Z29" s="124"/>
      <c r="AA29" s="124"/>
      <c r="AB29" s="124"/>
      <c r="AC29" s="124"/>
      <c r="AD29" s="124"/>
      <c r="AE29" s="124"/>
    </row>
    <row r="30" spans="1:31" s="105" customFormat="1" x14ac:dyDescent="0.25">
      <c r="A30" s="118" t="s">
        <v>216</v>
      </c>
      <c r="B30" s="167">
        <v>2481</v>
      </c>
      <c r="C30" s="133">
        <v>82</v>
      </c>
      <c r="D30" s="97">
        <v>64.675689697265625</v>
      </c>
      <c r="E30" s="99">
        <v>89.517254208086442</v>
      </c>
      <c r="F30" s="102">
        <v>4.3432277450272394E-2</v>
      </c>
      <c r="G30" s="99">
        <v>86.115474488998785</v>
      </c>
      <c r="H30" s="98">
        <v>0.12384309092657976</v>
      </c>
      <c r="I30" s="100">
        <v>87.141002336550898</v>
      </c>
      <c r="J30" s="98">
        <v>3.0553663504974824E-2</v>
      </c>
      <c r="K30" s="100">
        <v>97.16502956899609</v>
      </c>
      <c r="L30" s="98" t="s">
        <v>35</v>
      </c>
      <c r="M30" s="100">
        <v>93.258898781026019</v>
      </c>
      <c r="N30" s="98" t="s">
        <v>35</v>
      </c>
      <c r="O30" s="100">
        <v>7.1434242920272339</v>
      </c>
      <c r="P30" s="102">
        <v>0.12384309092657976</v>
      </c>
      <c r="Q30" s="99">
        <v>89.483886411230614</v>
      </c>
      <c r="R30" s="98">
        <v>4.3537597241858121E-2</v>
      </c>
      <c r="S30" s="100" t="s">
        <v>34</v>
      </c>
      <c r="T30" s="98" t="s">
        <v>34</v>
      </c>
      <c r="U30" s="100" t="s">
        <v>34</v>
      </c>
      <c r="V30" s="98" t="s">
        <v>34</v>
      </c>
      <c r="W30" s="100" t="s">
        <v>34</v>
      </c>
      <c r="X30" s="104" t="s">
        <v>34</v>
      </c>
      <c r="Y30" s="124"/>
      <c r="Z30" s="124"/>
      <c r="AA30" s="124"/>
      <c r="AB30" s="124"/>
      <c r="AC30" s="124"/>
      <c r="AD30" s="124"/>
      <c r="AE30" s="124"/>
    </row>
    <row r="31" spans="1:31" s="105" customFormat="1" x14ac:dyDescent="0.25">
      <c r="A31" s="118" t="s">
        <v>217</v>
      </c>
      <c r="B31" s="167">
        <v>5239.5</v>
      </c>
      <c r="C31" s="133">
        <v>107</v>
      </c>
      <c r="D31" s="97">
        <v>68.323097229003906</v>
      </c>
      <c r="E31" s="99">
        <v>99.778661543899744</v>
      </c>
      <c r="F31" s="102">
        <v>6.7501940090133897E-2</v>
      </c>
      <c r="G31" s="99">
        <v>99.800061961136606</v>
      </c>
      <c r="H31" s="98">
        <v>9.0239477395603812E-2</v>
      </c>
      <c r="I31" s="100">
        <v>99.847147513853002</v>
      </c>
      <c r="J31" s="98">
        <v>0.10010367059106713</v>
      </c>
      <c r="K31" s="100">
        <v>99.887166114906506</v>
      </c>
      <c r="L31" s="98">
        <v>6.4659232896087229E-2</v>
      </c>
      <c r="M31" s="100">
        <v>99.550291767169725</v>
      </c>
      <c r="N31" s="98">
        <v>0.24556769379017099</v>
      </c>
      <c r="O31" s="100">
        <v>-0.24977019396688149</v>
      </c>
      <c r="P31" s="102">
        <v>0.25697008165569923</v>
      </c>
      <c r="Q31" s="99" t="s">
        <v>34</v>
      </c>
      <c r="R31" s="98" t="s">
        <v>34</v>
      </c>
      <c r="S31" s="100" t="s">
        <v>34</v>
      </c>
      <c r="T31" s="98" t="s">
        <v>34</v>
      </c>
      <c r="U31" s="100" t="s">
        <v>34</v>
      </c>
      <c r="V31" s="98" t="s">
        <v>34</v>
      </c>
      <c r="W31" s="100" t="s">
        <v>34</v>
      </c>
      <c r="X31" s="104" t="s">
        <v>34</v>
      </c>
      <c r="Y31" s="124"/>
      <c r="Z31" s="124"/>
      <c r="AA31" s="124"/>
      <c r="AB31" s="124"/>
      <c r="AC31" s="124"/>
      <c r="AD31" s="124"/>
      <c r="AE31" s="124"/>
    </row>
    <row r="32" spans="1:31" s="105" customFormat="1" x14ac:dyDescent="0.25">
      <c r="A32" s="118" t="s">
        <v>218</v>
      </c>
      <c r="B32" s="167">
        <v>7508.5</v>
      </c>
      <c r="C32" s="133">
        <v>112</v>
      </c>
      <c r="D32" s="97">
        <v>65.445831298828125</v>
      </c>
      <c r="E32" s="99">
        <v>72.130802809931922</v>
      </c>
      <c r="F32" s="102">
        <v>3.8389931735544858</v>
      </c>
      <c r="G32" s="99">
        <v>65.453988114260241</v>
      </c>
      <c r="H32" s="98">
        <v>7.8144656545850175</v>
      </c>
      <c r="I32" s="100">
        <v>79.369024613688481</v>
      </c>
      <c r="J32" s="98">
        <v>6.9911112461292166</v>
      </c>
      <c r="K32" s="100">
        <v>70.266199026467774</v>
      </c>
      <c r="L32" s="98">
        <v>8.5538569592068789</v>
      </c>
      <c r="M32" s="100">
        <v>71.163162730037897</v>
      </c>
      <c r="N32" s="98">
        <v>6.6486109482960281</v>
      </c>
      <c r="O32" s="100">
        <v>5.7091746157776555</v>
      </c>
      <c r="P32" s="102">
        <v>10.068716832613584</v>
      </c>
      <c r="Q32" s="99">
        <v>72.130802809931922</v>
      </c>
      <c r="R32" s="98">
        <v>3.8389931735544858</v>
      </c>
      <c r="S32" s="100" t="s">
        <v>34</v>
      </c>
      <c r="T32" s="98" t="s">
        <v>34</v>
      </c>
      <c r="U32" s="100" t="s">
        <v>34</v>
      </c>
      <c r="V32" s="98" t="s">
        <v>34</v>
      </c>
      <c r="W32" s="100" t="s">
        <v>34</v>
      </c>
      <c r="X32" s="104" t="s">
        <v>34</v>
      </c>
      <c r="Y32" s="124"/>
      <c r="Z32" s="124"/>
      <c r="AA32" s="124"/>
      <c r="AB32" s="124"/>
      <c r="AC32" s="124"/>
      <c r="AD32" s="124"/>
      <c r="AE32" s="124"/>
    </row>
    <row r="33" spans="1:31" s="105" customFormat="1" x14ac:dyDescent="0.25">
      <c r="A33" s="118" t="s">
        <v>219</v>
      </c>
      <c r="B33" s="167">
        <v>34178</v>
      </c>
      <c r="C33" s="133">
        <v>337</v>
      </c>
      <c r="D33" s="97">
        <v>64.241783142089844</v>
      </c>
      <c r="E33" s="99">
        <v>81.264483022285162</v>
      </c>
      <c r="F33" s="102">
        <v>2.3733621828422975</v>
      </c>
      <c r="G33" s="99">
        <v>79.819258777051232</v>
      </c>
      <c r="H33" s="98">
        <v>3.4939898429359393</v>
      </c>
      <c r="I33" s="100">
        <v>77.042405454646286</v>
      </c>
      <c r="J33" s="98">
        <v>6.1398166409611319</v>
      </c>
      <c r="K33" s="100">
        <v>87.347945667499246</v>
      </c>
      <c r="L33" s="98">
        <v>1.5832554531271441</v>
      </c>
      <c r="M33" s="100">
        <v>83.790618231757364</v>
      </c>
      <c r="N33" s="98">
        <v>4.8609847710227063</v>
      </c>
      <c r="O33" s="100">
        <v>3.9713594547061319</v>
      </c>
      <c r="P33" s="102">
        <v>5.8203980115455689</v>
      </c>
      <c r="Q33" s="99">
        <v>82.267331430733122</v>
      </c>
      <c r="R33" s="98">
        <v>2.4035600037724474</v>
      </c>
      <c r="S33" s="100">
        <v>21.256712470834266</v>
      </c>
      <c r="T33" s="98">
        <v>7.8662714080633549</v>
      </c>
      <c r="U33" s="100">
        <v>58.681676010543221</v>
      </c>
      <c r="V33" s="98">
        <v>9.7978118930791283</v>
      </c>
      <c r="W33" s="100">
        <v>-34.513992344085814</v>
      </c>
      <c r="X33" s="104">
        <v>12.59537058113723</v>
      </c>
      <c r="Y33" s="124"/>
      <c r="Z33" s="124"/>
      <c r="AA33" s="124"/>
      <c r="AB33" s="124"/>
      <c r="AC33" s="124"/>
      <c r="AD33" s="124"/>
      <c r="AE33" s="124"/>
    </row>
    <row r="34" spans="1:31" s="105" customFormat="1" x14ac:dyDescent="0.25">
      <c r="A34" s="118" t="s">
        <v>220</v>
      </c>
      <c r="B34" s="167">
        <v>11023</v>
      </c>
      <c r="C34" s="133">
        <v>179</v>
      </c>
      <c r="D34" s="97">
        <v>97.821441650390625</v>
      </c>
      <c r="E34" s="99">
        <v>97.188772737411327</v>
      </c>
      <c r="F34" s="102">
        <v>0.7020054102177562</v>
      </c>
      <c r="G34" s="99">
        <v>95.044130679483786</v>
      </c>
      <c r="H34" s="98">
        <v>1.8951418528484225</v>
      </c>
      <c r="I34" s="100">
        <v>96.859511898103307</v>
      </c>
      <c r="J34" s="98">
        <v>0.60829673012805152</v>
      </c>
      <c r="K34" s="100">
        <v>98.592291535822923</v>
      </c>
      <c r="L34" s="98">
        <v>0.67218581467163507</v>
      </c>
      <c r="M34" s="100">
        <v>99.461405999887745</v>
      </c>
      <c r="N34" s="98">
        <v>0.18474781375005386</v>
      </c>
      <c r="O34" s="100">
        <v>4.4172753204039594</v>
      </c>
      <c r="P34" s="102">
        <v>1.9078568766919302</v>
      </c>
      <c r="Q34" s="99">
        <v>97.599827305492894</v>
      </c>
      <c r="R34" s="98">
        <v>0.53493680962910328</v>
      </c>
      <c r="S34" s="100">
        <v>99.067062367667077</v>
      </c>
      <c r="T34" s="98">
        <v>0.50855627036794082</v>
      </c>
      <c r="U34" s="100">
        <v>96.225324160416648</v>
      </c>
      <c r="V34" s="98">
        <v>1.7632446471604624</v>
      </c>
      <c r="W34" s="100">
        <v>-1.138104792806601</v>
      </c>
      <c r="X34" s="104">
        <v>1.6785620601711506</v>
      </c>
      <c r="Y34" s="124"/>
      <c r="Z34" s="124"/>
      <c r="AA34" s="124"/>
      <c r="AB34" s="124"/>
      <c r="AC34" s="124"/>
      <c r="AD34" s="124"/>
      <c r="AE34" s="124"/>
    </row>
    <row r="35" spans="1:31" s="105" customFormat="1" x14ac:dyDescent="0.25">
      <c r="A35" s="118" t="s">
        <v>221</v>
      </c>
      <c r="B35" s="167">
        <v>7279</v>
      </c>
      <c r="C35" s="133">
        <v>105</v>
      </c>
      <c r="D35" s="97">
        <v>57.079471588134766</v>
      </c>
      <c r="E35" s="99">
        <v>98.137595776036548</v>
      </c>
      <c r="F35" s="102">
        <v>1.1279450398728221</v>
      </c>
      <c r="G35" s="99">
        <v>100</v>
      </c>
      <c r="H35" s="98">
        <v>1.0048591735576161E-14</v>
      </c>
      <c r="I35" s="100">
        <v>96.56811177815014</v>
      </c>
      <c r="J35" s="98">
        <v>3.2417023463750736</v>
      </c>
      <c r="K35" s="100">
        <v>99.749316245166312</v>
      </c>
      <c r="L35" s="98">
        <v>0.16545512866801571</v>
      </c>
      <c r="M35" s="100">
        <v>96.646367419773483</v>
      </c>
      <c r="N35" s="98">
        <v>2.7282339740842434</v>
      </c>
      <c r="O35" s="100">
        <v>-3.3536325802265168</v>
      </c>
      <c r="P35" s="102">
        <v>2.7282339740842447</v>
      </c>
      <c r="Q35" s="99">
        <v>98.43250964873458</v>
      </c>
      <c r="R35" s="98">
        <v>1.424625532536935</v>
      </c>
      <c r="S35" s="100">
        <v>99.785410895843256</v>
      </c>
      <c r="T35" s="98">
        <v>0.11766609563168595</v>
      </c>
      <c r="U35" s="100">
        <v>81.137340203946323</v>
      </c>
      <c r="V35" s="98">
        <v>15.218397747546838</v>
      </c>
      <c r="W35" s="100">
        <v>-0.72277276354832054</v>
      </c>
      <c r="X35" s="104">
        <v>2.3285353636199253</v>
      </c>
      <c r="Y35" s="124"/>
      <c r="Z35" s="124"/>
      <c r="AA35" s="124"/>
      <c r="AB35" s="124"/>
      <c r="AC35" s="124"/>
      <c r="AD35" s="124"/>
      <c r="AE35" s="124"/>
    </row>
    <row r="36" spans="1:31" s="105" customFormat="1" x14ac:dyDescent="0.25">
      <c r="A36" s="118" t="s">
        <v>222</v>
      </c>
      <c r="B36" s="167" t="s">
        <v>34</v>
      </c>
      <c r="C36" s="133" t="s">
        <v>34</v>
      </c>
      <c r="D36" s="97" t="s">
        <v>34</v>
      </c>
      <c r="E36" s="99" t="s">
        <v>34</v>
      </c>
      <c r="F36" s="102" t="s">
        <v>34</v>
      </c>
      <c r="G36" s="99" t="s">
        <v>34</v>
      </c>
      <c r="H36" s="98" t="s">
        <v>34</v>
      </c>
      <c r="I36" s="100" t="s">
        <v>34</v>
      </c>
      <c r="J36" s="98" t="s">
        <v>34</v>
      </c>
      <c r="K36" s="100" t="s">
        <v>34</v>
      </c>
      <c r="L36" s="98" t="s">
        <v>34</v>
      </c>
      <c r="M36" s="100" t="s">
        <v>34</v>
      </c>
      <c r="N36" s="98" t="s">
        <v>34</v>
      </c>
      <c r="O36" s="100" t="s">
        <v>34</v>
      </c>
      <c r="P36" s="102" t="s">
        <v>34</v>
      </c>
      <c r="Q36" s="99" t="s">
        <v>34</v>
      </c>
      <c r="R36" s="98" t="s">
        <v>34</v>
      </c>
      <c r="S36" s="100" t="s">
        <v>34</v>
      </c>
      <c r="T36" s="98" t="s">
        <v>34</v>
      </c>
      <c r="U36" s="100" t="s">
        <v>34</v>
      </c>
      <c r="V36" s="98" t="s">
        <v>34</v>
      </c>
      <c r="W36" s="100" t="s">
        <v>34</v>
      </c>
      <c r="X36" s="104" t="s">
        <v>34</v>
      </c>
      <c r="Y36" s="124"/>
      <c r="Z36" s="124"/>
      <c r="AA36" s="124"/>
      <c r="AB36" s="124"/>
      <c r="AC36" s="124"/>
      <c r="AD36" s="124"/>
      <c r="AE36" s="124"/>
    </row>
    <row r="37" spans="1:31" s="105" customFormat="1" x14ac:dyDescent="0.25">
      <c r="A37" s="118" t="s">
        <v>223</v>
      </c>
      <c r="B37" s="167">
        <v>14851</v>
      </c>
      <c r="C37" s="133">
        <v>360</v>
      </c>
      <c r="D37" s="97">
        <v>99.522125244140625</v>
      </c>
      <c r="E37" s="99">
        <v>98.63813658470491</v>
      </c>
      <c r="F37" s="102">
        <v>0.17285530046339381</v>
      </c>
      <c r="G37" s="99">
        <v>98.074388271044342</v>
      </c>
      <c r="H37" s="98">
        <v>0.37344557831004155</v>
      </c>
      <c r="I37" s="100">
        <v>99.437467091890142</v>
      </c>
      <c r="J37" s="98">
        <v>0.18955375571843508</v>
      </c>
      <c r="K37" s="100">
        <v>98.532593416210091</v>
      </c>
      <c r="L37" s="98">
        <v>0.19814845159874084</v>
      </c>
      <c r="M37" s="100">
        <v>99.103764055917154</v>
      </c>
      <c r="N37" s="98">
        <v>0.19330752054534156</v>
      </c>
      <c r="O37" s="100">
        <v>1.029375784872812</v>
      </c>
      <c r="P37" s="102">
        <v>0.40681469376292484</v>
      </c>
      <c r="Q37" s="99">
        <v>98.655590989577334</v>
      </c>
      <c r="R37" s="98">
        <v>0.17682595654869968</v>
      </c>
      <c r="S37" s="100">
        <v>97.403311342347138</v>
      </c>
      <c r="T37" s="98">
        <v>1.8598342090915239</v>
      </c>
      <c r="U37" s="100" t="s">
        <v>34</v>
      </c>
      <c r="V37" s="98" t="s">
        <v>34</v>
      </c>
      <c r="W37" s="100">
        <v>-1.2522796472301962</v>
      </c>
      <c r="X37" s="104">
        <v>1.8827178718327762</v>
      </c>
      <c r="Y37" s="124"/>
      <c r="Z37" s="124"/>
      <c r="AA37" s="124"/>
      <c r="AB37" s="124"/>
      <c r="AC37" s="124"/>
      <c r="AD37" s="124"/>
      <c r="AE37" s="124"/>
    </row>
    <row r="38" spans="1:31" s="105" customFormat="1" x14ac:dyDescent="0.25">
      <c r="A38" s="118" t="s">
        <v>224</v>
      </c>
      <c r="B38" s="167">
        <v>3916.5</v>
      </c>
      <c r="C38" s="133">
        <v>32</v>
      </c>
      <c r="D38" s="97">
        <v>74.867630004882813</v>
      </c>
      <c r="E38" s="99">
        <v>70.509383378016082</v>
      </c>
      <c r="F38" s="102" t="s">
        <v>35</v>
      </c>
      <c r="G38" s="99">
        <v>57.466063348416291</v>
      </c>
      <c r="H38" s="98" t="s">
        <v>35</v>
      </c>
      <c r="I38" s="100">
        <v>78.188539741219969</v>
      </c>
      <c r="J38" s="98" t="s">
        <v>35</v>
      </c>
      <c r="K38" s="100">
        <v>62.432915921288014</v>
      </c>
      <c r="L38" s="98" t="s">
        <v>35</v>
      </c>
      <c r="M38" s="100">
        <v>84.728804634017905</v>
      </c>
      <c r="N38" s="98" t="s">
        <v>35</v>
      </c>
      <c r="O38" s="100">
        <v>27.262741285601614</v>
      </c>
      <c r="P38" s="102" t="s">
        <v>35</v>
      </c>
      <c r="Q38" s="99">
        <v>67.983589120194495</v>
      </c>
      <c r="R38" s="98" t="s">
        <v>35</v>
      </c>
      <c r="S38" s="100">
        <v>72.950819672131146</v>
      </c>
      <c r="T38" s="98" t="s">
        <v>35</v>
      </c>
      <c r="U38" s="100" t="s">
        <v>34</v>
      </c>
      <c r="V38" s="98" t="s">
        <v>34</v>
      </c>
      <c r="W38" s="100">
        <v>4.9672305519366518</v>
      </c>
      <c r="X38" s="104" t="s">
        <v>35</v>
      </c>
      <c r="Y38" s="124"/>
      <c r="Z38" s="124"/>
      <c r="AA38" s="124"/>
      <c r="AB38" s="124"/>
      <c r="AC38" s="124"/>
      <c r="AD38" s="124"/>
      <c r="AE38" s="124"/>
    </row>
    <row r="39" spans="1:31" s="105" customFormat="1" x14ac:dyDescent="0.25">
      <c r="A39" s="118" t="s">
        <v>225</v>
      </c>
      <c r="B39" s="167">
        <v>7507.5</v>
      </c>
      <c r="C39" s="133">
        <v>135</v>
      </c>
      <c r="D39" s="97">
        <v>51.550670623779297</v>
      </c>
      <c r="E39" s="99">
        <v>37.913413897171353</v>
      </c>
      <c r="F39" s="102">
        <v>4.4203972189775227</v>
      </c>
      <c r="G39" s="99">
        <v>51.012542675604188</v>
      </c>
      <c r="H39" s="98">
        <v>12.109500309710725</v>
      </c>
      <c r="I39" s="100">
        <v>25.563423661837106</v>
      </c>
      <c r="J39" s="98">
        <v>5.5790612723338278</v>
      </c>
      <c r="K39" s="100">
        <v>28.753839222689564</v>
      </c>
      <c r="L39" s="98">
        <v>5.0726323157620019</v>
      </c>
      <c r="M39" s="100">
        <v>48.306908334221205</v>
      </c>
      <c r="N39" s="98">
        <v>9.0544221576557806</v>
      </c>
      <c r="O39" s="100">
        <v>-2.7056343413829822</v>
      </c>
      <c r="P39" s="102">
        <v>14.487772955372055</v>
      </c>
      <c r="Q39" s="99">
        <v>32.201078358004075</v>
      </c>
      <c r="R39" s="98">
        <v>4.0159618499434622</v>
      </c>
      <c r="S39" s="100" t="s">
        <v>34</v>
      </c>
      <c r="T39" s="98" t="s">
        <v>34</v>
      </c>
      <c r="U39" s="100">
        <v>56.132488496896428</v>
      </c>
      <c r="V39" s="98">
        <v>10.577563191922124</v>
      </c>
      <c r="W39" s="100">
        <v>23.931410138892353</v>
      </c>
      <c r="X39" s="104">
        <v>11.445531214837168</v>
      </c>
      <c r="Y39" s="142"/>
      <c r="Z39" s="124"/>
      <c r="AA39" s="124"/>
      <c r="AB39" s="124"/>
      <c r="AC39" s="124"/>
      <c r="AD39" s="124"/>
      <c r="AE39" s="124"/>
    </row>
    <row r="40" spans="1:31" s="105" customFormat="1" x14ac:dyDescent="0.25">
      <c r="A40" s="118" t="s">
        <v>300</v>
      </c>
      <c r="B40" s="167">
        <v>7866.5</v>
      </c>
      <c r="C40" s="133">
        <v>125</v>
      </c>
      <c r="D40" s="97">
        <v>81.718971252441406</v>
      </c>
      <c r="E40" s="99">
        <v>89.448749429242042</v>
      </c>
      <c r="F40" s="102">
        <v>1.4409339816661033</v>
      </c>
      <c r="G40" s="99">
        <v>87.43924490136969</v>
      </c>
      <c r="H40" s="98">
        <v>3.1034802697013033</v>
      </c>
      <c r="I40" s="100">
        <v>85.942737919268495</v>
      </c>
      <c r="J40" s="98">
        <v>5.7143840274732867</v>
      </c>
      <c r="K40" s="100">
        <v>90.797153028525898</v>
      </c>
      <c r="L40" s="98">
        <v>1.2268637877502526</v>
      </c>
      <c r="M40" s="100">
        <v>93.091368147965198</v>
      </c>
      <c r="N40" s="98">
        <v>0.78941848321959285</v>
      </c>
      <c r="O40" s="100">
        <v>5.652123246595508</v>
      </c>
      <c r="P40" s="102">
        <v>3.2137960994555583</v>
      </c>
      <c r="Q40" s="99">
        <v>86.097115601220011</v>
      </c>
      <c r="R40" s="98">
        <v>3.0922803031140664</v>
      </c>
      <c r="S40" s="100">
        <v>91.439416647578554</v>
      </c>
      <c r="T40" s="98">
        <v>1.0395209810942334</v>
      </c>
      <c r="U40" s="100" t="s">
        <v>34</v>
      </c>
      <c r="V40" s="98" t="s">
        <v>34</v>
      </c>
      <c r="W40" s="100">
        <v>5.3423010463585427</v>
      </c>
      <c r="X40" s="104">
        <v>3.1458885458517964</v>
      </c>
      <c r="Y40" s="124"/>
      <c r="Z40" s="124"/>
      <c r="AA40" s="124"/>
      <c r="AB40" s="124"/>
      <c r="AC40" s="124"/>
      <c r="AD40" s="124"/>
      <c r="AE40" s="124"/>
    </row>
    <row r="41" spans="1:31" s="105" customFormat="1" x14ac:dyDescent="0.25">
      <c r="A41" s="118" t="s">
        <v>226</v>
      </c>
      <c r="B41" s="167">
        <v>10578.5</v>
      </c>
      <c r="C41" s="133">
        <v>156</v>
      </c>
      <c r="D41" s="97">
        <v>81.8704833984375</v>
      </c>
      <c r="E41" s="99">
        <v>90.447288312169619</v>
      </c>
      <c r="F41" s="102">
        <v>1.9733831716055086</v>
      </c>
      <c r="G41" s="99">
        <v>90.380376678777793</v>
      </c>
      <c r="H41" s="98">
        <v>3.8723248600548361</v>
      </c>
      <c r="I41" s="100">
        <v>87.047977227586685</v>
      </c>
      <c r="J41" s="98">
        <v>5.1422838559373796</v>
      </c>
      <c r="K41" s="100">
        <v>93.259838856474914</v>
      </c>
      <c r="L41" s="98">
        <v>3.0504968323258135</v>
      </c>
      <c r="M41" s="100">
        <v>91.140461190745114</v>
      </c>
      <c r="N41" s="98">
        <v>3.4080151041930589</v>
      </c>
      <c r="O41" s="100">
        <v>0.76008451196732096</v>
      </c>
      <c r="P41" s="102">
        <v>5.0727166424915575</v>
      </c>
      <c r="Q41" s="99">
        <v>90.100686161859727</v>
      </c>
      <c r="R41" s="98">
        <v>2.2364072154322003</v>
      </c>
      <c r="S41" s="100" t="s">
        <v>34</v>
      </c>
      <c r="T41" s="98" t="s">
        <v>34</v>
      </c>
      <c r="U41" s="100">
        <v>92.926305240670388</v>
      </c>
      <c r="V41" s="98">
        <v>1.1171250275135924</v>
      </c>
      <c r="W41" s="100">
        <v>2.8256190788106608</v>
      </c>
      <c r="X41" s="104">
        <v>2.4939249780283461</v>
      </c>
      <c r="Y41" s="124"/>
      <c r="Z41" s="124"/>
      <c r="AA41" s="124"/>
      <c r="AB41" s="124"/>
      <c r="AC41" s="124"/>
      <c r="AD41" s="124"/>
      <c r="AE41" s="124"/>
    </row>
    <row r="42" spans="1:31" s="105" customFormat="1" x14ac:dyDescent="0.25">
      <c r="A42" s="118" t="s">
        <v>227</v>
      </c>
      <c r="B42" s="167">
        <v>6270</v>
      </c>
      <c r="C42" s="133">
        <v>202</v>
      </c>
      <c r="D42" s="97">
        <v>81.183013916015625</v>
      </c>
      <c r="E42" s="99">
        <v>90.812105300255382</v>
      </c>
      <c r="F42" s="102">
        <v>1.9690698706621217</v>
      </c>
      <c r="G42" s="99">
        <v>90.923769795899389</v>
      </c>
      <c r="H42" s="98">
        <v>3.2804815534038614</v>
      </c>
      <c r="I42" s="100">
        <v>92.056754616110908</v>
      </c>
      <c r="J42" s="98">
        <v>3.6741153039471461</v>
      </c>
      <c r="K42" s="100">
        <v>88.992596576921812</v>
      </c>
      <c r="L42" s="98">
        <v>4.9488755483604425</v>
      </c>
      <c r="M42" s="100">
        <v>90.574729900193461</v>
      </c>
      <c r="N42" s="98">
        <v>3.5872216847221918</v>
      </c>
      <c r="O42" s="100">
        <v>-0.34903989570592842</v>
      </c>
      <c r="P42" s="102">
        <v>4.7462835712459395</v>
      </c>
      <c r="Q42" s="99" t="s">
        <v>36</v>
      </c>
      <c r="R42" s="98" t="s">
        <v>36</v>
      </c>
      <c r="S42" s="100" t="s">
        <v>36</v>
      </c>
      <c r="T42" s="98" t="s">
        <v>36</v>
      </c>
      <c r="U42" s="100" t="s">
        <v>36</v>
      </c>
      <c r="V42" s="98" t="s">
        <v>36</v>
      </c>
      <c r="W42" s="100" t="s">
        <v>36</v>
      </c>
      <c r="X42" s="104" t="s">
        <v>36</v>
      </c>
      <c r="Y42" s="124"/>
      <c r="Z42" s="124"/>
      <c r="AA42" s="124"/>
      <c r="AB42" s="124"/>
      <c r="AC42" s="124"/>
      <c r="AD42" s="124"/>
      <c r="AE42" s="124"/>
    </row>
    <row r="43" spans="1:31" s="105" customFormat="1" x14ac:dyDescent="0.25">
      <c r="A43" s="118" t="s">
        <v>228</v>
      </c>
      <c r="B43" s="167">
        <v>8614.5</v>
      </c>
      <c r="C43" s="133">
        <v>194</v>
      </c>
      <c r="D43" s="97">
        <v>84.1602783203125</v>
      </c>
      <c r="E43" s="99">
        <v>98.601645025028631</v>
      </c>
      <c r="F43" s="102">
        <v>0.68107639495598937</v>
      </c>
      <c r="G43" s="99">
        <v>97.211058382564204</v>
      </c>
      <c r="H43" s="98">
        <v>1.8396514332621297</v>
      </c>
      <c r="I43" s="100">
        <v>99.74675755640348</v>
      </c>
      <c r="J43" s="98">
        <v>0.21794045687313945</v>
      </c>
      <c r="K43" s="100">
        <v>99.640206429250512</v>
      </c>
      <c r="L43" s="98">
        <v>0.15900043422307214</v>
      </c>
      <c r="M43" s="100">
        <v>98.617168326369935</v>
      </c>
      <c r="N43" s="98">
        <v>0.92278654485979328</v>
      </c>
      <c r="O43" s="100">
        <v>1.4061099438057312</v>
      </c>
      <c r="P43" s="102">
        <v>2.1017202606478462</v>
      </c>
      <c r="Q43" s="99">
        <v>98.579829089306259</v>
      </c>
      <c r="R43" s="98">
        <v>0.70599919614789619</v>
      </c>
      <c r="S43" s="100">
        <v>100.00000000000001</v>
      </c>
      <c r="T43" s="98">
        <v>3.3327408458372288E-14</v>
      </c>
      <c r="U43" s="100" t="s">
        <v>34</v>
      </c>
      <c r="V43" s="98" t="s">
        <v>34</v>
      </c>
      <c r="W43" s="100">
        <v>1.4201709106937557</v>
      </c>
      <c r="X43" s="104">
        <v>0.70599919614789364</v>
      </c>
      <c r="Y43" s="124"/>
      <c r="Z43" s="124"/>
      <c r="AA43" s="124"/>
      <c r="AB43" s="124"/>
      <c r="AC43" s="124"/>
      <c r="AD43" s="124"/>
      <c r="AE43" s="124"/>
    </row>
    <row r="44" spans="1:31" s="105" customFormat="1" x14ac:dyDescent="0.25">
      <c r="A44" s="118" t="s">
        <v>301</v>
      </c>
      <c r="B44" s="167">
        <v>22487</v>
      </c>
      <c r="C44" s="133">
        <v>143</v>
      </c>
      <c r="D44" s="97">
        <v>54.206626892089844</v>
      </c>
      <c r="E44" s="99">
        <v>92.018844633634373</v>
      </c>
      <c r="F44" s="102">
        <v>1.3067406921411751</v>
      </c>
      <c r="G44" s="99">
        <v>87.591627412494617</v>
      </c>
      <c r="H44" s="98">
        <v>3.5834476581970476</v>
      </c>
      <c r="I44" s="100">
        <v>93.407278745949611</v>
      </c>
      <c r="J44" s="98">
        <v>2.4481339696111077</v>
      </c>
      <c r="K44" s="100">
        <v>93.490763960067682</v>
      </c>
      <c r="L44" s="98">
        <v>2.8372415707198888</v>
      </c>
      <c r="M44" s="100">
        <v>93.611255741964442</v>
      </c>
      <c r="N44" s="98">
        <v>1.9439457622204916</v>
      </c>
      <c r="O44" s="100">
        <v>6.0196283294698247</v>
      </c>
      <c r="P44" s="102">
        <v>4.0423506225692671</v>
      </c>
      <c r="Q44" s="99">
        <v>95.596729333322045</v>
      </c>
      <c r="R44" s="98">
        <v>1.1482054977919594</v>
      </c>
      <c r="S44" s="100">
        <v>60.355960802118169</v>
      </c>
      <c r="T44" s="98">
        <v>3.7658160921107062</v>
      </c>
      <c r="U44" s="100">
        <v>88.683026855884094</v>
      </c>
      <c r="V44" s="98">
        <v>6.0581563435358898</v>
      </c>
      <c r="W44" s="100">
        <v>-22.59732991161809</v>
      </c>
      <c r="X44" s="104">
        <v>5.7889073074350081</v>
      </c>
      <c r="Y44" s="124"/>
      <c r="Z44" s="124"/>
      <c r="AA44" s="124"/>
      <c r="AB44" s="124"/>
      <c r="AC44" s="124"/>
      <c r="AD44" s="124"/>
      <c r="AE44" s="124"/>
    </row>
    <row r="45" spans="1:31" s="105" customFormat="1" x14ac:dyDescent="0.25">
      <c r="A45" s="118" t="s">
        <v>229</v>
      </c>
      <c r="B45" s="167">
        <v>8718</v>
      </c>
      <c r="C45" s="133">
        <v>303</v>
      </c>
      <c r="D45" s="97">
        <v>81.778633117675781</v>
      </c>
      <c r="E45" s="99">
        <v>90.026802241543223</v>
      </c>
      <c r="F45" s="102">
        <v>1.5819873250086258</v>
      </c>
      <c r="G45" s="99">
        <v>92.067021535267571</v>
      </c>
      <c r="H45" s="98">
        <v>2.1394445091276553</v>
      </c>
      <c r="I45" s="100">
        <v>87.59941800654066</v>
      </c>
      <c r="J45" s="98">
        <v>3.7506134454577724</v>
      </c>
      <c r="K45" s="100">
        <v>88.838994690551132</v>
      </c>
      <c r="L45" s="98">
        <v>3.1823051525886288</v>
      </c>
      <c r="M45" s="100">
        <v>91.235166447018528</v>
      </c>
      <c r="N45" s="98">
        <v>4.1781671972496497</v>
      </c>
      <c r="O45" s="100">
        <v>-0.83185508824904275</v>
      </c>
      <c r="P45" s="102">
        <v>4.7984260633386322</v>
      </c>
      <c r="Q45" s="99">
        <v>89.90703050448316</v>
      </c>
      <c r="R45" s="98">
        <v>1.7314316527161584</v>
      </c>
      <c r="S45" s="100">
        <v>90.30629303624913</v>
      </c>
      <c r="T45" s="98">
        <v>3.2809861100320448</v>
      </c>
      <c r="U45" s="100" t="s">
        <v>34</v>
      </c>
      <c r="V45" s="98" t="s">
        <v>34</v>
      </c>
      <c r="W45" s="100">
        <v>0.39926253176597015</v>
      </c>
      <c r="X45" s="104">
        <v>3.6359182919062527</v>
      </c>
      <c r="Y45" s="124"/>
      <c r="Z45" s="124"/>
      <c r="AA45" s="124"/>
      <c r="AB45" s="124"/>
      <c r="AC45" s="124"/>
      <c r="AD45" s="124"/>
      <c r="AE45" s="124"/>
    </row>
    <row r="46" spans="1:31" s="105" customFormat="1" x14ac:dyDescent="0.25">
      <c r="A46" s="118" t="s">
        <v>230</v>
      </c>
      <c r="B46" s="167">
        <v>10290</v>
      </c>
      <c r="C46" s="133">
        <v>214</v>
      </c>
      <c r="D46" s="97">
        <v>68.746055603027344</v>
      </c>
      <c r="E46" s="99">
        <v>95.20683154387504</v>
      </c>
      <c r="F46" s="102">
        <v>0.27322324149438171</v>
      </c>
      <c r="G46" s="99">
        <v>94.329852793320754</v>
      </c>
      <c r="H46" s="98">
        <v>0.68543836832936444</v>
      </c>
      <c r="I46" s="100">
        <v>96.249693744740213</v>
      </c>
      <c r="J46" s="98">
        <v>8.7433404371674624E-3</v>
      </c>
      <c r="K46" s="100">
        <v>93.218982311974827</v>
      </c>
      <c r="L46" s="98">
        <v>2.8656059774531811E-2</v>
      </c>
      <c r="M46" s="100">
        <v>98.085658663205706</v>
      </c>
      <c r="N46" s="98">
        <v>6.9919238320716837E-2</v>
      </c>
      <c r="O46" s="100">
        <v>3.7558058698849521</v>
      </c>
      <c r="P46" s="102">
        <v>0.68322953597076541</v>
      </c>
      <c r="Q46" s="99">
        <v>95.175640072193218</v>
      </c>
      <c r="R46" s="98">
        <v>0.27642144206021441</v>
      </c>
      <c r="S46" s="100" t="s">
        <v>34</v>
      </c>
      <c r="T46" s="98" t="s">
        <v>34</v>
      </c>
      <c r="U46" s="100" t="s">
        <v>34</v>
      </c>
      <c r="V46" s="98" t="s">
        <v>34</v>
      </c>
      <c r="W46" s="100" t="s">
        <v>34</v>
      </c>
      <c r="X46" s="104" t="s">
        <v>34</v>
      </c>
      <c r="Y46" s="124"/>
      <c r="Z46" s="124"/>
      <c r="AA46" s="124"/>
      <c r="AB46" s="124"/>
      <c r="AC46" s="124"/>
      <c r="AD46" s="124"/>
      <c r="AE46" s="124"/>
    </row>
    <row r="47" spans="1:31" s="105" customFormat="1" x14ac:dyDescent="0.25">
      <c r="A47" s="118" t="s">
        <v>231</v>
      </c>
      <c r="B47" s="167">
        <v>47018.5</v>
      </c>
      <c r="C47" s="133">
        <v>778</v>
      </c>
      <c r="D47" s="97">
        <v>66.165565490722656</v>
      </c>
      <c r="E47" s="99">
        <v>96.089634186550029</v>
      </c>
      <c r="F47" s="102">
        <v>0.7201696541547743</v>
      </c>
      <c r="G47" s="99">
        <v>98.449331531912961</v>
      </c>
      <c r="H47" s="98">
        <v>0.74773037389758978</v>
      </c>
      <c r="I47" s="100">
        <v>96.625225100078964</v>
      </c>
      <c r="J47" s="98">
        <v>1.1806322905360396</v>
      </c>
      <c r="K47" s="100">
        <v>95.500321686279079</v>
      </c>
      <c r="L47" s="98">
        <v>1.3950907553437792</v>
      </c>
      <c r="M47" s="100">
        <v>94.334783841405851</v>
      </c>
      <c r="N47" s="98">
        <v>1.7110490784273384</v>
      </c>
      <c r="O47" s="100">
        <v>-4.1145476905071092</v>
      </c>
      <c r="P47" s="102">
        <v>1.8166492730288708</v>
      </c>
      <c r="Q47" s="99">
        <v>97.78607265572974</v>
      </c>
      <c r="R47" s="98">
        <v>0.53572361611498098</v>
      </c>
      <c r="S47" s="100">
        <v>93.375266014407558</v>
      </c>
      <c r="T47" s="98">
        <v>1.6595097193529413</v>
      </c>
      <c r="U47" s="100">
        <v>93.016999212614195</v>
      </c>
      <c r="V47" s="98">
        <v>3.9662206326627016</v>
      </c>
      <c r="W47" s="100">
        <v>-4.5003263213521194</v>
      </c>
      <c r="X47" s="104">
        <v>1.6715742533296278</v>
      </c>
      <c r="Y47" s="124"/>
      <c r="Z47" s="124"/>
      <c r="AA47" s="124"/>
      <c r="AB47" s="124"/>
      <c r="AC47" s="124"/>
      <c r="AD47" s="124"/>
      <c r="AE47" s="124"/>
    </row>
    <row r="48" spans="1:31" s="105" customFormat="1" x14ac:dyDescent="0.25">
      <c r="A48" s="118" t="s">
        <v>232</v>
      </c>
      <c r="B48" s="167">
        <v>4572</v>
      </c>
      <c r="C48" s="133">
        <v>116</v>
      </c>
      <c r="D48" s="97">
        <v>53.7340087890625</v>
      </c>
      <c r="E48" s="99">
        <v>82.851086225435992</v>
      </c>
      <c r="F48" s="102">
        <v>1.6517489880872593</v>
      </c>
      <c r="G48" s="99">
        <v>76.549995274166506</v>
      </c>
      <c r="H48" s="98">
        <v>2.8775219491622925</v>
      </c>
      <c r="I48" s="100">
        <v>84.940133733728558</v>
      </c>
      <c r="J48" s="98">
        <v>3.9061350106557127</v>
      </c>
      <c r="K48" s="100">
        <v>84.569482105659745</v>
      </c>
      <c r="L48" s="98">
        <v>2.552353503749532</v>
      </c>
      <c r="M48" s="100">
        <v>87.756949806988075</v>
      </c>
      <c r="N48" s="98">
        <v>2.9602864081462741</v>
      </c>
      <c r="O48" s="100">
        <v>11.20695453282157</v>
      </c>
      <c r="P48" s="102">
        <v>3.4849674776021931</v>
      </c>
      <c r="Q48" s="99">
        <v>85.459426094961273</v>
      </c>
      <c r="R48" s="98">
        <v>1.8098248222273043</v>
      </c>
      <c r="S48" s="100">
        <v>75.155624101030568</v>
      </c>
      <c r="T48" s="98">
        <v>2.9216792073738236</v>
      </c>
      <c r="U48" s="100" t="s">
        <v>34</v>
      </c>
      <c r="V48" s="98" t="s">
        <v>34</v>
      </c>
      <c r="W48" s="100">
        <v>-10.303801993930705</v>
      </c>
      <c r="X48" s="104">
        <v>3.3038528542459398</v>
      </c>
      <c r="Y48" s="124"/>
      <c r="Z48" s="124"/>
      <c r="AA48" s="124"/>
      <c r="AB48" s="124"/>
      <c r="AC48" s="124"/>
      <c r="AD48" s="124"/>
      <c r="AE48" s="124"/>
    </row>
    <row r="49" spans="1:31" s="105" customFormat="1" x14ac:dyDescent="0.25">
      <c r="A49" s="118" t="s">
        <v>233</v>
      </c>
      <c r="B49" s="167">
        <v>9551.5</v>
      </c>
      <c r="C49" s="133">
        <v>143</v>
      </c>
      <c r="D49" s="97">
        <v>66.266304016113281</v>
      </c>
      <c r="E49" s="99">
        <v>86.883679719862911</v>
      </c>
      <c r="F49" s="102">
        <v>2.1587903202264473</v>
      </c>
      <c r="G49" s="99">
        <v>85.840505168256328</v>
      </c>
      <c r="H49" s="98">
        <v>4.2021598855282543</v>
      </c>
      <c r="I49" s="100">
        <v>94.201525900523919</v>
      </c>
      <c r="J49" s="98">
        <v>2.1211899686390878</v>
      </c>
      <c r="K49" s="100">
        <v>82.981700504339088</v>
      </c>
      <c r="L49" s="98">
        <v>7.1206306272481426</v>
      </c>
      <c r="M49" s="100">
        <v>81.525136024967708</v>
      </c>
      <c r="N49" s="98">
        <v>7.652694554906998</v>
      </c>
      <c r="O49" s="100">
        <v>-4.3153691432886205</v>
      </c>
      <c r="P49" s="102">
        <v>9.8495874743759941</v>
      </c>
      <c r="Q49" s="99">
        <v>88.998882438452839</v>
      </c>
      <c r="R49" s="98">
        <v>2.4245612107182679</v>
      </c>
      <c r="S49" s="100" t="s">
        <v>34</v>
      </c>
      <c r="T49" s="98" t="s">
        <v>34</v>
      </c>
      <c r="U49" s="100">
        <v>60.146818849431128</v>
      </c>
      <c r="V49" s="98">
        <v>10.441971042025205</v>
      </c>
      <c r="W49" s="100">
        <v>-28.852063589021711</v>
      </c>
      <c r="X49" s="104">
        <v>11.355886073236833</v>
      </c>
      <c r="Y49" s="124"/>
      <c r="Z49" s="124"/>
      <c r="AA49" s="124"/>
      <c r="AB49" s="124"/>
      <c r="AC49" s="124"/>
      <c r="AD49" s="124"/>
      <c r="AE49" s="124"/>
    </row>
    <row r="50" spans="1:31" s="105" customFormat="1" x14ac:dyDescent="0.25">
      <c r="A50" s="118" t="s">
        <v>234</v>
      </c>
      <c r="B50" s="167">
        <v>8101.5</v>
      </c>
      <c r="C50" s="133">
        <v>166</v>
      </c>
      <c r="D50" s="97">
        <v>92.145767211914063</v>
      </c>
      <c r="E50" s="99">
        <v>81.251874791939954</v>
      </c>
      <c r="F50" s="102">
        <v>3.7216728725770705</v>
      </c>
      <c r="G50" s="99">
        <v>94.318421564737022</v>
      </c>
      <c r="H50" s="98">
        <v>1.6607037422705999</v>
      </c>
      <c r="I50" s="100">
        <v>88.183662501199123</v>
      </c>
      <c r="J50" s="98">
        <v>5.6482299038332364</v>
      </c>
      <c r="K50" s="100">
        <v>85.386777778735762</v>
      </c>
      <c r="L50" s="98">
        <v>6.0531608956427236</v>
      </c>
      <c r="M50" s="100">
        <v>62.907712083320774</v>
      </c>
      <c r="N50" s="98">
        <v>9.4626691152269196</v>
      </c>
      <c r="O50" s="100">
        <v>-31.410709481416248</v>
      </c>
      <c r="P50" s="102">
        <v>9.5814714321762242</v>
      </c>
      <c r="Q50" s="99">
        <v>95.128565015769993</v>
      </c>
      <c r="R50" s="98">
        <v>0.9100307469257426</v>
      </c>
      <c r="S50" s="100" t="s">
        <v>34</v>
      </c>
      <c r="T50" s="98" t="s">
        <v>34</v>
      </c>
      <c r="U50" s="100">
        <v>29.639590750569909</v>
      </c>
      <c r="V50" s="98">
        <v>11.903814713940541</v>
      </c>
      <c r="W50" s="100">
        <v>-65.488974265200085</v>
      </c>
      <c r="X50" s="104">
        <v>11.961542762184958</v>
      </c>
      <c r="Y50" s="124"/>
      <c r="Z50" s="124"/>
      <c r="AA50" s="124"/>
      <c r="AB50" s="124"/>
      <c r="AC50" s="124"/>
      <c r="AD50" s="124"/>
      <c r="AE50" s="124"/>
    </row>
    <row r="51" spans="1:31" s="105" customFormat="1" x14ac:dyDescent="0.25">
      <c r="A51" s="118" t="s">
        <v>235</v>
      </c>
      <c r="B51" s="167">
        <v>18829</v>
      </c>
      <c r="C51" s="133">
        <v>282</v>
      </c>
      <c r="D51" s="97">
        <v>60.005744934082031</v>
      </c>
      <c r="E51" s="99">
        <v>95.138125996741294</v>
      </c>
      <c r="F51" s="102">
        <v>1.4665690866578065</v>
      </c>
      <c r="G51" s="99">
        <v>97.045698878609102</v>
      </c>
      <c r="H51" s="98">
        <v>0.79799944489102725</v>
      </c>
      <c r="I51" s="100">
        <v>97.925757853732463</v>
      </c>
      <c r="J51" s="98">
        <v>0.82728688733063782</v>
      </c>
      <c r="K51" s="100">
        <v>98.517812775588069</v>
      </c>
      <c r="L51" s="98">
        <v>0.48350029058913208</v>
      </c>
      <c r="M51" s="100">
        <v>90.825460717474357</v>
      </c>
      <c r="N51" s="98">
        <v>3.6748590673247077</v>
      </c>
      <c r="O51" s="100">
        <v>-6.2202381611347448</v>
      </c>
      <c r="P51" s="102">
        <v>3.7684432792095079</v>
      </c>
      <c r="Q51" s="99">
        <v>99.207897223651187</v>
      </c>
      <c r="R51" s="98">
        <v>0.22198286208503731</v>
      </c>
      <c r="S51" s="100">
        <v>97.592139364790867</v>
      </c>
      <c r="T51" s="98">
        <v>0.49946482567385475</v>
      </c>
      <c r="U51" s="100">
        <v>84.841924513044432</v>
      </c>
      <c r="V51" s="98">
        <v>6.5619165099924688</v>
      </c>
      <c r="W51" s="100">
        <v>-5.2987831898057038</v>
      </c>
      <c r="X51" s="104">
        <v>2.0284168411105514</v>
      </c>
      <c r="Y51" s="124"/>
      <c r="Z51" s="124"/>
      <c r="AA51" s="124"/>
      <c r="AB51" s="124"/>
      <c r="AC51" s="124"/>
      <c r="AD51" s="124"/>
      <c r="AE51" s="124"/>
    </row>
    <row r="52" spans="1:31" s="105" customFormat="1" x14ac:dyDescent="0.25">
      <c r="A52" s="118" t="s">
        <v>302</v>
      </c>
      <c r="B52" s="167">
        <v>6252</v>
      </c>
      <c r="C52" s="133">
        <v>83</v>
      </c>
      <c r="D52" s="97">
        <v>50.909881591796875</v>
      </c>
      <c r="E52" s="99">
        <v>92.066068679486094</v>
      </c>
      <c r="F52" s="102">
        <v>2.9995365497289401</v>
      </c>
      <c r="G52" s="99">
        <v>96.751249285925041</v>
      </c>
      <c r="H52" s="98">
        <v>1.3979819467207035</v>
      </c>
      <c r="I52" s="100">
        <v>97.072951570639219</v>
      </c>
      <c r="J52" s="98">
        <v>1.4452375202056158</v>
      </c>
      <c r="K52" s="100">
        <v>91.581436887951526</v>
      </c>
      <c r="L52" s="98">
        <v>6.233168096138507</v>
      </c>
      <c r="M52" s="100">
        <v>84.427445103180204</v>
      </c>
      <c r="N52" s="98">
        <v>9.0442968176595926</v>
      </c>
      <c r="O52" s="100">
        <v>-12.323804182744837</v>
      </c>
      <c r="P52" s="102">
        <v>9.1816927778311097</v>
      </c>
      <c r="Q52" s="99">
        <v>98.607369821913466</v>
      </c>
      <c r="R52" s="98">
        <v>0.42205033980409667</v>
      </c>
      <c r="S52" s="100" t="s">
        <v>34</v>
      </c>
      <c r="T52" s="98" t="s">
        <v>34</v>
      </c>
      <c r="U52" s="100">
        <v>31.585240340810156</v>
      </c>
      <c r="V52" s="98">
        <v>13.559935478998106</v>
      </c>
      <c r="W52" s="100">
        <v>-67.022129481103306</v>
      </c>
      <c r="X52" s="104">
        <v>13.565513144836688</v>
      </c>
      <c r="Y52" s="124"/>
      <c r="Z52" s="124"/>
      <c r="AA52" s="124"/>
      <c r="AB52" s="124"/>
      <c r="AC52" s="124"/>
      <c r="AD52" s="124"/>
      <c r="AE52" s="124"/>
    </row>
    <row r="53" spans="1:31" s="105" customFormat="1" x14ac:dyDescent="0.25">
      <c r="A53" s="118" t="s">
        <v>236</v>
      </c>
      <c r="B53" s="167" t="s">
        <v>34</v>
      </c>
      <c r="C53" s="133" t="s">
        <v>34</v>
      </c>
      <c r="D53" s="97" t="s">
        <v>34</v>
      </c>
      <c r="E53" s="99">
        <v>86.154080383990717</v>
      </c>
      <c r="F53" s="102">
        <v>0.37205329310491492</v>
      </c>
      <c r="G53" s="99">
        <v>85.499393274819326</v>
      </c>
      <c r="H53" s="98">
        <v>0.7743302307750779</v>
      </c>
      <c r="I53" s="100">
        <v>86.152393915044058</v>
      </c>
      <c r="J53" s="98">
        <v>0.71411725743122267</v>
      </c>
      <c r="K53" s="100">
        <v>86.42982661611461</v>
      </c>
      <c r="L53" s="98">
        <v>0.68414628370571529</v>
      </c>
      <c r="M53" s="100">
        <v>86.529170077025782</v>
      </c>
      <c r="N53" s="98">
        <v>0.7977471027898031</v>
      </c>
      <c r="O53" s="100">
        <v>1.0297768022064591</v>
      </c>
      <c r="P53" s="102">
        <v>1.109454310725126</v>
      </c>
      <c r="Q53" s="99">
        <v>86.308059134007308</v>
      </c>
      <c r="R53" s="98">
        <v>0.43930398422375128</v>
      </c>
      <c r="S53" s="100">
        <v>81.671531835578577</v>
      </c>
      <c r="T53" s="98">
        <v>1.01831898978663</v>
      </c>
      <c r="U53" s="100">
        <v>72.428407686721044</v>
      </c>
      <c r="V53" s="98">
        <v>2.297948738838786</v>
      </c>
      <c r="W53" s="100">
        <v>-9.3778502384056761</v>
      </c>
      <c r="X53" s="104">
        <v>1.495542490326921</v>
      </c>
      <c r="Y53" s="124"/>
      <c r="Z53" s="124"/>
      <c r="AA53" s="124"/>
      <c r="AB53" s="124"/>
      <c r="AC53" s="124"/>
      <c r="AD53" s="124"/>
      <c r="AE53" s="124"/>
    </row>
    <row r="54" spans="1:31" s="105" customFormat="1" x14ac:dyDescent="0.25">
      <c r="A54" s="181" t="s">
        <v>279</v>
      </c>
      <c r="B54" s="167"/>
      <c r="C54" s="133"/>
      <c r="D54" s="97"/>
      <c r="E54" s="99"/>
      <c r="F54" s="102"/>
      <c r="G54" s="99"/>
      <c r="H54" s="98"/>
      <c r="I54" s="100"/>
      <c r="J54" s="98"/>
      <c r="K54" s="100"/>
      <c r="L54" s="98"/>
      <c r="M54" s="100"/>
      <c r="N54" s="98"/>
      <c r="O54" s="100"/>
      <c r="P54" s="102"/>
      <c r="Q54" s="99"/>
      <c r="R54" s="98"/>
      <c r="S54" s="100"/>
      <c r="T54" s="98"/>
      <c r="U54" s="100"/>
      <c r="V54" s="98"/>
      <c r="W54" s="100"/>
      <c r="X54" s="104"/>
      <c r="Y54" s="124"/>
      <c r="Z54" s="124"/>
      <c r="AA54" s="124"/>
      <c r="AB54" s="124"/>
      <c r="AC54" s="124"/>
      <c r="AD54" s="124"/>
      <c r="AE54" s="124"/>
    </row>
    <row r="55" spans="1:31" s="105" customFormat="1" x14ac:dyDescent="0.25">
      <c r="A55" s="118" t="s">
        <v>237</v>
      </c>
      <c r="B55" s="167">
        <v>5974.5</v>
      </c>
      <c r="C55" s="133">
        <v>195</v>
      </c>
      <c r="D55" s="97">
        <v>63.036891937255859</v>
      </c>
      <c r="E55" s="99">
        <v>81.014849958099006</v>
      </c>
      <c r="F55" s="102">
        <v>2.8330069300700416</v>
      </c>
      <c r="G55" s="99">
        <v>81.117135108855351</v>
      </c>
      <c r="H55" s="98">
        <v>4.2862703535368283</v>
      </c>
      <c r="I55" s="100">
        <v>79.240506663770589</v>
      </c>
      <c r="J55" s="98">
        <v>5.2939773658900995</v>
      </c>
      <c r="K55" s="100">
        <v>86.494032790846234</v>
      </c>
      <c r="L55" s="98">
        <v>5.4815733715461112</v>
      </c>
      <c r="M55" s="100">
        <v>79.294649601441449</v>
      </c>
      <c r="N55" s="98">
        <v>6.1684559178089016</v>
      </c>
      <c r="O55" s="100">
        <v>-1.8224855074139015</v>
      </c>
      <c r="P55" s="102">
        <v>7.2645232376076887</v>
      </c>
      <c r="Q55" s="99">
        <v>80.295598827159921</v>
      </c>
      <c r="R55" s="98">
        <v>3.192517990327937</v>
      </c>
      <c r="S55" s="100" t="s">
        <v>34</v>
      </c>
      <c r="T55" s="98" t="s">
        <v>34</v>
      </c>
      <c r="U55" s="100">
        <v>84.679981916276617</v>
      </c>
      <c r="V55" s="98">
        <v>4.9232724625918367</v>
      </c>
      <c r="W55" s="100">
        <v>4.3843830891166959</v>
      </c>
      <c r="X55" s="104">
        <v>5.6684480383179219</v>
      </c>
      <c r="Y55" s="124"/>
      <c r="Z55" s="124"/>
      <c r="AA55" s="124"/>
      <c r="AB55" s="124"/>
      <c r="AC55" s="124"/>
      <c r="AD55" s="124"/>
      <c r="AE55" s="124"/>
    </row>
    <row r="56" spans="1:31" s="105" customFormat="1" x14ac:dyDescent="0.25">
      <c r="A56" s="118" t="s">
        <v>238</v>
      </c>
      <c r="B56" s="167">
        <v>18436.5</v>
      </c>
      <c r="C56" s="133">
        <v>259</v>
      </c>
      <c r="D56" s="97">
        <v>60.629486083984375</v>
      </c>
      <c r="E56" s="99">
        <v>87.333146234940344</v>
      </c>
      <c r="F56" s="102">
        <v>3.4088092246697115</v>
      </c>
      <c r="G56" s="99">
        <v>80.118338499905605</v>
      </c>
      <c r="H56" s="98">
        <v>6.977658207898993</v>
      </c>
      <c r="I56" s="100">
        <v>86.611362264826866</v>
      </c>
      <c r="J56" s="98">
        <v>5.6965436759924648</v>
      </c>
      <c r="K56" s="100">
        <v>95.191788704116263</v>
      </c>
      <c r="L56" s="98">
        <v>3.650327074433569</v>
      </c>
      <c r="M56" s="100">
        <v>94.67454202508921</v>
      </c>
      <c r="N56" s="98">
        <v>1.6204706443884533</v>
      </c>
      <c r="O56" s="100">
        <v>14.556203525183605</v>
      </c>
      <c r="P56" s="102">
        <v>7.0649864152579918</v>
      </c>
      <c r="Q56" s="99">
        <v>84.885134263547982</v>
      </c>
      <c r="R56" s="98">
        <v>4.2988976615485939</v>
      </c>
      <c r="S56" s="100">
        <v>98.002960176762244</v>
      </c>
      <c r="T56" s="98">
        <v>1.0121397988602234</v>
      </c>
      <c r="U56" s="100">
        <v>90.883567801401441</v>
      </c>
      <c r="V56" s="98">
        <v>3.5941238073355679</v>
      </c>
      <c r="W56" s="100">
        <v>11.167807765369389</v>
      </c>
      <c r="X56" s="104">
        <v>4.4025560804866339</v>
      </c>
      <c r="Y56" s="124"/>
      <c r="Z56" s="124"/>
      <c r="AA56" s="124"/>
      <c r="AB56" s="124"/>
      <c r="AC56" s="124"/>
      <c r="AD56" s="124"/>
      <c r="AE56" s="124"/>
    </row>
    <row r="57" spans="1:31" s="105" customFormat="1" x14ac:dyDescent="0.25">
      <c r="A57" s="118" t="s">
        <v>239</v>
      </c>
      <c r="B57" s="167">
        <v>3921.5</v>
      </c>
      <c r="C57" s="133">
        <v>38</v>
      </c>
      <c r="D57" s="97">
        <v>17.368131637573242</v>
      </c>
      <c r="E57" s="99">
        <v>51.264870369523813</v>
      </c>
      <c r="F57" s="102">
        <v>8.7043637185842311</v>
      </c>
      <c r="G57" s="99">
        <v>34.624910767484941</v>
      </c>
      <c r="H57" s="98">
        <v>15.678596748678334</v>
      </c>
      <c r="I57" s="100">
        <v>18.574119346012314</v>
      </c>
      <c r="J57" s="98">
        <v>12.82523373613472</v>
      </c>
      <c r="K57" s="100">
        <v>63.167386366597071</v>
      </c>
      <c r="L57" s="98">
        <v>16.352074680134525</v>
      </c>
      <c r="M57" s="100">
        <v>61.095895652484252</v>
      </c>
      <c r="N57" s="98">
        <v>14.480599463556212</v>
      </c>
      <c r="O57" s="100">
        <v>26.470984884999311</v>
      </c>
      <c r="P57" s="102">
        <v>21.620122529363499</v>
      </c>
      <c r="Q57" s="99">
        <v>52.9979247611478</v>
      </c>
      <c r="R57" s="98">
        <v>8.9162789650309726</v>
      </c>
      <c r="S57" s="100" t="s">
        <v>34</v>
      </c>
      <c r="T57" s="98" t="s">
        <v>34</v>
      </c>
      <c r="U57" s="100" t="s">
        <v>34</v>
      </c>
      <c r="V57" s="98" t="s">
        <v>34</v>
      </c>
      <c r="W57" s="100" t="s">
        <v>34</v>
      </c>
      <c r="X57" s="104" t="s">
        <v>34</v>
      </c>
      <c r="Y57" s="124"/>
      <c r="Z57" s="124"/>
      <c r="AA57" s="124"/>
      <c r="AB57" s="124"/>
      <c r="AC57" s="124"/>
      <c r="AD57" s="124"/>
      <c r="AE57" s="124"/>
    </row>
    <row r="58" spans="1:31" s="105" customFormat="1" x14ac:dyDescent="0.25">
      <c r="A58" s="118" t="s">
        <v>240</v>
      </c>
      <c r="B58" s="167">
        <v>11871</v>
      </c>
      <c r="C58" s="133">
        <v>223</v>
      </c>
      <c r="D58" s="97">
        <v>95.687583923339844</v>
      </c>
      <c r="E58" s="99">
        <v>90.356663137328511</v>
      </c>
      <c r="F58" s="102">
        <v>1.6093407641577655</v>
      </c>
      <c r="G58" s="99">
        <v>90.120744057071207</v>
      </c>
      <c r="H58" s="98">
        <v>2.854331311056312</v>
      </c>
      <c r="I58" s="100">
        <v>88.142614870240124</v>
      </c>
      <c r="J58" s="98">
        <v>3.7161642617445416</v>
      </c>
      <c r="K58" s="100">
        <v>92.413076505999868</v>
      </c>
      <c r="L58" s="98">
        <v>2.4283525819655036</v>
      </c>
      <c r="M58" s="100">
        <v>90.900462729919582</v>
      </c>
      <c r="N58" s="98">
        <v>3.9617154202198477</v>
      </c>
      <c r="O58" s="100">
        <v>0.77971867284837515</v>
      </c>
      <c r="P58" s="102">
        <v>4.9690965265033222</v>
      </c>
      <c r="Q58" s="99">
        <v>90.317270056915291</v>
      </c>
      <c r="R58" s="98">
        <v>1.6162557716649113</v>
      </c>
      <c r="S58" s="100" t="s">
        <v>34</v>
      </c>
      <c r="T58" s="98" t="s">
        <v>34</v>
      </c>
      <c r="U58" s="100" t="s">
        <v>34</v>
      </c>
      <c r="V58" s="98" t="s">
        <v>34</v>
      </c>
      <c r="W58" s="100" t="s">
        <v>34</v>
      </c>
      <c r="X58" s="104" t="s">
        <v>34</v>
      </c>
      <c r="Y58" s="124"/>
      <c r="Z58" s="124"/>
      <c r="AA58" s="124"/>
      <c r="AB58" s="124"/>
      <c r="AC58" s="124"/>
      <c r="AD58" s="124"/>
      <c r="AE58" s="124"/>
    </row>
    <row r="59" spans="1:31" s="105" customFormat="1" x14ac:dyDescent="0.25">
      <c r="A59" s="118" t="s">
        <v>241</v>
      </c>
      <c r="B59" s="167">
        <v>6247</v>
      </c>
      <c r="C59" s="133">
        <v>92</v>
      </c>
      <c r="D59" s="97">
        <v>58.911434173583984</v>
      </c>
      <c r="E59" s="99">
        <v>96.438737145157802</v>
      </c>
      <c r="F59" s="102">
        <v>1.4781222532713287</v>
      </c>
      <c r="G59" s="99">
        <v>93.490355673618353</v>
      </c>
      <c r="H59" s="98">
        <v>3.8834762454895753</v>
      </c>
      <c r="I59" s="100">
        <v>99.575165315597047</v>
      </c>
      <c r="J59" s="98">
        <v>0.32591936539915239</v>
      </c>
      <c r="K59" s="100">
        <v>97.992649799894451</v>
      </c>
      <c r="L59" s="98">
        <v>0.75744441709674126</v>
      </c>
      <c r="M59" s="100">
        <v>94.523739354524267</v>
      </c>
      <c r="N59" s="98">
        <v>4.7981805693769779</v>
      </c>
      <c r="O59" s="100">
        <v>1.0333836809059136</v>
      </c>
      <c r="P59" s="102">
        <v>6.1234706847823457</v>
      </c>
      <c r="Q59" s="99">
        <v>96.405485766010329</v>
      </c>
      <c r="R59" s="98">
        <v>1.4920284218530191</v>
      </c>
      <c r="S59" s="100" t="s">
        <v>34</v>
      </c>
      <c r="T59" s="98" t="s">
        <v>34</v>
      </c>
      <c r="U59" s="100" t="s">
        <v>34</v>
      </c>
      <c r="V59" s="98" t="s">
        <v>34</v>
      </c>
      <c r="W59" s="100" t="s">
        <v>34</v>
      </c>
      <c r="X59" s="104" t="s">
        <v>34</v>
      </c>
      <c r="Y59" s="124"/>
      <c r="Z59" s="124"/>
      <c r="AA59" s="124"/>
      <c r="AB59" s="124"/>
      <c r="AC59" s="124"/>
      <c r="AD59" s="124"/>
      <c r="AE59" s="124"/>
    </row>
    <row r="60" spans="1:31" s="105" customFormat="1" x14ac:dyDescent="0.25">
      <c r="A60" s="118" t="s">
        <v>242</v>
      </c>
      <c r="B60" s="167">
        <v>10828</v>
      </c>
      <c r="C60" s="133">
        <v>232</v>
      </c>
      <c r="D60" s="97">
        <v>43.013565063476563</v>
      </c>
      <c r="E60" s="99">
        <v>91.867706692824115</v>
      </c>
      <c r="F60" s="102">
        <v>1.5170801364097199</v>
      </c>
      <c r="G60" s="99">
        <v>98.10424560124433</v>
      </c>
      <c r="H60" s="98">
        <v>0.97013898788318809</v>
      </c>
      <c r="I60" s="100">
        <v>90.311662251474999</v>
      </c>
      <c r="J60" s="98">
        <v>3.0610587981876973</v>
      </c>
      <c r="K60" s="100">
        <v>95.323954529787542</v>
      </c>
      <c r="L60" s="98">
        <v>1.4595949354761941</v>
      </c>
      <c r="M60" s="100">
        <v>87.325086773786651</v>
      </c>
      <c r="N60" s="98">
        <v>3.9323477124266031</v>
      </c>
      <c r="O60" s="100">
        <v>-10.779158827457678</v>
      </c>
      <c r="P60" s="102">
        <v>4.0366315447001728</v>
      </c>
      <c r="Q60" s="99">
        <v>93.616173062928567</v>
      </c>
      <c r="R60" s="98">
        <v>1.1683583462595568</v>
      </c>
      <c r="S60" s="100" t="s">
        <v>34</v>
      </c>
      <c r="T60" s="98" t="s">
        <v>34</v>
      </c>
      <c r="U60" s="100">
        <v>86.207352340280551</v>
      </c>
      <c r="V60" s="98">
        <v>6.2274899756618112</v>
      </c>
      <c r="W60" s="100">
        <v>-7.4088207226480165</v>
      </c>
      <c r="X60" s="104">
        <v>6.6301612681246924</v>
      </c>
      <c r="Y60" s="124"/>
      <c r="Z60" s="124"/>
      <c r="AA60" s="124"/>
      <c r="AB60" s="124"/>
      <c r="AC60" s="124"/>
      <c r="AD60" s="124"/>
      <c r="AE60" s="124"/>
    </row>
    <row r="61" spans="1:31" s="105" customFormat="1" x14ac:dyDescent="0.25">
      <c r="A61" s="118" t="s">
        <v>243</v>
      </c>
      <c r="B61" s="167">
        <v>5180.5</v>
      </c>
      <c r="C61" s="133">
        <v>54</v>
      </c>
      <c r="D61" s="97">
        <v>98.753440856933594</v>
      </c>
      <c r="E61" s="99">
        <v>93.697519544445512</v>
      </c>
      <c r="F61" s="102" t="s">
        <v>35</v>
      </c>
      <c r="G61" s="99">
        <v>98.007630351844</v>
      </c>
      <c r="H61" s="98" t="s">
        <v>35</v>
      </c>
      <c r="I61" s="100">
        <v>91.821899136756016</v>
      </c>
      <c r="J61" s="98" t="s">
        <v>35</v>
      </c>
      <c r="K61" s="100">
        <v>89.079229122055679</v>
      </c>
      <c r="L61" s="98" t="s">
        <v>35</v>
      </c>
      <c r="M61" s="100">
        <v>95.998666222074021</v>
      </c>
      <c r="N61" s="98" t="s">
        <v>35</v>
      </c>
      <c r="O61" s="100">
        <v>-2.0089641297699785</v>
      </c>
      <c r="P61" s="102" t="s">
        <v>35</v>
      </c>
      <c r="Q61" s="99">
        <v>92.325800376647834</v>
      </c>
      <c r="R61" s="98" t="s">
        <v>35</v>
      </c>
      <c r="S61" s="100" t="s">
        <v>34</v>
      </c>
      <c r="T61" s="98" t="s">
        <v>34</v>
      </c>
      <c r="U61" s="100">
        <v>99.946380697050941</v>
      </c>
      <c r="V61" s="98" t="s">
        <v>35</v>
      </c>
      <c r="W61" s="100">
        <v>7.6205803204031071</v>
      </c>
      <c r="X61" s="104" t="s">
        <v>35</v>
      </c>
      <c r="Y61" s="124"/>
      <c r="Z61" s="124"/>
      <c r="AA61" s="124"/>
      <c r="AB61" s="124"/>
      <c r="AC61" s="124"/>
      <c r="AD61" s="124"/>
      <c r="AE61" s="124"/>
    </row>
    <row r="62" spans="1:31" s="105" customFormat="1" x14ac:dyDescent="0.25">
      <c r="A62" s="118" t="s">
        <v>244</v>
      </c>
      <c r="B62" s="167">
        <v>62901</v>
      </c>
      <c r="C62" s="133">
        <v>355</v>
      </c>
      <c r="D62" s="97">
        <v>97.753776550292969</v>
      </c>
      <c r="E62" s="99">
        <v>97.561533729949048</v>
      </c>
      <c r="F62" s="102">
        <v>0.23682154545424133</v>
      </c>
      <c r="G62" s="99">
        <v>97.655599869348819</v>
      </c>
      <c r="H62" s="98">
        <v>0.40319547418713264</v>
      </c>
      <c r="I62" s="100">
        <v>96.831653611114746</v>
      </c>
      <c r="J62" s="98">
        <v>0.65562078429919091</v>
      </c>
      <c r="K62" s="100">
        <v>98.208822983991183</v>
      </c>
      <c r="L62" s="98">
        <v>0.43666136263681576</v>
      </c>
      <c r="M62" s="100">
        <v>97.301781378284502</v>
      </c>
      <c r="N62" s="98">
        <v>0.52198002644578612</v>
      </c>
      <c r="O62" s="100">
        <v>-0.35381849106431673</v>
      </c>
      <c r="P62" s="102">
        <v>0.64525607421034237</v>
      </c>
      <c r="Q62" s="99">
        <v>97.943466207242182</v>
      </c>
      <c r="R62" s="98">
        <v>0.2221193402397606</v>
      </c>
      <c r="S62" s="100" t="s">
        <v>34</v>
      </c>
      <c r="T62" s="98" t="s">
        <v>34</v>
      </c>
      <c r="U62" s="100">
        <v>94.568483452590328</v>
      </c>
      <c r="V62" s="98">
        <v>1.342264232120788</v>
      </c>
      <c r="W62" s="100">
        <v>-3.3749827546518532</v>
      </c>
      <c r="X62" s="104">
        <v>1.3842189952232571</v>
      </c>
      <c r="Y62" s="124"/>
      <c r="Z62" s="124"/>
      <c r="AA62" s="124"/>
      <c r="AB62" s="124"/>
      <c r="AC62" s="124"/>
      <c r="AD62" s="124"/>
      <c r="AE62" s="124"/>
    </row>
    <row r="63" spans="1:31" s="105" customFormat="1" x14ac:dyDescent="0.25">
      <c r="A63" s="118" t="s">
        <v>245</v>
      </c>
      <c r="B63" s="167">
        <v>4950.5</v>
      </c>
      <c r="C63" s="133">
        <v>98</v>
      </c>
      <c r="D63" s="97">
        <v>48.617607116699219</v>
      </c>
      <c r="E63" s="99">
        <v>93.405836145483249</v>
      </c>
      <c r="F63" s="102">
        <v>2.6558191325813776</v>
      </c>
      <c r="G63" s="99">
        <v>89.750661636667715</v>
      </c>
      <c r="H63" s="98">
        <v>6.9140084497720107</v>
      </c>
      <c r="I63" s="100">
        <v>90.697423266850237</v>
      </c>
      <c r="J63" s="98">
        <v>5.5804984632754344</v>
      </c>
      <c r="K63" s="100">
        <v>98.578698527592039</v>
      </c>
      <c r="L63" s="98">
        <v>0.33849961694798958</v>
      </c>
      <c r="M63" s="100">
        <v>96.871948688325034</v>
      </c>
      <c r="N63" s="98">
        <v>2.0133476786784192</v>
      </c>
      <c r="O63" s="100">
        <v>7.121287051657319</v>
      </c>
      <c r="P63" s="102">
        <v>7.1705265211855727</v>
      </c>
      <c r="Q63" s="99">
        <v>93.261855430327373</v>
      </c>
      <c r="R63" s="98">
        <v>2.7561240311578232</v>
      </c>
      <c r="S63" s="100" t="s">
        <v>34</v>
      </c>
      <c r="T63" s="98" t="s">
        <v>34</v>
      </c>
      <c r="U63" s="100" t="s">
        <v>34</v>
      </c>
      <c r="V63" s="98" t="s">
        <v>34</v>
      </c>
      <c r="W63" s="100" t="s">
        <v>34</v>
      </c>
      <c r="X63" s="104" t="s">
        <v>34</v>
      </c>
      <c r="Y63" s="124"/>
      <c r="Z63" s="124"/>
      <c r="AA63" s="124"/>
      <c r="AB63" s="124"/>
      <c r="AC63" s="124"/>
      <c r="AD63" s="124"/>
      <c r="AE63" s="124"/>
    </row>
    <row r="64" spans="1:31" s="105" customFormat="1" x14ac:dyDescent="0.25">
      <c r="A64" s="118" t="s">
        <v>246</v>
      </c>
      <c r="B64" s="167">
        <v>8683.5</v>
      </c>
      <c r="C64" s="133">
        <v>186</v>
      </c>
      <c r="D64" s="97">
        <v>90.534378051757813</v>
      </c>
      <c r="E64" s="99">
        <v>85.380903095577679</v>
      </c>
      <c r="F64" s="102">
        <v>2.4879084563244223</v>
      </c>
      <c r="G64" s="99">
        <v>94.090504098672341</v>
      </c>
      <c r="H64" s="98">
        <v>1.6931682398869643</v>
      </c>
      <c r="I64" s="100">
        <v>88.606394491437456</v>
      </c>
      <c r="J64" s="98">
        <v>6.5695424013240844</v>
      </c>
      <c r="K64" s="100">
        <v>95.285736853700712</v>
      </c>
      <c r="L64" s="98">
        <v>1.5462063208391141</v>
      </c>
      <c r="M64" s="100">
        <v>64.8277380840386</v>
      </c>
      <c r="N64" s="98">
        <v>5.6427449846046134</v>
      </c>
      <c r="O64" s="100">
        <v>-29.26276601463374</v>
      </c>
      <c r="P64" s="102">
        <v>5.7701741953906032</v>
      </c>
      <c r="Q64" s="99">
        <v>95.09251412411723</v>
      </c>
      <c r="R64" s="98">
        <v>0.8803217318869172</v>
      </c>
      <c r="S64" s="100" t="s">
        <v>34</v>
      </c>
      <c r="T64" s="98" t="s">
        <v>34</v>
      </c>
      <c r="U64" s="100">
        <v>45.707772489980009</v>
      </c>
      <c r="V64" s="98">
        <v>6.6685058922889171</v>
      </c>
      <c r="W64" s="100">
        <v>-49.384741634137221</v>
      </c>
      <c r="X64" s="104">
        <v>6.7088118720679972</v>
      </c>
      <c r="Y64" s="124"/>
      <c r="Z64" s="124"/>
      <c r="AA64" s="124"/>
      <c r="AB64" s="124"/>
      <c r="AC64" s="124"/>
      <c r="AD64" s="124"/>
      <c r="AE64" s="124"/>
    </row>
    <row r="65" spans="1:31" s="105" customFormat="1" x14ac:dyDescent="0.25">
      <c r="A65" s="118" t="s">
        <v>247</v>
      </c>
      <c r="B65" s="167">
        <v>7712</v>
      </c>
      <c r="C65" s="133">
        <v>150</v>
      </c>
      <c r="D65" s="97">
        <v>83.415870666503906</v>
      </c>
      <c r="E65" s="99">
        <v>97.440171747233123</v>
      </c>
      <c r="F65" s="102">
        <v>0.70481052508174502</v>
      </c>
      <c r="G65" s="99">
        <v>96.827667772374852</v>
      </c>
      <c r="H65" s="98">
        <v>0.40213758793151066</v>
      </c>
      <c r="I65" s="100">
        <v>95.820101869131719</v>
      </c>
      <c r="J65" s="98">
        <v>2.3448020717592897</v>
      </c>
      <c r="K65" s="100">
        <v>98.354093130995338</v>
      </c>
      <c r="L65" s="98">
        <v>0.71518012635762984</v>
      </c>
      <c r="M65" s="100">
        <v>99.256486914121552</v>
      </c>
      <c r="N65" s="98">
        <v>0.41996333969789545</v>
      </c>
      <c r="O65" s="100">
        <v>2.4288191417467004</v>
      </c>
      <c r="P65" s="102">
        <v>0.57759889553479471</v>
      </c>
      <c r="Q65" s="99">
        <v>97.439838466672995</v>
      </c>
      <c r="R65" s="98">
        <v>0.72356904529483312</v>
      </c>
      <c r="S65" s="100" t="s">
        <v>34</v>
      </c>
      <c r="T65" s="98" t="s">
        <v>34</v>
      </c>
      <c r="U65" s="100" t="s">
        <v>34</v>
      </c>
      <c r="V65" s="98" t="s">
        <v>34</v>
      </c>
      <c r="W65" s="100" t="s">
        <v>34</v>
      </c>
      <c r="X65" s="104" t="s">
        <v>34</v>
      </c>
      <c r="Y65" s="124"/>
      <c r="Z65" s="124"/>
      <c r="AA65" s="124"/>
      <c r="AB65" s="124"/>
      <c r="AC65" s="124"/>
      <c r="AD65" s="124"/>
      <c r="AE65" s="124"/>
    </row>
    <row r="66" spans="1:31" s="105" customFormat="1" x14ac:dyDescent="0.25">
      <c r="A66" s="118" t="s">
        <v>248</v>
      </c>
      <c r="B66" s="167">
        <v>5220</v>
      </c>
      <c r="C66" s="133">
        <v>72</v>
      </c>
      <c r="D66" s="97">
        <v>93.173286437988281</v>
      </c>
      <c r="E66" s="99">
        <v>99.820574045393926</v>
      </c>
      <c r="F66" s="102">
        <v>4.9940526317113275E-4</v>
      </c>
      <c r="G66" s="99">
        <v>99.627560521415276</v>
      </c>
      <c r="H66" s="98">
        <v>9.843704984732781E-4</v>
      </c>
      <c r="I66" s="100">
        <v>100</v>
      </c>
      <c r="J66" s="98" t="s">
        <v>35</v>
      </c>
      <c r="K66" s="100">
        <v>100</v>
      </c>
      <c r="L66" s="98" t="s">
        <v>35</v>
      </c>
      <c r="M66" s="100">
        <v>99.762313319627083</v>
      </c>
      <c r="N66" s="98">
        <v>6.5749973519760069E-4</v>
      </c>
      <c r="O66" s="100">
        <v>0.13475279821180663</v>
      </c>
      <c r="P66" s="102">
        <v>1.1837614540309398E-3</v>
      </c>
      <c r="Q66" s="99">
        <v>99.855533082924012</v>
      </c>
      <c r="R66" s="98">
        <v>5.2261917865410105E-4</v>
      </c>
      <c r="S66" s="100" t="s">
        <v>34</v>
      </c>
      <c r="T66" s="98" t="s">
        <v>34</v>
      </c>
      <c r="U66" s="100">
        <v>99.725240949257866</v>
      </c>
      <c r="V66" s="98">
        <v>8.7740027545746226E-4</v>
      </c>
      <c r="W66" s="100">
        <v>-0.13029213366614556</v>
      </c>
      <c r="X66" s="104">
        <v>1.0214910887467448E-3</v>
      </c>
      <c r="Y66" s="124"/>
      <c r="Z66" s="124"/>
      <c r="AA66" s="124"/>
      <c r="AB66" s="124"/>
      <c r="AC66" s="124"/>
      <c r="AD66" s="124"/>
      <c r="AE66" s="124"/>
    </row>
    <row r="67" spans="1:31" s="105" customFormat="1" x14ac:dyDescent="0.25">
      <c r="A67" s="118" t="s">
        <v>249</v>
      </c>
      <c r="B67" s="167">
        <v>1326</v>
      </c>
      <c r="C67" s="133">
        <v>54</v>
      </c>
      <c r="D67" s="97">
        <v>23.397510528564453</v>
      </c>
      <c r="E67" s="99">
        <v>80.349472371817129</v>
      </c>
      <c r="F67" s="102">
        <v>4.8666771235608088</v>
      </c>
      <c r="G67" s="99">
        <v>98.385673302285724</v>
      </c>
      <c r="H67" s="98">
        <v>0.88140203490333047</v>
      </c>
      <c r="I67" s="100">
        <v>74.391896094514962</v>
      </c>
      <c r="J67" s="98">
        <v>9.7750184501415678</v>
      </c>
      <c r="K67" s="100">
        <v>51.408967301142212</v>
      </c>
      <c r="L67" s="98">
        <v>16.720122975298313</v>
      </c>
      <c r="M67" s="100">
        <v>76.731498603900263</v>
      </c>
      <c r="N67" s="98">
        <v>14.204618073494174</v>
      </c>
      <c r="O67" s="100">
        <v>-21.654174698385461</v>
      </c>
      <c r="P67" s="102">
        <v>14.221673899565291</v>
      </c>
      <c r="Q67" s="99">
        <v>83.292535531703763</v>
      </c>
      <c r="R67" s="98">
        <v>4.5885453868791988</v>
      </c>
      <c r="S67" s="100" t="s">
        <v>34</v>
      </c>
      <c r="T67" s="98" t="s">
        <v>34</v>
      </c>
      <c r="U67" s="100">
        <v>63.9945035531141</v>
      </c>
      <c r="V67" s="98">
        <v>19.672639669233718</v>
      </c>
      <c r="W67" s="100">
        <v>-19.298031978589663</v>
      </c>
      <c r="X67" s="104">
        <v>19.194150019088127</v>
      </c>
      <c r="Y67" s="124"/>
      <c r="Z67" s="124"/>
      <c r="AA67" s="124"/>
      <c r="AB67" s="124"/>
      <c r="AC67" s="124"/>
      <c r="AD67" s="124"/>
      <c r="AE67" s="124"/>
    </row>
    <row r="68" spans="1:31" s="105" customFormat="1" x14ac:dyDescent="0.25">
      <c r="A68" s="118" t="s">
        <v>250</v>
      </c>
      <c r="B68" s="167">
        <v>11062</v>
      </c>
      <c r="C68" s="133">
        <v>273</v>
      </c>
      <c r="D68" s="97">
        <v>88.194931030273438</v>
      </c>
      <c r="E68" s="99">
        <v>35.79429473297413</v>
      </c>
      <c r="F68" s="102">
        <v>1.5371340811156644</v>
      </c>
      <c r="G68" s="99">
        <v>25.750285928371536</v>
      </c>
      <c r="H68" s="98">
        <v>2.4343437822382166</v>
      </c>
      <c r="I68" s="100">
        <v>37.967425867372995</v>
      </c>
      <c r="J68" s="98">
        <v>1.8774179011868546</v>
      </c>
      <c r="K68" s="100">
        <v>44.732730149688066</v>
      </c>
      <c r="L68" s="98">
        <v>2.0937885567601406</v>
      </c>
      <c r="M68" s="100">
        <v>39.67842796983475</v>
      </c>
      <c r="N68" s="98">
        <v>4.8297381805711836</v>
      </c>
      <c r="O68" s="100">
        <v>13.928142041463214</v>
      </c>
      <c r="P68" s="102">
        <v>5.4781299931036935</v>
      </c>
      <c r="Q68" s="99">
        <v>36.266635366903309</v>
      </c>
      <c r="R68" s="98">
        <v>1.4082591358377201</v>
      </c>
      <c r="S68" s="100" t="s">
        <v>34</v>
      </c>
      <c r="T68" s="98" t="s">
        <v>34</v>
      </c>
      <c r="U68" s="100">
        <v>33.804567668914039</v>
      </c>
      <c r="V68" s="98">
        <v>6.2410712771348749</v>
      </c>
      <c r="W68" s="100">
        <v>-2.4620676979892693</v>
      </c>
      <c r="X68" s="104">
        <v>6.4371009798757344</v>
      </c>
      <c r="Y68" s="124"/>
      <c r="Z68" s="124"/>
      <c r="AA68" s="124"/>
      <c r="AB68" s="124"/>
      <c r="AC68" s="124"/>
      <c r="AD68" s="124"/>
      <c r="AE68" s="124"/>
    </row>
    <row r="69" spans="1:31" s="105" customFormat="1" x14ac:dyDescent="0.25">
      <c r="A69" s="118" t="s">
        <v>303</v>
      </c>
      <c r="B69" s="167">
        <v>4696.5</v>
      </c>
      <c r="C69" s="133">
        <v>73</v>
      </c>
      <c r="D69" s="97">
        <v>49.680553436279297</v>
      </c>
      <c r="E69" s="99">
        <v>95.498182470810676</v>
      </c>
      <c r="F69" s="102">
        <v>1.7361233630000468</v>
      </c>
      <c r="G69" s="99">
        <v>99.024007053451413</v>
      </c>
      <c r="H69" s="98">
        <v>0.42077872798065652</v>
      </c>
      <c r="I69" s="100">
        <v>96.896639870801337</v>
      </c>
      <c r="J69" s="98">
        <v>1.0852516328329052</v>
      </c>
      <c r="K69" s="100">
        <v>94.529195405719662</v>
      </c>
      <c r="L69" s="98">
        <v>5.1432579844146691</v>
      </c>
      <c r="M69" s="100">
        <v>91.050967324032328</v>
      </c>
      <c r="N69" s="98">
        <v>4.7893937629365357</v>
      </c>
      <c r="O69" s="100">
        <v>-7.9730397294190851</v>
      </c>
      <c r="P69" s="102">
        <v>4.822545764989373</v>
      </c>
      <c r="Q69" s="99">
        <v>99.771455911941104</v>
      </c>
      <c r="R69" s="98">
        <v>0.24145991071515183</v>
      </c>
      <c r="S69" s="100">
        <v>96.163442875390672</v>
      </c>
      <c r="T69" s="98">
        <v>1.7360754938598726</v>
      </c>
      <c r="U69" s="100" t="s">
        <v>34</v>
      </c>
      <c r="V69" s="98" t="s">
        <v>34</v>
      </c>
      <c r="W69" s="100">
        <v>-3.6080130365504317</v>
      </c>
      <c r="X69" s="104">
        <v>1.7504296491907305</v>
      </c>
      <c r="Y69" s="124"/>
      <c r="Z69" s="124"/>
      <c r="AA69" s="124"/>
      <c r="AB69" s="124"/>
      <c r="AC69" s="124"/>
      <c r="AD69" s="124"/>
      <c r="AE69" s="124"/>
    </row>
    <row r="70" spans="1:31" s="105" customFormat="1" x14ac:dyDescent="0.25">
      <c r="A70" s="118" t="s">
        <v>251</v>
      </c>
      <c r="B70" s="167">
        <v>7909.5</v>
      </c>
      <c r="C70" s="133">
        <v>233</v>
      </c>
      <c r="D70" s="97">
        <v>60.503078460693359</v>
      </c>
      <c r="E70" s="99">
        <v>55.122418645457479</v>
      </c>
      <c r="F70" s="102">
        <v>3.2450730465726143</v>
      </c>
      <c r="G70" s="99">
        <v>43.613389193016872</v>
      </c>
      <c r="H70" s="98">
        <v>5.6556708352486424</v>
      </c>
      <c r="I70" s="100">
        <v>56.283755545733733</v>
      </c>
      <c r="J70" s="98">
        <v>7.2173449565036822</v>
      </c>
      <c r="K70" s="100">
        <v>60.584256050811902</v>
      </c>
      <c r="L70" s="98">
        <v>5.811812961884061</v>
      </c>
      <c r="M70" s="100">
        <v>64.686162465892295</v>
      </c>
      <c r="N70" s="98">
        <v>5.8146137721761635</v>
      </c>
      <c r="O70" s="100">
        <v>21.072773272875423</v>
      </c>
      <c r="P70" s="102">
        <v>8.3993051035415167</v>
      </c>
      <c r="Q70" s="99">
        <v>67.611179523013973</v>
      </c>
      <c r="R70" s="98">
        <v>2.9274199348576442</v>
      </c>
      <c r="S70" s="100">
        <v>30.56570073793057</v>
      </c>
      <c r="T70" s="98">
        <v>4.5807221504432709</v>
      </c>
      <c r="U70" s="100">
        <v>48.397652465573692</v>
      </c>
      <c r="V70" s="98">
        <v>10.964640072647327</v>
      </c>
      <c r="W70" s="100">
        <v>-29.618985034943094</v>
      </c>
      <c r="X70" s="104">
        <v>6.0450747731864514</v>
      </c>
      <c r="Y70" s="124"/>
      <c r="Z70" s="124"/>
      <c r="AA70" s="124"/>
      <c r="AB70" s="124"/>
      <c r="AC70" s="124"/>
      <c r="AD70" s="124"/>
      <c r="AE70" s="124"/>
    </row>
    <row r="71" spans="1:31" s="105" customFormat="1" x14ac:dyDescent="0.25">
      <c r="A71" s="118" t="s">
        <v>252</v>
      </c>
      <c r="B71" s="167">
        <v>8943.5</v>
      </c>
      <c r="C71" s="133">
        <v>221</v>
      </c>
      <c r="D71" s="97">
        <v>61.190208435058594</v>
      </c>
      <c r="E71" s="99">
        <v>62.51597759831926</v>
      </c>
      <c r="F71" s="102">
        <v>5.0934972944991692</v>
      </c>
      <c r="G71" s="99">
        <v>66.55966837781051</v>
      </c>
      <c r="H71" s="98">
        <v>6.672997415511519</v>
      </c>
      <c r="I71" s="100">
        <v>74.53769525376228</v>
      </c>
      <c r="J71" s="98">
        <v>8.3800780786421978</v>
      </c>
      <c r="K71" s="100">
        <v>58.871270155582017</v>
      </c>
      <c r="L71" s="98">
        <v>11.142682840549618</v>
      </c>
      <c r="M71" s="100">
        <v>58.167827562113345</v>
      </c>
      <c r="N71" s="98">
        <v>9.6010464334266015</v>
      </c>
      <c r="O71" s="100">
        <v>-8.3918408156971651</v>
      </c>
      <c r="P71" s="102">
        <v>12.52431948840254</v>
      </c>
      <c r="Q71" s="99">
        <v>75.083868752429311</v>
      </c>
      <c r="R71" s="98">
        <v>3.5537001182281784</v>
      </c>
      <c r="S71" s="100" t="s">
        <v>34</v>
      </c>
      <c r="T71" s="98" t="s">
        <v>34</v>
      </c>
      <c r="U71" s="100">
        <v>49.615722507911507</v>
      </c>
      <c r="V71" s="98">
        <v>9.7179039461342054</v>
      </c>
      <c r="W71" s="100">
        <v>-25.468146244517804</v>
      </c>
      <c r="X71" s="104">
        <v>10.254107421688383</v>
      </c>
      <c r="Y71" s="124"/>
      <c r="Z71" s="124"/>
      <c r="AA71" s="124"/>
      <c r="AB71" s="124"/>
      <c r="AC71" s="124"/>
      <c r="AD71" s="124"/>
      <c r="AE71" s="124"/>
    </row>
    <row r="72" spans="1:31" s="105" customFormat="1" x14ac:dyDescent="0.25">
      <c r="A72" s="118" t="s">
        <v>253</v>
      </c>
      <c r="B72" s="167">
        <v>39518.5</v>
      </c>
      <c r="C72" s="133">
        <v>468</v>
      </c>
      <c r="D72" s="97">
        <v>73.051895141601563</v>
      </c>
      <c r="E72" s="99">
        <v>93.046948226277991</v>
      </c>
      <c r="F72" s="102">
        <v>3.7026516800613889</v>
      </c>
      <c r="G72" s="99">
        <v>87.434643712265512</v>
      </c>
      <c r="H72" s="98">
        <v>9.0827444285698959</v>
      </c>
      <c r="I72" s="100">
        <v>88.461776422168185</v>
      </c>
      <c r="J72" s="98">
        <v>9.3913035850679396</v>
      </c>
      <c r="K72" s="100">
        <v>98.774615158293429</v>
      </c>
      <c r="L72" s="98">
        <v>0.69256619004906927</v>
      </c>
      <c r="M72" s="100">
        <v>99.203561420300431</v>
      </c>
      <c r="N72" s="98">
        <v>0.33307484258069164</v>
      </c>
      <c r="O72" s="100">
        <v>11.76891770803492</v>
      </c>
      <c r="P72" s="102">
        <v>9.0849705206810967</v>
      </c>
      <c r="Q72" s="99">
        <v>92.94681548766799</v>
      </c>
      <c r="R72" s="98">
        <v>3.7663663686628959</v>
      </c>
      <c r="S72" s="100">
        <v>100</v>
      </c>
      <c r="T72" s="98">
        <v>1.4210854715202004E-14</v>
      </c>
      <c r="U72" s="100" t="s">
        <v>34</v>
      </c>
      <c r="V72" s="98" t="s">
        <v>34</v>
      </c>
      <c r="W72" s="100">
        <v>7.0531845123320096</v>
      </c>
      <c r="X72" s="104">
        <v>3.766366368662895</v>
      </c>
      <c r="Y72" s="142"/>
      <c r="Z72" s="124"/>
      <c r="AA72" s="124"/>
      <c r="AB72" s="124"/>
      <c r="AC72" s="124"/>
      <c r="AD72" s="124"/>
      <c r="AE72" s="124"/>
    </row>
    <row r="73" spans="1:31" s="105" customFormat="1" x14ac:dyDescent="0.25">
      <c r="A73" s="118" t="s">
        <v>254</v>
      </c>
      <c r="B73" s="167">
        <v>3254</v>
      </c>
      <c r="C73" s="133">
        <v>35</v>
      </c>
      <c r="D73" s="97">
        <v>28.702110290527344</v>
      </c>
      <c r="E73" s="99">
        <v>79.59760958634611</v>
      </c>
      <c r="F73" s="102">
        <v>3.6661949715207593</v>
      </c>
      <c r="G73" s="99">
        <v>68.150696468423732</v>
      </c>
      <c r="H73" s="98">
        <v>3.0987742758404671</v>
      </c>
      <c r="I73" s="100">
        <v>84.120643779927548</v>
      </c>
      <c r="J73" s="98">
        <v>1.2646083603548166</v>
      </c>
      <c r="K73" s="100">
        <v>95.343628222964071</v>
      </c>
      <c r="L73" s="98" t="s">
        <v>35</v>
      </c>
      <c r="M73" s="100" t="s">
        <v>34</v>
      </c>
      <c r="N73" s="98" t="s">
        <v>34</v>
      </c>
      <c r="O73" s="100" t="s">
        <v>34</v>
      </c>
      <c r="P73" s="102" t="s">
        <v>34</v>
      </c>
      <c r="Q73" s="99">
        <v>83.20243109552834</v>
      </c>
      <c r="R73" s="98">
        <v>0.66642154296229095</v>
      </c>
      <c r="S73" s="100" t="s">
        <v>34</v>
      </c>
      <c r="T73" s="98" t="s">
        <v>34</v>
      </c>
      <c r="U73" s="100" t="s">
        <v>34</v>
      </c>
      <c r="V73" s="98" t="s">
        <v>34</v>
      </c>
      <c r="W73" s="100" t="s">
        <v>34</v>
      </c>
      <c r="X73" s="104" t="s">
        <v>34</v>
      </c>
      <c r="Y73" s="124"/>
      <c r="Z73" s="124"/>
      <c r="AA73" s="124"/>
      <c r="AB73" s="124"/>
      <c r="AC73" s="124"/>
      <c r="AD73" s="124"/>
      <c r="AE73" s="124"/>
    </row>
    <row r="74" spans="1:31" s="105" customFormat="1" x14ac:dyDescent="0.25">
      <c r="A74" s="118" t="s">
        <v>255</v>
      </c>
      <c r="B74" s="167">
        <v>8248</v>
      </c>
      <c r="C74" s="133">
        <v>89</v>
      </c>
      <c r="D74" s="97">
        <v>32.964427947998047</v>
      </c>
      <c r="E74" s="99">
        <v>82.458249972686801</v>
      </c>
      <c r="F74" s="102">
        <v>3.706882464716597</v>
      </c>
      <c r="G74" s="99">
        <v>79.081597844786984</v>
      </c>
      <c r="H74" s="98">
        <v>10.795613928852656</v>
      </c>
      <c r="I74" s="100">
        <v>72.052251118511407</v>
      </c>
      <c r="J74" s="98">
        <v>7.1005548336396318</v>
      </c>
      <c r="K74" s="100">
        <v>80.589829325585526</v>
      </c>
      <c r="L74" s="98">
        <v>8.895959134098625</v>
      </c>
      <c r="M74" s="100">
        <v>89.193304931714025</v>
      </c>
      <c r="N74" s="98">
        <v>5.1472705021161014</v>
      </c>
      <c r="O74" s="100">
        <v>10.111707086927041</v>
      </c>
      <c r="P74" s="102">
        <v>12.158592293145887</v>
      </c>
      <c r="Q74" s="99">
        <v>70.842063573084573</v>
      </c>
      <c r="R74" s="98">
        <v>7.4158955307934029</v>
      </c>
      <c r="S74" s="100" t="s">
        <v>34</v>
      </c>
      <c r="T74" s="98" t="s">
        <v>34</v>
      </c>
      <c r="U74" s="100">
        <v>87.448500332276041</v>
      </c>
      <c r="V74" s="98">
        <v>4.8892109557168002</v>
      </c>
      <c r="W74" s="100">
        <v>16.606436759191467</v>
      </c>
      <c r="X74" s="104">
        <v>8.923217043847206</v>
      </c>
      <c r="Y74" s="124"/>
      <c r="Z74" s="124"/>
      <c r="AA74" s="124"/>
      <c r="AB74" s="124"/>
      <c r="AC74" s="124"/>
      <c r="AD74" s="124"/>
      <c r="AE74" s="124"/>
    </row>
    <row r="75" spans="1:31" s="105" customFormat="1" x14ac:dyDescent="0.25">
      <c r="A75" s="118" t="s">
        <v>256</v>
      </c>
      <c r="B75" s="167" t="s">
        <v>34</v>
      </c>
      <c r="C75" s="133" t="s">
        <v>34</v>
      </c>
      <c r="D75" s="97" t="s">
        <v>34</v>
      </c>
      <c r="E75" s="99" t="s">
        <v>34</v>
      </c>
      <c r="F75" s="102" t="s">
        <v>34</v>
      </c>
      <c r="G75" s="99" t="s">
        <v>34</v>
      </c>
      <c r="H75" s="98" t="s">
        <v>34</v>
      </c>
      <c r="I75" s="100" t="s">
        <v>34</v>
      </c>
      <c r="J75" s="98" t="s">
        <v>34</v>
      </c>
      <c r="K75" s="100" t="s">
        <v>34</v>
      </c>
      <c r="L75" s="98" t="s">
        <v>34</v>
      </c>
      <c r="M75" s="100" t="s">
        <v>34</v>
      </c>
      <c r="N75" s="98" t="s">
        <v>34</v>
      </c>
      <c r="O75" s="100" t="s">
        <v>34</v>
      </c>
      <c r="P75" s="102" t="s">
        <v>34</v>
      </c>
      <c r="Q75" s="99" t="s">
        <v>34</v>
      </c>
      <c r="R75" s="98" t="s">
        <v>34</v>
      </c>
      <c r="S75" s="100" t="s">
        <v>34</v>
      </c>
      <c r="T75" s="98" t="s">
        <v>34</v>
      </c>
      <c r="U75" s="100" t="s">
        <v>34</v>
      </c>
      <c r="V75" s="98" t="s">
        <v>34</v>
      </c>
      <c r="W75" s="100" t="s">
        <v>34</v>
      </c>
      <c r="X75" s="104" t="s">
        <v>34</v>
      </c>
      <c r="Y75" s="124"/>
      <c r="Z75" s="124"/>
      <c r="AA75" s="124"/>
      <c r="AB75" s="124"/>
      <c r="AC75" s="124"/>
      <c r="AD75" s="124"/>
      <c r="AE75" s="124"/>
    </row>
    <row r="76" spans="1:31" s="105" customFormat="1" x14ac:dyDescent="0.25">
      <c r="A76" s="118" t="s">
        <v>257</v>
      </c>
      <c r="B76" s="167">
        <v>16280.5</v>
      </c>
      <c r="C76" s="133">
        <v>175</v>
      </c>
      <c r="D76" s="97">
        <v>91.48077392578125</v>
      </c>
      <c r="E76" s="99">
        <v>93.96342716271927</v>
      </c>
      <c r="F76" s="102">
        <v>0.98917222068746113</v>
      </c>
      <c r="G76" s="99">
        <v>97.254117501835978</v>
      </c>
      <c r="H76" s="98">
        <v>2.4606454045885435</v>
      </c>
      <c r="I76" s="100">
        <v>99.893926944560079</v>
      </c>
      <c r="J76" s="98">
        <v>7.7415362023629725E-2</v>
      </c>
      <c r="K76" s="100">
        <v>97.249011178426599</v>
      </c>
      <c r="L76" s="98">
        <v>1.4281082337747819</v>
      </c>
      <c r="M76" s="100">
        <v>82.644068905529053</v>
      </c>
      <c r="N76" s="98">
        <v>3.7235921422661233</v>
      </c>
      <c r="O76" s="100">
        <v>-14.610048596306925</v>
      </c>
      <c r="P76" s="102">
        <v>4.441464816076846</v>
      </c>
      <c r="Q76" s="99">
        <v>97.789221296279166</v>
      </c>
      <c r="R76" s="98">
        <v>0.9070967870299631</v>
      </c>
      <c r="S76" s="100" t="s">
        <v>34</v>
      </c>
      <c r="T76" s="98" t="s">
        <v>34</v>
      </c>
      <c r="U76" s="100">
        <v>46.379213073190819</v>
      </c>
      <c r="V76" s="98">
        <v>16.767730683206072</v>
      </c>
      <c r="W76" s="100">
        <v>-51.410008223088347</v>
      </c>
      <c r="X76" s="104">
        <v>16.785687325957973</v>
      </c>
      <c r="Y76" s="124"/>
      <c r="Z76" s="124"/>
      <c r="AA76" s="124"/>
      <c r="AB76" s="124"/>
      <c r="AC76" s="124"/>
      <c r="AD76" s="124"/>
      <c r="AE76" s="124"/>
    </row>
    <row r="77" spans="1:31" s="105" customFormat="1" x14ac:dyDescent="0.25">
      <c r="A77" s="118" t="s">
        <v>258</v>
      </c>
      <c r="B77" s="167">
        <v>2819.5</v>
      </c>
      <c r="C77" s="133">
        <v>45</v>
      </c>
      <c r="D77" s="97">
        <v>93.1209716796875</v>
      </c>
      <c r="E77" s="99">
        <v>89.609919352112954</v>
      </c>
      <c r="F77" s="102" t="s">
        <v>35</v>
      </c>
      <c r="G77" s="99">
        <v>87.722646310432566</v>
      </c>
      <c r="H77" s="98" t="s">
        <v>35</v>
      </c>
      <c r="I77" s="100">
        <v>97.508660857030236</v>
      </c>
      <c r="J77" s="98" t="s">
        <v>35</v>
      </c>
      <c r="K77" s="100">
        <v>91.306135617929186</v>
      </c>
      <c r="L77" s="98" t="s">
        <v>35</v>
      </c>
      <c r="M77" s="100">
        <v>82.544970019986678</v>
      </c>
      <c r="N77" s="98" t="s">
        <v>35</v>
      </c>
      <c r="O77" s="100">
        <v>-5.1776762904458877</v>
      </c>
      <c r="P77" s="102" t="s">
        <v>35</v>
      </c>
      <c r="Q77" s="99">
        <v>93.006556353418688</v>
      </c>
      <c r="R77" s="98" t="s">
        <v>35</v>
      </c>
      <c r="S77" s="100">
        <v>88.099934253780404</v>
      </c>
      <c r="T77" s="98" t="s">
        <v>35</v>
      </c>
      <c r="U77" s="100">
        <v>80.21857923497268</v>
      </c>
      <c r="V77" s="98" t="s">
        <v>35</v>
      </c>
      <c r="W77" s="100">
        <v>-7.8669832828111339</v>
      </c>
      <c r="X77" s="104" t="s">
        <v>35</v>
      </c>
      <c r="Y77" s="124"/>
      <c r="Z77" s="124"/>
      <c r="AA77" s="124"/>
      <c r="AB77" s="124"/>
      <c r="AC77" s="124"/>
      <c r="AD77" s="124"/>
      <c r="AE77" s="124"/>
    </row>
    <row r="78" spans="1:31" s="105" customFormat="1" x14ac:dyDescent="0.25">
      <c r="A78" s="118" t="s">
        <v>259</v>
      </c>
      <c r="B78" s="167">
        <v>6258</v>
      </c>
      <c r="C78" s="133">
        <v>196</v>
      </c>
      <c r="D78" s="97">
        <v>86.383705139160156</v>
      </c>
      <c r="E78" s="99">
        <v>96.056904801211445</v>
      </c>
      <c r="F78" s="102">
        <v>0.69480476044309136</v>
      </c>
      <c r="G78" s="99">
        <v>92.978579801387852</v>
      </c>
      <c r="H78" s="98">
        <v>2.0600286758091522</v>
      </c>
      <c r="I78" s="100">
        <v>96.586507223966962</v>
      </c>
      <c r="J78" s="98">
        <v>0.84057352596079804</v>
      </c>
      <c r="K78" s="100">
        <v>96.336549911177002</v>
      </c>
      <c r="L78" s="98">
        <v>1.1456618812648205</v>
      </c>
      <c r="M78" s="100">
        <v>98.660041887026537</v>
      </c>
      <c r="N78" s="98">
        <v>0.56021926668853039</v>
      </c>
      <c r="O78" s="100">
        <v>5.6814620856386853</v>
      </c>
      <c r="P78" s="102">
        <v>2.1522150953310528</v>
      </c>
      <c r="Q78" s="99">
        <v>96.008962047620543</v>
      </c>
      <c r="R78" s="98">
        <v>0.70289536987349188</v>
      </c>
      <c r="S78" s="100" t="s">
        <v>34</v>
      </c>
      <c r="T78" s="98" t="s">
        <v>34</v>
      </c>
      <c r="U78" s="100" t="s">
        <v>34</v>
      </c>
      <c r="V78" s="98" t="s">
        <v>34</v>
      </c>
      <c r="W78" s="100" t="s">
        <v>34</v>
      </c>
      <c r="X78" s="104" t="s">
        <v>34</v>
      </c>
      <c r="Y78" s="124"/>
      <c r="Z78" s="124"/>
      <c r="AA78" s="124"/>
      <c r="AB78" s="124"/>
      <c r="AC78" s="124"/>
      <c r="AD78" s="124"/>
      <c r="AE78" s="124"/>
    </row>
    <row r="79" spans="1:31" s="105" customFormat="1" x14ac:dyDescent="0.25">
      <c r="A79" s="118" t="s">
        <v>260</v>
      </c>
      <c r="B79" s="167">
        <v>2157</v>
      </c>
      <c r="C79" s="133">
        <v>37</v>
      </c>
      <c r="D79" s="97">
        <v>68.433212280273438</v>
      </c>
      <c r="E79" s="99">
        <v>89.366053169734158</v>
      </c>
      <c r="F79" s="102" t="s">
        <v>35</v>
      </c>
      <c r="G79" s="99">
        <v>78.894009216589865</v>
      </c>
      <c r="H79" s="98" t="s">
        <v>35</v>
      </c>
      <c r="I79" s="100">
        <v>98.6469864698647</v>
      </c>
      <c r="J79" s="98" t="s">
        <v>35</v>
      </c>
      <c r="K79" s="100">
        <v>98.79807692307692</v>
      </c>
      <c r="L79" s="98" t="s">
        <v>35</v>
      </c>
      <c r="M79" s="100">
        <v>83.549783549783555</v>
      </c>
      <c r="N79" s="98" t="s">
        <v>35</v>
      </c>
      <c r="O79" s="100">
        <v>4.6557743331936905</v>
      </c>
      <c r="P79" s="102" t="s">
        <v>35</v>
      </c>
      <c r="Q79" s="99">
        <v>89.297265510144072</v>
      </c>
      <c r="R79" s="98" t="s">
        <v>35</v>
      </c>
      <c r="S79" s="100" t="s">
        <v>34</v>
      </c>
      <c r="T79" s="98" t="s">
        <v>34</v>
      </c>
      <c r="U79" s="100" t="s">
        <v>34</v>
      </c>
      <c r="V79" s="98" t="s">
        <v>34</v>
      </c>
      <c r="W79" s="100" t="s">
        <v>34</v>
      </c>
      <c r="X79" s="104" t="s">
        <v>34</v>
      </c>
      <c r="Y79" s="124"/>
      <c r="Z79" s="124"/>
      <c r="AA79" s="124"/>
      <c r="AB79" s="124"/>
      <c r="AC79" s="124"/>
      <c r="AD79" s="124"/>
      <c r="AE79" s="124"/>
    </row>
    <row r="80" spans="1:31" s="105" customFormat="1" x14ac:dyDescent="0.25">
      <c r="A80" s="118" t="s">
        <v>261</v>
      </c>
      <c r="B80" s="167">
        <v>3466.5</v>
      </c>
      <c r="C80" s="133">
        <v>93</v>
      </c>
      <c r="D80" s="97">
        <v>51.976001739501953</v>
      </c>
      <c r="E80" s="99">
        <v>67.643360026290026</v>
      </c>
      <c r="F80" s="102">
        <v>5.0508130655193355</v>
      </c>
      <c r="G80" s="99">
        <v>76.911132391731087</v>
      </c>
      <c r="H80" s="98">
        <v>5.0563063490884659</v>
      </c>
      <c r="I80" s="100">
        <v>74.841080294976251</v>
      </c>
      <c r="J80" s="98">
        <v>11.049399680380963</v>
      </c>
      <c r="K80" s="100">
        <v>62.822593480129122</v>
      </c>
      <c r="L80" s="98">
        <v>11.609459844290745</v>
      </c>
      <c r="M80" s="100">
        <v>60.176245738152154</v>
      </c>
      <c r="N80" s="98">
        <v>7.9708722118588913</v>
      </c>
      <c r="O80" s="100">
        <v>-16.734886653578933</v>
      </c>
      <c r="P80" s="102">
        <v>8.3665891701095383</v>
      </c>
      <c r="Q80" s="99">
        <v>79.673468521042551</v>
      </c>
      <c r="R80" s="98">
        <v>3.8360181751121547</v>
      </c>
      <c r="S80" s="100" t="s">
        <v>34</v>
      </c>
      <c r="T80" s="98" t="s">
        <v>34</v>
      </c>
      <c r="U80" s="100">
        <v>29.518410167947394</v>
      </c>
      <c r="V80" s="98">
        <v>6.6903009668435365</v>
      </c>
      <c r="W80" s="100">
        <v>-50.155058353095157</v>
      </c>
      <c r="X80" s="104">
        <v>7.6577305239683566</v>
      </c>
      <c r="Y80" s="124"/>
      <c r="Z80" s="124"/>
      <c r="AA80" s="124"/>
      <c r="AB80" s="124"/>
      <c r="AC80" s="124"/>
      <c r="AD80" s="124"/>
      <c r="AE80" s="124"/>
    </row>
    <row r="81" spans="1:31" s="105" customFormat="1" x14ac:dyDescent="0.25">
      <c r="A81" s="118" t="s">
        <v>262</v>
      </c>
      <c r="B81" s="167">
        <v>4819</v>
      </c>
      <c r="C81" s="133">
        <v>65</v>
      </c>
      <c r="D81" s="97">
        <v>55.397712707519531</v>
      </c>
      <c r="E81" s="99">
        <v>53.025265667595903</v>
      </c>
      <c r="F81" s="102" t="s">
        <v>35</v>
      </c>
      <c r="G81" s="99">
        <v>67.876787678767883</v>
      </c>
      <c r="H81" s="98" t="s">
        <v>35</v>
      </c>
      <c r="I81" s="100">
        <v>58.275921767944084</v>
      </c>
      <c r="J81" s="98" t="s">
        <v>35</v>
      </c>
      <c r="K81" s="100">
        <v>54.213228605161937</v>
      </c>
      <c r="L81" s="98" t="s">
        <v>35</v>
      </c>
      <c r="M81" s="100">
        <v>38.892403908083821</v>
      </c>
      <c r="N81" s="98" t="s">
        <v>35</v>
      </c>
      <c r="O81" s="100">
        <v>-28.984383770684062</v>
      </c>
      <c r="P81" s="102" t="s">
        <v>35</v>
      </c>
      <c r="Q81" s="99">
        <v>53.018998876292507</v>
      </c>
      <c r="R81" s="98" t="s">
        <v>35</v>
      </c>
      <c r="S81" s="100" t="s">
        <v>34</v>
      </c>
      <c r="T81" s="98" t="s">
        <v>34</v>
      </c>
      <c r="U81" s="100">
        <v>47.362047288391345</v>
      </c>
      <c r="V81" s="98" t="s">
        <v>35</v>
      </c>
      <c r="W81" s="100">
        <v>-5.6569515879011618</v>
      </c>
      <c r="X81" s="104" t="s">
        <v>35</v>
      </c>
      <c r="Y81" s="124"/>
      <c r="Z81" s="124"/>
      <c r="AA81" s="124"/>
      <c r="AB81" s="124"/>
      <c r="AC81" s="124"/>
      <c r="AD81" s="124"/>
      <c r="AE81" s="124"/>
    </row>
    <row r="82" spans="1:31" s="105" customFormat="1" x14ac:dyDescent="0.25">
      <c r="A82" s="118" t="s">
        <v>263</v>
      </c>
      <c r="B82" s="167">
        <v>4899.5</v>
      </c>
      <c r="C82" s="133">
        <v>59</v>
      </c>
      <c r="D82" s="97">
        <v>25.972007751464844</v>
      </c>
      <c r="E82" s="99">
        <v>81.089573406731787</v>
      </c>
      <c r="F82" s="102">
        <v>2.4463021239217801</v>
      </c>
      <c r="G82" s="99">
        <v>72.041174303557185</v>
      </c>
      <c r="H82" s="98">
        <v>8.5142520742510861</v>
      </c>
      <c r="I82" s="100">
        <v>87.841229699248487</v>
      </c>
      <c r="J82" s="98">
        <v>2.9116044928256968</v>
      </c>
      <c r="K82" s="100">
        <v>88.468492104322195</v>
      </c>
      <c r="L82" s="98">
        <v>1.738370736536295</v>
      </c>
      <c r="M82" s="100">
        <v>69.433305773817168</v>
      </c>
      <c r="N82" s="98">
        <v>6.9838035790147446</v>
      </c>
      <c r="O82" s="100">
        <v>-2.607868529740017</v>
      </c>
      <c r="P82" s="102">
        <v>11.135869250110456</v>
      </c>
      <c r="Q82" s="99">
        <v>86.229515095820616</v>
      </c>
      <c r="R82" s="98">
        <v>1.9090798539337266</v>
      </c>
      <c r="S82" s="100" t="s">
        <v>34</v>
      </c>
      <c r="T82" s="98" t="s">
        <v>34</v>
      </c>
      <c r="U82" s="100">
        <v>71.300621463017976</v>
      </c>
      <c r="V82" s="98">
        <v>5.9961380159488309</v>
      </c>
      <c r="W82" s="100">
        <v>-14.928893632802641</v>
      </c>
      <c r="X82" s="104">
        <v>6.291353624374409</v>
      </c>
      <c r="Y82" s="124"/>
      <c r="Z82" s="124"/>
      <c r="AA82" s="124"/>
      <c r="AB82" s="124"/>
      <c r="AC82" s="124"/>
      <c r="AD82" s="124"/>
      <c r="AE82" s="124"/>
    </row>
    <row r="83" spans="1:31" s="105" customFormat="1" x14ac:dyDescent="0.25">
      <c r="A83" s="118" t="s">
        <v>264</v>
      </c>
      <c r="B83" s="167">
        <v>9644</v>
      </c>
      <c r="C83" s="133">
        <v>286</v>
      </c>
      <c r="D83" s="97">
        <v>86.511054992675781</v>
      </c>
      <c r="E83" s="99">
        <v>83.598253806516254</v>
      </c>
      <c r="F83" s="102">
        <v>2.0062694127381726</v>
      </c>
      <c r="G83" s="99">
        <v>88.767422909101398</v>
      </c>
      <c r="H83" s="98">
        <v>2.313499110915421</v>
      </c>
      <c r="I83" s="100">
        <v>90.82276645756437</v>
      </c>
      <c r="J83" s="98">
        <v>3.0286228261383452</v>
      </c>
      <c r="K83" s="100">
        <v>89.033923889291955</v>
      </c>
      <c r="L83" s="98">
        <v>3.0074298599788438</v>
      </c>
      <c r="M83" s="100">
        <v>72.072128042366543</v>
      </c>
      <c r="N83" s="98">
        <v>4.7837768023896245</v>
      </c>
      <c r="O83" s="100">
        <v>-16.695294866734855</v>
      </c>
      <c r="P83" s="102">
        <v>5.2106183258349592</v>
      </c>
      <c r="Q83" s="99">
        <v>92.742151544170142</v>
      </c>
      <c r="R83" s="98">
        <v>1.1591314062123306</v>
      </c>
      <c r="S83" s="100" t="s">
        <v>34</v>
      </c>
      <c r="T83" s="98" t="s">
        <v>34</v>
      </c>
      <c r="U83" s="100">
        <v>66.882831623202208</v>
      </c>
      <c r="V83" s="98">
        <v>4.5157831090249463</v>
      </c>
      <c r="W83" s="100">
        <v>-25.859319920967934</v>
      </c>
      <c r="X83" s="104">
        <v>4.6174114930478511</v>
      </c>
      <c r="Y83" s="124"/>
      <c r="Z83" s="124"/>
      <c r="AA83" s="124"/>
      <c r="AB83" s="124"/>
      <c r="AC83" s="124"/>
      <c r="AD83" s="124"/>
      <c r="AE83" s="124"/>
    </row>
    <row r="84" spans="1:31" s="105" customFormat="1" x14ac:dyDescent="0.25">
      <c r="A84" s="118" t="s">
        <v>265</v>
      </c>
      <c r="B84" s="167">
        <v>9430.5</v>
      </c>
      <c r="C84" s="133">
        <v>107</v>
      </c>
      <c r="D84" s="97">
        <v>57.999870300292969</v>
      </c>
      <c r="E84" s="99">
        <v>86.552406335673098</v>
      </c>
      <c r="F84" s="102">
        <v>2.1365394864149931</v>
      </c>
      <c r="G84" s="99">
        <v>94.925504993223342</v>
      </c>
      <c r="H84" s="98">
        <v>1.7616939220888481</v>
      </c>
      <c r="I84" s="100">
        <v>98.429361823640164</v>
      </c>
      <c r="J84" s="98">
        <v>0.45749357443208249</v>
      </c>
      <c r="K84" s="100">
        <v>98.538946771490743</v>
      </c>
      <c r="L84" s="98">
        <v>0.65396132502198001</v>
      </c>
      <c r="M84" s="100">
        <v>72.471993183946964</v>
      </c>
      <c r="N84" s="98">
        <v>4.0340269424803221</v>
      </c>
      <c r="O84" s="100">
        <v>-22.453511809276378</v>
      </c>
      <c r="P84" s="102">
        <v>4.4813894806144434</v>
      </c>
      <c r="Q84" s="99">
        <v>94.651198716678834</v>
      </c>
      <c r="R84" s="98">
        <v>1.9844482802577033</v>
      </c>
      <c r="S84" s="100">
        <v>55.398232871593784</v>
      </c>
      <c r="T84" s="98">
        <v>5.1736730418428731</v>
      </c>
      <c r="U84" s="100">
        <v>72.101123666272144</v>
      </c>
      <c r="V84" s="98">
        <v>7.1555608446380194</v>
      </c>
      <c r="W84" s="100">
        <v>-26.14362340469718</v>
      </c>
      <c r="X84" s="104">
        <v>5.8219388809139963</v>
      </c>
      <c r="Y84" s="124"/>
      <c r="Z84" s="124"/>
      <c r="AA84" s="124"/>
      <c r="AB84" s="124"/>
      <c r="AC84" s="124"/>
      <c r="AD84" s="124"/>
      <c r="AE84" s="124"/>
    </row>
    <row r="85" spans="1:31" s="105" customFormat="1" x14ac:dyDescent="0.25">
      <c r="A85" s="118" t="s">
        <v>266</v>
      </c>
      <c r="B85" s="167">
        <v>15432</v>
      </c>
      <c r="C85" s="133">
        <v>132</v>
      </c>
      <c r="D85" s="97">
        <v>83.865646362304688</v>
      </c>
      <c r="E85" s="99">
        <v>84.196617336152215</v>
      </c>
      <c r="F85" s="102" t="s">
        <v>35</v>
      </c>
      <c r="G85" s="99">
        <v>97.266001929880986</v>
      </c>
      <c r="H85" s="98" t="s">
        <v>35</v>
      </c>
      <c r="I85" s="100">
        <v>96.828835926728388</v>
      </c>
      <c r="J85" s="98" t="s">
        <v>35</v>
      </c>
      <c r="K85" s="100">
        <v>81.224260576563083</v>
      </c>
      <c r="L85" s="98" t="s">
        <v>35</v>
      </c>
      <c r="M85" s="100">
        <v>76.165522226237798</v>
      </c>
      <c r="N85" s="98" t="s">
        <v>35</v>
      </c>
      <c r="O85" s="100">
        <v>-21.100479703643188</v>
      </c>
      <c r="P85" s="102" t="s">
        <v>35</v>
      </c>
      <c r="Q85" s="99">
        <v>97.085700172882198</v>
      </c>
      <c r="R85" s="98" t="s">
        <v>35</v>
      </c>
      <c r="S85" s="100" t="s">
        <v>34</v>
      </c>
      <c r="T85" s="98" t="s">
        <v>34</v>
      </c>
      <c r="U85" s="100">
        <v>78.579830372067107</v>
      </c>
      <c r="V85" s="98" t="s">
        <v>35</v>
      </c>
      <c r="W85" s="100">
        <v>-18.505869800815091</v>
      </c>
      <c r="X85" s="104" t="s">
        <v>35</v>
      </c>
      <c r="Y85" s="124"/>
      <c r="Z85" s="124"/>
      <c r="AA85" s="124"/>
      <c r="AB85" s="124"/>
      <c r="AC85" s="124"/>
      <c r="AD85" s="124"/>
      <c r="AE85" s="124"/>
    </row>
    <row r="86" spans="1:31" s="105" customFormat="1" x14ac:dyDescent="0.25">
      <c r="A86" s="118" t="s">
        <v>267</v>
      </c>
      <c r="B86" s="167">
        <v>7277.5</v>
      </c>
      <c r="C86" s="133">
        <v>115</v>
      </c>
      <c r="D86" s="97">
        <v>76.138458251953125</v>
      </c>
      <c r="E86" s="99">
        <v>98.339506520077066</v>
      </c>
      <c r="F86" s="102">
        <v>0.86305918531761938</v>
      </c>
      <c r="G86" s="99">
        <v>99.378465235219679</v>
      </c>
      <c r="H86" s="98">
        <v>0.37774020075116421</v>
      </c>
      <c r="I86" s="100">
        <v>94.640425029248348</v>
      </c>
      <c r="J86" s="98">
        <v>3.1951895806046533</v>
      </c>
      <c r="K86" s="100">
        <v>99.590834994755483</v>
      </c>
      <c r="L86" s="98">
        <v>0.23858089786671235</v>
      </c>
      <c r="M86" s="100">
        <v>99.963077466864803</v>
      </c>
      <c r="N86" s="98">
        <v>3.9763678620546188E-2</v>
      </c>
      <c r="O86" s="100">
        <v>0.58461223164512433</v>
      </c>
      <c r="P86" s="102">
        <v>0.38141760543273212</v>
      </c>
      <c r="Q86" s="99">
        <v>98.320134796647594</v>
      </c>
      <c r="R86" s="98">
        <v>0.87294186468752943</v>
      </c>
      <c r="S86" s="100" t="s">
        <v>34</v>
      </c>
      <c r="T86" s="98" t="s">
        <v>34</v>
      </c>
      <c r="U86" s="100" t="s">
        <v>34</v>
      </c>
      <c r="V86" s="98" t="s">
        <v>34</v>
      </c>
      <c r="W86" s="100" t="s">
        <v>34</v>
      </c>
      <c r="X86" s="104" t="s">
        <v>34</v>
      </c>
      <c r="Y86" s="124"/>
      <c r="Z86" s="124"/>
      <c r="AA86" s="124"/>
      <c r="AB86" s="124"/>
      <c r="AC86" s="124"/>
      <c r="AD86" s="124"/>
      <c r="AE86" s="124"/>
    </row>
    <row r="87" spans="1:31" s="105" customFormat="1" x14ac:dyDescent="0.25">
      <c r="A87" s="118" t="s">
        <v>268</v>
      </c>
      <c r="B87" s="167">
        <v>11412.5</v>
      </c>
      <c r="C87" s="133">
        <v>220</v>
      </c>
      <c r="D87" s="97">
        <v>86.557319641113281</v>
      </c>
      <c r="E87" s="99">
        <v>99.120191973793951</v>
      </c>
      <c r="F87" s="102">
        <v>0.26371453736366229</v>
      </c>
      <c r="G87" s="99">
        <v>98.678842098917116</v>
      </c>
      <c r="H87" s="98">
        <v>0.47580915693252035</v>
      </c>
      <c r="I87" s="100">
        <v>99.579814079044581</v>
      </c>
      <c r="J87" s="98">
        <v>0.22184936689532958</v>
      </c>
      <c r="K87" s="100">
        <v>98.606117279531986</v>
      </c>
      <c r="L87" s="98">
        <v>0.71396511446315769</v>
      </c>
      <c r="M87" s="100">
        <v>99.828450817547832</v>
      </c>
      <c r="N87" s="98">
        <v>0.11279578728566565</v>
      </c>
      <c r="O87" s="100">
        <v>1.1496087186307165</v>
      </c>
      <c r="P87" s="102">
        <v>0.473846155865987</v>
      </c>
      <c r="Q87" s="99">
        <v>99.120191973793951</v>
      </c>
      <c r="R87" s="98">
        <v>0.26371453736366229</v>
      </c>
      <c r="S87" s="100" t="s">
        <v>34</v>
      </c>
      <c r="T87" s="98" t="s">
        <v>34</v>
      </c>
      <c r="U87" s="100" t="s">
        <v>34</v>
      </c>
      <c r="V87" s="98" t="s">
        <v>34</v>
      </c>
      <c r="W87" s="100" t="s">
        <v>34</v>
      </c>
      <c r="X87" s="104" t="s">
        <v>34</v>
      </c>
      <c r="Y87" s="124"/>
      <c r="Z87" s="124"/>
      <c r="AA87" s="124"/>
      <c r="AB87" s="124"/>
      <c r="AC87" s="124"/>
      <c r="AD87" s="124"/>
      <c r="AE87" s="124"/>
    </row>
    <row r="88" spans="1:31" s="105" customFormat="1" x14ac:dyDescent="0.25">
      <c r="A88" s="118" t="s">
        <v>269</v>
      </c>
      <c r="B88" s="167">
        <v>1654.5</v>
      </c>
      <c r="C88" s="133">
        <v>38</v>
      </c>
      <c r="D88" s="97">
        <v>18.531652450561523</v>
      </c>
      <c r="E88" s="99">
        <v>77.734432132739045</v>
      </c>
      <c r="F88" s="102">
        <v>7.1601017288338529</v>
      </c>
      <c r="G88" s="99">
        <v>90.263381496263335</v>
      </c>
      <c r="H88" s="98">
        <v>8.2143966643040525</v>
      </c>
      <c r="I88" s="100">
        <v>99.151314876146557</v>
      </c>
      <c r="J88" s="98">
        <v>0.47840854174372177</v>
      </c>
      <c r="K88" s="100">
        <v>85.59727163709465</v>
      </c>
      <c r="L88" s="98">
        <v>12.487644339031821</v>
      </c>
      <c r="M88" s="100">
        <v>57.737224018178161</v>
      </c>
      <c r="N88" s="98">
        <v>14.628961741830699</v>
      </c>
      <c r="O88" s="100">
        <v>-32.526157478085175</v>
      </c>
      <c r="P88" s="102">
        <v>16.73292831956671</v>
      </c>
      <c r="Q88" s="99">
        <v>85.612959822727262</v>
      </c>
      <c r="R88" s="98">
        <v>7.4059273774205394</v>
      </c>
      <c r="S88" s="100" t="s">
        <v>34</v>
      </c>
      <c r="T88" s="98" t="s">
        <v>34</v>
      </c>
      <c r="U88" s="100">
        <v>91.345527562089359</v>
      </c>
      <c r="V88" s="98">
        <v>8.8606571801646368</v>
      </c>
      <c r="W88" s="100">
        <v>5.7325677393620964</v>
      </c>
      <c r="X88" s="104">
        <v>11.459567627654074</v>
      </c>
      <c r="Y88" s="124"/>
      <c r="Z88" s="124"/>
      <c r="AA88" s="124"/>
      <c r="AB88" s="124"/>
      <c r="AC88" s="124"/>
      <c r="AD88" s="124"/>
      <c r="AE88" s="124"/>
    </row>
    <row r="89" spans="1:31" s="105" customFormat="1" x14ac:dyDescent="0.25">
      <c r="A89" s="118" t="s">
        <v>270</v>
      </c>
      <c r="B89" s="167">
        <v>8907.5</v>
      </c>
      <c r="C89" s="133">
        <v>143</v>
      </c>
      <c r="D89" s="97">
        <v>79.676033020019531</v>
      </c>
      <c r="E89" s="99">
        <v>75.664547227381803</v>
      </c>
      <c r="F89" s="102">
        <v>3.2289181055741567</v>
      </c>
      <c r="G89" s="99">
        <v>75.617748378380767</v>
      </c>
      <c r="H89" s="98">
        <v>4.1404550470303052</v>
      </c>
      <c r="I89" s="100">
        <v>84.313654506657457</v>
      </c>
      <c r="J89" s="98">
        <v>2.6402491553865217</v>
      </c>
      <c r="K89" s="100">
        <v>71.377669327537802</v>
      </c>
      <c r="L89" s="98">
        <v>7.0706030856497373</v>
      </c>
      <c r="M89" s="100">
        <v>69.351668583024662</v>
      </c>
      <c r="N89" s="98">
        <v>7.8518347934592461</v>
      </c>
      <c r="O89" s="100">
        <v>-6.2660797953561058</v>
      </c>
      <c r="P89" s="102">
        <v>8.8840207874753876</v>
      </c>
      <c r="Q89" s="99">
        <v>76.188095119752887</v>
      </c>
      <c r="R89" s="98">
        <v>3.3052995364610154</v>
      </c>
      <c r="S89" s="100" t="s">
        <v>34</v>
      </c>
      <c r="T89" s="98" t="s">
        <v>34</v>
      </c>
      <c r="U89" s="100">
        <v>58.40926038117594</v>
      </c>
      <c r="V89" s="98">
        <v>9.0688179610609581</v>
      </c>
      <c r="W89" s="100">
        <v>-17.778834738576947</v>
      </c>
      <c r="X89" s="104">
        <v>9.6765224542176167</v>
      </c>
      <c r="Y89" s="124"/>
      <c r="Z89" s="124"/>
      <c r="AA89" s="124"/>
      <c r="AB89" s="124"/>
      <c r="AC89" s="124"/>
      <c r="AD89" s="124"/>
      <c r="AE89" s="124"/>
    </row>
    <row r="90" spans="1:31" s="105" customFormat="1" x14ac:dyDescent="0.25">
      <c r="A90" s="118" t="s">
        <v>271</v>
      </c>
      <c r="B90" s="167">
        <v>13810</v>
      </c>
      <c r="C90" s="133">
        <v>133</v>
      </c>
      <c r="D90" s="97">
        <v>78.432823181152344</v>
      </c>
      <c r="E90" s="99">
        <v>81.514213612423035</v>
      </c>
      <c r="F90" s="102">
        <v>6.0511141554987589</v>
      </c>
      <c r="G90" s="99">
        <v>97.13385354141657</v>
      </c>
      <c r="H90" s="98" t="s">
        <v>35</v>
      </c>
      <c r="I90" s="100">
        <v>96.371483375959073</v>
      </c>
      <c r="J90" s="98" t="s">
        <v>35</v>
      </c>
      <c r="K90" s="100">
        <v>98.617886178861795</v>
      </c>
      <c r="L90" s="98" t="s">
        <v>35</v>
      </c>
      <c r="M90" s="100">
        <v>56.412965910600242</v>
      </c>
      <c r="N90" s="98">
        <v>11.092578338580909</v>
      </c>
      <c r="O90" s="100">
        <v>-40.720887630816328</v>
      </c>
      <c r="P90" s="102">
        <v>11.092578338580909</v>
      </c>
      <c r="Q90" s="99">
        <v>96.667501944620156</v>
      </c>
      <c r="R90" s="98">
        <v>9.0873520193658311E-2</v>
      </c>
      <c r="S90" s="100" t="s">
        <v>34</v>
      </c>
      <c r="T90" s="98" t="s">
        <v>34</v>
      </c>
      <c r="U90" s="100">
        <v>28.468376564486245</v>
      </c>
      <c r="V90" s="98">
        <v>10.75687920606355</v>
      </c>
      <c r="W90" s="100">
        <v>-68.199125380133907</v>
      </c>
      <c r="X90" s="104">
        <v>10.784195407698322</v>
      </c>
      <c r="Y90" s="124"/>
      <c r="Z90" s="124"/>
      <c r="AA90" s="124"/>
      <c r="AB90" s="124"/>
      <c r="AC90" s="124"/>
      <c r="AD90" s="124"/>
      <c r="AE90" s="124"/>
    </row>
    <row r="91" spans="1:31" s="105" customFormat="1" x14ac:dyDescent="0.25">
      <c r="A91" s="118" t="s">
        <v>272</v>
      </c>
      <c r="B91" s="167">
        <v>20579</v>
      </c>
      <c r="C91" s="133">
        <v>145</v>
      </c>
      <c r="D91" s="97">
        <v>76.025657653808594</v>
      </c>
      <c r="E91" s="99">
        <v>91.884339398349866</v>
      </c>
      <c r="F91" s="102">
        <v>0.83267827604054545</v>
      </c>
      <c r="G91" s="99">
        <v>84.896605983869463</v>
      </c>
      <c r="H91" s="98">
        <v>2.7399885750561981</v>
      </c>
      <c r="I91" s="100">
        <v>92.647691603872673</v>
      </c>
      <c r="J91" s="98">
        <v>1.1713936680259034</v>
      </c>
      <c r="K91" s="100">
        <v>95.233080576988257</v>
      </c>
      <c r="L91" s="98">
        <v>0.9357412958787189</v>
      </c>
      <c r="M91" s="100">
        <v>95.267338023383886</v>
      </c>
      <c r="N91" s="98">
        <v>1.1401653516985804</v>
      </c>
      <c r="O91" s="100">
        <v>10.370732039514422</v>
      </c>
      <c r="P91" s="102">
        <v>2.9140476450957808</v>
      </c>
      <c r="Q91" s="99">
        <v>93.850699906641182</v>
      </c>
      <c r="R91" s="98">
        <v>0.87849774363143396</v>
      </c>
      <c r="S91" s="100">
        <v>79.870428407752925</v>
      </c>
      <c r="T91" s="98">
        <v>5.419281566772308</v>
      </c>
      <c r="U91" s="100">
        <v>88.855005551173761</v>
      </c>
      <c r="V91" s="98">
        <v>3.1851587158645671</v>
      </c>
      <c r="W91" s="100">
        <v>-7.7548604072613188</v>
      </c>
      <c r="X91" s="104">
        <v>2.8723908333102877</v>
      </c>
      <c r="Y91" s="124"/>
      <c r="Z91" s="124"/>
      <c r="AA91" s="124"/>
      <c r="AB91" s="124"/>
      <c r="AC91" s="124"/>
      <c r="AD91" s="124"/>
      <c r="AE91" s="124"/>
    </row>
    <row r="92" spans="1:31" s="105" customFormat="1" x14ac:dyDescent="0.25">
      <c r="A92" s="118" t="s">
        <v>273</v>
      </c>
      <c r="B92" s="167">
        <v>24126.5</v>
      </c>
      <c r="C92" s="133">
        <v>194</v>
      </c>
      <c r="D92" s="97">
        <v>88.043098449707031</v>
      </c>
      <c r="E92" s="99">
        <v>69.100200318100576</v>
      </c>
      <c r="F92" s="102">
        <v>18.309640869745994</v>
      </c>
      <c r="G92" s="99">
        <v>96.622212539452704</v>
      </c>
      <c r="H92" s="98">
        <v>1.0147963989091222</v>
      </c>
      <c r="I92" s="100">
        <v>39.531950382730358</v>
      </c>
      <c r="J92" s="98">
        <v>24.026650110185301</v>
      </c>
      <c r="K92" s="100">
        <v>96.773423041811867</v>
      </c>
      <c r="L92" s="98">
        <v>1.0312901085199377</v>
      </c>
      <c r="M92" s="100">
        <v>89.271908312829297</v>
      </c>
      <c r="N92" s="98">
        <v>2.1755105472225198</v>
      </c>
      <c r="O92" s="100">
        <v>-7.3503042266234075</v>
      </c>
      <c r="P92" s="102">
        <v>2.4469710953414379</v>
      </c>
      <c r="Q92" s="99">
        <v>96.643864333873154</v>
      </c>
      <c r="R92" s="98">
        <v>0.51456997194281551</v>
      </c>
      <c r="S92" s="100">
        <v>20.725063780143675</v>
      </c>
      <c r="T92" s="98">
        <v>15.518564861499533</v>
      </c>
      <c r="U92" s="100">
        <v>79.862046335230929</v>
      </c>
      <c r="V92" s="98">
        <v>5.5553668084871282</v>
      </c>
      <c r="W92" s="100">
        <v>-64.669883547838836</v>
      </c>
      <c r="X92" s="104">
        <v>20.303492357588414</v>
      </c>
      <c r="Y92" s="124"/>
      <c r="Z92" s="124"/>
      <c r="AA92" s="124"/>
      <c r="AB92" s="124"/>
      <c r="AC92" s="124"/>
      <c r="AD92" s="124"/>
      <c r="AE92" s="124"/>
    </row>
    <row r="93" spans="1:31" s="105" customFormat="1" x14ac:dyDescent="0.25">
      <c r="A93" s="118" t="s">
        <v>274</v>
      </c>
      <c r="B93" s="167">
        <v>8170</v>
      </c>
      <c r="C93" s="133">
        <v>196</v>
      </c>
      <c r="D93" s="97">
        <v>77.55340576171875</v>
      </c>
      <c r="E93" s="99">
        <v>89.377685802243107</v>
      </c>
      <c r="F93" s="102">
        <v>1.596844528402624</v>
      </c>
      <c r="G93" s="99">
        <v>83.921484739575732</v>
      </c>
      <c r="H93" s="98">
        <v>2.9785241027540144</v>
      </c>
      <c r="I93" s="100">
        <v>89.478575448137363</v>
      </c>
      <c r="J93" s="98">
        <v>2.8040037212607474</v>
      </c>
      <c r="K93" s="100">
        <v>91.45931541792298</v>
      </c>
      <c r="L93" s="98">
        <v>2.3706272696766861</v>
      </c>
      <c r="M93" s="100">
        <v>93.290741745706654</v>
      </c>
      <c r="N93" s="98">
        <v>2.5458267349823589</v>
      </c>
      <c r="O93" s="100">
        <v>9.3692570061309226</v>
      </c>
      <c r="P93" s="102">
        <v>3.8400556417544265</v>
      </c>
      <c r="Q93" s="99">
        <v>89.263151262393876</v>
      </c>
      <c r="R93" s="98">
        <v>1.6089185068977505</v>
      </c>
      <c r="S93" s="100" t="s">
        <v>34</v>
      </c>
      <c r="T93" s="98" t="s">
        <v>34</v>
      </c>
      <c r="U93" s="100" t="s">
        <v>34</v>
      </c>
      <c r="V93" s="98" t="s">
        <v>34</v>
      </c>
      <c r="W93" s="100" t="s">
        <v>34</v>
      </c>
      <c r="X93" s="104" t="s">
        <v>34</v>
      </c>
      <c r="Y93" s="124"/>
      <c r="Z93" s="124"/>
      <c r="AA93" s="124"/>
      <c r="AB93" s="124"/>
      <c r="AC93" s="124"/>
      <c r="AD93" s="124"/>
      <c r="AE93" s="124"/>
    </row>
    <row r="94" spans="1:31" s="105" customFormat="1" x14ac:dyDescent="0.25">
      <c r="A94" s="118" t="s">
        <v>275</v>
      </c>
      <c r="B94" s="167">
        <v>19606.5</v>
      </c>
      <c r="C94" s="133">
        <v>166</v>
      </c>
      <c r="D94" s="97">
        <v>25.316459655761719</v>
      </c>
      <c r="E94" s="99">
        <v>24.636982605784453</v>
      </c>
      <c r="F94" s="102">
        <v>1.3933223752369808</v>
      </c>
      <c r="G94" s="99">
        <v>33.868416707480449</v>
      </c>
      <c r="H94" s="98">
        <v>5.791724363823338</v>
      </c>
      <c r="I94" s="100">
        <v>25.572889843486674</v>
      </c>
      <c r="J94" s="98">
        <v>2.7212596801104567</v>
      </c>
      <c r="K94" s="100">
        <v>19.084349757548512</v>
      </c>
      <c r="L94" s="98">
        <v>2.1386629077385173</v>
      </c>
      <c r="M94" s="100">
        <v>24.864167869457262</v>
      </c>
      <c r="N94" s="98">
        <v>2.4392755935911139</v>
      </c>
      <c r="O94" s="100">
        <v>-9.0042488380231873</v>
      </c>
      <c r="P94" s="102">
        <v>6.3130158369184866</v>
      </c>
      <c r="Q94" s="99">
        <v>52.658268216441272</v>
      </c>
      <c r="R94" s="98">
        <v>8.7735096794263626E-2</v>
      </c>
      <c r="S94" s="100" t="s">
        <v>34</v>
      </c>
      <c r="T94" s="98" t="s">
        <v>34</v>
      </c>
      <c r="U94" s="100">
        <v>20.886440306779473</v>
      </c>
      <c r="V94" s="98">
        <v>1.5284799440609675</v>
      </c>
      <c r="W94" s="100">
        <v>-31.771827909661798</v>
      </c>
      <c r="X94" s="104">
        <v>1.5294485102485529</v>
      </c>
      <c r="Y94" s="124"/>
      <c r="Z94" s="124"/>
      <c r="AA94" s="124"/>
      <c r="AB94" s="124"/>
      <c r="AC94" s="124"/>
      <c r="AD94" s="124"/>
      <c r="AE94" s="124"/>
    </row>
    <row r="95" spans="1:31" s="105" customFormat="1" x14ac:dyDescent="0.25">
      <c r="A95" s="118" t="s">
        <v>276</v>
      </c>
      <c r="B95" s="167">
        <v>10463</v>
      </c>
      <c r="C95" s="133">
        <v>171</v>
      </c>
      <c r="D95" s="97">
        <v>90.388267517089844</v>
      </c>
      <c r="E95" s="99">
        <v>53.466462153332678</v>
      </c>
      <c r="F95" s="102">
        <v>2.3883905318606642</v>
      </c>
      <c r="G95" s="99">
        <v>47.42462172770756</v>
      </c>
      <c r="H95" s="98">
        <v>4.9803459447070875</v>
      </c>
      <c r="I95" s="100">
        <v>51.811890159922356</v>
      </c>
      <c r="J95" s="98">
        <v>2.0679054660584337</v>
      </c>
      <c r="K95" s="100">
        <v>57.904309761215757</v>
      </c>
      <c r="L95" s="98">
        <v>3.9459090441417004</v>
      </c>
      <c r="M95" s="100">
        <v>65.800640164521624</v>
      </c>
      <c r="N95" s="98">
        <v>3.658941219479503</v>
      </c>
      <c r="O95" s="100">
        <v>18.376018436814064</v>
      </c>
      <c r="P95" s="102">
        <v>6.2056242877468151</v>
      </c>
      <c r="Q95" s="99">
        <v>52.320460288695209</v>
      </c>
      <c r="R95" s="98">
        <v>2.5730523516450119</v>
      </c>
      <c r="S95" s="100" t="s">
        <v>34</v>
      </c>
      <c r="T95" s="98" t="s">
        <v>34</v>
      </c>
      <c r="U95" s="100">
        <v>60.870793377984604</v>
      </c>
      <c r="V95" s="98">
        <v>5.2133502441038049</v>
      </c>
      <c r="W95" s="100">
        <v>8.5503330892893956</v>
      </c>
      <c r="X95" s="104">
        <v>5.7646108935448055</v>
      </c>
      <c r="Y95" s="124"/>
      <c r="Z95" s="124"/>
      <c r="AA95" s="124"/>
      <c r="AB95" s="124"/>
      <c r="AC95" s="124"/>
      <c r="AD95" s="124"/>
      <c r="AE95" s="124"/>
    </row>
    <row r="96" spans="1:31" s="105" customFormat="1" ht="13.8" thickBot="1" x14ac:dyDescent="0.3">
      <c r="A96" s="125" t="s">
        <v>277</v>
      </c>
      <c r="B96" s="168">
        <v>3094.5</v>
      </c>
      <c r="C96" s="144">
        <v>44</v>
      </c>
      <c r="D96" s="110">
        <v>36.359298706054688</v>
      </c>
      <c r="E96" s="112">
        <v>96.654111643198547</v>
      </c>
      <c r="F96" s="115">
        <v>2.4789815287263757</v>
      </c>
      <c r="G96" s="112">
        <v>100.00000000000001</v>
      </c>
      <c r="H96" s="111">
        <v>3.0478887807599928E-14</v>
      </c>
      <c r="I96" s="113">
        <v>93.302220847808172</v>
      </c>
      <c r="J96" s="111">
        <v>6.7408574771568839</v>
      </c>
      <c r="K96" s="113">
        <v>100</v>
      </c>
      <c r="L96" s="111">
        <v>1.4561792860887976E-14</v>
      </c>
      <c r="M96" s="113">
        <v>91.700393833083254</v>
      </c>
      <c r="N96" s="111">
        <v>9.1130790153745629</v>
      </c>
      <c r="O96" s="113">
        <v>-8.2996061669167602</v>
      </c>
      <c r="P96" s="115">
        <v>9.1130790153745629</v>
      </c>
      <c r="Q96" s="112">
        <v>96.059965376762094</v>
      </c>
      <c r="R96" s="111">
        <v>2.9119555729148687</v>
      </c>
      <c r="S96" s="113" t="s">
        <v>34</v>
      </c>
      <c r="T96" s="111" t="s">
        <v>34</v>
      </c>
      <c r="U96" s="113">
        <v>100</v>
      </c>
      <c r="V96" s="111">
        <v>1.1007680729470101E-14</v>
      </c>
      <c r="W96" s="113">
        <v>3.9400346232379064</v>
      </c>
      <c r="X96" s="117">
        <v>2.9119555729148701</v>
      </c>
      <c r="Y96" s="124"/>
      <c r="Z96" s="124"/>
      <c r="AA96" s="124"/>
      <c r="AB96" s="124"/>
      <c r="AC96" s="124"/>
      <c r="AD96" s="124"/>
      <c r="AE96" s="124"/>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64</v>
      </c>
    </row>
    <row r="109" spans="1:21" x14ac:dyDescent="0.25">
      <c r="A109" s="27" t="s">
        <v>55</v>
      </c>
    </row>
    <row r="110" spans="1:21" x14ac:dyDescent="0.25">
      <c r="A110" s="27" t="s">
        <v>56</v>
      </c>
    </row>
    <row r="111" spans="1:21" x14ac:dyDescent="0.25">
      <c r="A111" s="4" t="s">
        <v>43</v>
      </c>
    </row>
    <row r="112" spans="1:21" x14ac:dyDescent="0.25">
      <c r="A112" s="27" t="s">
        <v>42</v>
      </c>
    </row>
  </sheetData>
  <mergeCells count="14">
    <mergeCell ref="B12:F12"/>
    <mergeCell ref="G12:P12"/>
    <mergeCell ref="B13:C13"/>
    <mergeCell ref="E13:F13"/>
    <mergeCell ref="O13:P13"/>
    <mergeCell ref="G13:H13"/>
    <mergeCell ref="I13:J13"/>
    <mergeCell ref="K13:L13"/>
    <mergeCell ref="M13:N13"/>
    <mergeCell ref="Q12:X12"/>
    <mergeCell ref="Q13:R13"/>
    <mergeCell ref="S13:T13"/>
    <mergeCell ref="U13:V13"/>
    <mergeCell ref="W13:X13"/>
  </mergeCells>
  <conditionalFormatting sqref="W16:W96 O16:O96">
    <cfRule type="expression" dxfId="23" priority="3">
      <formula>ABS(O16/P16)&gt;1.96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AE113"/>
  <sheetViews>
    <sheetView showGridLines="0" zoomScale="80" zoomScaleNormal="80" workbookViewId="0"/>
  </sheetViews>
  <sheetFormatPr defaultColWidth="9.109375" defaultRowHeight="13.2" x14ac:dyDescent="0.25"/>
  <cols>
    <col min="1" max="1" width="25.33203125" style="4" customWidth="1"/>
    <col min="2" max="4" width="13.109375" style="4" customWidth="1"/>
    <col min="5"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65</v>
      </c>
      <c r="B6" s="2"/>
      <c r="C6" s="3"/>
      <c r="D6" s="2"/>
      <c r="E6" s="3"/>
      <c r="F6" s="3"/>
      <c r="G6" s="3"/>
      <c r="H6" s="3"/>
      <c r="I6" s="3"/>
      <c r="J6" s="3"/>
      <c r="K6" s="3"/>
      <c r="L6" s="3"/>
      <c r="M6" s="3"/>
      <c r="N6" s="3"/>
      <c r="O6" s="3"/>
      <c r="P6" s="3"/>
    </row>
    <row r="7" spans="1:31" x14ac:dyDescent="0.25">
      <c r="A7" s="5" t="s">
        <v>66</v>
      </c>
    </row>
    <row r="8" spans="1:31" x14ac:dyDescent="0.25">
      <c r="A8" s="6" t="s">
        <v>46</v>
      </c>
    </row>
    <row r="9" spans="1:31" x14ac:dyDescent="0.25">
      <c r="A9" s="59"/>
    </row>
    <row r="10" spans="1:31" x14ac:dyDescent="0.25">
      <c r="A10" s="59"/>
    </row>
    <row r="11" spans="1:31" ht="25.5" customHeight="1" thickBot="1" x14ac:dyDescent="0.3">
      <c r="A11" s="7"/>
      <c r="B11" s="8"/>
      <c r="C11" s="9"/>
      <c r="D11" s="8"/>
      <c r="E11" s="9"/>
      <c r="F11" s="9"/>
      <c r="G11" s="9"/>
      <c r="H11" s="9"/>
      <c r="I11" s="9"/>
      <c r="J11" s="9"/>
      <c r="K11" s="9"/>
      <c r="L11" s="9"/>
      <c r="M11" s="9"/>
      <c r="N11" s="9"/>
      <c r="O11" s="9"/>
      <c r="P11" s="9"/>
    </row>
    <row r="12" spans="1:31" ht="30" customHeight="1" x14ac:dyDescent="0.25">
      <c r="A12" s="28"/>
      <c r="B12" s="211" t="s">
        <v>7</v>
      </c>
      <c r="C12" s="212"/>
      <c r="D12" s="212"/>
      <c r="E12" s="212"/>
      <c r="F12" s="237"/>
      <c r="G12" s="211" t="s">
        <v>67</v>
      </c>
      <c r="H12" s="212"/>
      <c r="I12" s="212"/>
      <c r="J12" s="212"/>
      <c r="K12" s="212"/>
      <c r="L12" s="212"/>
      <c r="M12" s="212"/>
      <c r="N12" s="212"/>
      <c r="O12" s="212"/>
      <c r="P12" s="237"/>
      <c r="Q12" s="201" t="s">
        <v>68</v>
      </c>
      <c r="R12" s="202"/>
      <c r="S12" s="202"/>
      <c r="T12" s="202"/>
      <c r="U12" s="202"/>
      <c r="V12" s="202"/>
      <c r="W12" s="202"/>
      <c r="X12" s="203"/>
    </row>
    <row r="13" spans="1:31" ht="120" customHeight="1" x14ac:dyDescent="0.25">
      <c r="A13" s="32"/>
      <c r="B13" s="209" t="s">
        <v>10</v>
      </c>
      <c r="C13" s="236"/>
      <c r="D13" s="92" t="s">
        <v>11</v>
      </c>
      <c r="E13" s="209" t="s">
        <v>69</v>
      </c>
      <c r="F13" s="236"/>
      <c r="G13" s="229" t="s">
        <v>16</v>
      </c>
      <c r="H13" s="230"/>
      <c r="I13" s="231" t="s">
        <v>17</v>
      </c>
      <c r="J13" s="230"/>
      <c r="K13" s="234" t="s">
        <v>50</v>
      </c>
      <c r="L13" s="235"/>
      <c r="M13" s="234" t="s">
        <v>19</v>
      </c>
      <c r="N13" s="235"/>
      <c r="O13" s="207" t="s">
        <v>20</v>
      </c>
      <c r="P13" s="236"/>
      <c r="Q13" s="209" t="s">
        <v>21</v>
      </c>
      <c r="R13" s="210"/>
      <c r="S13" s="207" t="s">
        <v>22</v>
      </c>
      <c r="T13" s="210"/>
      <c r="U13" s="207" t="s">
        <v>23</v>
      </c>
      <c r="V13" s="210"/>
      <c r="W13" s="207" t="s">
        <v>70</v>
      </c>
      <c r="X13" s="208"/>
    </row>
    <row r="14" spans="1:31" ht="27" customHeight="1" x14ac:dyDescent="0.25">
      <c r="A14" s="33"/>
      <c r="B14" s="34" t="s">
        <v>51</v>
      </c>
      <c r="C14" s="47" t="s">
        <v>25</v>
      </c>
      <c r="D14" s="36" t="s">
        <v>26</v>
      </c>
      <c r="E14" s="34" t="s">
        <v>26</v>
      </c>
      <c r="F14" s="35" t="s">
        <v>28</v>
      </c>
      <c r="G14" s="34" t="s">
        <v>26</v>
      </c>
      <c r="H14" s="36" t="s">
        <v>28</v>
      </c>
      <c r="I14" s="44" t="s">
        <v>26</v>
      </c>
      <c r="J14" s="36" t="s">
        <v>28</v>
      </c>
      <c r="K14" s="44" t="s">
        <v>26</v>
      </c>
      <c r="L14" s="36" t="s">
        <v>28</v>
      </c>
      <c r="M14" s="44" t="s">
        <v>26</v>
      </c>
      <c r="N14" s="36" t="s">
        <v>28</v>
      </c>
      <c r="O14" s="44" t="s">
        <v>63</v>
      </c>
      <c r="P14" s="35" t="s">
        <v>28</v>
      </c>
      <c r="Q14" s="34" t="s">
        <v>26</v>
      </c>
      <c r="R14" s="36" t="s">
        <v>28</v>
      </c>
      <c r="S14" s="44" t="s">
        <v>26</v>
      </c>
      <c r="T14" s="36" t="s">
        <v>28</v>
      </c>
      <c r="U14" s="44" t="s">
        <v>26</v>
      </c>
      <c r="V14" s="36" t="s">
        <v>28</v>
      </c>
      <c r="W14" s="44" t="s">
        <v>63</v>
      </c>
      <c r="X14" s="46" t="s">
        <v>28</v>
      </c>
    </row>
    <row r="15" spans="1:31" ht="13.5" customHeight="1" x14ac:dyDescent="0.25">
      <c r="A15" s="182" t="s">
        <v>278</v>
      </c>
      <c r="B15" s="183"/>
      <c r="C15" s="184"/>
      <c r="D15" s="185"/>
      <c r="E15" s="186"/>
      <c r="F15" s="187"/>
      <c r="G15" s="188"/>
      <c r="H15" s="189"/>
      <c r="I15" s="190"/>
      <c r="J15" s="189"/>
      <c r="K15" s="190"/>
      <c r="L15" s="189"/>
      <c r="M15" s="190"/>
      <c r="N15" s="189"/>
      <c r="O15" s="190"/>
      <c r="P15" s="187"/>
      <c r="Q15" s="188"/>
      <c r="R15" s="189"/>
      <c r="S15" s="190"/>
      <c r="T15" s="189"/>
      <c r="U15" s="190"/>
      <c r="V15" s="189"/>
      <c r="W15" s="190"/>
      <c r="X15" s="191"/>
    </row>
    <row r="16" spans="1:31" s="105" customFormat="1" x14ac:dyDescent="0.25">
      <c r="A16" s="118" t="s">
        <v>202</v>
      </c>
      <c r="B16" s="167">
        <v>33035</v>
      </c>
      <c r="C16" s="133">
        <v>419</v>
      </c>
      <c r="D16" s="97">
        <v>56.318748474121094</v>
      </c>
      <c r="E16" s="99">
        <v>18.48422413257499</v>
      </c>
      <c r="F16" s="102">
        <v>0.62483871894953391</v>
      </c>
      <c r="G16" s="99">
        <v>12.566390807408862</v>
      </c>
      <c r="H16" s="98">
        <v>1.0452136359704656</v>
      </c>
      <c r="I16" s="100">
        <v>14.866972110527904</v>
      </c>
      <c r="J16" s="98">
        <v>1.4445117460073362</v>
      </c>
      <c r="K16" s="100">
        <v>20.081000392497529</v>
      </c>
      <c r="L16" s="98">
        <v>1.3660718260431086</v>
      </c>
      <c r="M16" s="100">
        <v>24.286942569933103</v>
      </c>
      <c r="N16" s="98">
        <v>1.3531004519868972</v>
      </c>
      <c r="O16" s="100">
        <v>11.720551762524241</v>
      </c>
      <c r="P16" s="102">
        <v>1.8451225231384987</v>
      </c>
      <c r="Q16" s="99">
        <v>14.387637291014634</v>
      </c>
      <c r="R16" s="98">
        <v>0.8780906853417435</v>
      </c>
      <c r="S16" s="100">
        <v>19.645329749852632</v>
      </c>
      <c r="T16" s="98">
        <v>1.0567795795141774</v>
      </c>
      <c r="U16" s="100">
        <v>25.919507784738666</v>
      </c>
      <c r="V16" s="98">
        <v>1.6999178049117933</v>
      </c>
      <c r="W16" s="100">
        <v>7.8763511180984445</v>
      </c>
      <c r="X16" s="104">
        <v>1.2920567073905318</v>
      </c>
      <c r="Y16" s="124"/>
      <c r="Z16" s="124"/>
      <c r="AA16" s="124"/>
      <c r="AB16" s="124"/>
      <c r="AC16" s="124"/>
      <c r="AD16" s="124"/>
      <c r="AE16" s="124"/>
    </row>
    <row r="17" spans="1:31" s="105" customFormat="1" x14ac:dyDescent="0.25">
      <c r="A17" s="118" t="s">
        <v>203</v>
      </c>
      <c r="B17" s="167">
        <v>10333</v>
      </c>
      <c r="C17" s="133">
        <v>291</v>
      </c>
      <c r="D17" s="97" t="s">
        <v>34</v>
      </c>
      <c r="E17" s="99">
        <v>53.264575602948014</v>
      </c>
      <c r="F17" s="102">
        <v>2.8226954941031797</v>
      </c>
      <c r="G17" s="99" t="s">
        <v>34</v>
      </c>
      <c r="H17" s="98" t="s">
        <v>34</v>
      </c>
      <c r="I17" s="100" t="s">
        <v>34</v>
      </c>
      <c r="J17" s="98" t="s">
        <v>34</v>
      </c>
      <c r="K17" s="100" t="s">
        <v>34</v>
      </c>
      <c r="L17" s="98" t="s">
        <v>34</v>
      </c>
      <c r="M17" s="100" t="s">
        <v>34</v>
      </c>
      <c r="N17" s="98" t="s">
        <v>34</v>
      </c>
      <c r="O17" s="100" t="s">
        <v>34</v>
      </c>
      <c r="P17" s="102" t="s">
        <v>34</v>
      </c>
      <c r="Q17" s="99" t="s">
        <v>34</v>
      </c>
      <c r="R17" s="98" t="s">
        <v>34</v>
      </c>
      <c r="S17" s="100" t="s">
        <v>34</v>
      </c>
      <c r="T17" s="98" t="s">
        <v>34</v>
      </c>
      <c r="U17" s="100" t="s">
        <v>34</v>
      </c>
      <c r="V17" s="98" t="s">
        <v>34</v>
      </c>
      <c r="W17" s="100" t="s">
        <v>34</v>
      </c>
      <c r="X17" s="104" t="s">
        <v>34</v>
      </c>
      <c r="Y17" s="124"/>
      <c r="Z17" s="124"/>
      <c r="AA17" s="124"/>
      <c r="AB17" s="124"/>
      <c r="AC17" s="124"/>
      <c r="AD17" s="124"/>
      <c r="AE17" s="124"/>
    </row>
    <row r="18" spans="1:31" s="105" customFormat="1" x14ac:dyDescent="0.25">
      <c r="A18" s="118" t="s">
        <v>204</v>
      </c>
      <c r="B18" s="167">
        <v>16148</v>
      </c>
      <c r="C18" s="133">
        <v>175</v>
      </c>
      <c r="D18" s="97">
        <v>63.410633087158203</v>
      </c>
      <c r="E18" s="99">
        <v>38.212779965557097</v>
      </c>
      <c r="F18" s="102">
        <v>1.5228567102214023</v>
      </c>
      <c r="G18" s="99">
        <v>31.593659706605553</v>
      </c>
      <c r="H18" s="98">
        <v>3.2207952876355042</v>
      </c>
      <c r="I18" s="100">
        <v>35.437784289720931</v>
      </c>
      <c r="J18" s="98">
        <v>2.4096070712894924</v>
      </c>
      <c r="K18" s="100">
        <v>41.879177795683511</v>
      </c>
      <c r="L18" s="98">
        <v>2.890107069893864</v>
      </c>
      <c r="M18" s="100">
        <v>52.114980408214258</v>
      </c>
      <c r="N18" s="98">
        <v>3.0968691888292961</v>
      </c>
      <c r="O18" s="100">
        <v>20.521320701608705</v>
      </c>
      <c r="P18" s="102">
        <v>4.207838737271592</v>
      </c>
      <c r="Q18" s="99" t="s">
        <v>34</v>
      </c>
      <c r="R18" s="98" t="s">
        <v>34</v>
      </c>
      <c r="S18" s="100" t="s">
        <v>34</v>
      </c>
      <c r="T18" s="98" t="s">
        <v>34</v>
      </c>
      <c r="U18" s="100" t="s">
        <v>34</v>
      </c>
      <c r="V18" s="98" t="s">
        <v>34</v>
      </c>
      <c r="W18" s="100" t="s">
        <v>34</v>
      </c>
      <c r="X18" s="104" t="s">
        <v>34</v>
      </c>
      <c r="Y18" s="124"/>
      <c r="Z18" s="124"/>
      <c r="AA18" s="124"/>
      <c r="AB18" s="124"/>
      <c r="AC18" s="124"/>
      <c r="AD18" s="124"/>
      <c r="AE18" s="124"/>
    </row>
    <row r="19" spans="1:31" s="105" customFormat="1" x14ac:dyDescent="0.25">
      <c r="A19" s="118" t="s">
        <v>205</v>
      </c>
      <c r="B19" s="167">
        <v>17988</v>
      </c>
      <c r="C19" s="133">
        <v>373</v>
      </c>
      <c r="D19" s="97">
        <v>45.636093139648438</v>
      </c>
      <c r="E19" s="99">
        <v>17.664456176737144</v>
      </c>
      <c r="F19" s="102">
        <v>0.80190438468489267</v>
      </c>
      <c r="G19" s="99">
        <v>18.877482927063213</v>
      </c>
      <c r="H19" s="98">
        <v>2.100842473067948</v>
      </c>
      <c r="I19" s="100">
        <v>13.755331454674005</v>
      </c>
      <c r="J19" s="98">
        <v>1.1078870871129718</v>
      </c>
      <c r="K19" s="100">
        <v>17.208642638150796</v>
      </c>
      <c r="L19" s="98">
        <v>1.3363251767222863</v>
      </c>
      <c r="M19" s="100">
        <v>19.715406327515197</v>
      </c>
      <c r="N19" s="98">
        <v>1.609507051956212</v>
      </c>
      <c r="O19" s="100">
        <v>0.83792340045198443</v>
      </c>
      <c r="P19" s="102">
        <v>2.6704233276093974</v>
      </c>
      <c r="Q19" s="99">
        <v>17.279937078004043</v>
      </c>
      <c r="R19" s="98">
        <v>0.87224583064384276</v>
      </c>
      <c r="S19" s="100">
        <v>14.714472823218911</v>
      </c>
      <c r="T19" s="98">
        <v>1.3467451008783629</v>
      </c>
      <c r="U19" s="100">
        <v>21.804424739350473</v>
      </c>
      <c r="V19" s="98">
        <v>3.1408032422773795</v>
      </c>
      <c r="W19" s="100">
        <v>2.2594903950507081</v>
      </c>
      <c r="X19" s="104">
        <v>2.552132531339641</v>
      </c>
      <c r="Y19" s="124"/>
      <c r="Z19" s="124"/>
      <c r="AA19" s="124"/>
      <c r="AB19" s="124"/>
      <c r="AC19" s="124"/>
      <c r="AD19" s="124"/>
      <c r="AE19" s="124"/>
    </row>
    <row r="20" spans="1:31" s="105" customFormat="1" x14ac:dyDescent="0.25">
      <c r="A20" s="118" t="s">
        <v>206</v>
      </c>
      <c r="B20" s="167">
        <v>5810.5</v>
      </c>
      <c r="C20" s="133">
        <v>107</v>
      </c>
      <c r="D20" s="97">
        <v>47.113201141357422</v>
      </c>
      <c r="E20" s="99">
        <v>10.722461975271203</v>
      </c>
      <c r="F20" s="102">
        <v>0.75942229340690937</v>
      </c>
      <c r="G20" s="99">
        <v>8.2335413585098607</v>
      </c>
      <c r="H20" s="98">
        <v>1.4620376100816477</v>
      </c>
      <c r="I20" s="100">
        <v>6.9877798939490861</v>
      </c>
      <c r="J20" s="98">
        <v>2.1107827262297354</v>
      </c>
      <c r="K20" s="100">
        <v>9.7421449487893241</v>
      </c>
      <c r="L20" s="98">
        <v>1.3131554863397956</v>
      </c>
      <c r="M20" s="100">
        <v>14.483529443998266</v>
      </c>
      <c r="N20" s="98">
        <v>1.6661900346925675</v>
      </c>
      <c r="O20" s="100">
        <v>6.2499880854884058</v>
      </c>
      <c r="P20" s="102">
        <v>2.1374800614612863</v>
      </c>
      <c r="Q20" s="99">
        <v>11.149019995662311</v>
      </c>
      <c r="R20" s="98">
        <v>2.0418983241107989</v>
      </c>
      <c r="S20" s="100">
        <v>7.7582742179908486</v>
      </c>
      <c r="T20" s="98">
        <v>0.74206041365925535</v>
      </c>
      <c r="U20" s="100">
        <v>17.426639435699066</v>
      </c>
      <c r="V20" s="98">
        <v>2.2062650818269232</v>
      </c>
      <c r="W20" s="100">
        <v>-0.5424811901113209</v>
      </c>
      <c r="X20" s="104">
        <v>2.4053673059970322</v>
      </c>
      <c r="Y20" s="124"/>
      <c r="Z20" s="124"/>
      <c r="AA20" s="124"/>
      <c r="AB20" s="124"/>
      <c r="AC20" s="124"/>
      <c r="AD20" s="124"/>
      <c r="AE20" s="124"/>
    </row>
    <row r="21" spans="1:31" s="105" customFormat="1" x14ac:dyDescent="0.25">
      <c r="A21" s="118" t="s">
        <v>207</v>
      </c>
      <c r="B21" s="167">
        <v>13209.5</v>
      </c>
      <c r="C21" s="133">
        <v>239</v>
      </c>
      <c r="D21" s="97">
        <v>95.490020751953125</v>
      </c>
      <c r="E21" s="99">
        <v>12.553872603009246</v>
      </c>
      <c r="F21" s="102">
        <v>1.2375791977645965</v>
      </c>
      <c r="G21" s="99">
        <v>9.7633481658657768</v>
      </c>
      <c r="H21" s="98">
        <v>2.3275515375659017</v>
      </c>
      <c r="I21" s="100">
        <v>12.2329789573042</v>
      </c>
      <c r="J21" s="98">
        <v>1.6342308340699108</v>
      </c>
      <c r="K21" s="100">
        <v>19.311947426840909</v>
      </c>
      <c r="L21" s="98">
        <v>2.6597927793110654</v>
      </c>
      <c r="M21" s="100">
        <v>12.474577706081167</v>
      </c>
      <c r="N21" s="98">
        <v>3.0596459961017146</v>
      </c>
      <c r="O21" s="100">
        <v>2.7112295402153901</v>
      </c>
      <c r="P21" s="102">
        <v>3.9093503126665397</v>
      </c>
      <c r="Q21" s="99">
        <v>13.279103361726156</v>
      </c>
      <c r="R21" s="98">
        <v>1.324145263158222</v>
      </c>
      <c r="S21" s="100" t="s">
        <v>34</v>
      </c>
      <c r="T21" s="98" t="s">
        <v>34</v>
      </c>
      <c r="U21" s="100">
        <v>9.9429716960730676</v>
      </c>
      <c r="V21" s="98">
        <v>3.0302578970689695</v>
      </c>
      <c r="W21" s="100">
        <v>-3.3361316656530882</v>
      </c>
      <c r="X21" s="104">
        <v>3.1963612862164692</v>
      </c>
      <c r="Y21" s="124"/>
      <c r="Z21" s="124"/>
      <c r="AA21" s="124"/>
      <c r="AB21" s="124"/>
      <c r="AC21" s="124"/>
      <c r="AD21" s="124"/>
      <c r="AE21" s="124"/>
    </row>
    <row r="22" spans="1:31" s="105" customFormat="1" x14ac:dyDescent="0.25">
      <c r="A22" s="118" t="s">
        <v>208</v>
      </c>
      <c r="B22" s="167">
        <v>9743</v>
      </c>
      <c r="C22" s="133">
        <v>267</v>
      </c>
      <c r="D22" s="97">
        <v>79.738815307617188</v>
      </c>
      <c r="E22" s="99">
        <v>88.148297918486833</v>
      </c>
      <c r="F22" s="102">
        <v>1.3647134153168181</v>
      </c>
      <c r="G22" s="99">
        <v>80.324866534849463</v>
      </c>
      <c r="H22" s="98">
        <v>3.0101344195064357</v>
      </c>
      <c r="I22" s="100">
        <v>90.571407925548243</v>
      </c>
      <c r="J22" s="98">
        <v>2.1758534373964129</v>
      </c>
      <c r="K22" s="100">
        <v>90.600592323624639</v>
      </c>
      <c r="L22" s="98">
        <v>2.2186980720840301</v>
      </c>
      <c r="M22" s="100">
        <v>93.654598075237715</v>
      </c>
      <c r="N22" s="98">
        <v>2.1604228507728753</v>
      </c>
      <c r="O22" s="100">
        <v>13.329731540388252</v>
      </c>
      <c r="P22" s="102">
        <v>3.7211824094554591</v>
      </c>
      <c r="Q22" s="99">
        <v>88.523640611085213</v>
      </c>
      <c r="R22" s="98">
        <v>1.3978035551176995</v>
      </c>
      <c r="S22" s="100">
        <v>80.918676876049858</v>
      </c>
      <c r="T22" s="98">
        <v>7.9270930763439651</v>
      </c>
      <c r="U22" s="100" t="s">
        <v>34</v>
      </c>
      <c r="V22" s="98" t="s">
        <v>34</v>
      </c>
      <c r="W22" s="100">
        <v>-7.6049637350353549</v>
      </c>
      <c r="X22" s="104">
        <v>8.0959497699461505</v>
      </c>
      <c r="Y22" s="124"/>
      <c r="Z22" s="124"/>
      <c r="AA22" s="124"/>
      <c r="AB22" s="124"/>
      <c r="AC22" s="124"/>
      <c r="AD22" s="124"/>
      <c r="AE22" s="124"/>
    </row>
    <row r="23" spans="1:31" s="105" customFormat="1" x14ac:dyDescent="0.25">
      <c r="A23" s="118" t="s">
        <v>209</v>
      </c>
      <c r="B23" s="167">
        <v>6557</v>
      </c>
      <c r="C23" s="133">
        <v>152</v>
      </c>
      <c r="D23" s="97">
        <v>48.139141082763672</v>
      </c>
      <c r="E23" s="99">
        <v>3.3617807748924351</v>
      </c>
      <c r="F23" s="102">
        <v>0.55069832422768228</v>
      </c>
      <c r="G23" s="99">
        <v>2.6748865830398785</v>
      </c>
      <c r="H23" s="98">
        <v>0.77053231088731555</v>
      </c>
      <c r="I23" s="100">
        <v>2.2029254586694447</v>
      </c>
      <c r="J23" s="98">
        <v>0.60372847917942118</v>
      </c>
      <c r="K23" s="100">
        <v>2.3782864517319156</v>
      </c>
      <c r="L23" s="98">
        <v>1.1971368547707737</v>
      </c>
      <c r="M23" s="100">
        <v>5.7738760397057494</v>
      </c>
      <c r="N23" s="98">
        <v>1.548048445834435</v>
      </c>
      <c r="O23" s="100">
        <v>3.0989894566658709</v>
      </c>
      <c r="P23" s="102">
        <v>1.7266473654267194</v>
      </c>
      <c r="Q23" s="99">
        <v>2.4376663216643983</v>
      </c>
      <c r="R23" s="98">
        <v>0.49235600787841394</v>
      </c>
      <c r="S23" s="100">
        <v>5.8669622580156258</v>
      </c>
      <c r="T23" s="98">
        <v>1.7680978419999933</v>
      </c>
      <c r="U23" s="100">
        <v>8.6788023847427453</v>
      </c>
      <c r="V23" s="98">
        <v>3.1472622540583739</v>
      </c>
      <c r="W23" s="100">
        <v>3.9112254758207952</v>
      </c>
      <c r="X23" s="104">
        <v>1.6707783118680679</v>
      </c>
      <c r="Y23" s="124"/>
      <c r="Z23" s="124"/>
      <c r="AA23" s="124"/>
      <c r="AB23" s="124"/>
      <c r="AC23" s="124"/>
      <c r="AD23" s="124"/>
      <c r="AE23" s="124"/>
    </row>
    <row r="24" spans="1:31" s="105" customFormat="1" x14ac:dyDescent="0.25">
      <c r="A24" s="118" t="s">
        <v>210</v>
      </c>
      <c r="B24" s="167">
        <v>8501.5</v>
      </c>
      <c r="C24" s="133">
        <v>204</v>
      </c>
      <c r="D24" s="97">
        <v>91.353706359863281</v>
      </c>
      <c r="E24" s="99">
        <v>80.92087243711704</v>
      </c>
      <c r="F24" s="102">
        <v>1.2829461377759832</v>
      </c>
      <c r="G24" s="99">
        <v>78.076345151710385</v>
      </c>
      <c r="H24" s="98">
        <v>2.5812694078095815</v>
      </c>
      <c r="I24" s="100">
        <v>77.111548680194872</v>
      </c>
      <c r="J24" s="98">
        <v>1.9221569801335892</v>
      </c>
      <c r="K24" s="100">
        <v>84.852865614371439</v>
      </c>
      <c r="L24" s="98">
        <v>2.2851232759858102</v>
      </c>
      <c r="M24" s="100">
        <v>83.906649426888819</v>
      </c>
      <c r="N24" s="98">
        <v>2.8444834510570192</v>
      </c>
      <c r="O24" s="100">
        <v>5.8303042751784346</v>
      </c>
      <c r="P24" s="102">
        <v>3.7474459532157707</v>
      </c>
      <c r="Q24" s="99">
        <v>80.439121964279224</v>
      </c>
      <c r="R24" s="98">
        <v>1.3352168759368055</v>
      </c>
      <c r="S24" s="100" t="s">
        <v>34</v>
      </c>
      <c r="T24" s="98" t="s">
        <v>34</v>
      </c>
      <c r="U24" s="100">
        <v>87.943972166207828</v>
      </c>
      <c r="V24" s="98">
        <v>6.2751524727081334</v>
      </c>
      <c r="W24" s="100">
        <v>7.5048502019286047</v>
      </c>
      <c r="X24" s="104">
        <v>6.3959565076168285</v>
      </c>
      <c r="Y24" s="124"/>
      <c r="Z24" s="124"/>
      <c r="AA24" s="124"/>
      <c r="AB24" s="124"/>
      <c r="AC24" s="124"/>
      <c r="AD24" s="124"/>
      <c r="AE24" s="124"/>
    </row>
    <row r="25" spans="1:31" s="105" customFormat="1" x14ac:dyDescent="0.25">
      <c r="A25" s="118" t="s">
        <v>211</v>
      </c>
      <c r="B25" s="167">
        <v>4395</v>
      </c>
      <c r="C25" s="133">
        <v>104</v>
      </c>
      <c r="D25" s="97">
        <v>49.592617034912109</v>
      </c>
      <c r="E25" s="99">
        <v>91.034216159541643</v>
      </c>
      <c r="F25" s="102">
        <v>2.0135442138994781</v>
      </c>
      <c r="G25" s="99">
        <v>92.289721806642078</v>
      </c>
      <c r="H25" s="98">
        <v>3.4018020568854648</v>
      </c>
      <c r="I25" s="100">
        <v>93.050088504462522</v>
      </c>
      <c r="J25" s="98">
        <v>2.8288510189209548</v>
      </c>
      <c r="K25" s="100">
        <v>96.549838669059042</v>
      </c>
      <c r="L25" s="98">
        <v>0.66533112130243133</v>
      </c>
      <c r="M25" s="100">
        <v>84.045530088210484</v>
      </c>
      <c r="N25" s="98">
        <v>6.011312571348042</v>
      </c>
      <c r="O25" s="100">
        <v>-8.244191718431594</v>
      </c>
      <c r="P25" s="102">
        <v>6.7230488714443304</v>
      </c>
      <c r="Q25" s="99">
        <v>92.294844253747939</v>
      </c>
      <c r="R25" s="98">
        <v>1.5179009023041037</v>
      </c>
      <c r="S25" s="100">
        <v>73.210333652207552</v>
      </c>
      <c r="T25" s="98">
        <v>17.6618675876976</v>
      </c>
      <c r="U25" s="100" t="s">
        <v>34</v>
      </c>
      <c r="V25" s="98" t="s">
        <v>34</v>
      </c>
      <c r="W25" s="100">
        <v>-19.084510601540387</v>
      </c>
      <c r="X25" s="104">
        <v>17.73607606711612</v>
      </c>
      <c r="Y25" s="124"/>
      <c r="Z25" s="124"/>
      <c r="AA25" s="124"/>
      <c r="AB25" s="124"/>
      <c r="AC25" s="124"/>
      <c r="AD25" s="124"/>
      <c r="AE25" s="124"/>
    </row>
    <row r="26" spans="1:31" s="105" customFormat="1" x14ac:dyDescent="0.25">
      <c r="A26" s="118" t="s">
        <v>212</v>
      </c>
      <c r="B26" s="167">
        <v>12829.5</v>
      </c>
      <c r="C26" s="133">
        <v>129</v>
      </c>
      <c r="D26" s="97">
        <v>61.443195343017578</v>
      </c>
      <c r="E26" s="99">
        <v>42.82719668509327</v>
      </c>
      <c r="F26" s="102">
        <v>3.3439265464160508</v>
      </c>
      <c r="G26" s="99">
        <v>42.429261676090093</v>
      </c>
      <c r="H26" s="98">
        <v>7.3060652729240321</v>
      </c>
      <c r="I26" s="100">
        <v>44.315646089556523</v>
      </c>
      <c r="J26" s="98">
        <v>6.2740156573177792</v>
      </c>
      <c r="K26" s="100">
        <v>40.660563701457953</v>
      </c>
      <c r="L26" s="98">
        <v>5.9123233185457895</v>
      </c>
      <c r="M26" s="100">
        <v>43.997484787519241</v>
      </c>
      <c r="N26" s="98">
        <v>6.3052607347382734</v>
      </c>
      <c r="O26" s="100">
        <v>1.5682231114291483</v>
      </c>
      <c r="P26" s="102">
        <v>9.604294531622088</v>
      </c>
      <c r="Q26" s="99">
        <v>42.372208143625116</v>
      </c>
      <c r="R26" s="98">
        <v>4.0472000767491405</v>
      </c>
      <c r="S26" s="100">
        <v>53.547088695510553</v>
      </c>
      <c r="T26" s="98">
        <v>5.6351523525728346</v>
      </c>
      <c r="U26" s="100">
        <v>33.327645087679912</v>
      </c>
      <c r="V26" s="98">
        <v>12.316071132321142</v>
      </c>
      <c r="W26" s="100">
        <v>3.5492351756328873</v>
      </c>
      <c r="X26" s="104">
        <v>7.5650968810118675</v>
      </c>
      <c r="Y26" s="124"/>
      <c r="Z26" s="124"/>
      <c r="AA26" s="124"/>
      <c r="AB26" s="124"/>
      <c r="AC26" s="124"/>
      <c r="AD26" s="124"/>
      <c r="AE26" s="124"/>
    </row>
    <row r="27" spans="1:31" s="105" customFormat="1" x14ac:dyDescent="0.25">
      <c r="A27" s="118" t="s">
        <v>213</v>
      </c>
      <c r="B27" s="167">
        <v>7731.5</v>
      </c>
      <c r="C27" s="133">
        <v>149</v>
      </c>
      <c r="D27" s="97">
        <v>66.368408203125</v>
      </c>
      <c r="E27" s="99">
        <v>83.216243249239469</v>
      </c>
      <c r="F27" s="102">
        <v>3.3495018270411938</v>
      </c>
      <c r="G27" s="99">
        <v>80.474651178489921</v>
      </c>
      <c r="H27" s="98">
        <v>5.7975904265835885</v>
      </c>
      <c r="I27" s="100">
        <v>82.059717612178261</v>
      </c>
      <c r="J27" s="98">
        <v>8.604135315322468</v>
      </c>
      <c r="K27" s="100">
        <v>84.928590264166715</v>
      </c>
      <c r="L27" s="98">
        <v>6.8938514728723232</v>
      </c>
      <c r="M27" s="100">
        <v>88.986654531873569</v>
      </c>
      <c r="N27" s="98">
        <v>4.870480173345519</v>
      </c>
      <c r="O27" s="100">
        <v>8.5120033533836477</v>
      </c>
      <c r="P27" s="102">
        <v>7.6055391319810211</v>
      </c>
      <c r="Q27" s="99">
        <v>83.806549109419564</v>
      </c>
      <c r="R27" s="98">
        <v>3.3642896763004178</v>
      </c>
      <c r="S27" s="100" t="s">
        <v>34</v>
      </c>
      <c r="T27" s="98" t="s">
        <v>34</v>
      </c>
      <c r="U27" s="100" t="s">
        <v>34</v>
      </c>
      <c r="V27" s="98" t="s">
        <v>34</v>
      </c>
      <c r="W27" s="100" t="s">
        <v>34</v>
      </c>
      <c r="X27" s="104" t="s">
        <v>34</v>
      </c>
      <c r="Y27" s="124"/>
      <c r="Z27" s="124"/>
      <c r="AA27" s="124"/>
      <c r="AB27" s="124"/>
      <c r="AC27" s="124"/>
      <c r="AD27" s="124"/>
      <c r="AE27" s="124"/>
    </row>
    <row r="28" spans="1:31" s="105" customFormat="1" x14ac:dyDescent="0.25">
      <c r="A28" s="118" t="s">
        <v>214</v>
      </c>
      <c r="B28" s="167">
        <v>3959</v>
      </c>
      <c r="C28" s="133">
        <v>130</v>
      </c>
      <c r="D28" s="97">
        <v>58.626655578613281</v>
      </c>
      <c r="E28" s="99">
        <v>22.900661082515196</v>
      </c>
      <c r="F28" s="102">
        <v>2.0465530455704211</v>
      </c>
      <c r="G28" s="99">
        <v>19.100548258894502</v>
      </c>
      <c r="H28" s="98">
        <v>2.2250268347390967</v>
      </c>
      <c r="I28" s="100">
        <v>18.557282939898272</v>
      </c>
      <c r="J28" s="98">
        <v>1.908915228495748</v>
      </c>
      <c r="K28" s="100">
        <v>19.790800965296341</v>
      </c>
      <c r="L28" s="98">
        <v>2.600294641858397</v>
      </c>
      <c r="M28" s="100">
        <v>37.751400778643983</v>
      </c>
      <c r="N28" s="98">
        <v>7.2083836330004853</v>
      </c>
      <c r="O28" s="100">
        <v>18.650852519749481</v>
      </c>
      <c r="P28" s="102">
        <v>7.5603061954891455</v>
      </c>
      <c r="Q28" s="99">
        <v>20.374375336121183</v>
      </c>
      <c r="R28" s="98">
        <v>1.2985634420786116</v>
      </c>
      <c r="S28" s="100" t="s">
        <v>34</v>
      </c>
      <c r="T28" s="98" t="s">
        <v>34</v>
      </c>
      <c r="U28" s="100">
        <v>51.823658185802948</v>
      </c>
      <c r="V28" s="98">
        <v>13.238010533202701</v>
      </c>
      <c r="W28" s="100">
        <v>31.449282849681765</v>
      </c>
      <c r="X28" s="104">
        <v>13.306786272426805</v>
      </c>
      <c r="Y28" s="124"/>
      <c r="Z28" s="124"/>
      <c r="AA28" s="124"/>
      <c r="AB28" s="124"/>
      <c r="AC28" s="124"/>
      <c r="AD28" s="124"/>
      <c r="AE28" s="124"/>
    </row>
    <row r="29" spans="1:31" s="105" customFormat="1" x14ac:dyDescent="0.25">
      <c r="A29" s="118" t="s">
        <v>215</v>
      </c>
      <c r="B29" s="167">
        <v>8401</v>
      </c>
      <c r="C29" s="133">
        <v>132</v>
      </c>
      <c r="D29" s="97">
        <v>74.080711364746094</v>
      </c>
      <c r="E29" s="99">
        <v>73.891266425629695</v>
      </c>
      <c r="F29" s="102">
        <v>2.0713415195735028</v>
      </c>
      <c r="G29" s="99">
        <v>58.916084036497672</v>
      </c>
      <c r="H29" s="98">
        <v>3.6756068914409448</v>
      </c>
      <c r="I29" s="100">
        <v>72.79076460209167</v>
      </c>
      <c r="J29" s="98">
        <v>3.7066324014347818</v>
      </c>
      <c r="K29" s="100">
        <v>78.812372597366036</v>
      </c>
      <c r="L29" s="98">
        <v>3.4249970358593478</v>
      </c>
      <c r="M29" s="100">
        <v>83.792536176100342</v>
      </c>
      <c r="N29" s="98">
        <v>5.126088931770088</v>
      </c>
      <c r="O29" s="100">
        <v>24.876452139602669</v>
      </c>
      <c r="P29" s="102">
        <v>6.3055734510510453</v>
      </c>
      <c r="Q29" s="99">
        <v>74.559745161894924</v>
      </c>
      <c r="R29" s="98">
        <v>1.9404950913623003</v>
      </c>
      <c r="S29" s="100">
        <v>70.237118619506745</v>
      </c>
      <c r="T29" s="98">
        <v>4.7194284486884834</v>
      </c>
      <c r="U29" s="100" t="s">
        <v>34</v>
      </c>
      <c r="V29" s="98" t="s">
        <v>34</v>
      </c>
      <c r="W29" s="100">
        <v>-4.3226265423881784</v>
      </c>
      <c r="X29" s="104">
        <v>5.0648955046479305</v>
      </c>
      <c r="Y29" s="142"/>
      <c r="Z29" s="124"/>
      <c r="AA29" s="124"/>
      <c r="AB29" s="124"/>
      <c r="AC29" s="124"/>
      <c r="AD29" s="124"/>
      <c r="AE29" s="124"/>
    </row>
    <row r="30" spans="1:31" s="105" customFormat="1" x14ac:dyDescent="0.25">
      <c r="A30" s="118" t="s">
        <v>216</v>
      </c>
      <c r="B30" s="167">
        <v>2101</v>
      </c>
      <c r="C30" s="133">
        <v>71</v>
      </c>
      <c r="D30" s="97">
        <v>55.98187255859375</v>
      </c>
      <c r="E30" s="99">
        <v>19.061024443695899</v>
      </c>
      <c r="F30" s="102">
        <v>0.32141816177552673</v>
      </c>
      <c r="G30" s="99">
        <v>19.437933592542397</v>
      </c>
      <c r="H30" s="98">
        <v>0.82538851861611651</v>
      </c>
      <c r="I30" s="100">
        <v>16.60985907576374</v>
      </c>
      <c r="J30" s="98">
        <v>4.2126160075730994E-2</v>
      </c>
      <c r="K30" s="100">
        <v>25.750444508570382</v>
      </c>
      <c r="L30" s="98" t="s">
        <v>35</v>
      </c>
      <c r="M30" s="100">
        <v>15.461782362820282</v>
      </c>
      <c r="N30" s="98" t="s">
        <v>35</v>
      </c>
      <c r="O30" s="100">
        <v>-3.9761512297221149</v>
      </c>
      <c r="P30" s="102">
        <v>0.82538851861611651</v>
      </c>
      <c r="Q30" s="99">
        <v>19.08564083494981</v>
      </c>
      <c r="R30" s="98">
        <v>0.32252570365114003</v>
      </c>
      <c r="S30" s="100" t="s">
        <v>34</v>
      </c>
      <c r="T30" s="98" t="s">
        <v>34</v>
      </c>
      <c r="U30" s="100" t="s">
        <v>34</v>
      </c>
      <c r="V30" s="98" t="s">
        <v>34</v>
      </c>
      <c r="W30" s="100" t="s">
        <v>34</v>
      </c>
      <c r="X30" s="104" t="s">
        <v>34</v>
      </c>
      <c r="Y30" s="124"/>
      <c r="Z30" s="124"/>
      <c r="AA30" s="124"/>
      <c r="AB30" s="124"/>
      <c r="AC30" s="124"/>
      <c r="AD30" s="124"/>
      <c r="AE30" s="124"/>
    </row>
    <row r="31" spans="1:31" s="105" customFormat="1" x14ac:dyDescent="0.25">
      <c r="A31" s="118" t="s">
        <v>217</v>
      </c>
      <c r="B31" s="167">
        <v>4299</v>
      </c>
      <c r="C31" s="133">
        <v>90</v>
      </c>
      <c r="D31" s="97">
        <v>57.588336944580078</v>
      </c>
      <c r="E31" s="99">
        <v>28.350066973982553</v>
      </c>
      <c r="F31" s="102">
        <v>2.2782851186563962</v>
      </c>
      <c r="G31" s="99">
        <v>29.779029420211664</v>
      </c>
      <c r="H31" s="98">
        <v>4.1275724584638462</v>
      </c>
      <c r="I31" s="100">
        <v>27.550855574067334</v>
      </c>
      <c r="J31" s="98">
        <v>5.0223786233282057</v>
      </c>
      <c r="K31" s="100">
        <v>25.457689834383093</v>
      </c>
      <c r="L31" s="98">
        <v>3.7755291651499054</v>
      </c>
      <c r="M31" s="100">
        <v>31.115588294684478</v>
      </c>
      <c r="N31" s="98">
        <v>5.6485486501326605</v>
      </c>
      <c r="O31" s="100">
        <v>1.3365588744728143</v>
      </c>
      <c r="P31" s="102">
        <v>6.8279174195088341</v>
      </c>
      <c r="Q31" s="99" t="s">
        <v>34</v>
      </c>
      <c r="R31" s="98" t="s">
        <v>34</v>
      </c>
      <c r="S31" s="100" t="s">
        <v>34</v>
      </c>
      <c r="T31" s="98" t="s">
        <v>34</v>
      </c>
      <c r="U31" s="100" t="s">
        <v>34</v>
      </c>
      <c r="V31" s="98" t="s">
        <v>34</v>
      </c>
      <c r="W31" s="100" t="s">
        <v>34</v>
      </c>
      <c r="X31" s="104" t="s">
        <v>34</v>
      </c>
      <c r="Y31" s="124"/>
      <c r="Z31" s="124"/>
      <c r="AA31" s="124"/>
      <c r="AB31" s="124"/>
      <c r="AC31" s="124"/>
      <c r="AD31" s="124"/>
      <c r="AE31" s="124"/>
    </row>
    <row r="32" spans="1:31" s="105" customFormat="1" x14ac:dyDescent="0.25">
      <c r="A32" s="118" t="s">
        <v>218</v>
      </c>
      <c r="B32" s="167">
        <v>9370</v>
      </c>
      <c r="C32" s="133">
        <v>132</v>
      </c>
      <c r="D32" s="97">
        <v>77.495262145996094</v>
      </c>
      <c r="E32" s="99">
        <v>41.768730360901948</v>
      </c>
      <c r="F32" s="102">
        <v>1.8224069367860651</v>
      </c>
      <c r="G32" s="99">
        <v>36.527806581962629</v>
      </c>
      <c r="H32" s="98">
        <v>4.0579736513991538</v>
      </c>
      <c r="I32" s="100">
        <v>51.364176173125152</v>
      </c>
      <c r="J32" s="98">
        <v>4.234718059512506</v>
      </c>
      <c r="K32" s="100">
        <v>45.923883837756122</v>
      </c>
      <c r="L32" s="98">
        <v>2.488531179684264</v>
      </c>
      <c r="M32" s="100">
        <v>32.403508911751899</v>
      </c>
      <c r="N32" s="98">
        <v>3.3417435155191826</v>
      </c>
      <c r="O32" s="100">
        <v>-4.1242976702107299</v>
      </c>
      <c r="P32" s="102">
        <v>5.2378186531979436</v>
      </c>
      <c r="Q32" s="99">
        <v>41.768730360901948</v>
      </c>
      <c r="R32" s="98">
        <v>1.8224069367860651</v>
      </c>
      <c r="S32" s="100" t="s">
        <v>34</v>
      </c>
      <c r="T32" s="98" t="s">
        <v>34</v>
      </c>
      <c r="U32" s="100" t="s">
        <v>34</v>
      </c>
      <c r="V32" s="98" t="s">
        <v>34</v>
      </c>
      <c r="W32" s="100" t="s">
        <v>34</v>
      </c>
      <c r="X32" s="104" t="s">
        <v>34</v>
      </c>
      <c r="Y32" s="124"/>
      <c r="Z32" s="124"/>
      <c r="AA32" s="124"/>
      <c r="AB32" s="124"/>
      <c r="AC32" s="124"/>
      <c r="AD32" s="124"/>
      <c r="AE32" s="124"/>
    </row>
    <row r="33" spans="1:31" s="105" customFormat="1" x14ac:dyDescent="0.25">
      <c r="A33" s="118" t="s">
        <v>219</v>
      </c>
      <c r="B33" s="167">
        <v>29930.5</v>
      </c>
      <c r="C33" s="133">
        <v>293</v>
      </c>
      <c r="D33" s="97">
        <v>59.897335052490234</v>
      </c>
      <c r="E33" s="99">
        <v>72.478129299674961</v>
      </c>
      <c r="F33" s="102">
        <v>3.1588063798665935</v>
      </c>
      <c r="G33" s="99">
        <v>71.926881777072467</v>
      </c>
      <c r="H33" s="98">
        <v>5.0917478588906135</v>
      </c>
      <c r="I33" s="100">
        <v>75.21145309473404</v>
      </c>
      <c r="J33" s="98">
        <v>4.794584080016552</v>
      </c>
      <c r="K33" s="100">
        <v>80.683545154424593</v>
      </c>
      <c r="L33" s="98">
        <v>5.1276000885078448</v>
      </c>
      <c r="M33" s="100">
        <v>61.382975596091839</v>
      </c>
      <c r="N33" s="98">
        <v>9.8219522055336697</v>
      </c>
      <c r="O33" s="100">
        <v>-10.543906180980628</v>
      </c>
      <c r="P33" s="102">
        <v>11.278160038327895</v>
      </c>
      <c r="Q33" s="99">
        <v>71.810747277301047</v>
      </c>
      <c r="R33" s="98">
        <v>3.268374949812582</v>
      </c>
      <c r="S33" s="100">
        <v>59.71858001789213</v>
      </c>
      <c r="T33" s="98">
        <v>3.8599690740078612</v>
      </c>
      <c r="U33" s="100">
        <v>98.587959617298822</v>
      </c>
      <c r="V33" s="98">
        <v>2.2670231039272171</v>
      </c>
      <c r="W33" s="100">
        <v>15.618218497954601</v>
      </c>
      <c r="X33" s="104">
        <v>8.0204763043152472</v>
      </c>
      <c r="Y33" s="124"/>
      <c r="Z33" s="124"/>
      <c r="AA33" s="124"/>
      <c r="AB33" s="124"/>
      <c r="AC33" s="124"/>
      <c r="AD33" s="124"/>
      <c r="AE33" s="124"/>
    </row>
    <row r="34" spans="1:31" s="105" customFormat="1" x14ac:dyDescent="0.25">
      <c r="A34" s="118" t="s">
        <v>220</v>
      </c>
      <c r="B34" s="167" t="s">
        <v>34</v>
      </c>
      <c r="C34" s="133" t="s">
        <v>34</v>
      </c>
      <c r="D34" s="97" t="s">
        <v>34</v>
      </c>
      <c r="E34" s="99" t="s">
        <v>34</v>
      </c>
      <c r="F34" s="102" t="s">
        <v>34</v>
      </c>
      <c r="G34" s="99" t="s">
        <v>34</v>
      </c>
      <c r="H34" s="98" t="s">
        <v>34</v>
      </c>
      <c r="I34" s="100" t="s">
        <v>34</v>
      </c>
      <c r="J34" s="98" t="s">
        <v>34</v>
      </c>
      <c r="K34" s="100" t="s">
        <v>34</v>
      </c>
      <c r="L34" s="98" t="s">
        <v>34</v>
      </c>
      <c r="M34" s="100" t="s">
        <v>34</v>
      </c>
      <c r="N34" s="98" t="s">
        <v>34</v>
      </c>
      <c r="O34" s="100" t="s">
        <v>34</v>
      </c>
      <c r="P34" s="102" t="s">
        <v>34</v>
      </c>
      <c r="Q34" s="99" t="s">
        <v>34</v>
      </c>
      <c r="R34" s="98" t="s">
        <v>34</v>
      </c>
      <c r="S34" s="100" t="s">
        <v>34</v>
      </c>
      <c r="T34" s="98" t="s">
        <v>34</v>
      </c>
      <c r="U34" s="100" t="s">
        <v>34</v>
      </c>
      <c r="V34" s="98" t="s">
        <v>34</v>
      </c>
      <c r="W34" s="100" t="s">
        <v>34</v>
      </c>
      <c r="X34" s="104" t="s">
        <v>34</v>
      </c>
      <c r="Y34" s="124"/>
      <c r="Z34" s="124"/>
      <c r="AA34" s="124"/>
      <c r="AB34" s="124"/>
      <c r="AC34" s="124"/>
      <c r="AD34" s="124"/>
      <c r="AE34" s="124"/>
    </row>
    <row r="35" spans="1:31" s="105" customFormat="1" x14ac:dyDescent="0.25">
      <c r="A35" s="118" t="s">
        <v>221</v>
      </c>
      <c r="B35" s="167">
        <v>5863.5</v>
      </c>
      <c r="C35" s="133">
        <v>80</v>
      </c>
      <c r="D35" s="97">
        <v>43.213665008544922</v>
      </c>
      <c r="E35" s="99">
        <v>39.521629828760759</v>
      </c>
      <c r="F35" s="102">
        <v>2.3913493493426201</v>
      </c>
      <c r="G35" s="99">
        <v>35.437809890635222</v>
      </c>
      <c r="H35" s="98">
        <v>3.3242939132208433</v>
      </c>
      <c r="I35" s="100">
        <v>39.485912679788079</v>
      </c>
      <c r="J35" s="98">
        <v>2.794174882145724</v>
      </c>
      <c r="K35" s="100">
        <v>39.145695101224554</v>
      </c>
      <c r="L35" s="98">
        <v>4.4876396569745109</v>
      </c>
      <c r="M35" s="100">
        <v>44.082048747982</v>
      </c>
      <c r="N35" s="98">
        <v>5.8614671770350153</v>
      </c>
      <c r="O35" s="100">
        <v>8.6442388573467781</v>
      </c>
      <c r="P35" s="102">
        <v>6.8225192570878095</v>
      </c>
      <c r="Q35" s="99">
        <v>41.863820558484022</v>
      </c>
      <c r="R35" s="98">
        <v>3.201451113846296</v>
      </c>
      <c r="S35" s="100">
        <v>34.781059897306953</v>
      </c>
      <c r="T35" s="98">
        <v>3.2397799334383826</v>
      </c>
      <c r="U35" s="100">
        <v>37.898173515853742</v>
      </c>
      <c r="V35" s="98">
        <v>8.9106234152643466</v>
      </c>
      <c r="W35" s="100">
        <v>-6.5533466586700939</v>
      </c>
      <c r="X35" s="104">
        <v>4.4214351498718303</v>
      </c>
      <c r="Y35" s="124"/>
      <c r="Z35" s="124"/>
      <c r="AA35" s="124"/>
      <c r="AB35" s="124"/>
      <c r="AC35" s="124"/>
      <c r="AD35" s="124"/>
      <c r="AE35" s="124"/>
    </row>
    <row r="36" spans="1:31" s="105" customFormat="1" x14ac:dyDescent="0.25">
      <c r="A36" s="118" t="s">
        <v>222</v>
      </c>
      <c r="B36" s="167">
        <v>10284</v>
      </c>
      <c r="C36" s="133">
        <v>237</v>
      </c>
      <c r="D36" s="97">
        <v>76.242698669433594</v>
      </c>
      <c r="E36" s="99">
        <v>51.812909170293551</v>
      </c>
      <c r="F36" s="102">
        <v>1.0652524595267412</v>
      </c>
      <c r="G36" s="99">
        <v>46.566166164385862</v>
      </c>
      <c r="H36" s="98">
        <v>2.390269643311242</v>
      </c>
      <c r="I36" s="100">
        <v>51.458391353548045</v>
      </c>
      <c r="J36" s="98">
        <v>2.2411116846990375</v>
      </c>
      <c r="K36" s="100">
        <v>53.998691289917979</v>
      </c>
      <c r="L36" s="98">
        <v>2.5075664424100408</v>
      </c>
      <c r="M36" s="100">
        <v>56.283209372158403</v>
      </c>
      <c r="N36" s="98">
        <v>2.3924245485779512</v>
      </c>
      <c r="O36" s="100">
        <v>9.7170432077725408</v>
      </c>
      <c r="P36" s="102">
        <v>3.1026484122400286</v>
      </c>
      <c r="Q36" s="99">
        <v>52.30068402497799</v>
      </c>
      <c r="R36" s="98">
        <v>1.1065075582348696</v>
      </c>
      <c r="S36" s="100" t="s">
        <v>34</v>
      </c>
      <c r="T36" s="98" t="s">
        <v>34</v>
      </c>
      <c r="U36" s="100" t="s">
        <v>34</v>
      </c>
      <c r="V36" s="98" t="s">
        <v>34</v>
      </c>
      <c r="W36" s="100" t="s">
        <v>34</v>
      </c>
      <c r="X36" s="104" t="s">
        <v>34</v>
      </c>
      <c r="Y36" s="124"/>
      <c r="Z36" s="124"/>
      <c r="AA36" s="124"/>
      <c r="AB36" s="124"/>
      <c r="AC36" s="124"/>
      <c r="AD36" s="124"/>
      <c r="AE36" s="124"/>
    </row>
    <row r="37" spans="1:31" s="105" customFormat="1" x14ac:dyDescent="0.25">
      <c r="A37" s="118" t="s">
        <v>223</v>
      </c>
      <c r="B37" s="167">
        <v>14934</v>
      </c>
      <c r="C37" s="133">
        <v>361</v>
      </c>
      <c r="D37" s="97">
        <v>99.652030944824219</v>
      </c>
      <c r="E37" s="99">
        <v>42.214759262719468</v>
      </c>
      <c r="F37" s="102">
        <v>1.7361528396617507</v>
      </c>
      <c r="G37" s="99">
        <v>37.409498502515021</v>
      </c>
      <c r="H37" s="98">
        <v>3.054936652960512</v>
      </c>
      <c r="I37" s="100">
        <v>40.612239615167866</v>
      </c>
      <c r="J37" s="98">
        <v>2.3953272938147783</v>
      </c>
      <c r="K37" s="100">
        <v>44.135668182087109</v>
      </c>
      <c r="L37" s="98">
        <v>4.3707036062585471</v>
      </c>
      <c r="M37" s="100">
        <v>53.795034643736955</v>
      </c>
      <c r="N37" s="98">
        <v>3.7592840745018234</v>
      </c>
      <c r="O37" s="100">
        <v>16.385536141221934</v>
      </c>
      <c r="P37" s="102">
        <v>5.3618856264276591</v>
      </c>
      <c r="Q37" s="99">
        <v>41.578816098018692</v>
      </c>
      <c r="R37" s="98">
        <v>1.7697049004907801</v>
      </c>
      <c r="S37" s="100">
        <v>58.68780645622698</v>
      </c>
      <c r="T37" s="98">
        <v>7.0909011413881213</v>
      </c>
      <c r="U37" s="100" t="s">
        <v>34</v>
      </c>
      <c r="V37" s="98" t="s">
        <v>34</v>
      </c>
      <c r="W37" s="100">
        <v>17.108990358208288</v>
      </c>
      <c r="X37" s="104">
        <v>7.2167661318231531</v>
      </c>
      <c r="Y37" s="124"/>
      <c r="Z37" s="124"/>
      <c r="AA37" s="124"/>
      <c r="AB37" s="124"/>
      <c r="AC37" s="124"/>
      <c r="AD37" s="124"/>
      <c r="AE37" s="124"/>
    </row>
    <row r="38" spans="1:31" s="105" customFormat="1" x14ac:dyDescent="0.25">
      <c r="A38" s="118" t="s">
        <v>224</v>
      </c>
      <c r="B38" s="167">
        <v>2971.5</v>
      </c>
      <c r="C38" s="133">
        <v>25</v>
      </c>
      <c r="D38" s="97">
        <v>58.766593933105469</v>
      </c>
      <c r="E38" s="99">
        <v>83.728756520275951</v>
      </c>
      <c r="F38" s="102" t="s">
        <v>35</v>
      </c>
      <c r="G38" s="99">
        <v>74.598930481283418</v>
      </c>
      <c r="H38" s="98" t="s">
        <v>35</v>
      </c>
      <c r="I38" s="100">
        <v>82.962962962962962</v>
      </c>
      <c r="J38" s="98" t="s">
        <v>35</v>
      </c>
      <c r="K38" s="100">
        <v>92.908262849707228</v>
      </c>
      <c r="L38" s="98" t="s">
        <v>35</v>
      </c>
      <c r="M38" s="100">
        <v>84.102564102564102</v>
      </c>
      <c r="N38" s="98" t="s">
        <v>35</v>
      </c>
      <c r="O38" s="100">
        <v>9.5036336212806845</v>
      </c>
      <c r="P38" s="102" t="s">
        <v>35</v>
      </c>
      <c r="Q38" s="99">
        <v>85.480868665977255</v>
      </c>
      <c r="R38" s="98" t="s">
        <v>35</v>
      </c>
      <c r="S38" s="100" t="s">
        <v>34</v>
      </c>
      <c r="T38" s="98" t="s">
        <v>34</v>
      </c>
      <c r="U38" s="100" t="s">
        <v>34</v>
      </c>
      <c r="V38" s="98" t="s">
        <v>34</v>
      </c>
      <c r="W38" s="100" t="s">
        <v>34</v>
      </c>
      <c r="X38" s="104" t="s">
        <v>34</v>
      </c>
      <c r="Y38" s="124"/>
      <c r="Z38" s="124"/>
      <c r="AA38" s="124"/>
      <c r="AB38" s="124"/>
      <c r="AC38" s="124"/>
      <c r="AD38" s="124"/>
      <c r="AE38" s="124"/>
    </row>
    <row r="39" spans="1:31" s="105" customFormat="1" x14ac:dyDescent="0.25">
      <c r="A39" s="118" t="s">
        <v>225</v>
      </c>
      <c r="B39" s="167">
        <v>7504.5</v>
      </c>
      <c r="C39" s="133">
        <v>135</v>
      </c>
      <c r="D39" s="97">
        <v>52.613536834716797</v>
      </c>
      <c r="E39" s="99">
        <v>24.524503700983963</v>
      </c>
      <c r="F39" s="102">
        <v>1.8412620352624651</v>
      </c>
      <c r="G39" s="99">
        <v>21.770217593921231</v>
      </c>
      <c r="H39" s="98">
        <v>4.5364025222209818</v>
      </c>
      <c r="I39" s="100">
        <v>21.485856786435875</v>
      </c>
      <c r="J39" s="98">
        <v>2.1235240285443733</v>
      </c>
      <c r="K39" s="100">
        <v>22.098919869966544</v>
      </c>
      <c r="L39" s="98">
        <v>3.175887552893077</v>
      </c>
      <c r="M39" s="100">
        <v>28.785413480619088</v>
      </c>
      <c r="N39" s="98">
        <v>4.0071690136922422</v>
      </c>
      <c r="O39" s="100">
        <v>7.0151958866978568</v>
      </c>
      <c r="P39" s="102">
        <v>5.984373744433003</v>
      </c>
      <c r="Q39" s="99">
        <v>23.653464276000889</v>
      </c>
      <c r="R39" s="98">
        <v>1.8680562086906207</v>
      </c>
      <c r="S39" s="100" t="s">
        <v>34</v>
      </c>
      <c r="T39" s="98" t="s">
        <v>34</v>
      </c>
      <c r="U39" s="100">
        <v>26.928829941318526</v>
      </c>
      <c r="V39" s="98">
        <v>4.0257190634570357</v>
      </c>
      <c r="W39" s="100">
        <v>3.2753656653176364</v>
      </c>
      <c r="X39" s="104">
        <v>4.3453774271211518</v>
      </c>
      <c r="Y39" s="142"/>
      <c r="Z39" s="124"/>
      <c r="AA39" s="124"/>
      <c r="AB39" s="124"/>
      <c r="AC39" s="124"/>
      <c r="AD39" s="124"/>
      <c r="AE39" s="124"/>
    </row>
    <row r="40" spans="1:31" s="105" customFormat="1" x14ac:dyDescent="0.25">
      <c r="A40" s="118" t="s">
        <v>300</v>
      </c>
      <c r="B40" s="167">
        <v>7652.5</v>
      </c>
      <c r="C40" s="133">
        <v>124</v>
      </c>
      <c r="D40" s="97">
        <v>79.725135803222656</v>
      </c>
      <c r="E40" s="99">
        <v>26.123754819755078</v>
      </c>
      <c r="F40" s="102">
        <v>2.5380176003066008</v>
      </c>
      <c r="G40" s="99">
        <v>14.638541444953717</v>
      </c>
      <c r="H40" s="98">
        <v>3.1458886348425352</v>
      </c>
      <c r="I40" s="100">
        <v>19.730788735754484</v>
      </c>
      <c r="J40" s="98">
        <v>6.6915422545690593</v>
      </c>
      <c r="K40" s="100">
        <v>28.881962465274164</v>
      </c>
      <c r="L40" s="98">
        <v>4.742906982370215</v>
      </c>
      <c r="M40" s="100">
        <v>41.930711921969518</v>
      </c>
      <c r="N40" s="98">
        <v>5.4092782306749969</v>
      </c>
      <c r="O40" s="100">
        <v>27.292170477015802</v>
      </c>
      <c r="P40" s="102">
        <v>6.2846292921176694</v>
      </c>
      <c r="Q40" s="99">
        <v>25.439675198966771</v>
      </c>
      <c r="R40" s="98">
        <v>3.781979731555841</v>
      </c>
      <c r="S40" s="100">
        <v>26.241973362322955</v>
      </c>
      <c r="T40" s="98">
        <v>3.3473260355506409</v>
      </c>
      <c r="U40" s="100" t="s">
        <v>34</v>
      </c>
      <c r="V40" s="98" t="s">
        <v>34</v>
      </c>
      <c r="W40" s="100">
        <v>0.80229816335618409</v>
      </c>
      <c r="X40" s="104">
        <v>5.0493724958590995</v>
      </c>
      <c r="Y40" s="124"/>
      <c r="Z40" s="124"/>
      <c r="AA40" s="124"/>
      <c r="AB40" s="124"/>
      <c r="AC40" s="124"/>
      <c r="AD40" s="124"/>
      <c r="AE40" s="124"/>
    </row>
    <row r="41" spans="1:31" s="105" customFormat="1" x14ac:dyDescent="0.25">
      <c r="A41" s="118" t="s">
        <v>226</v>
      </c>
      <c r="B41" s="167">
        <v>11179.5</v>
      </c>
      <c r="C41" s="133">
        <v>163</v>
      </c>
      <c r="D41" s="97">
        <v>85.358146667480469</v>
      </c>
      <c r="E41" s="99">
        <v>18.361140649147249</v>
      </c>
      <c r="F41" s="102">
        <v>1.2427744381647636</v>
      </c>
      <c r="G41" s="99">
        <v>17.365344791293737</v>
      </c>
      <c r="H41" s="98">
        <v>2.112759432865595</v>
      </c>
      <c r="I41" s="100">
        <v>21.205936881417209</v>
      </c>
      <c r="J41" s="98">
        <v>3.2223443144720116</v>
      </c>
      <c r="K41" s="100">
        <v>20.875246887542996</v>
      </c>
      <c r="L41" s="98">
        <v>2.9566475139038375</v>
      </c>
      <c r="M41" s="100">
        <v>15.395280374909667</v>
      </c>
      <c r="N41" s="98">
        <v>0.98937166438493462</v>
      </c>
      <c r="O41" s="100">
        <v>-1.9700644163840693</v>
      </c>
      <c r="P41" s="102">
        <v>2.4096597614270272</v>
      </c>
      <c r="Q41" s="99">
        <v>18.524105080455321</v>
      </c>
      <c r="R41" s="98">
        <v>1.3220719531165983</v>
      </c>
      <c r="S41" s="100" t="s">
        <v>34</v>
      </c>
      <c r="T41" s="98" t="s">
        <v>34</v>
      </c>
      <c r="U41" s="100">
        <v>16.908012599388108</v>
      </c>
      <c r="V41" s="98">
        <v>3.0230127336791668</v>
      </c>
      <c r="W41" s="100">
        <v>-1.6160924810672128</v>
      </c>
      <c r="X41" s="104">
        <v>3.233340866012111</v>
      </c>
      <c r="Y41" s="124"/>
      <c r="Z41" s="124"/>
      <c r="AA41" s="124"/>
      <c r="AB41" s="124"/>
      <c r="AC41" s="124"/>
      <c r="AD41" s="124"/>
      <c r="AE41" s="124"/>
    </row>
    <row r="42" spans="1:31" s="105" customFormat="1" x14ac:dyDescent="0.25">
      <c r="A42" s="118" t="s">
        <v>227</v>
      </c>
      <c r="B42" s="167" t="s">
        <v>34</v>
      </c>
      <c r="C42" s="133" t="s">
        <v>34</v>
      </c>
      <c r="D42" s="97" t="s">
        <v>34</v>
      </c>
      <c r="E42" s="99" t="s">
        <v>34</v>
      </c>
      <c r="F42" s="102" t="s">
        <v>34</v>
      </c>
      <c r="G42" s="99" t="s">
        <v>34</v>
      </c>
      <c r="H42" s="98" t="s">
        <v>34</v>
      </c>
      <c r="I42" s="100" t="s">
        <v>34</v>
      </c>
      <c r="J42" s="98" t="s">
        <v>34</v>
      </c>
      <c r="K42" s="100" t="s">
        <v>34</v>
      </c>
      <c r="L42" s="98" t="s">
        <v>34</v>
      </c>
      <c r="M42" s="100" t="s">
        <v>34</v>
      </c>
      <c r="N42" s="98" t="s">
        <v>34</v>
      </c>
      <c r="O42" s="100" t="s">
        <v>34</v>
      </c>
      <c r="P42" s="102" t="s">
        <v>34</v>
      </c>
      <c r="Q42" s="99" t="s">
        <v>36</v>
      </c>
      <c r="R42" s="98" t="s">
        <v>36</v>
      </c>
      <c r="S42" s="100" t="s">
        <v>36</v>
      </c>
      <c r="T42" s="98" t="s">
        <v>36</v>
      </c>
      <c r="U42" s="100" t="s">
        <v>36</v>
      </c>
      <c r="V42" s="98" t="s">
        <v>36</v>
      </c>
      <c r="W42" s="100" t="s">
        <v>36</v>
      </c>
      <c r="X42" s="104" t="s">
        <v>36</v>
      </c>
      <c r="Y42" s="124"/>
      <c r="Z42" s="124"/>
      <c r="AA42" s="124"/>
      <c r="AB42" s="124"/>
      <c r="AC42" s="124"/>
      <c r="AD42" s="124"/>
      <c r="AE42" s="124"/>
    </row>
    <row r="43" spans="1:31" s="105" customFormat="1" x14ac:dyDescent="0.25">
      <c r="A43" s="118" t="s">
        <v>228</v>
      </c>
      <c r="B43" s="167">
        <v>9029</v>
      </c>
      <c r="C43" s="133">
        <v>202</v>
      </c>
      <c r="D43" s="97">
        <v>86.820343017578125</v>
      </c>
      <c r="E43" s="99">
        <v>96.509259271010208</v>
      </c>
      <c r="F43" s="102">
        <v>0.73214367623796028</v>
      </c>
      <c r="G43" s="99">
        <v>95.375320842368424</v>
      </c>
      <c r="H43" s="98">
        <v>1.6754070596416142</v>
      </c>
      <c r="I43" s="100">
        <v>96.825806821089188</v>
      </c>
      <c r="J43" s="98">
        <v>0.55350891469737995</v>
      </c>
      <c r="K43" s="100">
        <v>96.778000734221777</v>
      </c>
      <c r="L43" s="98">
        <v>1.4262570854694265</v>
      </c>
      <c r="M43" s="100">
        <v>98.047815277181002</v>
      </c>
      <c r="N43" s="98">
        <v>0.35652632298148873</v>
      </c>
      <c r="O43" s="100">
        <v>2.6724944348125774</v>
      </c>
      <c r="P43" s="102">
        <v>1.6710139594882123</v>
      </c>
      <c r="Q43" s="99">
        <v>96.442561665064588</v>
      </c>
      <c r="R43" s="98">
        <v>0.75892708429158562</v>
      </c>
      <c r="S43" s="100">
        <v>100.00000000000001</v>
      </c>
      <c r="T43" s="98">
        <v>3.3327408458372288E-14</v>
      </c>
      <c r="U43" s="100" t="s">
        <v>34</v>
      </c>
      <c r="V43" s="98" t="s">
        <v>34</v>
      </c>
      <c r="W43" s="100">
        <v>3.5574383349354264</v>
      </c>
      <c r="X43" s="104">
        <v>0.75892708429158562</v>
      </c>
      <c r="Y43" s="124"/>
      <c r="Z43" s="124"/>
      <c r="AA43" s="124"/>
      <c r="AB43" s="124"/>
      <c r="AC43" s="124"/>
      <c r="AD43" s="124"/>
      <c r="AE43" s="124"/>
    </row>
    <row r="44" spans="1:31" s="105" customFormat="1" x14ac:dyDescent="0.25">
      <c r="A44" s="118" t="s">
        <v>301</v>
      </c>
      <c r="B44" s="167">
        <v>23351</v>
      </c>
      <c r="C44" s="133">
        <v>146</v>
      </c>
      <c r="D44" s="97">
        <v>54.670825958251953</v>
      </c>
      <c r="E44" s="99">
        <v>18.76276412386985</v>
      </c>
      <c r="F44" s="102">
        <v>1.9382994492192338</v>
      </c>
      <c r="G44" s="99">
        <v>16.719688264040876</v>
      </c>
      <c r="H44" s="98">
        <v>5.7496705263427206</v>
      </c>
      <c r="I44" s="100">
        <v>20.332926811337803</v>
      </c>
      <c r="J44" s="98">
        <v>4.1135078805644172</v>
      </c>
      <c r="K44" s="100">
        <v>18.057960693055215</v>
      </c>
      <c r="L44" s="98">
        <v>3.6526048711904275</v>
      </c>
      <c r="M44" s="100">
        <v>19.158112549572845</v>
      </c>
      <c r="N44" s="98">
        <v>2.6187606370598284</v>
      </c>
      <c r="O44" s="100">
        <v>2.4384242855319691</v>
      </c>
      <c r="P44" s="102">
        <v>6.3859848548429481</v>
      </c>
      <c r="Q44" s="99">
        <v>19.035549778923745</v>
      </c>
      <c r="R44" s="98">
        <v>2.2435416710751217</v>
      </c>
      <c r="S44" s="100">
        <v>18.022034136941691</v>
      </c>
      <c r="T44" s="98">
        <v>4.6352787602474486</v>
      </c>
      <c r="U44" s="100">
        <v>16.225884445996826</v>
      </c>
      <c r="V44" s="98">
        <v>4.388661649508415</v>
      </c>
      <c r="W44" s="100">
        <v>-1.7986024057706622</v>
      </c>
      <c r="X44" s="104">
        <v>3.8372833288904484</v>
      </c>
      <c r="Y44" s="124"/>
      <c r="Z44" s="124"/>
      <c r="AA44" s="124"/>
      <c r="AB44" s="124"/>
      <c r="AC44" s="124"/>
      <c r="AD44" s="124"/>
      <c r="AE44" s="124"/>
    </row>
    <row r="45" spans="1:31" s="105" customFormat="1" x14ac:dyDescent="0.25">
      <c r="A45" s="118" t="s">
        <v>229</v>
      </c>
      <c r="B45" s="167">
        <v>8466</v>
      </c>
      <c r="C45" s="133">
        <v>290</v>
      </c>
      <c r="D45" s="97">
        <v>78.580879211425781</v>
      </c>
      <c r="E45" s="99">
        <v>94.463856490644474</v>
      </c>
      <c r="F45" s="102">
        <v>0.90658469087963411</v>
      </c>
      <c r="G45" s="99">
        <v>91.022167248143717</v>
      </c>
      <c r="H45" s="98">
        <v>2.2926188032653263</v>
      </c>
      <c r="I45" s="100">
        <v>94.568705370841585</v>
      </c>
      <c r="J45" s="98">
        <v>1.544499172270146</v>
      </c>
      <c r="K45" s="100">
        <v>95.953417368461317</v>
      </c>
      <c r="L45" s="98">
        <v>1.2447947047502932</v>
      </c>
      <c r="M45" s="100">
        <v>96.98690006261792</v>
      </c>
      <c r="N45" s="98">
        <v>1.3836905854352595</v>
      </c>
      <c r="O45" s="100">
        <v>5.9647328144742033</v>
      </c>
      <c r="P45" s="102">
        <v>2.6341900607706243</v>
      </c>
      <c r="Q45" s="99">
        <v>93.948973382957035</v>
      </c>
      <c r="R45" s="98">
        <v>1.0575674391266581</v>
      </c>
      <c r="S45" s="100">
        <v>97.669232558556047</v>
      </c>
      <c r="T45" s="98">
        <v>0.70661604384567478</v>
      </c>
      <c r="U45" s="100" t="s">
        <v>34</v>
      </c>
      <c r="V45" s="98" t="s">
        <v>34</v>
      </c>
      <c r="W45" s="100">
        <v>3.7202591755990113</v>
      </c>
      <c r="X45" s="104">
        <v>1.3762602936256394</v>
      </c>
      <c r="Y45" s="124"/>
      <c r="Z45" s="124"/>
      <c r="AA45" s="124"/>
      <c r="AB45" s="124"/>
      <c r="AC45" s="124"/>
      <c r="AD45" s="124"/>
      <c r="AE45" s="124"/>
    </row>
    <row r="46" spans="1:31" s="105" customFormat="1" x14ac:dyDescent="0.25">
      <c r="A46" s="118" t="s">
        <v>230</v>
      </c>
      <c r="B46" s="167">
        <v>11117</v>
      </c>
      <c r="C46" s="133">
        <v>233</v>
      </c>
      <c r="D46" s="97">
        <v>73.70758056640625</v>
      </c>
      <c r="E46" s="99">
        <v>9.3502466182862438</v>
      </c>
      <c r="F46" s="102">
        <v>6.4862499028691081E-2</v>
      </c>
      <c r="G46" s="99">
        <v>7.1684137743672149</v>
      </c>
      <c r="H46" s="98">
        <v>0.11200842101767405</v>
      </c>
      <c r="I46" s="100">
        <v>10.071146254890673</v>
      </c>
      <c r="J46" s="98">
        <v>1.3296520798151855E-2</v>
      </c>
      <c r="K46" s="100">
        <v>9.3572671375190826</v>
      </c>
      <c r="L46" s="98">
        <v>1.9491378774149512E-2</v>
      </c>
      <c r="M46" s="100">
        <v>13.165537270087125</v>
      </c>
      <c r="N46" s="98">
        <v>0.40067399383237673</v>
      </c>
      <c r="O46" s="100">
        <v>5.9971234957199098</v>
      </c>
      <c r="P46" s="102">
        <v>0.41801600155213942</v>
      </c>
      <c r="Q46" s="99">
        <v>9.2003626731691508</v>
      </c>
      <c r="R46" s="98">
        <v>6.4982640087722893E-2</v>
      </c>
      <c r="S46" s="100">
        <v>19.217081850533809</v>
      </c>
      <c r="T46" s="98">
        <v>9.9166171444704951E-2</v>
      </c>
      <c r="U46" s="100" t="s">
        <v>34</v>
      </c>
      <c r="V46" s="98" t="s">
        <v>34</v>
      </c>
      <c r="W46" s="100">
        <v>10.016719177364658</v>
      </c>
      <c r="X46" s="104">
        <v>0.11648066909315005</v>
      </c>
      <c r="Y46" s="124"/>
      <c r="Z46" s="124"/>
      <c r="AA46" s="124"/>
      <c r="AB46" s="124"/>
      <c r="AC46" s="124"/>
      <c r="AD46" s="124"/>
      <c r="AE46" s="124"/>
    </row>
    <row r="47" spans="1:31" s="105" customFormat="1" x14ac:dyDescent="0.25">
      <c r="A47" s="118" t="s">
        <v>231</v>
      </c>
      <c r="B47" s="167">
        <v>32847</v>
      </c>
      <c r="C47" s="133">
        <v>555</v>
      </c>
      <c r="D47" s="97">
        <v>48.651020050048828</v>
      </c>
      <c r="E47" s="99">
        <v>39.403101320620053</v>
      </c>
      <c r="F47" s="102">
        <v>2.6170762283753297</v>
      </c>
      <c r="G47" s="99">
        <v>40.273152742607039</v>
      </c>
      <c r="H47" s="98">
        <v>7.2156927123415455</v>
      </c>
      <c r="I47" s="100">
        <v>44.889264720655575</v>
      </c>
      <c r="J47" s="98">
        <v>4.6052754582425752</v>
      </c>
      <c r="K47" s="100">
        <v>37.244656461764713</v>
      </c>
      <c r="L47" s="98">
        <v>4.109027504630034</v>
      </c>
      <c r="M47" s="100">
        <v>36.398068012533606</v>
      </c>
      <c r="N47" s="98">
        <v>4.3632417077567629</v>
      </c>
      <c r="O47" s="100">
        <v>-3.8750847300734321</v>
      </c>
      <c r="P47" s="102">
        <v>8.4155717335538291</v>
      </c>
      <c r="Q47" s="99">
        <v>44.851503757870859</v>
      </c>
      <c r="R47" s="98">
        <v>3.9824791635141752</v>
      </c>
      <c r="S47" s="100">
        <v>34.782435161827102</v>
      </c>
      <c r="T47" s="98">
        <v>4.1859488176297832</v>
      </c>
      <c r="U47" s="100">
        <v>29.466959798167895</v>
      </c>
      <c r="V47" s="98">
        <v>4.5424109713754879</v>
      </c>
      <c r="W47" s="100">
        <v>-11.287222944259014</v>
      </c>
      <c r="X47" s="104">
        <v>5.4210617957665255</v>
      </c>
      <c r="Y47" s="124"/>
      <c r="Z47" s="124"/>
      <c r="AA47" s="124"/>
      <c r="AB47" s="124"/>
      <c r="AC47" s="124"/>
      <c r="AD47" s="124"/>
      <c r="AE47" s="124"/>
    </row>
    <row r="48" spans="1:31" s="105" customFormat="1" x14ac:dyDescent="0.25">
      <c r="A48" s="118" t="s">
        <v>232</v>
      </c>
      <c r="B48" s="167">
        <v>3996</v>
      </c>
      <c r="C48" s="133">
        <v>106</v>
      </c>
      <c r="D48" s="97">
        <v>49.023258209228516</v>
      </c>
      <c r="E48" s="99">
        <v>42.05384178308374</v>
      </c>
      <c r="F48" s="102">
        <v>3.2740051693855308</v>
      </c>
      <c r="G48" s="99">
        <v>30.618807241565289</v>
      </c>
      <c r="H48" s="98">
        <v>6.6765876820603136</v>
      </c>
      <c r="I48" s="100">
        <v>54.558009929565493</v>
      </c>
      <c r="J48" s="98">
        <v>10.441700314537739</v>
      </c>
      <c r="K48" s="100">
        <v>40.772858241369249</v>
      </c>
      <c r="L48" s="98">
        <v>6.2927202201589463</v>
      </c>
      <c r="M48" s="100">
        <v>49.904473733705437</v>
      </c>
      <c r="N48" s="98">
        <v>8.9263978387701091</v>
      </c>
      <c r="O48" s="100">
        <v>19.285666492140148</v>
      </c>
      <c r="P48" s="102">
        <v>12.016147237811067</v>
      </c>
      <c r="Q48" s="99">
        <v>46.028201047815315</v>
      </c>
      <c r="R48" s="98">
        <v>4.239989600568844</v>
      </c>
      <c r="S48" s="100">
        <v>31.144743351699724</v>
      </c>
      <c r="T48" s="98">
        <v>5.5873665174835567</v>
      </c>
      <c r="U48" s="100" t="s">
        <v>34</v>
      </c>
      <c r="V48" s="98" t="s">
        <v>34</v>
      </c>
      <c r="W48" s="100">
        <v>-14.883457696115592</v>
      </c>
      <c r="X48" s="104">
        <v>7.2979855187646736</v>
      </c>
      <c r="Y48" s="124"/>
      <c r="Z48" s="124"/>
      <c r="AA48" s="124"/>
      <c r="AB48" s="124"/>
      <c r="AC48" s="124"/>
      <c r="AD48" s="124"/>
      <c r="AE48" s="124"/>
    </row>
    <row r="49" spans="1:31" s="105" customFormat="1" x14ac:dyDescent="0.25">
      <c r="A49" s="118" t="s">
        <v>233</v>
      </c>
      <c r="B49" s="167">
        <v>9247</v>
      </c>
      <c r="C49" s="133">
        <v>136</v>
      </c>
      <c r="D49" s="97">
        <v>64.761734008789063</v>
      </c>
      <c r="E49" s="99">
        <v>64.226913670985695</v>
      </c>
      <c r="F49" s="102">
        <v>3.0108059599748418</v>
      </c>
      <c r="G49" s="99">
        <v>63.215733269961632</v>
      </c>
      <c r="H49" s="98">
        <v>5.1576247480417985</v>
      </c>
      <c r="I49" s="100">
        <v>56.83694415699204</v>
      </c>
      <c r="J49" s="98">
        <v>6.339840617533679</v>
      </c>
      <c r="K49" s="100">
        <v>66.591139359177077</v>
      </c>
      <c r="L49" s="98">
        <v>6.5920937808303508</v>
      </c>
      <c r="M49" s="100">
        <v>75.254978847004708</v>
      </c>
      <c r="N49" s="98">
        <v>6.320089646854961</v>
      </c>
      <c r="O49" s="100">
        <v>12.039245577043076</v>
      </c>
      <c r="P49" s="102">
        <v>7.468320437501947</v>
      </c>
      <c r="Q49" s="99">
        <v>64.8748698381482</v>
      </c>
      <c r="R49" s="98">
        <v>3.1307543931857826</v>
      </c>
      <c r="S49" s="100" t="s">
        <v>34</v>
      </c>
      <c r="T49" s="98" t="s">
        <v>34</v>
      </c>
      <c r="U49" s="100">
        <v>51.528297955052224</v>
      </c>
      <c r="V49" s="98">
        <v>8.3294683915184162</v>
      </c>
      <c r="W49" s="100">
        <v>-13.346571883095976</v>
      </c>
      <c r="X49" s="104">
        <v>8.6535635214743944</v>
      </c>
      <c r="Y49" s="124"/>
      <c r="Z49" s="124"/>
      <c r="AA49" s="124"/>
      <c r="AB49" s="124"/>
      <c r="AC49" s="124"/>
      <c r="AD49" s="124"/>
      <c r="AE49" s="124"/>
    </row>
    <row r="50" spans="1:31" s="105" customFormat="1" x14ac:dyDescent="0.25">
      <c r="A50" s="118" t="s">
        <v>234</v>
      </c>
      <c r="B50" s="167">
        <v>8654.5</v>
      </c>
      <c r="C50" s="133">
        <v>176</v>
      </c>
      <c r="D50" s="97">
        <v>97.342269897460938</v>
      </c>
      <c r="E50" s="99">
        <v>14.36272111833939</v>
      </c>
      <c r="F50" s="102">
        <v>1.2552638446185558</v>
      </c>
      <c r="G50" s="99">
        <v>18.658936880354926</v>
      </c>
      <c r="H50" s="98">
        <v>3.2987567690200827</v>
      </c>
      <c r="I50" s="100">
        <v>14.888164507211998</v>
      </c>
      <c r="J50" s="98">
        <v>1.2435369856815197</v>
      </c>
      <c r="K50" s="100">
        <v>13.732474702863989</v>
      </c>
      <c r="L50" s="98">
        <v>1.9386729085452183</v>
      </c>
      <c r="M50" s="100">
        <v>11.054046070545386</v>
      </c>
      <c r="N50" s="98">
        <v>2.3845891895990259</v>
      </c>
      <c r="O50" s="100">
        <v>-7.6048908098095396</v>
      </c>
      <c r="P50" s="102">
        <v>4.0764618691794938</v>
      </c>
      <c r="Q50" s="99">
        <v>16.162419694362395</v>
      </c>
      <c r="R50" s="98">
        <v>1.3190538423420313</v>
      </c>
      <c r="S50" s="100" t="s">
        <v>34</v>
      </c>
      <c r="T50" s="98" t="s">
        <v>34</v>
      </c>
      <c r="U50" s="100">
        <v>7.9122999271180907</v>
      </c>
      <c r="V50" s="98">
        <v>2.9880074220712065</v>
      </c>
      <c r="W50" s="100">
        <v>-8.2501197672443034</v>
      </c>
      <c r="X50" s="104">
        <v>3.1683493969108651</v>
      </c>
      <c r="Y50" s="124"/>
      <c r="Z50" s="124"/>
      <c r="AA50" s="124"/>
      <c r="AB50" s="124"/>
      <c r="AC50" s="124"/>
      <c r="AD50" s="124"/>
      <c r="AE50" s="124"/>
    </row>
    <row r="51" spans="1:31" s="105" customFormat="1" x14ac:dyDescent="0.25">
      <c r="A51" s="118" t="s">
        <v>235</v>
      </c>
      <c r="B51" s="167">
        <v>14144.5</v>
      </c>
      <c r="C51" s="133">
        <v>213</v>
      </c>
      <c r="D51" s="97">
        <v>47.505397796630859</v>
      </c>
      <c r="E51" s="99">
        <v>20.615966037285769</v>
      </c>
      <c r="F51" s="102">
        <v>1.212033401881071</v>
      </c>
      <c r="G51" s="99">
        <v>13.490251462935817</v>
      </c>
      <c r="H51" s="98">
        <v>1.7168405473126276</v>
      </c>
      <c r="I51" s="100">
        <v>19.544621115526294</v>
      </c>
      <c r="J51" s="98">
        <v>2.4761905182445725</v>
      </c>
      <c r="K51" s="100">
        <v>15.455291853087687</v>
      </c>
      <c r="L51" s="98">
        <v>1.57602522301613</v>
      </c>
      <c r="M51" s="100">
        <v>26.988921860974809</v>
      </c>
      <c r="N51" s="98">
        <v>2.140561068123628</v>
      </c>
      <c r="O51" s="100">
        <v>13.498670398038993</v>
      </c>
      <c r="P51" s="102">
        <v>2.7497714824669925</v>
      </c>
      <c r="Q51" s="99">
        <v>18.726798765144775</v>
      </c>
      <c r="R51" s="98">
        <v>1.7384468691608521</v>
      </c>
      <c r="S51" s="100">
        <v>15.096156039570493</v>
      </c>
      <c r="T51" s="98">
        <v>1.3618091877294052</v>
      </c>
      <c r="U51" s="100">
        <v>33.435822496794415</v>
      </c>
      <c r="V51" s="98">
        <v>2.9445166274572077</v>
      </c>
      <c r="W51" s="100">
        <v>2.4342934052919816</v>
      </c>
      <c r="X51" s="104">
        <v>2.1615530530134559</v>
      </c>
      <c r="Y51" s="124"/>
      <c r="Z51" s="124"/>
      <c r="AA51" s="124"/>
      <c r="AB51" s="124"/>
      <c r="AC51" s="124"/>
      <c r="AD51" s="124"/>
      <c r="AE51" s="124"/>
    </row>
    <row r="52" spans="1:31" s="105" customFormat="1" x14ac:dyDescent="0.25">
      <c r="A52" s="118" t="s">
        <v>302</v>
      </c>
      <c r="B52" s="167">
        <v>5451</v>
      </c>
      <c r="C52" s="133">
        <v>73</v>
      </c>
      <c r="D52" s="97">
        <v>43.568878173828125</v>
      </c>
      <c r="E52" s="99">
        <v>54.811744661712062</v>
      </c>
      <c r="F52" s="102">
        <v>2.9823340988505151</v>
      </c>
      <c r="G52" s="99">
        <v>42.928410123475032</v>
      </c>
      <c r="H52" s="98">
        <v>9.3597518908917259</v>
      </c>
      <c r="I52" s="100">
        <v>55.021108151081933</v>
      </c>
      <c r="J52" s="98">
        <v>4.8796485287227016</v>
      </c>
      <c r="K52" s="100">
        <v>52.671039271336376</v>
      </c>
      <c r="L52" s="98">
        <v>5.1964338713819025</v>
      </c>
      <c r="M52" s="100">
        <v>67.49380149219482</v>
      </c>
      <c r="N52" s="98">
        <v>5.7806192841277557</v>
      </c>
      <c r="O52" s="100">
        <v>24.565391368719787</v>
      </c>
      <c r="P52" s="102">
        <v>11.107070305210245</v>
      </c>
      <c r="Q52" s="99">
        <v>53.18434226450929</v>
      </c>
      <c r="R52" s="98">
        <v>3.1110083372962967</v>
      </c>
      <c r="S52" s="100" t="s">
        <v>34</v>
      </c>
      <c r="T52" s="98" t="s">
        <v>34</v>
      </c>
      <c r="U52" s="100" t="s">
        <v>34</v>
      </c>
      <c r="V52" s="98" t="s">
        <v>34</v>
      </c>
      <c r="W52" s="100" t="s">
        <v>34</v>
      </c>
      <c r="X52" s="104" t="s">
        <v>34</v>
      </c>
      <c r="Y52" s="124"/>
      <c r="Z52" s="124"/>
      <c r="AA52" s="124"/>
      <c r="AB52" s="124"/>
      <c r="AC52" s="124"/>
      <c r="AD52" s="124"/>
      <c r="AE52" s="124"/>
    </row>
    <row r="53" spans="1:31" s="105" customFormat="1" x14ac:dyDescent="0.25">
      <c r="A53" s="118" t="s">
        <v>298</v>
      </c>
      <c r="B53" s="167" t="s">
        <v>34</v>
      </c>
      <c r="C53" s="133" t="s">
        <v>34</v>
      </c>
      <c r="D53" s="97" t="s">
        <v>34</v>
      </c>
      <c r="E53" s="99">
        <v>43.991677866132633</v>
      </c>
      <c r="F53" s="102">
        <v>0.3328327574220456</v>
      </c>
      <c r="G53" s="99">
        <v>40.007347949478373</v>
      </c>
      <c r="H53" s="98">
        <v>0.6858279382253899</v>
      </c>
      <c r="I53" s="100">
        <v>43.504569390903917</v>
      </c>
      <c r="J53" s="98">
        <v>0.67694163466911139</v>
      </c>
      <c r="K53" s="100">
        <v>45.096204105669052</v>
      </c>
      <c r="L53" s="98">
        <v>0.6009640056347777</v>
      </c>
      <c r="M53" s="100">
        <v>47.1816158631067</v>
      </c>
      <c r="N53" s="98">
        <v>0.75021062204856115</v>
      </c>
      <c r="O53" s="100">
        <v>7.1742679136283298</v>
      </c>
      <c r="P53" s="102">
        <v>1.0223962493980521</v>
      </c>
      <c r="Q53" s="99">
        <v>44.527061996007617</v>
      </c>
      <c r="R53" s="98">
        <v>0.39522719302403092</v>
      </c>
      <c r="S53" s="100">
        <v>43.224176827643717</v>
      </c>
      <c r="T53" s="98">
        <v>1.283700235895352</v>
      </c>
      <c r="U53" s="100">
        <v>33.86822716336961</v>
      </c>
      <c r="V53" s="98">
        <v>1.4878674700276731</v>
      </c>
      <c r="W53" s="100">
        <v>0.78684193935730029</v>
      </c>
      <c r="X53" s="104">
        <v>1.268762075804146</v>
      </c>
      <c r="Y53" s="124"/>
      <c r="Z53" s="124"/>
      <c r="AA53" s="124"/>
      <c r="AB53" s="124"/>
      <c r="AC53" s="124"/>
      <c r="AD53" s="124"/>
      <c r="AE53" s="124"/>
    </row>
    <row r="54" spans="1:31" s="105" customFormat="1" x14ac:dyDescent="0.25">
      <c r="A54" s="181" t="s">
        <v>279</v>
      </c>
      <c r="B54" s="167"/>
      <c r="C54" s="133"/>
      <c r="D54" s="97"/>
      <c r="E54" s="99"/>
      <c r="F54" s="102"/>
      <c r="G54" s="99"/>
      <c r="H54" s="98"/>
      <c r="I54" s="100"/>
      <c r="J54" s="98"/>
      <c r="K54" s="100"/>
      <c r="L54" s="98"/>
      <c r="M54" s="100"/>
      <c r="N54" s="98"/>
      <c r="O54" s="100"/>
      <c r="P54" s="102"/>
      <c r="Q54" s="99"/>
      <c r="R54" s="98"/>
      <c r="S54" s="100"/>
      <c r="T54" s="98"/>
      <c r="U54" s="100"/>
      <c r="V54" s="98"/>
      <c r="W54" s="100"/>
      <c r="X54" s="104"/>
      <c r="Y54" s="124"/>
      <c r="Z54" s="124"/>
      <c r="AA54" s="124"/>
      <c r="AB54" s="124"/>
      <c r="AC54" s="124"/>
      <c r="AD54" s="124"/>
      <c r="AE54" s="124"/>
    </row>
    <row r="55" spans="1:31" s="105" customFormat="1" x14ac:dyDescent="0.25">
      <c r="A55" s="118" t="s">
        <v>237</v>
      </c>
      <c r="B55" s="167">
        <v>6467</v>
      </c>
      <c r="C55" s="133">
        <v>204</v>
      </c>
      <c r="D55" s="97">
        <v>68.114372253417969</v>
      </c>
      <c r="E55" s="99">
        <v>64.854607795470812</v>
      </c>
      <c r="F55" s="102">
        <v>3.1778700640846536</v>
      </c>
      <c r="G55" s="99">
        <v>56.968226559963561</v>
      </c>
      <c r="H55" s="98">
        <v>4.8104750418507107</v>
      </c>
      <c r="I55" s="100">
        <v>73.219203715888426</v>
      </c>
      <c r="J55" s="98">
        <v>5.9086012300858979</v>
      </c>
      <c r="K55" s="100">
        <v>76.564129487275409</v>
      </c>
      <c r="L55" s="98">
        <v>4.6665494039800262</v>
      </c>
      <c r="M55" s="100">
        <v>56.697789084698947</v>
      </c>
      <c r="N55" s="98">
        <v>7.3485610548611628</v>
      </c>
      <c r="O55" s="100">
        <v>-0.27043747526461459</v>
      </c>
      <c r="P55" s="102">
        <v>9.3375471191978789</v>
      </c>
      <c r="Q55" s="99">
        <v>63.298485035535002</v>
      </c>
      <c r="R55" s="98">
        <v>3.4800293668301063</v>
      </c>
      <c r="S55" s="100" t="s">
        <v>34</v>
      </c>
      <c r="T55" s="98" t="s">
        <v>34</v>
      </c>
      <c r="U55" s="100">
        <v>73.371696834363632</v>
      </c>
      <c r="V55" s="98">
        <v>9.1249237052452141</v>
      </c>
      <c r="W55" s="100">
        <v>10.07321179882863</v>
      </c>
      <c r="X55" s="104">
        <v>10.151296055461586</v>
      </c>
      <c r="Y55" s="124"/>
      <c r="Z55" s="124"/>
      <c r="AA55" s="124"/>
      <c r="AB55" s="124"/>
      <c r="AC55" s="124"/>
      <c r="AD55" s="124"/>
      <c r="AE55" s="124"/>
    </row>
    <row r="56" spans="1:31" s="105" customFormat="1" x14ac:dyDescent="0.25">
      <c r="A56" s="118" t="s">
        <v>238</v>
      </c>
      <c r="B56" s="167">
        <v>16105</v>
      </c>
      <c r="C56" s="133">
        <v>233</v>
      </c>
      <c r="D56" s="97">
        <v>53.539459228515625</v>
      </c>
      <c r="E56" s="99">
        <v>31.142024639979915</v>
      </c>
      <c r="F56" s="102">
        <v>3.1836200869635944</v>
      </c>
      <c r="G56" s="99">
        <v>24.217473940723867</v>
      </c>
      <c r="H56" s="98">
        <v>6.2981900921614891</v>
      </c>
      <c r="I56" s="100">
        <v>35.713896940584526</v>
      </c>
      <c r="J56" s="98">
        <v>6.5843417953537537</v>
      </c>
      <c r="K56" s="100">
        <v>32.502803482296954</v>
      </c>
      <c r="L56" s="98">
        <v>5.0797552455079771</v>
      </c>
      <c r="M56" s="100">
        <v>39.446485689248611</v>
      </c>
      <c r="N56" s="98">
        <v>5.6465087415979012</v>
      </c>
      <c r="O56" s="100">
        <v>15.229011748524744</v>
      </c>
      <c r="P56" s="102">
        <v>9.112317225243272</v>
      </c>
      <c r="Q56" s="99">
        <v>28.086977256360424</v>
      </c>
      <c r="R56" s="98">
        <v>3.7556831586332815</v>
      </c>
      <c r="S56" s="100">
        <v>45.034179166465449</v>
      </c>
      <c r="T56" s="98">
        <v>5.6526430810638164</v>
      </c>
      <c r="U56" s="100">
        <v>39.460745025896976</v>
      </c>
      <c r="V56" s="98">
        <v>9.419481150348</v>
      </c>
      <c r="W56" s="100">
        <v>15.382379384170573</v>
      </c>
      <c r="X56" s="104">
        <v>6.3134809661366242</v>
      </c>
      <c r="Y56" s="124"/>
      <c r="Z56" s="124"/>
      <c r="AA56" s="124"/>
      <c r="AB56" s="124"/>
      <c r="AC56" s="124"/>
      <c r="AD56" s="124"/>
      <c r="AE56" s="124"/>
    </row>
    <row r="57" spans="1:31" s="105" customFormat="1" x14ac:dyDescent="0.25">
      <c r="A57" s="118" t="s">
        <v>239</v>
      </c>
      <c r="B57" s="167">
        <v>3889.5</v>
      </c>
      <c r="C57" s="133">
        <v>37</v>
      </c>
      <c r="D57" s="97">
        <v>16.899009704589844</v>
      </c>
      <c r="E57" s="99">
        <v>34.279361280622048</v>
      </c>
      <c r="F57" s="102">
        <v>6.4051764724028093</v>
      </c>
      <c r="G57" s="99">
        <v>43.636132137328971</v>
      </c>
      <c r="H57" s="98">
        <v>9.3328993024504179</v>
      </c>
      <c r="I57" s="100">
        <v>55.891577869747735</v>
      </c>
      <c r="J57" s="98">
        <v>16.344194110092232</v>
      </c>
      <c r="K57" s="100">
        <v>11.540322319256097</v>
      </c>
      <c r="L57" s="98">
        <v>5.4350054560140002</v>
      </c>
      <c r="M57" s="100">
        <v>39.350000994277487</v>
      </c>
      <c r="N57" s="98">
        <v>10.861409799727245</v>
      </c>
      <c r="O57" s="100">
        <v>-4.2861311430514846</v>
      </c>
      <c r="P57" s="102">
        <v>13.384875651171098</v>
      </c>
      <c r="Q57" s="99">
        <v>35.788388418783995</v>
      </c>
      <c r="R57" s="98">
        <v>6.3767585924372678</v>
      </c>
      <c r="S57" s="100" t="s">
        <v>34</v>
      </c>
      <c r="T57" s="98" t="s">
        <v>34</v>
      </c>
      <c r="U57" s="100" t="s">
        <v>34</v>
      </c>
      <c r="V57" s="98" t="s">
        <v>34</v>
      </c>
      <c r="W57" s="100" t="s">
        <v>34</v>
      </c>
      <c r="X57" s="104" t="s">
        <v>34</v>
      </c>
      <c r="Y57" s="124"/>
      <c r="Z57" s="124"/>
      <c r="AA57" s="124"/>
      <c r="AB57" s="124"/>
      <c r="AC57" s="124"/>
      <c r="AD57" s="124"/>
      <c r="AE57" s="124"/>
    </row>
    <row r="58" spans="1:31" s="105" customFormat="1" x14ac:dyDescent="0.25">
      <c r="A58" s="118" t="s">
        <v>240</v>
      </c>
      <c r="B58" s="167">
        <v>12396.5</v>
      </c>
      <c r="C58" s="133">
        <v>234</v>
      </c>
      <c r="D58" s="97">
        <v>100</v>
      </c>
      <c r="E58" s="99">
        <v>2.2114397059743727</v>
      </c>
      <c r="F58" s="102">
        <v>0.39181000803211607</v>
      </c>
      <c r="G58" s="99">
        <v>2.1621137496304192</v>
      </c>
      <c r="H58" s="98">
        <v>0.9771546179235574</v>
      </c>
      <c r="I58" s="100">
        <v>2.3948851559226245</v>
      </c>
      <c r="J58" s="98">
        <v>0.81038793144912513</v>
      </c>
      <c r="K58" s="100">
        <v>2.0337803788836517</v>
      </c>
      <c r="L58" s="98">
        <v>0.50663331828634928</v>
      </c>
      <c r="M58" s="100">
        <v>2.2855038070809859</v>
      </c>
      <c r="N58" s="98">
        <v>0.53522343703788067</v>
      </c>
      <c r="O58" s="100">
        <v>0.12339005745056664</v>
      </c>
      <c r="P58" s="102">
        <v>1.118115332469704</v>
      </c>
      <c r="Q58" s="99">
        <v>2.1706715385612245</v>
      </c>
      <c r="R58" s="98">
        <v>0.39376821242269133</v>
      </c>
      <c r="S58" s="100" t="s">
        <v>34</v>
      </c>
      <c r="T58" s="98" t="s">
        <v>34</v>
      </c>
      <c r="U58" s="100" t="s">
        <v>34</v>
      </c>
      <c r="V58" s="98" t="s">
        <v>34</v>
      </c>
      <c r="W58" s="100" t="s">
        <v>34</v>
      </c>
      <c r="X58" s="104" t="s">
        <v>34</v>
      </c>
      <c r="Y58" s="124"/>
      <c r="Z58" s="124"/>
      <c r="AA58" s="124"/>
      <c r="AB58" s="124"/>
      <c r="AC58" s="124"/>
      <c r="AD58" s="124"/>
      <c r="AE58" s="124"/>
    </row>
    <row r="59" spans="1:31" s="105" customFormat="1" x14ac:dyDescent="0.25">
      <c r="A59" s="118" t="s">
        <v>241</v>
      </c>
      <c r="B59" s="167">
        <v>7824</v>
      </c>
      <c r="C59" s="133">
        <v>114</v>
      </c>
      <c r="D59" s="97">
        <v>73.528923034667969</v>
      </c>
      <c r="E59" s="99">
        <v>8.7999825074259803</v>
      </c>
      <c r="F59" s="102">
        <v>1.3524776625621935</v>
      </c>
      <c r="G59" s="99">
        <v>4.6978651201641428</v>
      </c>
      <c r="H59" s="98">
        <v>0.70035820080464384</v>
      </c>
      <c r="I59" s="100">
        <v>6.4503562576042563</v>
      </c>
      <c r="J59" s="98">
        <v>1.5460283117591853</v>
      </c>
      <c r="K59" s="100">
        <v>7.981183879234977</v>
      </c>
      <c r="L59" s="98">
        <v>0.9550066840510697</v>
      </c>
      <c r="M59" s="100">
        <v>15.388695308747034</v>
      </c>
      <c r="N59" s="98">
        <v>4.7092819144741824</v>
      </c>
      <c r="O59" s="100">
        <v>10.69083018858289</v>
      </c>
      <c r="P59" s="102">
        <v>4.7877802876933773</v>
      </c>
      <c r="Q59" s="99">
        <v>8.2299801619058535</v>
      </c>
      <c r="R59" s="98">
        <v>1.3619659234936345</v>
      </c>
      <c r="S59" s="100" t="s">
        <v>34</v>
      </c>
      <c r="T59" s="98" t="s">
        <v>34</v>
      </c>
      <c r="U59" s="100" t="s">
        <v>34</v>
      </c>
      <c r="V59" s="98" t="s">
        <v>34</v>
      </c>
      <c r="W59" s="100" t="s">
        <v>34</v>
      </c>
      <c r="X59" s="104" t="s">
        <v>34</v>
      </c>
      <c r="Y59" s="124"/>
      <c r="Z59" s="124"/>
      <c r="AA59" s="124"/>
      <c r="AB59" s="124"/>
      <c r="AC59" s="124"/>
      <c r="AD59" s="124"/>
      <c r="AE59" s="124"/>
    </row>
    <row r="60" spans="1:31" s="105" customFormat="1" x14ac:dyDescent="0.25">
      <c r="A60" s="118" t="s">
        <v>242</v>
      </c>
      <c r="B60" s="167">
        <v>11062</v>
      </c>
      <c r="C60" s="133">
        <v>242</v>
      </c>
      <c r="D60" s="97">
        <v>44.793075561523438</v>
      </c>
      <c r="E60" s="99">
        <v>12.88593242988515</v>
      </c>
      <c r="F60" s="102">
        <v>1.3765829699026673</v>
      </c>
      <c r="G60" s="99">
        <v>4.6248095724428318</v>
      </c>
      <c r="H60" s="98">
        <v>0.80567361880960697</v>
      </c>
      <c r="I60" s="100">
        <v>15.746731975030286</v>
      </c>
      <c r="J60" s="98">
        <v>2.4053699698565851</v>
      </c>
      <c r="K60" s="100">
        <v>13.462229402933145</v>
      </c>
      <c r="L60" s="98">
        <v>3.30336148042309</v>
      </c>
      <c r="M60" s="100">
        <v>15.041775474289635</v>
      </c>
      <c r="N60" s="98">
        <v>3.0426299651024422</v>
      </c>
      <c r="O60" s="100">
        <v>10.416965901846803</v>
      </c>
      <c r="P60" s="102">
        <v>3.1581430794012699</v>
      </c>
      <c r="Q60" s="99">
        <v>12.705994661963071</v>
      </c>
      <c r="R60" s="98">
        <v>1.6240151219564387</v>
      </c>
      <c r="S60" s="100" t="s">
        <v>34</v>
      </c>
      <c r="T60" s="98" t="s">
        <v>34</v>
      </c>
      <c r="U60" s="100">
        <v>13.515608732973309</v>
      </c>
      <c r="V60" s="98">
        <v>2.7408407790351981</v>
      </c>
      <c r="W60" s="100">
        <v>0.80961407101023752</v>
      </c>
      <c r="X60" s="104">
        <v>3.2176492060510196</v>
      </c>
      <c r="Y60" s="124"/>
      <c r="Z60" s="124"/>
      <c r="AA60" s="124"/>
      <c r="AB60" s="124"/>
      <c r="AC60" s="124"/>
      <c r="AD60" s="124"/>
      <c r="AE60" s="124"/>
    </row>
    <row r="61" spans="1:31" s="105" customFormat="1" x14ac:dyDescent="0.25">
      <c r="A61" s="118" t="s">
        <v>243</v>
      </c>
      <c r="B61" s="167">
        <v>4916.5</v>
      </c>
      <c r="C61" s="133">
        <v>51</v>
      </c>
      <c r="D61" s="97">
        <v>93.796195983886719</v>
      </c>
      <c r="E61" s="99">
        <v>25.394081155293399</v>
      </c>
      <c r="F61" s="102" t="s">
        <v>35</v>
      </c>
      <c r="G61" s="99">
        <v>18.444340940847695</v>
      </c>
      <c r="H61" s="98" t="s">
        <v>35</v>
      </c>
      <c r="I61" s="100">
        <v>24.54590083456063</v>
      </c>
      <c r="J61" s="98" t="s">
        <v>35</v>
      </c>
      <c r="K61" s="100">
        <v>15.596002855103498</v>
      </c>
      <c r="L61" s="98" t="s">
        <v>35</v>
      </c>
      <c r="M61" s="100">
        <v>40.88514225500527</v>
      </c>
      <c r="N61" s="98" t="s">
        <v>35</v>
      </c>
      <c r="O61" s="100">
        <v>22.440801314157575</v>
      </c>
      <c r="P61" s="102" t="s">
        <v>35</v>
      </c>
      <c r="Q61" s="99">
        <v>23.406124497991968</v>
      </c>
      <c r="R61" s="98" t="s">
        <v>35</v>
      </c>
      <c r="S61" s="100" t="s">
        <v>34</v>
      </c>
      <c r="T61" s="98" t="s">
        <v>34</v>
      </c>
      <c r="U61" s="100">
        <v>33.887399463806972</v>
      </c>
      <c r="V61" s="98" t="s">
        <v>35</v>
      </c>
      <c r="W61" s="100">
        <v>10.481274965815004</v>
      </c>
      <c r="X61" s="104" t="s">
        <v>35</v>
      </c>
      <c r="Y61" s="124"/>
      <c r="Z61" s="124"/>
      <c r="AA61" s="124"/>
      <c r="AB61" s="124"/>
      <c r="AC61" s="124"/>
      <c r="AD61" s="124"/>
      <c r="AE61" s="124"/>
    </row>
    <row r="62" spans="1:31" s="105" customFormat="1" x14ac:dyDescent="0.25">
      <c r="A62" s="118" t="s">
        <v>244</v>
      </c>
      <c r="B62" s="167">
        <v>62775</v>
      </c>
      <c r="C62" s="133">
        <v>359</v>
      </c>
      <c r="D62" s="97">
        <v>99.307029724121094</v>
      </c>
      <c r="E62" s="99">
        <v>10.340923439173158</v>
      </c>
      <c r="F62" s="102">
        <v>0.66870027350673233</v>
      </c>
      <c r="G62" s="99">
        <v>3.545359545260045</v>
      </c>
      <c r="H62" s="98">
        <v>0.77377998766303291</v>
      </c>
      <c r="I62" s="100">
        <v>8.3081337663146488</v>
      </c>
      <c r="J62" s="98">
        <v>2.1241571578205241</v>
      </c>
      <c r="K62" s="100">
        <v>11.753222458940824</v>
      </c>
      <c r="L62" s="98">
        <v>1.5649079603832396</v>
      </c>
      <c r="M62" s="100">
        <v>17.817277681066777</v>
      </c>
      <c r="N62" s="98">
        <v>1.2768529494046148</v>
      </c>
      <c r="O62" s="100">
        <v>14.271918135806732</v>
      </c>
      <c r="P62" s="102">
        <v>1.505089543741893</v>
      </c>
      <c r="Q62" s="99">
        <v>9.988864702902859</v>
      </c>
      <c r="R62" s="98">
        <v>0.71795975403805612</v>
      </c>
      <c r="S62" s="100" t="s">
        <v>34</v>
      </c>
      <c r="T62" s="98" t="s">
        <v>34</v>
      </c>
      <c r="U62" s="100">
        <v>13.251654528297577</v>
      </c>
      <c r="V62" s="98">
        <v>1.9489142540444047</v>
      </c>
      <c r="W62" s="100">
        <v>3.2627898253947176</v>
      </c>
      <c r="X62" s="104">
        <v>2.0992088891412704</v>
      </c>
      <c r="Y62" s="124"/>
      <c r="Z62" s="124"/>
      <c r="AA62" s="124"/>
      <c r="AB62" s="124"/>
      <c r="AC62" s="124"/>
      <c r="AD62" s="124"/>
      <c r="AE62" s="124"/>
    </row>
    <row r="63" spans="1:31" s="105" customFormat="1" x14ac:dyDescent="0.25">
      <c r="A63" s="118" t="s">
        <v>245</v>
      </c>
      <c r="B63" s="167">
        <v>4838.5</v>
      </c>
      <c r="C63" s="133">
        <v>95</v>
      </c>
      <c r="D63" s="97">
        <v>47.182819366455078</v>
      </c>
      <c r="E63" s="99">
        <v>83.138330101798815</v>
      </c>
      <c r="F63" s="102">
        <v>1.6767157461318136</v>
      </c>
      <c r="G63" s="99">
        <v>81.819134887164282</v>
      </c>
      <c r="H63" s="98">
        <v>3.8306289646961149</v>
      </c>
      <c r="I63" s="100">
        <v>80.673422089747575</v>
      </c>
      <c r="J63" s="98">
        <v>3.2193141550501059</v>
      </c>
      <c r="K63" s="100">
        <v>84.094209564598174</v>
      </c>
      <c r="L63" s="98">
        <v>2.714212468631755</v>
      </c>
      <c r="M63" s="100">
        <v>87.856090067548109</v>
      </c>
      <c r="N63" s="98">
        <v>2.8292628881724662</v>
      </c>
      <c r="O63" s="100">
        <v>6.0369551803838277</v>
      </c>
      <c r="P63" s="102">
        <v>4.7334355884467723</v>
      </c>
      <c r="Q63" s="99">
        <v>82.944247827503062</v>
      </c>
      <c r="R63" s="98">
        <v>1.7294200935913107</v>
      </c>
      <c r="S63" s="100" t="s">
        <v>34</v>
      </c>
      <c r="T63" s="98" t="s">
        <v>34</v>
      </c>
      <c r="U63" s="100" t="s">
        <v>34</v>
      </c>
      <c r="V63" s="98" t="s">
        <v>34</v>
      </c>
      <c r="W63" s="100" t="s">
        <v>34</v>
      </c>
      <c r="X63" s="104" t="s">
        <v>34</v>
      </c>
      <c r="Y63" s="124"/>
      <c r="Z63" s="124"/>
      <c r="AA63" s="124"/>
      <c r="AB63" s="124"/>
      <c r="AC63" s="124"/>
      <c r="AD63" s="124"/>
      <c r="AE63" s="124"/>
    </row>
    <row r="64" spans="1:31" s="105" customFormat="1" x14ac:dyDescent="0.25">
      <c r="A64" s="118" t="s">
        <v>246</v>
      </c>
      <c r="B64" s="167">
        <v>9533.5</v>
      </c>
      <c r="C64" s="133">
        <v>202</v>
      </c>
      <c r="D64" s="97">
        <v>98.489280700683594</v>
      </c>
      <c r="E64" s="99">
        <v>26.985346306542713</v>
      </c>
      <c r="F64" s="102">
        <v>2.105678706630532</v>
      </c>
      <c r="G64" s="99">
        <v>27.886132380541714</v>
      </c>
      <c r="H64" s="98">
        <v>4.8934159345361117</v>
      </c>
      <c r="I64" s="100">
        <v>29.420859378212128</v>
      </c>
      <c r="J64" s="98">
        <v>4.0008167185788022</v>
      </c>
      <c r="K64" s="100">
        <v>23.940218384630924</v>
      </c>
      <c r="L64" s="98">
        <v>3.5318657783614626</v>
      </c>
      <c r="M64" s="100">
        <v>26.065191103926381</v>
      </c>
      <c r="N64" s="98">
        <v>3.6464444553626398</v>
      </c>
      <c r="O64" s="100">
        <v>-1.8209412766153328</v>
      </c>
      <c r="P64" s="102">
        <v>6.4722605820749877</v>
      </c>
      <c r="Q64" s="99">
        <v>28.138112006523951</v>
      </c>
      <c r="R64" s="98">
        <v>2.4110741211978222</v>
      </c>
      <c r="S64" s="100" t="s">
        <v>34</v>
      </c>
      <c r="T64" s="98" t="s">
        <v>34</v>
      </c>
      <c r="U64" s="100">
        <v>23.035681590622897</v>
      </c>
      <c r="V64" s="98">
        <v>4.766585468772206</v>
      </c>
      <c r="W64" s="100">
        <v>-5.1024304159010541</v>
      </c>
      <c r="X64" s="104">
        <v>5.3823031624342592</v>
      </c>
      <c r="Y64" s="124"/>
      <c r="Z64" s="124"/>
      <c r="AA64" s="124"/>
      <c r="AB64" s="124"/>
      <c r="AC64" s="124"/>
      <c r="AD64" s="124"/>
      <c r="AE64" s="124"/>
    </row>
    <row r="65" spans="1:31" s="105" customFormat="1" x14ac:dyDescent="0.25">
      <c r="A65" s="118" t="s">
        <v>247</v>
      </c>
      <c r="B65" s="167">
        <v>6747</v>
      </c>
      <c r="C65" s="133">
        <v>135</v>
      </c>
      <c r="D65" s="97">
        <v>74.681060791015625</v>
      </c>
      <c r="E65" s="99">
        <v>89.934862233189691</v>
      </c>
      <c r="F65" s="102">
        <v>1.7697610791017846</v>
      </c>
      <c r="G65" s="99">
        <v>84.555409241281694</v>
      </c>
      <c r="H65" s="98">
        <v>3.3480687871552788</v>
      </c>
      <c r="I65" s="100">
        <v>92.897771975181669</v>
      </c>
      <c r="J65" s="98">
        <v>1.6479276586707063</v>
      </c>
      <c r="K65" s="100">
        <v>91.172359317404016</v>
      </c>
      <c r="L65" s="98">
        <v>2.5942848546207231</v>
      </c>
      <c r="M65" s="100">
        <v>91.611935983510818</v>
      </c>
      <c r="N65" s="98">
        <v>3.9949520383238299</v>
      </c>
      <c r="O65" s="100">
        <v>7.0565267422291242</v>
      </c>
      <c r="P65" s="102">
        <v>3.387176423639473</v>
      </c>
      <c r="Q65" s="99">
        <v>89.625030841253121</v>
      </c>
      <c r="R65" s="98">
        <v>1.8209127302742951</v>
      </c>
      <c r="S65" s="100" t="s">
        <v>34</v>
      </c>
      <c r="T65" s="98" t="s">
        <v>34</v>
      </c>
      <c r="U65" s="100" t="s">
        <v>34</v>
      </c>
      <c r="V65" s="98" t="s">
        <v>34</v>
      </c>
      <c r="W65" s="100" t="s">
        <v>34</v>
      </c>
      <c r="X65" s="104" t="s">
        <v>34</v>
      </c>
      <c r="Y65" s="124"/>
      <c r="Z65" s="124"/>
      <c r="AA65" s="124"/>
      <c r="AB65" s="124"/>
      <c r="AC65" s="124"/>
      <c r="AD65" s="124"/>
      <c r="AE65" s="124"/>
    </row>
    <row r="66" spans="1:31" s="105" customFormat="1" x14ac:dyDescent="0.25">
      <c r="A66" s="118" t="s">
        <v>248</v>
      </c>
      <c r="B66" s="167">
        <v>5365</v>
      </c>
      <c r="C66" s="133">
        <v>75</v>
      </c>
      <c r="D66" s="97">
        <v>95.170761108398438</v>
      </c>
      <c r="E66" s="99">
        <v>46.263384196047255</v>
      </c>
      <c r="F66" s="102">
        <v>0.13220599171573105</v>
      </c>
      <c r="G66" s="99">
        <v>45.045703839122488</v>
      </c>
      <c r="H66" s="98">
        <v>3.3624973325800593E-3</v>
      </c>
      <c r="I66" s="100">
        <v>37.411526794742166</v>
      </c>
      <c r="J66" s="98" t="s">
        <v>35</v>
      </c>
      <c r="K66" s="100">
        <v>45.34221284187084</v>
      </c>
      <c r="L66" s="98">
        <v>0.66097840792545615</v>
      </c>
      <c r="M66" s="100">
        <v>53.643728590707241</v>
      </c>
      <c r="N66" s="98">
        <v>4.1106239126693221E-2</v>
      </c>
      <c r="O66" s="100">
        <v>8.5980247515847523</v>
      </c>
      <c r="P66" s="102">
        <v>4.124353626269809E-2</v>
      </c>
      <c r="Q66" s="99">
        <v>43.26191147448548</v>
      </c>
      <c r="R66" s="98">
        <v>0.1919805304327353</v>
      </c>
      <c r="S66" s="100" t="s">
        <v>34</v>
      </c>
      <c r="T66" s="98" t="s">
        <v>34</v>
      </c>
      <c r="U66" s="100">
        <v>54.221729853550286</v>
      </c>
      <c r="V66" s="98">
        <v>4.8882693234064654E-2</v>
      </c>
      <c r="W66" s="100">
        <v>10.959818379064806</v>
      </c>
      <c r="X66" s="104">
        <v>0.19808079293898651</v>
      </c>
      <c r="Y66" s="124"/>
      <c r="Z66" s="124"/>
      <c r="AA66" s="124"/>
      <c r="AB66" s="124"/>
      <c r="AC66" s="124"/>
      <c r="AD66" s="124"/>
      <c r="AE66" s="124"/>
    </row>
    <row r="67" spans="1:31" s="105" customFormat="1" x14ac:dyDescent="0.25">
      <c r="A67" s="118" t="s">
        <v>249</v>
      </c>
      <c r="B67" s="167">
        <v>1342</v>
      </c>
      <c r="C67" s="133">
        <v>54</v>
      </c>
      <c r="D67" s="97">
        <v>24.006755828857422</v>
      </c>
      <c r="E67" s="99">
        <v>10.884137249896956</v>
      </c>
      <c r="F67" s="102">
        <v>1.7649940181463746</v>
      </c>
      <c r="G67" s="99">
        <v>5.5331186096396898</v>
      </c>
      <c r="H67" s="98">
        <v>1.1941937516095913</v>
      </c>
      <c r="I67" s="100">
        <v>11.868970650416971</v>
      </c>
      <c r="J67" s="98">
        <v>3.5902945710062726</v>
      </c>
      <c r="K67" s="100">
        <v>18.235894180698942</v>
      </c>
      <c r="L67" s="98">
        <v>5.7625199490622787</v>
      </c>
      <c r="M67" s="100">
        <v>15.500372361253708</v>
      </c>
      <c r="N67" s="98">
        <v>6.459530870700994</v>
      </c>
      <c r="O67" s="100">
        <v>9.9672537516140185</v>
      </c>
      <c r="P67" s="102">
        <v>6.535776213958548</v>
      </c>
      <c r="Q67" s="99">
        <v>10.012143583019986</v>
      </c>
      <c r="R67" s="98">
        <v>1.8518234225470067</v>
      </c>
      <c r="S67" s="100" t="s">
        <v>34</v>
      </c>
      <c r="T67" s="98" t="s">
        <v>34</v>
      </c>
      <c r="U67" s="100">
        <v>19.763489657972016</v>
      </c>
      <c r="V67" s="98">
        <v>6.5499115670721411</v>
      </c>
      <c r="W67" s="100">
        <v>9.7513460749520302</v>
      </c>
      <c r="X67" s="104">
        <v>6.7719811198487827</v>
      </c>
      <c r="Y67" s="124"/>
      <c r="Z67" s="124"/>
      <c r="AA67" s="124"/>
      <c r="AB67" s="124"/>
      <c r="AC67" s="124"/>
      <c r="AD67" s="124"/>
      <c r="AE67" s="124"/>
    </row>
    <row r="68" spans="1:31" s="105" customFormat="1" x14ac:dyDescent="0.25">
      <c r="A68" s="118" t="s">
        <v>250</v>
      </c>
      <c r="B68" s="167">
        <v>9552.5</v>
      </c>
      <c r="C68" s="133">
        <v>235</v>
      </c>
      <c r="D68" s="97">
        <v>75.304649353027344</v>
      </c>
      <c r="E68" s="99">
        <v>63.130942289094335</v>
      </c>
      <c r="F68" s="102">
        <v>3.4811066019767711</v>
      </c>
      <c r="G68" s="99">
        <v>65.189046213955024</v>
      </c>
      <c r="H68" s="98">
        <v>3.9265104289079824</v>
      </c>
      <c r="I68" s="100">
        <v>60.840469788052715</v>
      </c>
      <c r="J68" s="98">
        <v>5.2873457711484342</v>
      </c>
      <c r="K68" s="100">
        <v>68.222321892575181</v>
      </c>
      <c r="L68" s="98">
        <v>5.4434097316313599</v>
      </c>
      <c r="M68" s="100">
        <v>58.74993385474896</v>
      </c>
      <c r="N68" s="98">
        <v>9.7245460886719375</v>
      </c>
      <c r="O68" s="100">
        <v>-6.4391123592060637</v>
      </c>
      <c r="P68" s="102">
        <v>10.685656933242788</v>
      </c>
      <c r="Q68" s="99">
        <v>66.171538314186819</v>
      </c>
      <c r="R68" s="98">
        <v>2.5979591627196812</v>
      </c>
      <c r="S68" s="100" t="s">
        <v>34</v>
      </c>
      <c r="T68" s="98" t="s">
        <v>34</v>
      </c>
      <c r="U68" s="100">
        <v>47.465146549155676</v>
      </c>
      <c r="V68" s="98">
        <v>12.37591344517644</v>
      </c>
      <c r="W68" s="100">
        <v>-18.706391765031142</v>
      </c>
      <c r="X68" s="104">
        <v>12.620347461730971</v>
      </c>
      <c r="Y68" s="124"/>
      <c r="Z68" s="124"/>
      <c r="AA68" s="124"/>
      <c r="AB68" s="124"/>
      <c r="AC68" s="124"/>
      <c r="AD68" s="124"/>
      <c r="AE68" s="124"/>
    </row>
    <row r="69" spans="1:31" s="105" customFormat="1" x14ac:dyDescent="0.25">
      <c r="A69" s="118" t="s">
        <v>303</v>
      </c>
      <c r="B69" s="167">
        <v>4572.5</v>
      </c>
      <c r="C69" s="133">
        <v>74</v>
      </c>
      <c r="D69" s="97">
        <v>50.131359100341797</v>
      </c>
      <c r="E69" s="99">
        <v>49.162437457716848</v>
      </c>
      <c r="F69" s="102">
        <v>1.5187365293300239</v>
      </c>
      <c r="G69" s="99">
        <v>44.738336884197132</v>
      </c>
      <c r="H69" s="98">
        <v>3.4837309343368439</v>
      </c>
      <c r="I69" s="100">
        <v>44.768978066921079</v>
      </c>
      <c r="J69" s="98">
        <v>3.6402038047930363</v>
      </c>
      <c r="K69" s="100">
        <v>53.565746052654475</v>
      </c>
      <c r="L69" s="98">
        <v>2.8734663506152383</v>
      </c>
      <c r="M69" s="100">
        <v>56.869589981600406</v>
      </c>
      <c r="N69" s="98">
        <v>2.3448025526559482</v>
      </c>
      <c r="O69" s="100">
        <v>12.131253097403274</v>
      </c>
      <c r="P69" s="102">
        <v>4.4325496970053164</v>
      </c>
      <c r="Q69" s="99">
        <v>43.783677012564929</v>
      </c>
      <c r="R69" s="98">
        <v>6.7929179370169885</v>
      </c>
      <c r="S69" s="100">
        <v>49.490072354826992</v>
      </c>
      <c r="T69" s="98">
        <v>1.5670577311458469</v>
      </c>
      <c r="U69" s="100" t="s">
        <v>34</v>
      </c>
      <c r="V69" s="98" t="s">
        <v>34</v>
      </c>
      <c r="W69" s="100">
        <v>5.7063953422620628</v>
      </c>
      <c r="X69" s="104">
        <v>7.0427384463290705</v>
      </c>
      <c r="Y69" s="124"/>
      <c r="Z69" s="124"/>
      <c r="AA69" s="124"/>
      <c r="AB69" s="124"/>
      <c r="AC69" s="124"/>
      <c r="AD69" s="124"/>
      <c r="AE69" s="124"/>
    </row>
    <row r="70" spans="1:31" s="105" customFormat="1" x14ac:dyDescent="0.25">
      <c r="A70" s="118" t="s">
        <v>251</v>
      </c>
      <c r="B70" s="167">
        <v>7869.5</v>
      </c>
      <c r="C70" s="133">
        <v>235</v>
      </c>
      <c r="D70" s="97">
        <v>61.317008972167969</v>
      </c>
      <c r="E70" s="99">
        <v>8.1791387074195168</v>
      </c>
      <c r="F70" s="102">
        <v>0.90842102274081082</v>
      </c>
      <c r="G70" s="99">
        <v>5.5354036377112283</v>
      </c>
      <c r="H70" s="98">
        <v>1.1112142533277127</v>
      </c>
      <c r="I70" s="100">
        <v>5.2355149678027564</v>
      </c>
      <c r="J70" s="98">
        <v>0.75541986648374071</v>
      </c>
      <c r="K70" s="100">
        <v>11.85934776384509</v>
      </c>
      <c r="L70" s="98">
        <v>2.9466555803881667</v>
      </c>
      <c r="M70" s="100">
        <v>13.696734181309235</v>
      </c>
      <c r="N70" s="98">
        <v>1.5268493888153294</v>
      </c>
      <c r="O70" s="100">
        <v>8.161330543598007</v>
      </c>
      <c r="P70" s="102">
        <v>1.7503149874959145</v>
      </c>
      <c r="Q70" s="99">
        <v>10.115414341575669</v>
      </c>
      <c r="R70" s="98">
        <v>1.2244704696681679</v>
      </c>
      <c r="S70" s="100">
        <v>5.5199710542241061</v>
      </c>
      <c r="T70" s="98">
        <v>1.5123595815071964</v>
      </c>
      <c r="U70" s="100">
        <v>3.9489174788523549</v>
      </c>
      <c r="V70" s="98">
        <v>1.3631947793370778</v>
      </c>
      <c r="W70" s="100">
        <v>-5.2154480454454886</v>
      </c>
      <c r="X70" s="104">
        <v>1.6436912282476639</v>
      </c>
      <c r="Y70" s="124"/>
      <c r="Z70" s="124"/>
      <c r="AA70" s="124"/>
      <c r="AB70" s="124"/>
      <c r="AC70" s="124"/>
      <c r="AD70" s="124"/>
      <c r="AE70" s="124"/>
    </row>
    <row r="71" spans="1:31" s="105" customFormat="1" x14ac:dyDescent="0.25">
      <c r="A71" s="118" t="s">
        <v>252</v>
      </c>
      <c r="B71" s="167">
        <v>8984</v>
      </c>
      <c r="C71" s="133">
        <v>222</v>
      </c>
      <c r="D71" s="97">
        <v>62.002182006835938</v>
      </c>
      <c r="E71" s="99">
        <v>10.596755104706528</v>
      </c>
      <c r="F71" s="102">
        <v>1.0293759110253726</v>
      </c>
      <c r="G71" s="99">
        <v>9.9734808689250141</v>
      </c>
      <c r="H71" s="98">
        <v>1.5015852010737918</v>
      </c>
      <c r="I71" s="100">
        <v>8.9559544677391099</v>
      </c>
      <c r="J71" s="98">
        <v>1.3775030203303875</v>
      </c>
      <c r="K71" s="100">
        <v>9.2535120602284717</v>
      </c>
      <c r="L71" s="98">
        <v>1.7980092978811679</v>
      </c>
      <c r="M71" s="100">
        <v>11.727977057713975</v>
      </c>
      <c r="N71" s="98">
        <v>1.9378750690621207</v>
      </c>
      <c r="O71" s="100">
        <v>1.754496188788961</v>
      </c>
      <c r="P71" s="102">
        <v>2.5021818660260111</v>
      </c>
      <c r="Q71" s="99">
        <v>10.077002705871362</v>
      </c>
      <c r="R71" s="98">
        <v>0.83666557945677056</v>
      </c>
      <c r="S71" s="100" t="s">
        <v>34</v>
      </c>
      <c r="T71" s="98" t="s">
        <v>34</v>
      </c>
      <c r="U71" s="100">
        <v>11.170178198047493</v>
      </c>
      <c r="V71" s="98">
        <v>1.9663757595066462</v>
      </c>
      <c r="W71" s="100">
        <v>1.0931754921761314</v>
      </c>
      <c r="X71" s="104">
        <v>2.1755606354011392</v>
      </c>
      <c r="Y71" s="124"/>
      <c r="Z71" s="124"/>
      <c r="AA71" s="124"/>
      <c r="AB71" s="124"/>
      <c r="AC71" s="124"/>
      <c r="AD71" s="124"/>
      <c r="AE71" s="124"/>
    </row>
    <row r="72" spans="1:31" s="105" customFormat="1" x14ac:dyDescent="0.25">
      <c r="A72" s="118" t="s">
        <v>253</v>
      </c>
      <c r="B72" s="167">
        <v>42274</v>
      </c>
      <c r="C72" s="133">
        <v>493</v>
      </c>
      <c r="D72" s="97">
        <v>76.764350891113281</v>
      </c>
      <c r="E72" s="99">
        <v>35.35857097423883</v>
      </c>
      <c r="F72" s="102">
        <v>2.8895667433089804</v>
      </c>
      <c r="G72" s="99">
        <v>31.510685050789817</v>
      </c>
      <c r="H72" s="98">
        <v>4.7028705938975071</v>
      </c>
      <c r="I72" s="100">
        <v>35.216202320745758</v>
      </c>
      <c r="J72" s="98">
        <v>6.2899083471011226</v>
      </c>
      <c r="K72" s="100">
        <v>35.159503284518195</v>
      </c>
      <c r="L72" s="98">
        <v>7.7749397858118643</v>
      </c>
      <c r="M72" s="100">
        <v>40.887012083144548</v>
      </c>
      <c r="N72" s="98">
        <v>5.2481731940879524</v>
      </c>
      <c r="O72" s="100">
        <v>9.3763270323547303</v>
      </c>
      <c r="P72" s="102">
        <v>7.2102731667060551</v>
      </c>
      <c r="Q72" s="99">
        <v>34.667954694963093</v>
      </c>
      <c r="R72" s="98">
        <v>2.8321808801216708</v>
      </c>
      <c r="S72" s="100">
        <v>80.139462489263224</v>
      </c>
      <c r="T72" s="98">
        <v>22.71509535731014</v>
      </c>
      <c r="U72" s="100" t="s">
        <v>34</v>
      </c>
      <c r="V72" s="98" t="s">
        <v>34</v>
      </c>
      <c r="W72" s="100">
        <v>45.47150779430013</v>
      </c>
      <c r="X72" s="104">
        <v>22.797663366733463</v>
      </c>
      <c r="Y72" s="142"/>
      <c r="Z72" s="124"/>
      <c r="AA72" s="124"/>
      <c r="AB72" s="124"/>
      <c r="AC72" s="124"/>
      <c r="AD72" s="124"/>
      <c r="AE72" s="124"/>
    </row>
    <row r="73" spans="1:31" s="105" customFormat="1" x14ac:dyDescent="0.25">
      <c r="A73" s="118" t="s">
        <v>254</v>
      </c>
      <c r="B73" s="167">
        <v>3763.5</v>
      </c>
      <c r="C73" s="133">
        <v>40</v>
      </c>
      <c r="D73" s="97">
        <v>33.544765472412109</v>
      </c>
      <c r="E73" s="99">
        <v>49.221664421462037</v>
      </c>
      <c r="F73" s="102">
        <v>2.0508905396606409</v>
      </c>
      <c r="G73" s="99">
        <v>52.517970749998071</v>
      </c>
      <c r="H73" s="98">
        <v>5.2099374681406783</v>
      </c>
      <c r="I73" s="100">
        <v>48.633108426791281</v>
      </c>
      <c r="J73" s="98">
        <v>4.5607374199821882</v>
      </c>
      <c r="K73" s="100">
        <v>55.240837742958519</v>
      </c>
      <c r="L73" s="98">
        <v>5.5604660407106348</v>
      </c>
      <c r="M73" s="100">
        <v>36.5780145888316</v>
      </c>
      <c r="N73" s="98">
        <v>2.0663081595711947</v>
      </c>
      <c r="O73" s="100">
        <v>-15.939956161166471</v>
      </c>
      <c r="P73" s="102">
        <v>5.626362073745498</v>
      </c>
      <c r="Q73" s="99">
        <v>48.331940183704859</v>
      </c>
      <c r="R73" s="98">
        <v>1.9145912697848391</v>
      </c>
      <c r="S73" s="100" t="s">
        <v>34</v>
      </c>
      <c r="T73" s="98" t="s">
        <v>34</v>
      </c>
      <c r="U73" s="100" t="s">
        <v>34</v>
      </c>
      <c r="V73" s="98" t="s">
        <v>34</v>
      </c>
      <c r="W73" s="100" t="s">
        <v>34</v>
      </c>
      <c r="X73" s="104" t="s">
        <v>34</v>
      </c>
      <c r="Y73" s="124"/>
      <c r="Z73" s="124"/>
      <c r="AA73" s="124"/>
      <c r="AB73" s="124"/>
      <c r="AC73" s="124"/>
      <c r="AD73" s="124"/>
      <c r="AE73" s="124"/>
    </row>
    <row r="74" spans="1:31" s="105" customFormat="1" x14ac:dyDescent="0.25">
      <c r="A74" s="118" t="s">
        <v>255</v>
      </c>
      <c r="B74" s="167">
        <v>7004.5</v>
      </c>
      <c r="C74" s="133">
        <v>70</v>
      </c>
      <c r="D74" s="97">
        <v>26.073894500732422</v>
      </c>
      <c r="E74" s="99">
        <v>21.737132648554056</v>
      </c>
      <c r="F74" s="102">
        <v>2.4028119899735443</v>
      </c>
      <c r="G74" s="99">
        <v>20.880041772890351</v>
      </c>
      <c r="H74" s="98">
        <v>7.5023789462498014</v>
      </c>
      <c r="I74" s="100">
        <v>15.264468667409178</v>
      </c>
      <c r="J74" s="98">
        <v>4.7536169826745391</v>
      </c>
      <c r="K74" s="100">
        <v>21.268331201551195</v>
      </c>
      <c r="L74" s="98">
        <v>4.5131019998542188</v>
      </c>
      <c r="M74" s="100">
        <v>24.761710857009966</v>
      </c>
      <c r="N74" s="98">
        <v>3.7903098394427079</v>
      </c>
      <c r="O74" s="100">
        <v>3.8816690841196149</v>
      </c>
      <c r="P74" s="102">
        <v>8.3550510350920302</v>
      </c>
      <c r="Q74" s="99">
        <v>21.063396442527548</v>
      </c>
      <c r="R74" s="98">
        <v>3.7975804048670199</v>
      </c>
      <c r="S74" s="100" t="s">
        <v>34</v>
      </c>
      <c r="T74" s="98" t="s">
        <v>34</v>
      </c>
      <c r="U74" s="100">
        <v>20.609470939425481</v>
      </c>
      <c r="V74" s="98">
        <v>3.1873445426935021</v>
      </c>
      <c r="W74" s="100">
        <v>-0.45392550310206659</v>
      </c>
      <c r="X74" s="104">
        <v>5.0844030517517904</v>
      </c>
      <c r="Y74" s="124"/>
      <c r="Z74" s="124"/>
      <c r="AA74" s="124"/>
      <c r="AB74" s="124"/>
      <c r="AC74" s="124"/>
      <c r="AD74" s="124"/>
      <c r="AE74" s="124"/>
    </row>
    <row r="75" spans="1:31" s="105" customFormat="1" x14ac:dyDescent="0.25">
      <c r="A75" s="118" t="s">
        <v>256</v>
      </c>
      <c r="B75" s="167" t="s">
        <v>34</v>
      </c>
      <c r="C75" s="133" t="s">
        <v>34</v>
      </c>
      <c r="D75" s="97" t="s">
        <v>34</v>
      </c>
      <c r="E75" s="99" t="s">
        <v>34</v>
      </c>
      <c r="F75" s="102" t="s">
        <v>34</v>
      </c>
      <c r="G75" s="99" t="s">
        <v>34</v>
      </c>
      <c r="H75" s="98" t="s">
        <v>34</v>
      </c>
      <c r="I75" s="100" t="s">
        <v>34</v>
      </c>
      <c r="J75" s="98" t="s">
        <v>34</v>
      </c>
      <c r="K75" s="100" t="s">
        <v>34</v>
      </c>
      <c r="L75" s="98" t="s">
        <v>34</v>
      </c>
      <c r="M75" s="100" t="s">
        <v>34</v>
      </c>
      <c r="N75" s="98" t="s">
        <v>34</v>
      </c>
      <c r="O75" s="100" t="s">
        <v>34</v>
      </c>
      <c r="P75" s="102" t="s">
        <v>34</v>
      </c>
      <c r="Q75" s="99" t="s">
        <v>34</v>
      </c>
      <c r="R75" s="98" t="s">
        <v>34</v>
      </c>
      <c r="S75" s="100" t="s">
        <v>34</v>
      </c>
      <c r="T75" s="98" t="s">
        <v>34</v>
      </c>
      <c r="U75" s="100" t="s">
        <v>34</v>
      </c>
      <c r="V75" s="98" t="s">
        <v>34</v>
      </c>
      <c r="W75" s="100" t="s">
        <v>34</v>
      </c>
      <c r="X75" s="104" t="s">
        <v>34</v>
      </c>
      <c r="Y75" s="124"/>
      <c r="Z75" s="124"/>
      <c r="AA75" s="124"/>
      <c r="AB75" s="124"/>
      <c r="AC75" s="124"/>
      <c r="AD75" s="124"/>
      <c r="AE75" s="124"/>
    </row>
    <row r="76" spans="1:31" s="105" customFormat="1" x14ac:dyDescent="0.25">
      <c r="A76" s="118" t="s">
        <v>257</v>
      </c>
      <c r="B76" s="167">
        <v>16294.5</v>
      </c>
      <c r="C76" s="133">
        <v>175</v>
      </c>
      <c r="D76" s="97">
        <v>91.59161376953125</v>
      </c>
      <c r="E76" s="99">
        <v>7.6217523692840441</v>
      </c>
      <c r="F76" s="102">
        <v>0.44888789935831525</v>
      </c>
      <c r="G76" s="99">
        <v>5.4185196677688818</v>
      </c>
      <c r="H76" s="98">
        <v>0.76197257021920428</v>
      </c>
      <c r="I76" s="100">
        <v>7.7934448652847381</v>
      </c>
      <c r="J76" s="98">
        <v>0.91440306960698992</v>
      </c>
      <c r="K76" s="100">
        <v>7.0335767975748427</v>
      </c>
      <c r="L76" s="98">
        <v>0.82996378833246232</v>
      </c>
      <c r="M76" s="100">
        <v>10.016575555156265</v>
      </c>
      <c r="N76" s="98">
        <v>1.0828853984560438</v>
      </c>
      <c r="O76" s="100">
        <v>4.5980558873873836</v>
      </c>
      <c r="P76" s="102">
        <v>1.3947690755435813</v>
      </c>
      <c r="Q76" s="99">
        <v>6.9546459747101981</v>
      </c>
      <c r="R76" s="98">
        <v>0.42457026453548213</v>
      </c>
      <c r="S76" s="100" t="s">
        <v>34</v>
      </c>
      <c r="T76" s="98" t="s">
        <v>34</v>
      </c>
      <c r="U76" s="100">
        <v>16.209056913943758</v>
      </c>
      <c r="V76" s="98">
        <v>3.2828777550989749</v>
      </c>
      <c r="W76" s="100">
        <v>9.2544109392335603</v>
      </c>
      <c r="X76" s="104">
        <v>3.3107979398503393</v>
      </c>
      <c r="Y76" s="124"/>
      <c r="Z76" s="124"/>
      <c r="AA76" s="124"/>
      <c r="AB76" s="124"/>
      <c r="AC76" s="124"/>
      <c r="AD76" s="124"/>
      <c r="AE76" s="124"/>
    </row>
    <row r="77" spans="1:31" s="105" customFormat="1" x14ac:dyDescent="0.25">
      <c r="A77" s="118" t="s">
        <v>258</v>
      </c>
      <c r="B77" s="167">
        <v>3006.5</v>
      </c>
      <c r="C77" s="133">
        <v>48</v>
      </c>
      <c r="D77" s="97">
        <v>98.053077697753906</v>
      </c>
      <c r="E77" s="99">
        <v>17.993866194660168</v>
      </c>
      <c r="F77" s="102" t="s">
        <v>35</v>
      </c>
      <c r="G77" s="99">
        <v>20.865139949109409</v>
      </c>
      <c r="H77" s="98" t="s">
        <v>35</v>
      </c>
      <c r="I77" s="100">
        <v>12.660261227903939</v>
      </c>
      <c r="J77" s="98" t="s">
        <v>35</v>
      </c>
      <c r="K77" s="100">
        <v>17.856706719320155</v>
      </c>
      <c r="L77" s="98" t="s">
        <v>35</v>
      </c>
      <c r="M77" s="100">
        <v>20.106132075471699</v>
      </c>
      <c r="N77" s="98" t="s">
        <v>35</v>
      </c>
      <c r="O77" s="100">
        <v>-0.75900787363771016</v>
      </c>
      <c r="P77" s="102" t="s">
        <v>35</v>
      </c>
      <c r="Q77" s="99">
        <v>16.989170042336063</v>
      </c>
      <c r="R77" s="98" t="s">
        <v>35</v>
      </c>
      <c r="S77" s="100">
        <v>17.304075235109718</v>
      </c>
      <c r="T77" s="98" t="s">
        <v>35</v>
      </c>
      <c r="U77" s="100">
        <v>21.981981981981981</v>
      </c>
      <c r="V77" s="98" t="s">
        <v>35</v>
      </c>
      <c r="W77" s="100">
        <v>2.2344898467582084</v>
      </c>
      <c r="X77" s="104" t="s">
        <v>35</v>
      </c>
      <c r="Y77" s="124"/>
      <c r="Z77" s="124"/>
      <c r="AA77" s="124"/>
      <c r="AB77" s="124"/>
      <c r="AC77" s="124"/>
      <c r="AD77" s="124"/>
      <c r="AE77" s="124"/>
    </row>
    <row r="78" spans="1:31" s="105" customFormat="1" x14ac:dyDescent="0.25">
      <c r="A78" s="118" t="s">
        <v>259</v>
      </c>
      <c r="B78" s="167">
        <v>6493</v>
      </c>
      <c r="C78" s="133">
        <v>205</v>
      </c>
      <c r="D78" s="97">
        <v>90.79864501953125</v>
      </c>
      <c r="E78" s="99">
        <v>18.404610759346525</v>
      </c>
      <c r="F78" s="102">
        <v>1.6734516105870845</v>
      </c>
      <c r="G78" s="99">
        <v>10.21956185055045</v>
      </c>
      <c r="H78" s="98">
        <v>1.8276257576060273</v>
      </c>
      <c r="I78" s="100">
        <v>15.268041695414592</v>
      </c>
      <c r="J78" s="98">
        <v>2.2356446555313991</v>
      </c>
      <c r="K78" s="100">
        <v>19.187913823808898</v>
      </c>
      <c r="L78" s="98">
        <v>3.1385360867591121</v>
      </c>
      <c r="M78" s="100">
        <v>30.438412321320396</v>
      </c>
      <c r="N78" s="98">
        <v>5.8107408970926935</v>
      </c>
      <c r="O78" s="100">
        <v>20.218850470769944</v>
      </c>
      <c r="P78" s="102">
        <v>6.1316518629710437</v>
      </c>
      <c r="Q78" s="99">
        <v>18.295005598479257</v>
      </c>
      <c r="R78" s="98">
        <v>1.6840078984455984</v>
      </c>
      <c r="S78" s="100" t="s">
        <v>34</v>
      </c>
      <c r="T78" s="98" t="s">
        <v>34</v>
      </c>
      <c r="U78" s="100" t="s">
        <v>34</v>
      </c>
      <c r="V78" s="98" t="s">
        <v>34</v>
      </c>
      <c r="W78" s="100" t="s">
        <v>34</v>
      </c>
      <c r="X78" s="104" t="s">
        <v>34</v>
      </c>
      <c r="Y78" s="124"/>
      <c r="Z78" s="124"/>
      <c r="AA78" s="124"/>
      <c r="AB78" s="124"/>
      <c r="AC78" s="124"/>
      <c r="AD78" s="124"/>
      <c r="AE78" s="124"/>
    </row>
    <row r="79" spans="1:31" s="105" customFormat="1" x14ac:dyDescent="0.25">
      <c r="A79" s="118" t="s">
        <v>260</v>
      </c>
      <c r="B79" s="167">
        <v>3045</v>
      </c>
      <c r="C79" s="133">
        <v>49</v>
      </c>
      <c r="D79" s="97">
        <v>96.651611328125</v>
      </c>
      <c r="E79" s="99">
        <v>7.2182355424229634</v>
      </c>
      <c r="F79" s="102" t="s">
        <v>35</v>
      </c>
      <c r="G79" s="99">
        <v>3.8102084831056793</v>
      </c>
      <c r="H79" s="98" t="s">
        <v>35</v>
      </c>
      <c r="I79" s="100">
        <v>7.6146076146076149</v>
      </c>
      <c r="J79" s="98" t="s">
        <v>35</v>
      </c>
      <c r="K79" s="100">
        <v>5.6353591160220997</v>
      </c>
      <c r="L79" s="98" t="s">
        <v>35</v>
      </c>
      <c r="M79" s="100">
        <v>12.121212121212121</v>
      </c>
      <c r="N79" s="98" t="s">
        <v>35</v>
      </c>
      <c r="O79" s="100">
        <v>8.3110036381064418</v>
      </c>
      <c r="P79" s="102" t="s">
        <v>35</v>
      </c>
      <c r="Q79" s="99">
        <v>7.2307039864291776</v>
      </c>
      <c r="R79" s="98" t="s">
        <v>35</v>
      </c>
      <c r="S79" s="100" t="s">
        <v>34</v>
      </c>
      <c r="T79" s="98" t="s">
        <v>34</v>
      </c>
      <c r="U79" s="100" t="s">
        <v>34</v>
      </c>
      <c r="V79" s="98" t="s">
        <v>34</v>
      </c>
      <c r="W79" s="100" t="s">
        <v>34</v>
      </c>
      <c r="X79" s="104" t="s">
        <v>34</v>
      </c>
      <c r="Y79" s="124"/>
      <c r="Z79" s="124"/>
      <c r="AA79" s="124"/>
      <c r="AB79" s="124"/>
      <c r="AC79" s="124"/>
      <c r="AD79" s="124"/>
      <c r="AE79" s="124"/>
    </row>
    <row r="80" spans="1:31" s="105" customFormat="1" x14ac:dyDescent="0.25">
      <c r="A80" s="118" t="s">
        <v>261</v>
      </c>
      <c r="B80" s="167">
        <v>3656</v>
      </c>
      <c r="C80" s="133">
        <v>102</v>
      </c>
      <c r="D80" s="97">
        <v>56.617362976074219</v>
      </c>
      <c r="E80" s="99">
        <v>10.715855323710658</v>
      </c>
      <c r="F80" s="102">
        <v>1.3042913833465795</v>
      </c>
      <c r="G80" s="99">
        <v>9.5617686292762176</v>
      </c>
      <c r="H80" s="98">
        <v>2.1889693870884623</v>
      </c>
      <c r="I80" s="100">
        <v>13.067986997664626</v>
      </c>
      <c r="J80" s="98">
        <v>3.491745059335178</v>
      </c>
      <c r="K80" s="100">
        <v>13.063721546015234</v>
      </c>
      <c r="L80" s="98">
        <v>2.9685489360790838</v>
      </c>
      <c r="M80" s="100">
        <v>8.4024035479207004</v>
      </c>
      <c r="N80" s="98">
        <v>1.8351260246423793</v>
      </c>
      <c r="O80" s="100">
        <v>-1.1593650813555172</v>
      </c>
      <c r="P80" s="102">
        <v>2.4434884275139432</v>
      </c>
      <c r="Q80" s="99">
        <v>12.457348048134582</v>
      </c>
      <c r="R80" s="98">
        <v>1.4166085136957485</v>
      </c>
      <c r="S80" s="100" t="s">
        <v>34</v>
      </c>
      <c r="T80" s="98" t="s">
        <v>34</v>
      </c>
      <c r="U80" s="100">
        <v>4.9794725232592594</v>
      </c>
      <c r="V80" s="98">
        <v>2.1523675668030791</v>
      </c>
      <c r="W80" s="100">
        <v>-7.4778755248753228</v>
      </c>
      <c r="X80" s="104">
        <v>2.4637675557723693</v>
      </c>
      <c r="Y80" s="124"/>
      <c r="Z80" s="124"/>
      <c r="AA80" s="124"/>
      <c r="AB80" s="124"/>
      <c r="AC80" s="124"/>
      <c r="AD80" s="124"/>
      <c r="AE80" s="124"/>
    </row>
    <row r="81" spans="1:31" s="105" customFormat="1" x14ac:dyDescent="0.25">
      <c r="A81" s="118" t="s">
        <v>262</v>
      </c>
      <c r="B81" s="167">
        <v>4095</v>
      </c>
      <c r="C81" s="133">
        <v>57</v>
      </c>
      <c r="D81" s="97">
        <v>48.096469879150391</v>
      </c>
      <c r="E81" s="99">
        <v>6.8568893962270705</v>
      </c>
      <c r="F81" s="102" t="s">
        <v>35</v>
      </c>
      <c r="G81" s="99">
        <v>4.7851704754800171</v>
      </c>
      <c r="H81" s="98" t="s">
        <v>35</v>
      </c>
      <c r="I81" s="100">
        <v>7.2335654258569972</v>
      </c>
      <c r="J81" s="98" t="s">
        <v>35</v>
      </c>
      <c r="K81" s="100">
        <v>9.0312904186089789</v>
      </c>
      <c r="L81" s="98" t="s">
        <v>35</v>
      </c>
      <c r="M81" s="100">
        <v>6.211359281098157</v>
      </c>
      <c r="N81" s="98" t="s">
        <v>35</v>
      </c>
      <c r="O81" s="100">
        <v>1.42618880561814</v>
      </c>
      <c r="P81" s="102" t="s">
        <v>35</v>
      </c>
      <c r="Q81" s="99">
        <v>6.6260716483103099</v>
      </c>
      <c r="R81" s="98" t="s">
        <v>35</v>
      </c>
      <c r="S81" s="100" t="s">
        <v>34</v>
      </c>
      <c r="T81" s="98" t="s">
        <v>34</v>
      </c>
      <c r="U81" s="100" t="s">
        <v>34</v>
      </c>
      <c r="V81" s="98" t="s">
        <v>34</v>
      </c>
      <c r="W81" s="100" t="s">
        <v>34</v>
      </c>
      <c r="X81" s="104" t="s">
        <v>34</v>
      </c>
      <c r="Y81" s="124"/>
      <c r="Z81" s="124"/>
      <c r="AA81" s="124"/>
      <c r="AB81" s="124"/>
      <c r="AC81" s="124"/>
      <c r="AD81" s="124"/>
      <c r="AE81" s="124"/>
    </row>
    <row r="82" spans="1:31" s="105" customFormat="1" x14ac:dyDescent="0.25">
      <c r="A82" s="118" t="s">
        <v>263</v>
      </c>
      <c r="B82" s="167">
        <v>4740.5</v>
      </c>
      <c r="C82" s="133">
        <v>56</v>
      </c>
      <c r="D82" s="97">
        <v>25.78059196472168</v>
      </c>
      <c r="E82" s="99">
        <v>19.757731086145924</v>
      </c>
      <c r="F82" s="102">
        <v>1.7529263195543574</v>
      </c>
      <c r="G82" s="99">
        <v>17.469452958703879</v>
      </c>
      <c r="H82" s="98">
        <v>5.212070151320594</v>
      </c>
      <c r="I82" s="100">
        <v>21.457278068907844</v>
      </c>
      <c r="J82" s="98">
        <v>3.8217055515911298</v>
      </c>
      <c r="K82" s="100">
        <v>26.430446699758786</v>
      </c>
      <c r="L82" s="98">
        <v>3.4437537943999024</v>
      </c>
      <c r="M82" s="100">
        <v>13.218934913916939</v>
      </c>
      <c r="N82" s="98">
        <v>1.9645771888381438</v>
      </c>
      <c r="O82" s="100">
        <v>-4.25051804478694</v>
      </c>
      <c r="P82" s="102">
        <v>5.5427841159619451</v>
      </c>
      <c r="Q82" s="99">
        <v>22.636825836332651</v>
      </c>
      <c r="R82" s="98">
        <v>2.2389684713945224</v>
      </c>
      <c r="S82" s="100" t="s">
        <v>34</v>
      </c>
      <c r="T82" s="98" t="s">
        <v>34</v>
      </c>
      <c r="U82" s="100">
        <v>15.079945233358686</v>
      </c>
      <c r="V82" s="98">
        <v>2.8099546611200497</v>
      </c>
      <c r="W82" s="100">
        <v>-7.5568806029739655</v>
      </c>
      <c r="X82" s="104">
        <v>3.6314431497032644</v>
      </c>
      <c r="Y82" s="124"/>
      <c r="Z82" s="124"/>
      <c r="AA82" s="124"/>
      <c r="AB82" s="124"/>
      <c r="AC82" s="124"/>
      <c r="AD82" s="124"/>
      <c r="AE82" s="124"/>
    </row>
    <row r="83" spans="1:31" s="105" customFormat="1" x14ac:dyDescent="0.25">
      <c r="A83" s="118" t="s">
        <v>264</v>
      </c>
      <c r="B83" s="167">
        <v>10653.5</v>
      </c>
      <c r="C83" s="133">
        <v>316</v>
      </c>
      <c r="D83" s="97">
        <v>95.863151550292969</v>
      </c>
      <c r="E83" s="99">
        <v>13.907339607942959</v>
      </c>
      <c r="F83" s="102">
        <v>0.90816755255737025</v>
      </c>
      <c r="G83" s="99">
        <v>9.4910830328672802</v>
      </c>
      <c r="H83" s="98">
        <v>1.3564096910007504</v>
      </c>
      <c r="I83" s="100">
        <v>16.685345209528343</v>
      </c>
      <c r="J83" s="98">
        <v>2.5128172716970427</v>
      </c>
      <c r="K83" s="100">
        <v>18.4403744822859</v>
      </c>
      <c r="L83" s="98">
        <v>1.6900680401849171</v>
      </c>
      <c r="M83" s="100">
        <v>12.39516623610149</v>
      </c>
      <c r="N83" s="98">
        <v>1.5359662254895061</v>
      </c>
      <c r="O83" s="100">
        <v>2.9040832032342099</v>
      </c>
      <c r="P83" s="102">
        <v>1.9074891476490781</v>
      </c>
      <c r="Q83" s="99">
        <v>15.423361125720128</v>
      </c>
      <c r="R83" s="98">
        <v>1.1321181145204573</v>
      </c>
      <c r="S83" s="100" t="s">
        <v>34</v>
      </c>
      <c r="T83" s="98" t="s">
        <v>34</v>
      </c>
      <c r="U83" s="100">
        <v>11.044929346127894</v>
      </c>
      <c r="V83" s="98">
        <v>1.3045638153397539</v>
      </c>
      <c r="W83" s="100">
        <v>-4.3784317795922334</v>
      </c>
      <c r="X83" s="104">
        <v>1.6100455614788289</v>
      </c>
      <c r="Y83" s="124"/>
      <c r="Z83" s="124"/>
      <c r="AA83" s="124"/>
      <c r="AB83" s="124"/>
      <c r="AC83" s="124"/>
      <c r="AD83" s="124"/>
      <c r="AE83" s="124"/>
    </row>
    <row r="84" spans="1:31" s="105" customFormat="1" x14ac:dyDescent="0.25">
      <c r="A84" s="118" t="s">
        <v>265</v>
      </c>
      <c r="B84" s="167">
        <v>9434</v>
      </c>
      <c r="C84" s="133">
        <v>109</v>
      </c>
      <c r="D84" s="97">
        <v>59.7174072265625</v>
      </c>
      <c r="E84" s="99">
        <v>19.741235104390665</v>
      </c>
      <c r="F84" s="102">
        <v>2.3903286142240501</v>
      </c>
      <c r="G84" s="99">
        <v>14.156246933238569</v>
      </c>
      <c r="H84" s="98">
        <v>2.2352094919577046</v>
      </c>
      <c r="I84" s="100">
        <v>15.409763753231651</v>
      </c>
      <c r="J84" s="98">
        <v>2.1390330918605693</v>
      </c>
      <c r="K84" s="100">
        <v>19.974068012423114</v>
      </c>
      <c r="L84" s="98">
        <v>4.6135225344393263</v>
      </c>
      <c r="M84" s="100">
        <v>24.141909151507694</v>
      </c>
      <c r="N84" s="98">
        <v>4.8737952300489855</v>
      </c>
      <c r="O84" s="100">
        <v>9.985662218269125</v>
      </c>
      <c r="P84" s="102">
        <v>5.1818900050918941</v>
      </c>
      <c r="Q84" s="99">
        <v>22.992339241874969</v>
      </c>
      <c r="R84" s="98">
        <v>3.1918890854940383</v>
      </c>
      <c r="S84" s="100">
        <v>6.6868465032391393</v>
      </c>
      <c r="T84" s="98">
        <v>1.4111870853466446</v>
      </c>
      <c r="U84" s="100">
        <v>13.623149189704362</v>
      </c>
      <c r="V84" s="98">
        <v>3.1189952546838136</v>
      </c>
      <c r="W84" s="100">
        <v>-11.169837054405383</v>
      </c>
      <c r="X84" s="104">
        <v>4.6091872530016351</v>
      </c>
      <c r="Y84" s="124"/>
      <c r="Z84" s="124"/>
      <c r="AA84" s="124"/>
      <c r="AB84" s="124"/>
      <c r="AC84" s="124"/>
      <c r="AD84" s="124"/>
      <c r="AE84" s="124"/>
    </row>
    <row r="85" spans="1:31" s="105" customFormat="1" x14ac:dyDescent="0.25">
      <c r="A85" s="118" t="s">
        <v>266</v>
      </c>
      <c r="B85" s="167">
        <v>15697</v>
      </c>
      <c r="C85" s="133">
        <v>136</v>
      </c>
      <c r="D85" s="97">
        <v>85.952011108398438</v>
      </c>
      <c r="E85" s="99">
        <v>29.163668345726393</v>
      </c>
      <c r="F85" s="102" t="s">
        <v>35</v>
      </c>
      <c r="G85" s="99">
        <v>19.035922628185446</v>
      </c>
      <c r="H85" s="98" t="s">
        <v>35</v>
      </c>
      <c r="I85" s="100">
        <v>26.506955177743432</v>
      </c>
      <c r="J85" s="98" t="s">
        <v>35</v>
      </c>
      <c r="K85" s="100">
        <v>21.302882815424933</v>
      </c>
      <c r="L85" s="98" t="s">
        <v>35</v>
      </c>
      <c r="M85" s="100">
        <v>37.058457158110151</v>
      </c>
      <c r="N85" s="98" t="s">
        <v>35</v>
      </c>
      <c r="O85" s="100">
        <v>18.022534529924705</v>
      </c>
      <c r="P85" s="102" t="s">
        <v>35</v>
      </c>
      <c r="Q85" s="99">
        <v>10.377471539844217</v>
      </c>
      <c r="R85" s="98" t="s">
        <v>35</v>
      </c>
      <c r="S85" s="100" t="s">
        <v>34</v>
      </c>
      <c r="T85" s="98" t="s">
        <v>34</v>
      </c>
      <c r="U85" s="100">
        <v>38.979416809605489</v>
      </c>
      <c r="V85" s="98" t="s">
        <v>35</v>
      </c>
      <c r="W85" s="100">
        <v>28.601945269761273</v>
      </c>
      <c r="X85" s="104" t="s">
        <v>35</v>
      </c>
      <c r="Y85" s="124"/>
      <c r="Z85" s="124"/>
      <c r="AA85" s="124"/>
      <c r="AB85" s="124"/>
      <c r="AC85" s="124"/>
      <c r="AD85" s="124"/>
      <c r="AE85" s="124"/>
    </row>
    <row r="86" spans="1:31" s="105" customFormat="1" x14ac:dyDescent="0.25">
      <c r="A86" s="118" t="s">
        <v>267</v>
      </c>
      <c r="B86" s="167">
        <v>5083</v>
      </c>
      <c r="C86" s="133">
        <v>75</v>
      </c>
      <c r="D86" s="97">
        <v>50.262130737304688</v>
      </c>
      <c r="E86" s="99">
        <v>48.69595818871808</v>
      </c>
      <c r="F86" s="102">
        <v>4.7745909959147355</v>
      </c>
      <c r="G86" s="99">
        <v>40.775331533298562</v>
      </c>
      <c r="H86" s="98">
        <v>6.0539655313251091</v>
      </c>
      <c r="I86" s="100">
        <v>40.870445960567928</v>
      </c>
      <c r="J86" s="98">
        <v>6.4933400335205551</v>
      </c>
      <c r="K86" s="100">
        <v>51.289765118375307</v>
      </c>
      <c r="L86" s="98">
        <v>6.6679390981355837</v>
      </c>
      <c r="M86" s="100">
        <v>66.331427197472323</v>
      </c>
      <c r="N86" s="98">
        <v>13.440119582619486</v>
      </c>
      <c r="O86" s="100">
        <v>25.55609566417376</v>
      </c>
      <c r="P86" s="102">
        <v>13.565761811725782</v>
      </c>
      <c r="Q86" s="99">
        <v>48.426250558027725</v>
      </c>
      <c r="R86" s="98">
        <v>4.8312893907913255</v>
      </c>
      <c r="S86" s="100" t="s">
        <v>34</v>
      </c>
      <c r="T86" s="98" t="s">
        <v>34</v>
      </c>
      <c r="U86" s="100" t="s">
        <v>34</v>
      </c>
      <c r="V86" s="98" t="s">
        <v>34</v>
      </c>
      <c r="W86" s="100" t="s">
        <v>34</v>
      </c>
      <c r="X86" s="104" t="s">
        <v>34</v>
      </c>
      <c r="Y86" s="124"/>
      <c r="Z86" s="124"/>
      <c r="AA86" s="124"/>
      <c r="AB86" s="124"/>
      <c r="AC86" s="124"/>
      <c r="AD86" s="124"/>
      <c r="AE86" s="124"/>
    </row>
    <row r="87" spans="1:31" s="105" customFormat="1" x14ac:dyDescent="0.25">
      <c r="A87" s="118" t="s">
        <v>268</v>
      </c>
      <c r="B87" s="167">
        <v>11973</v>
      </c>
      <c r="C87" s="133">
        <v>231</v>
      </c>
      <c r="D87" s="97">
        <v>90.135704040527344</v>
      </c>
      <c r="E87" s="99">
        <v>47.888182722505107</v>
      </c>
      <c r="F87" s="102">
        <v>3.861617446132628</v>
      </c>
      <c r="G87" s="99">
        <v>40.194946282280803</v>
      </c>
      <c r="H87" s="98">
        <v>6.4097943821938177</v>
      </c>
      <c r="I87" s="100">
        <v>47.808084535701674</v>
      </c>
      <c r="J87" s="98">
        <v>7.6629858447257213</v>
      </c>
      <c r="K87" s="100">
        <v>50.369428409290684</v>
      </c>
      <c r="L87" s="98">
        <v>4.4777276383450273</v>
      </c>
      <c r="M87" s="100">
        <v>57.551232919554849</v>
      </c>
      <c r="N87" s="98">
        <v>7.4570502360673547</v>
      </c>
      <c r="O87" s="100">
        <v>17.356286637274046</v>
      </c>
      <c r="P87" s="102">
        <v>10.131479497267902</v>
      </c>
      <c r="Q87" s="99">
        <v>47.888182722505107</v>
      </c>
      <c r="R87" s="98">
        <v>3.861617446132628</v>
      </c>
      <c r="S87" s="100" t="s">
        <v>34</v>
      </c>
      <c r="T87" s="98" t="s">
        <v>34</v>
      </c>
      <c r="U87" s="100" t="s">
        <v>34</v>
      </c>
      <c r="V87" s="98" t="s">
        <v>34</v>
      </c>
      <c r="W87" s="100" t="s">
        <v>34</v>
      </c>
      <c r="X87" s="104" t="s">
        <v>34</v>
      </c>
      <c r="Y87" s="124"/>
      <c r="Z87" s="124"/>
      <c r="AA87" s="124"/>
      <c r="AB87" s="124"/>
      <c r="AC87" s="124"/>
      <c r="AD87" s="124"/>
      <c r="AE87" s="124"/>
    </row>
    <row r="88" spans="1:31" s="105" customFormat="1" x14ac:dyDescent="0.25">
      <c r="A88" s="118" t="s">
        <v>269</v>
      </c>
      <c r="B88" s="167">
        <v>1885</v>
      </c>
      <c r="C88" s="133">
        <v>44</v>
      </c>
      <c r="D88" s="97">
        <v>21.197231292724609</v>
      </c>
      <c r="E88" s="99">
        <v>4.0014394824098565</v>
      </c>
      <c r="F88" s="102">
        <v>0.77925661410195612</v>
      </c>
      <c r="G88" s="99">
        <v>3.0918076424151928</v>
      </c>
      <c r="H88" s="98">
        <v>1.7929024523413768</v>
      </c>
      <c r="I88" s="100">
        <v>4.6649276881670287</v>
      </c>
      <c r="J88" s="98">
        <v>0.99476055109814032</v>
      </c>
      <c r="K88" s="100">
        <v>3.465506538790021</v>
      </c>
      <c r="L88" s="98">
        <v>1.1251201963299287</v>
      </c>
      <c r="M88" s="100">
        <v>4.5230890695316681</v>
      </c>
      <c r="N88" s="98">
        <v>1.3647788079012235</v>
      </c>
      <c r="O88" s="100">
        <v>1.4312814271164753</v>
      </c>
      <c r="P88" s="102">
        <v>2.2301403455523983</v>
      </c>
      <c r="Q88" s="99">
        <v>4.2057779357225957</v>
      </c>
      <c r="R88" s="98">
        <v>0.99357333529130365</v>
      </c>
      <c r="S88" s="100" t="s">
        <v>34</v>
      </c>
      <c r="T88" s="98" t="s">
        <v>34</v>
      </c>
      <c r="U88" s="100">
        <v>3.436849299580385</v>
      </c>
      <c r="V88" s="98">
        <v>1.3927986549096216</v>
      </c>
      <c r="W88" s="100">
        <v>-0.76892863614221074</v>
      </c>
      <c r="X88" s="104">
        <v>1.7029434815987221</v>
      </c>
      <c r="Y88" s="124"/>
      <c r="Z88" s="124"/>
      <c r="AA88" s="124"/>
      <c r="AB88" s="124"/>
      <c r="AC88" s="124"/>
      <c r="AD88" s="124"/>
      <c r="AE88" s="124"/>
    </row>
    <row r="89" spans="1:31" s="105" customFormat="1" x14ac:dyDescent="0.25">
      <c r="A89" s="118" t="s">
        <v>270</v>
      </c>
      <c r="B89" s="167">
        <v>10440.5</v>
      </c>
      <c r="C89" s="133">
        <v>168</v>
      </c>
      <c r="D89" s="97">
        <v>93.606788635253906</v>
      </c>
      <c r="E89" s="99">
        <v>31.351598318246165</v>
      </c>
      <c r="F89" s="102">
        <v>3.1837599928182625</v>
      </c>
      <c r="G89" s="99">
        <v>26.04101609601755</v>
      </c>
      <c r="H89" s="98">
        <v>5.0978031578215148</v>
      </c>
      <c r="I89" s="100">
        <v>26.84808117939124</v>
      </c>
      <c r="J89" s="98">
        <v>6.3211174828489858</v>
      </c>
      <c r="K89" s="100">
        <v>30.110423170779242</v>
      </c>
      <c r="L89" s="98">
        <v>5.3924727761208766</v>
      </c>
      <c r="M89" s="100">
        <v>42.747089494705222</v>
      </c>
      <c r="N89" s="98">
        <v>9.1159916364445728</v>
      </c>
      <c r="O89" s="100">
        <v>16.706073398687671</v>
      </c>
      <c r="P89" s="102">
        <v>10.521247381764862</v>
      </c>
      <c r="Q89" s="99">
        <v>30.917940801202025</v>
      </c>
      <c r="R89" s="98">
        <v>3.2098917486329799</v>
      </c>
      <c r="S89" s="100" t="s">
        <v>34</v>
      </c>
      <c r="T89" s="98" t="s">
        <v>34</v>
      </c>
      <c r="U89" s="100">
        <v>48.155670173054681</v>
      </c>
      <c r="V89" s="98">
        <v>15.866722323026217</v>
      </c>
      <c r="W89" s="100">
        <v>17.237729371852655</v>
      </c>
      <c r="X89" s="104">
        <v>16.071101709547559</v>
      </c>
      <c r="Y89" s="124"/>
      <c r="Z89" s="124"/>
      <c r="AA89" s="124"/>
      <c r="AB89" s="124"/>
      <c r="AC89" s="124"/>
      <c r="AD89" s="124"/>
      <c r="AE89" s="124"/>
    </row>
    <row r="90" spans="1:31" s="105" customFormat="1" x14ac:dyDescent="0.25">
      <c r="A90" s="118" t="s">
        <v>271</v>
      </c>
      <c r="B90" s="167">
        <v>15097.5</v>
      </c>
      <c r="C90" s="133">
        <v>148</v>
      </c>
      <c r="D90" s="97">
        <v>87.713294982910156</v>
      </c>
      <c r="E90" s="99">
        <v>23.941327828306502</v>
      </c>
      <c r="F90" s="102">
        <v>1.2153392448036688</v>
      </c>
      <c r="G90" s="99">
        <v>17.635350318471339</v>
      </c>
      <c r="H90" s="98" t="s">
        <v>35</v>
      </c>
      <c r="I90" s="100">
        <v>16.524178488487053</v>
      </c>
      <c r="J90" s="98">
        <v>5.5482544126647604E-2</v>
      </c>
      <c r="K90" s="100">
        <v>15.131982811540823</v>
      </c>
      <c r="L90" s="98" t="s">
        <v>35</v>
      </c>
      <c r="M90" s="100">
        <v>37.119796653427343</v>
      </c>
      <c r="N90" s="98">
        <v>5.7599982783738133</v>
      </c>
      <c r="O90" s="100">
        <v>19.484446334956004</v>
      </c>
      <c r="P90" s="102">
        <v>5.7599982783738133</v>
      </c>
      <c r="Q90" s="99">
        <v>19.43697673249358</v>
      </c>
      <c r="R90" s="98">
        <v>0.42550300435336297</v>
      </c>
      <c r="S90" s="100" t="s">
        <v>34</v>
      </c>
      <c r="T90" s="98" t="s">
        <v>34</v>
      </c>
      <c r="U90" s="100">
        <v>41.003727292213497</v>
      </c>
      <c r="V90" s="98">
        <v>11.82297536127615</v>
      </c>
      <c r="W90" s="100">
        <v>21.566750559719917</v>
      </c>
      <c r="X90" s="104">
        <v>11.798722000470534</v>
      </c>
      <c r="Y90" s="124"/>
      <c r="Z90" s="124"/>
      <c r="AA90" s="124"/>
      <c r="AB90" s="124"/>
      <c r="AC90" s="124"/>
      <c r="AD90" s="124"/>
      <c r="AE90" s="124"/>
    </row>
    <row r="91" spans="1:31" s="105" customFormat="1" x14ac:dyDescent="0.25">
      <c r="A91" s="118" t="s">
        <v>272</v>
      </c>
      <c r="B91" s="167">
        <v>20170</v>
      </c>
      <c r="C91" s="133">
        <v>141</v>
      </c>
      <c r="D91" s="97">
        <v>72.982414245605469</v>
      </c>
      <c r="E91" s="99">
        <v>56.475275400487682</v>
      </c>
      <c r="F91" s="102">
        <v>1.3502208114123138</v>
      </c>
      <c r="G91" s="99">
        <v>51.512347807918921</v>
      </c>
      <c r="H91" s="98">
        <v>3.6933199578464864</v>
      </c>
      <c r="I91" s="100">
        <v>54.082292077420256</v>
      </c>
      <c r="J91" s="98">
        <v>4.3650753318112177</v>
      </c>
      <c r="K91" s="100">
        <v>63.562925308382056</v>
      </c>
      <c r="L91" s="98">
        <v>2.9041343627631631</v>
      </c>
      <c r="M91" s="100">
        <v>56.936619431826919</v>
      </c>
      <c r="N91" s="98">
        <v>1.9426734545963489</v>
      </c>
      <c r="O91" s="100">
        <v>5.4242716239079982</v>
      </c>
      <c r="P91" s="102">
        <v>4.1426603856810775</v>
      </c>
      <c r="Q91" s="99">
        <v>58.052749875904851</v>
      </c>
      <c r="R91" s="98">
        <v>1.8141262446597959</v>
      </c>
      <c r="S91" s="100">
        <v>47.756245397323397</v>
      </c>
      <c r="T91" s="98">
        <v>9.6251386192035397</v>
      </c>
      <c r="U91" s="100">
        <v>53.19257154597652</v>
      </c>
      <c r="V91" s="98">
        <v>2.4016442074448343</v>
      </c>
      <c r="W91" s="100">
        <v>-6.5296755490408671</v>
      </c>
      <c r="X91" s="104">
        <v>3.8113707693527976</v>
      </c>
      <c r="Y91" s="124"/>
      <c r="Z91" s="124"/>
      <c r="AA91" s="124"/>
      <c r="AB91" s="124"/>
      <c r="AC91" s="124"/>
      <c r="AD91" s="124"/>
      <c r="AE91" s="124"/>
    </row>
    <row r="92" spans="1:31" s="105" customFormat="1" x14ac:dyDescent="0.25">
      <c r="A92" s="118" t="s">
        <v>273</v>
      </c>
      <c r="B92" s="167">
        <v>24748</v>
      </c>
      <c r="C92" s="133">
        <v>202</v>
      </c>
      <c r="D92" s="97">
        <v>91.428749084472656</v>
      </c>
      <c r="E92" s="99">
        <v>22.754812211512078</v>
      </c>
      <c r="F92" s="102">
        <v>6.3395161698797029</v>
      </c>
      <c r="G92" s="99">
        <v>34.464483935619334</v>
      </c>
      <c r="H92" s="98">
        <v>2.7908615563000474</v>
      </c>
      <c r="I92" s="100">
        <v>12.018358606927343</v>
      </c>
      <c r="J92" s="98">
        <v>8.74124472792532</v>
      </c>
      <c r="K92" s="100">
        <v>31.89780212761432</v>
      </c>
      <c r="L92" s="98">
        <v>2.797934966499672</v>
      </c>
      <c r="M92" s="100">
        <v>27.784742945525988</v>
      </c>
      <c r="N92" s="98">
        <v>2.5140436726699029</v>
      </c>
      <c r="O92" s="100">
        <v>-6.6797409900933467</v>
      </c>
      <c r="P92" s="102">
        <v>4.144440171388271</v>
      </c>
      <c r="Q92" s="99">
        <v>36.519595187486956</v>
      </c>
      <c r="R92" s="98">
        <v>1.1677129839486033</v>
      </c>
      <c r="S92" s="100">
        <v>2.5728498085047935</v>
      </c>
      <c r="T92" s="98">
        <v>2.7745156958747224</v>
      </c>
      <c r="U92" s="100">
        <v>13.945228150357432</v>
      </c>
      <c r="V92" s="98">
        <v>1.7186033304522894</v>
      </c>
      <c r="W92" s="100">
        <v>-31.530429382060909</v>
      </c>
      <c r="X92" s="104">
        <v>3.8288075479985593</v>
      </c>
      <c r="Y92" s="124"/>
      <c r="Z92" s="124"/>
      <c r="AA92" s="124"/>
      <c r="AB92" s="124"/>
      <c r="AC92" s="124"/>
      <c r="AD92" s="124"/>
      <c r="AE92" s="124"/>
    </row>
    <row r="93" spans="1:31" s="105" customFormat="1" x14ac:dyDescent="0.25">
      <c r="A93" s="118" t="s">
        <v>274</v>
      </c>
      <c r="B93" s="167">
        <v>7090.5</v>
      </c>
      <c r="C93" s="133">
        <v>176</v>
      </c>
      <c r="D93" s="97">
        <v>69.915321350097656</v>
      </c>
      <c r="E93" s="99">
        <v>69.878776410059075</v>
      </c>
      <c r="F93" s="102">
        <v>3.8767958813401324</v>
      </c>
      <c r="G93" s="99">
        <v>68.643127023788651</v>
      </c>
      <c r="H93" s="98">
        <v>6.8588831478493368</v>
      </c>
      <c r="I93" s="100">
        <v>70.31609189224325</v>
      </c>
      <c r="J93" s="98">
        <v>6.2377506026535867</v>
      </c>
      <c r="K93" s="100">
        <v>67.743591526612278</v>
      </c>
      <c r="L93" s="98">
        <v>7.8072774499440474</v>
      </c>
      <c r="M93" s="100">
        <v>73.578633046113595</v>
      </c>
      <c r="N93" s="98">
        <v>8.0741690225169798</v>
      </c>
      <c r="O93" s="100">
        <v>4.9355060223249438</v>
      </c>
      <c r="P93" s="102">
        <v>10.803116639704745</v>
      </c>
      <c r="Q93" s="99">
        <v>70.332341959166868</v>
      </c>
      <c r="R93" s="98">
        <v>3.8909149087344352</v>
      </c>
      <c r="S93" s="100" t="s">
        <v>34</v>
      </c>
      <c r="T93" s="98" t="s">
        <v>34</v>
      </c>
      <c r="U93" s="100" t="s">
        <v>34</v>
      </c>
      <c r="V93" s="98" t="s">
        <v>34</v>
      </c>
      <c r="W93" s="100" t="s">
        <v>34</v>
      </c>
      <c r="X93" s="104" t="s">
        <v>34</v>
      </c>
      <c r="Y93" s="124"/>
      <c r="Z93" s="124"/>
      <c r="AA93" s="124"/>
      <c r="AB93" s="124"/>
      <c r="AC93" s="124"/>
      <c r="AD93" s="124"/>
      <c r="AE93" s="124"/>
    </row>
    <row r="94" spans="1:31" s="105" customFormat="1" x14ac:dyDescent="0.25">
      <c r="A94" s="118" t="s">
        <v>275</v>
      </c>
      <c r="B94" s="167">
        <v>19046.5</v>
      </c>
      <c r="C94" s="133">
        <v>161</v>
      </c>
      <c r="D94" s="97">
        <v>24.871274948120117</v>
      </c>
      <c r="E94" s="99">
        <v>31.941453656283461</v>
      </c>
      <c r="F94" s="102">
        <v>2.4751098176909228</v>
      </c>
      <c r="G94" s="99">
        <v>34.813343843346601</v>
      </c>
      <c r="H94" s="98">
        <v>4.624716458511009</v>
      </c>
      <c r="I94" s="100">
        <v>37.226924737200825</v>
      </c>
      <c r="J94" s="98">
        <v>3.639749290535903</v>
      </c>
      <c r="K94" s="100">
        <v>35.607434978257466</v>
      </c>
      <c r="L94" s="98">
        <v>6.7089451910999491</v>
      </c>
      <c r="M94" s="100">
        <v>26.38709852054043</v>
      </c>
      <c r="N94" s="98">
        <v>1.7569114741679248</v>
      </c>
      <c r="O94" s="100">
        <v>-8.4262453228061709</v>
      </c>
      <c r="P94" s="102">
        <v>4.9743237343548419</v>
      </c>
      <c r="Q94" s="99">
        <v>15.803339221213504</v>
      </c>
      <c r="R94" s="98">
        <v>9.3012012139727054E-2</v>
      </c>
      <c r="S94" s="100" t="s">
        <v>34</v>
      </c>
      <c r="T94" s="98" t="s">
        <v>34</v>
      </c>
      <c r="U94" s="100">
        <v>34.05511707420461</v>
      </c>
      <c r="V94" s="98">
        <v>2.7062777408734497</v>
      </c>
      <c r="W94" s="100">
        <v>18.251777852991104</v>
      </c>
      <c r="X94" s="104">
        <v>2.7086556814939784</v>
      </c>
      <c r="Y94" s="124"/>
      <c r="Z94" s="124"/>
      <c r="AA94" s="124"/>
      <c r="AB94" s="124"/>
      <c r="AC94" s="124"/>
      <c r="AD94" s="124"/>
      <c r="AE94" s="124"/>
    </row>
    <row r="95" spans="1:31" s="105" customFormat="1" x14ac:dyDescent="0.25">
      <c r="A95" s="118" t="s">
        <v>276</v>
      </c>
      <c r="B95" s="167">
        <v>12222</v>
      </c>
      <c r="C95" s="133">
        <v>188</v>
      </c>
      <c r="D95" s="97">
        <v>99.390045166015625</v>
      </c>
      <c r="E95" s="99">
        <v>1.4027281083451357</v>
      </c>
      <c r="F95" s="102">
        <v>0.21237720387305614</v>
      </c>
      <c r="G95" s="99">
        <v>0.75519663211166599</v>
      </c>
      <c r="H95" s="98">
        <v>0.18554143947724025</v>
      </c>
      <c r="I95" s="100">
        <v>0.73601364669795077</v>
      </c>
      <c r="J95" s="98">
        <v>0.20306633760804457</v>
      </c>
      <c r="K95" s="100">
        <v>2.4992741451404541</v>
      </c>
      <c r="L95" s="98">
        <v>0.69681333742841656</v>
      </c>
      <c r="M95" s="100">
        <v>2.9019129678575899</v>
      </c>
      <c r="N95" s="98">
        <v>0.69547525258182741</v>
      </c>
      <c r="O95" s="100">
        <v>2.146716335745924</v>
      </c>
      <c r="P95" s="102">
        <v>0.71985148171229096</v>
      </c>
      <c r="Q95" s="99">
        <v>1.1323751681222363</v>
      </c>
      <c r="R95" s="98">
        <v>0.20148298004896137</v>
      </c>
      <c r="S95" s="100" t="s">
        <v>34</v>
      </c>
      <c r="T95" s="98" t="s">
        <v>34</v>
      </c>
      <c r="U95" s="100">
        <v>3.1454470794854421</v>
      </c>
      <c r="V95" s="98">
        <v>0.87915670605157414</v>
      </c>
      <c r="W95" s="100">
        <v>2.0130719113632058</v>
      </c>
      <c r="X95" s="104">
        <v>0.90216907064306096</v>
      </c>
      <c r="Y95" s="124"/>
      <c r="Z95" s="124"/>
      <c r="AA95" s="124"/>
      <c r="AB95" s="124"/>
      <c r="AC95" s="124"/>
      <c r="AD95" s="124"/>
      <c r="AE95" s="124"/>
    </row>
    <row r="96" spans="1:31" s="105" customFormat="1" ht="13.8" thickBot="1" x14ac:dyDescent="0.3">
      <c r="A96" s="125" t="s">
        <v>277</v>
      </c>
      <c r="B96" s="168">
        <v>2887</v>
      </c>
      <c r="C96" s="144">
        <v>42</v>
      </c>
      <c r="D96" s="110">
        <v>34.070350646972656</v>
      </c>
      <c r="E96" s="112">
        <v>15.64393900596307</v>
      </c>
      <c r="F96" s="115">
        <v>1.6383100819380774</v>
      </c>
      <c r="G96" s="112">
        <v>10.547251486682597</v>
      </c>
      <c r="H96" s="111">
        <v>2.8140762451277119</v>
      </c>
      <c r="I96" s="113">
        <v>11.327139170477302</v>
      </c>
      <c r="J96" s="111">
        <v>3.1384164451637235</v>
      </c>
      <c r="K96" s="113">
        <v>17.699128530736331</v>
      </c>
      <c r="L96" s="111">
        <v>2.2007854524656718</v>
      </c>
      <c r="M96" s="113">
        <v>25.155749595619422</v>
      </c>
      <c r="N96" s="111">
        <v>2.5281647829784366</v>
      </c>
      <c r="O96" s="113">
        <v>14.608498108936825</v>
      </c>
      <c r="P96" s="115">
        <v>3.6559141709634524</v>
      </c>
      <c r="Q96" s="112">
        <v>15.878201025158022</v>
      </c>
      <c r="R96" s="111">
        <v>1.7667259855809512</v>
      </c>
      <c r="S96" s="113" t="s">
        <v>34</v>
      </c>
      <c r="T96" s="111" t="s">
        <v>34</v>
      </c>
      <c r="U96" s="113" t="s">
        <v>34</v>
      </c>
      <c r="V96" s="111" t="s">
        <v>34</v>
      </c>
      <c r="W96" s="113" t="s">
        <v>34</v>
      </c>
      <c r="X96" s="117" t="s">
        <v>34</v>
      </c>
      <c r="Y96" s="124"/>
      <c r="Z96" s="124"/>
      <c r="AA96" s="124"/>
      <c r="AB96" s="124"/>
      <c r="AC96" s="124"/>
      <c r="AD96" s="124"/>
      <c r="AE96" s="124"/>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71</v>
      </c>
    </row>
    <row r="109" spans="1:21" x14ac:dyDescent="0.25">
      <c r="A109" s="27" t="s">
        <v>55</v>
      </c>
    </row>
    <row r="110" spans="1:21" x14ac:dyDescent="0.25">
      <c r="A110" s="27" t="s">
        <v>72</v>
      </c>
    </row>
    <row r="111" spans="1:21" x14ac:dyDescent="0.25">
      <c r="A111" s="4" t="s">
        <v>73</v>
      </c>
    </row>
    <row r="112" spans="1:21" x14ac:dyDescent="0.25">
      <c r="A112" s="4" t="s">
        <v>43</v>
      </c>
    </row>
    <row r="113" spans="1:1" x14ac:dyDescent="0.25">
      <c r="A113" s="27" t="s">
        <v>42</v>
      </c>
    </row>
  </sheetData>
  <mergeCells count="14">
    <mergeCell ref="Q13:R13"/>
    <mergeCell ref="B12:F12"/>
    <mergeCell ref="G12:P12"/>
    <mergeCell ref="Q12:X12"/>
    <mergeCell ref="B13:C13"/>
    <mergeCell ref="E13:F13"/>
    <mergeCell ref="G13:H13"/>
    <mergeCell ref="I13:J13"/>
    <mergeCell ref="K13:L13"/>
    <mergeCell ref="M13:N13"/>
    <mergeCell ref="S13:T13"/>
    <mergeCell ref="U13:V13"/>
    <mergeCell ref="W13:X13"/>
    <mergeCell ref="O13:P13"/>
  </mergeCells>
  <conditionalFormatting sqref="W16:W96 O16:O96">
    <cfRule type="expression" dxfId="22" priority="3">
      <formula>ABS(O16/P16)&gt;1.96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E98"/>
  <sheetViews>
    <sheetView showGridLines="0" zoomScale="80" zoomScaleNormal="80" workbookViewId="0"/>
  </sheetViews>
  <sheetFormatPr defaultColWidth="9.109375" defaultRowHeight="13.2" x14ac:dyDescent="0.25"/>
  <cols>
    <col min="1" max="1" width="25.33203125" style="4" customWidth="1"/>
    <col min="2" max="4" width="13.109375" style="4" customWidth="1"/>
    <col min="5"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74</v>
      </c>
      <c r="B6" s="2"/>
      <c r="C6" s="3"/>
      <c r="D6" s="2"/>
      <c r="E6" s="3"/>
      <c r="F6" s="3"/>
      <c r="G6" s="3"/>
      <c r="H6" s="3"/>
      <c r="I6" s="3"/>
      <c r="J6" s="3"/>
      <c r="K6" s="3"/>
      <c r="L6" s="3"/>
      <c r="M6" s="3"/>
      <c r="N6" s="3"/>
      <c r="O6" s="3"/>
      <c r="P6" s="3"/>
    </row>
    <row r="7" spans="1:31" x14ac:dyDescent="0.25">
      <c r="A7" s="5" t="s">
        <v>75</v>
      </c>
    </row>
    <row r="8" spans="1:31" x14ac:dyDescent="0.25">
      <c r="A8" s="6" t="s">
        <v>76</v>
      </c>
    </row>
    <row r="9" spans="1:31" x14ac:dyDescent="0.25">
      <c r="A9" s="59"/>
    </row>
    <row r="10" spans="1:31" x14ac:dyDescent="0.25">
      <c r="A10" s="6"/>
    </row>
    <row r="11" spans="1:31" ht="25.5" customHeight="1" thickBot="1" x14ac:dyDescent="0.3">
      <c r="A11" s="7"/>
      <c r="B11" s="8"/>
      <c r="C11" s="9"/>
      <c r="D11" s="8"/>
      <c r="E11" s="9"/>
      <c r="F11" s="9"/>
      <c r="G11" s="9"/>
      <c r="H11" s="9"/>
      <c r="I11" s="9"/>
      <c r="J11" s="9"/>
      <c r="K11" s="9"/>
      <c r="L11" s="9"/>
      <c r="M11" s="9"/>
      <c r="N11" s="9"/>
      <c r="O11" s="9"/>
      <c r="P11" s="9"/>
    </row>
    <row r="12" spans="1:31" ht="30" customHeight="1" x14ac:dyDescent="0.25">
      <c r="A12" s="28"/>
      <c r="B12" s="211" t="s">
        <v>7</v>
      </c>
      <c r="C12" s="212"/>
      <c r="D12" s="212"/>
      <c r="E12" s="212"/>
      <c r="F12" s="237"/>
      <c r="G12" s="211" t="s">
        <v>77</v>
      </c>
      <c r="H12" s="212"/>
      <c r="I12" s="212"/>
      <c r="J12" s="212"/>
      <c r="K12" s="212"/>
      <c r="L12" s="212"/>
      <c r="M12" s="212"/>
      <c r="N12" s="212"/>
      <c r="O12" s="212"/>
      <c r="P12" s="237"/>
      <c r="Q12" s="201" t="s">
        <v>78</v>
      </c>
      <c r="R12" s="202"/>
      <c r="S12" s="202"/>
      <c r="T12" s="202"/>
      <c r="U12" s="202"/>
      <c r="V12" s="202"/>
      <c r="W12" s="202"/>
      <c r="X12" s="203"/>
    </row>
    <row r="13" spans="1:31" ht="120" customHeight="1" x14ac:dyDescent="0.25">
      <c r="A13" s="32"/>
      <c r="B13" s="209" t="s">
        <v>10</v>
      </c>
      <c r="C13" s="236"/>
      <c r="D13" s="92" t="s">
        <v>11</v>
      </c>
      <c r="E13" s="209" t="s">
        <v>79</v>
      </c>
      <c r="F13" s="236"/>
      <c r="G13" s="229" t="s">
        <v>16</v>
      </c>
      <c r="H13" s="230"/>
      <c r="I13" s="231" t="s">
        <v>17</v>
      </c>
      <c r="J13" s="230"/>
      <c r="K13" s="234" t="s">
        <v>50</v>
      </c>
      <c r="L13" s="235"/>
      <c r="M13" s="234" t="s">
        <v>19</v>
      </c>
      <c r="N13" s="235"/>
      <c r="O13" s="207" t="s">
        <v>20</v>
      </c>
      <c r="P13" s="236"/>
      <c r="Q13" s="209" t="s">
        <v>21</v>
      </c>
      <c r="R13" s="210"/>
      <c r="S13" s="207" t="s">
        <v>22</v>
      </c>
      <c r="T13" s="210"/>
      <c r="U13" s="207" t="s">
        <v>23</v>
      </c>
      <c r="V13" s="210"/>
      <c r="W13" s="207" t="s">
        <v>70</v>
      </c>
      <c r="X13" s="208"/>
    </row>
    <row r="14" spans="1:31" ht="27" customHeight="1" x14ac:dyDescent="0.25">
      <c r="A14" s="33"/>
      <c r="B14" s="34" t="s">
        <v>51</v>
      </c>
      <c r="C14" s="47" t="s">
        <v>25</v>
      </c>
      <c r="D14" s="36" t="s">
        <v>26</v>
      </c>
      <c r="E14" s="34" t="s">
        <v>80</v>
      </c>
      <c r="F14" s="35" t="s">
        <v>28</v>
      </c>
      <c r="G14" s="34" t="s">
        <v>80</v>
      </c>
      <c r="H14" s="36" t="s">
        <v>28</v>
      </c>
      <c r="I14" s="44" t="s">
        <v>80</v>
      </c>
      <c r="J14" s="36" t="s">
        <v>28</v>
      </c>
      <c r="K14" s="44" t="s">
        <v>80</v>
      </c>
      <c r="L14" s="36" t="s">
        <v>28</v>
      </c>
      <c r="M14" s="48" t="s">
        <v>80</v>
      </c>
      <c r="N14" s="36" t="s">
        <v>28</v>
      </c>
      <c r="O14" s="44" t="s">
        <v>81</v>
      </c>
      <c r="P14" s="35" t="s">
        <v>28</v>
      </c>
      <c r="Q14" s="34" t="s">
        <v>26</v>
      </c>
      <c r="R14" s="36" t="s">
        <v>28</v>
      </c>
      <c r="S14" s="49" t="s">
        <v>26</v>
      </c>
      <c r="T14" s="43" t="s">
        <v>28</v>
      </c>
      <c r="U14" s="36" t="s">
        <v>26</v>
      </c>
      <c r="V14" s="36" t="s">
        <v>28</v>
      </c>
      <c r="W14" s="49" t="s">
        <v>63</v>
      </c>
      <c r="X14" s="46" t="s">
        <v>28</v>
      </c>
    </row>
    <row r="15" spans="1:31" ht="13.5" customHeight="1" x14ac:dyDescent="0.25">
      <c r="A15" s="182" t="s">
        <v>278</v>
      </c>
      <c r="B15" s="192"/>
      <c r="C15" s="184"/>
      <c r="D15" s="185"/>
      <c r="E15" s="186"/>
      <c r="F15" s="187"/>
      <c r="G15" s="188"/>
      <c r="H15" s="189"/>
      <c r="I15" s="190"/>
      <c r="J15" s="189"/>
      <c r="K15" s="190"/>
      <c r="L15" s="189"/>
      <c r="M15" s="190"/>
      <c r="N15" s="189"/>
      <c r="O15" s="190"/>
      <c r="P15" s="187"/>
      <c r="Q15" s="188"/>
      <c r="R15" s="189"/>
      <c r="S15" s="190"/>
      <c r="T15" s="189"/>
      <c r="U15" s="190"/>
      <c r="V15" s="189"/>
      <c r="W15" s="190"/>
      <c r="X15" s="191"/>
    </row>
    <row r="16" spans="1:31" s="105" customFormat="1" x14ac:dyDescent="0.25">
      <c r="A16" s="118" t="s">
        <v>206</v>
      </c>
      <c r="B16" s="132">
        <v>689</v>
      </c>
      <c r="C16" s="133">
        <v>223</v>
      </c>
      <c r="D16" s="97">
        <v>81.300155639648438</v>
      </c>
      <c r="E16" s="99">
        <v>25.388781375888087</v>
      </c>
      <c r="F16" s="102">
        <v>1.2648427484904392</v>
      </c>
      <c r="G16" s="99">
        <v>27.243658091314717</v>
      </c>
      <c r="H16" s="98">
        <v>2.0093423789950511</v>
      </c>
      <c r="I16" s="100">
        <v>30.063691507613953</v>
      </c>
      <c r="J16" s="98">
        <v>3.88315006945348</v>
      </c>
      <c r="K16" s="100">
        <v>26.041815188251114</v>
      </c>
      <c r="L16" s="98">
        <v>2.808612466346708</v>
      </c>
      <c r="M16" s="100">
        <v>20.194012288915065</v>
      </c>
      <c r="N16" s="98">
        <v>1.7947891623778607</v>
      </c>
      <c r="O16" s="100">
        <v>-7.0496458023996524</v>
      </c>
      <c r="P16" s="102">
        <v>2.7168974890826343</v>
      </c>
      <c r="Q16" s="99">
        <v>26.222041488812536</v>
      </c>
      <c r="R16" s="98">
        <v>1.4314490123177925</v>
      </c>
      <c r="S16" s="100">
        <v>26.945495885665274</v>
      </c>
      <c r="T16" s="98">
        <v>1.9316774073308676</v>
      </c>
      <c r="U16" s="100">
        <v>18.174901972739956</v>
      </c>
      <c r="V16" s="98">
        <v>2.1413255254301049</v>
      </c>
      <c r="W16" s="100">
        <v>-1.8203581358179299</v>
      </c>
      <c r="X16" s="104">
        <v>2.220424826508872</v>
      </c>
      <c r="Y16" s="124"/>
      <c r="Z16" s="124"/>
      <c r="AA16" s="124"/>
      <c r="AB16" s="124"/>
      <c r="AC16" s="124"/>
      <c r="AD16" s="124"/>
      <c r="AE16" s="124"/>
    </row>
    <row r="17" spans="1:31" s="105" customFormat="1" x14ac:dyDescent="0.25">
      <c r="A17" s="118" t="s">
        <v>213</v>
      </c>
      <c r="B17" s="132">
        <v>996</v>
      </c>
      <c r="C17" s="133">
        <v>218</v>
      </c>
      <c r="D17" s="97">
        <v>70.638671875</v>
      </c>
      <c r="E17" s="99">
        <v>20.806802028184201</v>
      </c>
      <c r="F17" s="102">
        <v>0.98744549793879721</v>
      </c>
      <c r="G17" s="99">
        <v>20.571356333357787</v>
      </c>
      <c r="H17" s="98">
        <v>1.7368128767547959</v>
      </c>
      <c r="I17" s="100">
        <v>19.756344979626903</v>
      </c>
      <c r="J17" s="98">
        <v>1.8994906042619168</v>
      </c>
      <c r="K17" s="100">
        <v>22.975226438045567</v>
      </c>
      <c r="L17" s="98">
        <v>2.1512170843276639</v>
      </c>
      <c r="M17" s="100">
        <v>20.774891689521564</v>
      </c>
      <c r="N17" s="98">
        <v>2.151637966502935</v>
      </c>
      <c r="O17" s="100">
        <v>0.20353535616377627</v>
      </c>
      <c r="P17" s="102">
        <v>2.7623100833155676</v>
      </c>
      <c r="Q17" s="99">
        <v>20.589552201803844</v>
      </c>
      <c r="R17" s="98">
        <v>1.1250254935820312</v>
      </c>
      <c r="S17" s="100">
        <v>26.367806414956181</v>
      </c>
      <c r="T17" s="98">
        <v>9.850848899077814</v>
      </c>
      <c r="U17" s="100">
        <v>29.629629629629633</v>
      </c>
      <c r="V17" s="98">
        <v>5.0242958677880805E-15</v>
      </c>
      <c r="W17" s="100">
        <v>6.3753541296053449</v>
      </c>
      <c r="X17" s="104">
        <v>8.2996692452469532</v>
      </c>
      <c r="Y17" s="124"/>
      <c r="Z17" s="124"/>
      <c r="AA17" s="124"/>
      <c r="AB17" s="124"/>
      <c r="AC17" s="124"/>
      <c r="AD17" s="124"/>
      <c r="AE17" s="124"/>
    </row>
    <row r="18" spans="1:31" s="105" customFormat="1" x14ac:dyDescent="0.25">
      <c r="A18" s="118" t="s">
        <v>221</v>
      </c>
      <c r="B18" s="132">
        <v>635</v>
      </c>
      <c r="C18" s="133">
        <v>154</v>
      </c>
      <c r="D18" s="97">
        <v>83.416168212890625</v>
      </c>
      <c r="E18" s="99">
        <v>16.483421114362791</v>
      </c>
      <c r="F18" s="102">
        <v>1.1406318257886225</v>
      </c>
      <c r="G18" s="99">
        <v>19.353120092157919</v>
      </c>
      <c r="H18" s="98">
        <v>2.7383102441513278</v>
      </c>
      <c r="I18" s="100">
        <v>15.497484723564375</v>
      </c>
      <c r="J18" s="98">
        <v>2.2100483156102153</v>
      </c>
      <c r="K18" s="100">
        <v>14.705833667662827</v>
      </c>
      <c r="L18" s="98">
        <v>1.2314025972695533</v>
      </c>
      <c r="M18" s="100">
        <v>14.720825379716219</v>
      </c>
      <c r="N18" s="98">
        <v>1.5003150887220804</v>
      </c>
      <c r="O18" s="100">
        <v>-4.6322947124417002</v>
      </c>
      <c r="P18" s="102">
        <v>3.1409740419063459</v>
      </c>
      <c r="Q18" s="99">
        <v>18.295615585909246</v>
      </c>
      <c r="R18" s="98">
        <v>1.7628094516090109</v>
      </c>
      <c r="S18" s="100">
        <v>13.432080517247378</v>
      </c>
      <c r="T18" s="98">
        <v>1.106122349449314</v>
      </c>
      <c r="U18" s="100">
        <v>16.350139119101851</v>
      </c>
      <c r="V18" s="98">
        <v>2.2404780699957656</v>
      </c>
      <c r="W18" s="100">
        <v>-4.5022263579695423</v>
      </c>
      <c r="X18" s="104">
        <v>2.0781885201590757</v>
      </c>
      <c r="Y18" s="124"/>
      <c r="Z18" s="124"/>
      <c r="AA18" s="124"/>
      <c r="AB18" s="124"/>
      <c r="AC18" s="124"/>
      <c r="AD18" s="124"/>
      <c r="AE18" s="124"/>
    </row>
    <row r="19" spans="1:31" s="105" customFormat="1" x14ac:dyDescent="0.25">
      <c r="A19" s="118" t="s">
        <v>301</v>
      </c>
      <c r="B19" s="132">
        <v>99</v>
      </c>
      <c r="C19" s="133">
        <v>234</v>
      </c>
      <c r="D19" s="97">
        <v>81.072624206542969</v>
      </c>
      <c r="E19" s="99">
        <v>3.6617845582970983</v>
      </c>
      <c r="F19" s="102">
        <v>0.58624752958453896</v>
      </c>
      <c r="G19" s="99">
        <v>4.4914164754358152</v>
      </c>
      <c r="H19" s="98">
        <v>1.4919217122916517</v>
      </c>
      <c r="I19" s="100">
        <v>3.5896089029762854</v>
      </c>
      <c r="J19" s="98">
        <v>0.78355614188456013</v>
      </c>
      <c r="K19" s="100">
        <v>2.537093849032507</v>
      </c>
      <c r="L19" s="98">
        <v>0.7539801968179406</v>
      </c>
      <c r="M19" s="100">
        <v>3.4450015090276738</v>
      </c>
      <c r="N19" s="98">
        <v>1.2359586010189301</v>
      </c>
      <c r="O19" s="100">
        <v>-1.0464149664081415</v>
      </c>
      <c r="P19" s="102">
        <v>1.9479603972710642</v>
      </c>
      <c r="Q19" s="99">
        <v>1.5646477161246972</v>
      </c>
      <c r="R19" s="98">
        <v>0.2683830975482791</v>
      </c>
      <c r="S19" s="100">
        <v>10.536518866023872</v>
      </c>
      <c r="T19" s="98">
        <v>3.1744893402714558</v>
      </c>
      <c r="U19" s="100">
        <v>6.6713115965151317</v>
      </c>
      <c r="V19" s="98">
        <v>1.6550361150453721</v>
      </c>
      <c r="W19" s="100">
        <v>7.0546321913412333</v>
      </c>
      <c r="X19" s="104">
        <v>1.8345309690695055</v>
      </c>
      <c r="Y19" s="124"/>
      <c r="Z19" s="124"/>
      <c r="AA19" s="124"/>
      <c r="AB19" s="124"/>
      <c r="AC19" s="124"/>
      <c r="AD19" s="124"/>
      <c r="AE19" s="124"/>
    </row>
    <row r="20" spans="1:31" s="105" customFormat="1" x14ac:dyDescent="0.25">
      <c r="A20" s="118" t="s">
        <v>231</v>
      </c>
      <c r="B20" s="132">
        <v>2981</v>
      </c>
      <c r="C20" s="133">
        <v>1079</v>
      </c>
      <c r="D20" s="97">
        <v>85.497329711914063</v>
      </c>
      <c r="E20" s="99">
        <v>16.785295058016647</v>
      </c>
      <c r="F20" s="102">
        <v>0.5281060841671753</v>
      </c>
      <c r="G20" s="99">
        <v>18.154968608569153</v>
      </c>
      <c r="H20" s="98">
        <v>0.92512413261537263</v>
      </c>
      <c r="I20" s="100">
        <v>17.377232632174561</v>
      </c>
      <c r="J20" s="98">
        <v>1.2611346962302423</v>
      </c>
      <c r="K20" s="100">
        <v>14.91104513428742</v>
      </c>
      <c r="L20" s="98">
        <v>0.99813692215838945</v>
      </c>
      <c r="M20" s="100">
        <v>16.5384266898586</v>
      </c>
      <c r="N20" s="98">
        <v>1.0623061643379978</v>
      </c>
      <c r="O20" s="100">
        <v>-1.6165419187105527</v>
      </c>
      <c r="P20" s="102">
        <v>1.3137087792276982</v>
      </c>
      <c r="Q20" s="99">
        <v>16.636984310191767</v>
      </c>
      <c r="R20" s="98">
        <v>0.59291475842289409</v>
      </c>
      <c r="S20" s="100">
        <v>16.086565288314468</v>
      </c>
      <c r="T20" s="98">
        <v>1.024779792064062</v>
      </c>
      <c r="U20" s="100">
        <v>21.697359486454811</v>
      </c>
      <c r="V20" s="98">
        <v>1.7899199563981449</v>
      </c>
      <c r="W20" s="100">
        <v>0.71373074201379438</v>
      </c>
      <c r="X20" s="104">
        <v>1.0609373151208905</v>
      </c>
      <c r="Y20" s="124"/>
      <c r="Z20" s="124"/>
      <c r="AA20" s="124"/>
      <c r="AB20" s="124"/>
      <c r="AC20" s="124"/>
      <c r="AD20" s="124"/>
      <c r="AE20" s="124"/>
    </row>
    <row r="21" spans="1:31" s="105" customFormat="1" x14ac:dyDescent="0.25">
      <c r="A21" s="118" t="s">
        <v>297</v>
      </c>
      <c r="B21" s="132">
        <v>249</v>
      </c>
      <c r="C21" s="133">
        <v>97</v>
      </c>
      <c r="D21" s="97">
        <v>35.706809997558594</v>
      </c>
      <c r="E21" s="99">
        <v>17.195713025894676</v>
      </c>
      <c r="F21" s="102">
        <v>1.305413471140449</v>
      </c>
      <c r="G21" s="99">
        <v>18.633542198836775</v>
      </c>
      <c r="H21" s="98">
        <v>2.5411260258816739</v>
      </c>
      <c r="I21" s="100">
        <v>21.042794970811599</v>
      </c>
      <c r="J21" s="98">
        <v>1.8247878761925238</v>
      </c>
      <c r="K21" s="100">
        <v>14.447339806139217</v>
      </c>
      <c r="L21" s="98">
        <v>2.7607624625193212</v>
      </c>
      <c r="M21" s="100">
        <v>12.118681984461718</v>
      </c>
      <c r="N21" s="98">
        <v>1.9075588331329256</v>
      </c>
      <c r="O21" s="100">
        <v>-6.5148602143750569</v>
      </c>
      <c r="P21" s="102">
        <v>3.1535188532499676</v>
      </c>
      <c r="Q21" s="99">
        <v>17.721432337003481</v>
      </c>
      <c r="R21" s="98">
        <v>1.3368528319076698</v>
      </c>
      <c r="S21" s="100" t="s">
        <v>34</v>
      </c>
      <c r="T21" s="98" t="s">
        <v>34</v>
      </c>
      <c r="U21" s="100">
        <v>12.641321204670477</v>
      </c>
      <c r="V21" s="98">
        <v>3.8229381070515114</v>
      </c>
      <c r="W21" s="100">
        <v>-5.0801111323330037</v>
      </c>
      <c r="X21" s="104">
        <v>4.0469557631880484</v>
      </c>
      <c r="Y21" s="124"/>
      <c r="Z21" s="124"/>
      <c r="AA21" s="124"/>
      <c r="AB21" s="124"/>
      <c r="AC21" s="124"/>
      <c r="AD21" s="124"/>
      <c r="AE21" s="124"/>
    </row>
    <row r="22" spans="1:31" s="105" customFormat="1" x14ac:dyDescent="0.25">
      <c r="A22" s="118" t="s">
        <v>302</v>
      </c>
      <c r="B22" s="132">
        <v>514</v>
      </c>
      <c r="C22" s="133">
        <v>157</v>
      </c>
      <c r="D22" s="97">
        <v>78.16497802734375</v>
      </c>
      <c r="E22" s="99">
        <v>19.346393476438394</v>
      </c>
      <c r="F22" s="102">
        <v>1.5421025766737015</v>
      </c>
      <c r="G22" s="99">
        <v>25.561824064325865</v>
      </c>
      <c r="H22" s="98">
        <v>2.9145716412956073</v>
      </c>
      <c r="I22" s="100">
        <v>19.967243566916078</v>
      </c>
      <c r="J22" s="98">
        <v>3.0270835355397163</v>
      </c>
      <c r="K22" s="100">
        <v>17.457519739127441</v>
      </c>
      <c r="L22" s="98">
        <v>2.6940117556234688</v>
      </c>
      <c r="M22" s="100">
        <v>12.262638818994095</v>
      </c>
      <c r="N22" s="98">
        <v>2.3504934405288624</v>
      </c>
      <c r="O22" s="100">
        <v>-13.29918524533177</v>
      </c>
      <c r="P22" s="102">
        <v>3.7838148642151577</v>
      </c>
      <c r="Q22" s="99">
        <v>18.730536906024998</v>
      </c>
      <c r="R22" s="98">
        <v>1.4738086139056841</v>
      </c>
      <c r="S22" s="100">
        <v>41.34610846141225</v>
      </c>
      <c r="T22" s="98">
        <v>2.8780173939961791</v>
      </c>
      <c r="U22" s="100">
        <v>16.863271835536846</v>
      </c>
      <c r="V22" s="98">
        <v>7.5679790153730231</v>
      </c>
      <c r="W22" s="100">
        <v>5.4260108216460594</v>
      </c>
      <c r="X22" s="104">
        <v>7.6721458357983421</v>
      </c>
      <c r="Y22" s="124"/>
      <c r="Z22" s="124"/>
      <c r="AA22" s="124"/>
      <c r="AB22" s="124"/>
      <c r="AC22" s="124"/>
      <c r="AD22" s="124"/>
      <c r="AE22" s="124"/>
    </row>
    <row r="23" spans="1:31" s="105" customFormat="1" x14ac:dyDescent="0.25">
      <c r="A23" s="118" t="s">
        <v>236</v>
      </c>
      <c r="B23" s="132" t="s">
        <v>34</v>
      </c>
      <c r="C23" s="133" t="s">
        <v>34</v>
      </c>
      <c r="D23" s="97" t="s">
        <v>34</v>
      </c>
      <c r="E23" s="99">
        <v>17.095455805297409</v>
      </c>
      <c r="F23" s="102">
        <v>0.41846862824863151</v>
      </c>
      <c r="G23" s="99">
        <v>19.14426940914257</v>
      </c>
      <c r="H23" s="98">
        <v>0.81548850751623736</v>
      </c>
      <c r="I23" s="100">
        <v>18.184914469097681</v>
      </c>
      <c r="J23" s="98">
        <v>0.88373903482842298</v>
      </c>
      <c r="K23" s="100">
        <v>16.153696260363731</v>
      </c>
      <c r="L23" s="98">
        <v>0.78865247730868904</v>
      </c>
      <c r="M23" s="100">
        <v>14.29349690864214</v>
      </c>
      <c r="N23" s="98">
        <v>0.66886208020843452</v>
      </c>
      <c r="O23" s="100">
        <v>-4.8507725005004421</v>
      </c>
      <c r="P23" s="102">
        <v>1.05617642652556</v>
      </c>
      <c r="Q23" s="99">
        <v>17.10868722083865</v>
      </c>
      <c r="R23" s="98">
        <v>0.4695871069985581</v>
      </c>
      <c r="S23" s="100">
        <v>22.45242923893657</v>
      </c>
      <c r="T23" s="98">
        <v>1.836396285826617</v>
      </c>
      <c r="U23" s="100">
        <v>17.432562120664102</v>
      </c>
      <c r="V23" s="98">
        <v>1.3358261092917829</v>
      </c>
      <c r="W23" s="100">
        <v>1.166718894069422</v>
      </c>
      <c r="X23" s="104">
        <v>1.794915857000221</v>
      </c>
      <c r="Y23" s="124"/>
      <c r="Z23" s="124"/>
      <c r="AA23" s="124"/>
      <c r="AB23" s="124"/>
      <c r="AC23" s="124"/>
      <c r="AD23" s="124"/>
      <c r="AE23" s="124"/>
    </row>
    <row r="24" spans="1:31" s="105" customFormat="1" x14ac:dyDescent="0.25">
      <c r="A24" s="181" t="s">
        <v>279</v>
      </c>
      <c r="B24" s="132"/>
      <c r="C24" s="133"/>
      <c r="D24" s="97"/>
      <c r="E24" s="99"/>
      <c r="F24" s="102"/>
      <c r="G24" s="99"/>
      <c r="H24" s="98"/>
      <c r="I24" s="100"/>
      <c r="J24" s="98"/>
      <c r="K24" s="100"/>
      <c r="L24" s="98"/>
      <c r="M24" s="100"/>
      <c r="N24" s="98"/>
      <c r="O24" s="100"/>
      <c r="P24" s="102"/>
      <c r="Q24" s="99"/>
      <c r="R24" s="98"/>
      <c r="S24" s="100"/>
      <c r="T24" s="98"/>
      <c r="U24" s="100"/>
      <c r="V24" s="98"/>
      <c r="W24" s="100"/>
      <c r="X24" s="104"/>
      <c r="Y24" s="124"/>
      <c r="Z24" s="124"/>
      <c r="AA24" s="124"/>
      <c r="AB24" s="124"/>
      <c r="AC24" s="124"/>
      <c r="AD24" s="124"/>
      <c r="AE24" s="124"/>
    </row>
    <row r="25" spans="1:31" s="105" customFormat="1" x14ac:dyDescent="0.25">
      <c r="A25" s="118" t="s">
        <v>237</v>
      </c>
      <c r="B25" s="132">
        <v>575</v>
      </c>
      <c r="C25" s="133">
        <v>324</v>
      </c>
      <c r="D25" s="97">
        <v>95.23480224609375</v>
      </c>
      <c r="E25" s="99">
        <v>18.917438127386887</v>
      </c>
      <c r="F25" s="102">
        <v>0.84921836220736702</v>
      </c>
      <c r="G25" s="99">
        <v>19.001089529448052</v>
      </c>
      <c r="H25" s="98">
        <v>1.3567279193881279</v>
      </c>
      <c r="I25" s="100">
        <v>18.400586924012725</v>
      </c>
      <c r="J25" s="98">
        <v>2.4155334448822137</v>
      </c>
      <c r="K25" s="100">
        <v>16.18919829219864</v>
      </c>
      <c r="L25" s="98">
        <v>2.1556415669341322</v>
      </c>
      <c r="M25" s="100">
        <v>21.225651580159834</v>
      </c>
      <c r="N25" s="98">
        <v>2.4467493879650206</v>
      </c>
      <c r="O25" s="100">
        <v>2.224562050711782</v>
      </c>
      <c r="P25" s="102">
        <v>2.9064563810182902</v>
      </c>
      <c r="Q25" s="99">
        <v>17.239530880464116</v>
      </c>
      <c r="R25" s="98">
        <v>0.88409893094365566</v>
      </c>
      <c r="S25" s="100" t="s">
        <v>34</v>
      </c>
      <c r="T25" s="98" t="s">
        <v>34</v>
      </c>
      <c r="U25" s="100">
        <v>32.392158587095345</v>
      </c>
      <c r="V25" s="98">
        <v>3.4215421299982012</v>
      </c>
      <c r="W25" s="100">
        <v>15.152627706631229</v>
      </c>
      <c r="X25" s="104">
        <v>3.6551372642305124</v>
      </c>
      <c r="Y25" s="124"/>
      <c r="Z25" s="124"/>
      <c r="AA25" s="124"/>
      <c r="AB25" s="124"/>
      <c r="AC25" s="124"/>
      <c r="AD25" s="124"/>
      <c r="AE25" s="124"/>
    </row>
    <row r="26" spans="1:31" s="105" customFormat="1" x14ac:dyDescent="0.25">
      <c r="A26" s="118" t="s">
        <v>239</v>
      </c>
      <c r="B26" s="132">
        <v>99</v>
      </c>
      <c r="C26" s="133">
        <v>153</v>
      </c>
      <c r="D26" s="97">
        <v>49.318988800048828</v>
      </c>
      <c r="E26" s="99">
        <v>4.9481304672705138</v>
      </c>
      <c r="F26" s="102">
        <v>0.7956870673158235</v>
      </c>
      <c r="G26" s="99">
        <v>9.8622089654766398</v>
      </c>
      <c r="H26" s="98">
        <v>2.2050093621004705</v>
      </c>
      <c r="I26" s="100">
        <v>5.9575037199411804</v>
      </c>
      <c r="J26" s="98">
        <v>1.9369704192179706</v>
      </c>
      <c r="K26" s="100">
        <v>0.69987643588689596</v>
      </c>
      <c r="L26" s="98">
        <v>0.34095378485204153</v>
      </c>
      <c r="M26" s="100">
        <v>2.7895428823152706</v>
      </c>
      <c r="N26" s="98">
        <v>0.90323068945839102</v>
      </c>
      <c r="O26" s="100">
        <v>-7.0726660831613692</v>
      </c>
      <c r="P26" s="102">
        <v>2.2866772339031893</v>
      </c>
      <c r="Q26" s="99">
        <v>4.8107643271650229</v>
      </c>
      <c r="R26" s="98">
        <v>0.80670878207789642</v>
      </c>
      <c r="S26" s="100" t="s">
        <v>34</v>
      </c>
      <c r="T26" s="98" t="s">
        <v>34</v>
      </c>
      <c r="U26" s="100">
        <v>13.529412083972149</v>
      </c>
      <c r="V26" s="98">
        <v>0.36693056770517157</v>
      </c>
      <c r="W26" s="100">
        <v>8.7186477568071261</v>
      </c>
      <c r="X26" s="104">
        <v>0.88206598983086415</v>
      </c>
      <c r="Y26" s="124"/>
      <c r="Z26" s="124"/>
      <c r="AA26" s="124"/>
      <c r="AB26" s="124"/>
      <c r="AC26" s="124"/>
      <c r="AD26" s="124"/>
      <c r="AE26" s="124"/>
    </row>
    <row r="27" spans="1:31" s="105" customFormat="1" x14ac:dyDescent="0.25">
      <c r="A27" s="118" t="s">
        <v>242</v>
      </c>
      <c r="B27" s="132">
        <v>861</v>
      </c>
      <c r="C27" s="133">
        <v>435</v>
      </c>
      <c r="D27" s="97">
        <v>71.416275024414063</v>
      </c>
      <c r="E27" s="99">
        <v>14.184269077352479</v>
      </c>
      <c r="F27" s="102">
        <v>0.97286723333302472</v>
      </c>
      <c r="G27" s="99">
        <v>18.038308400496842</v>
      </c>
      <c r="H27" s="98">
        <v>1.7926729257610281</v>
      </c>
      <c r="I27" s="100">
        <v>12.285992102860732</v>
      </c>
      <c r="J27" s="98">
        <v>1.0406465815012764</v>
      </c>
      <c r="K27" s="100">
        <v>10.810596222443733</v>
      </c>
      <c r="L27" s="98">
        <v>1.2157688197062246</v>
      </c>
      <c r="M27" s="100">
        <v>14.768815243583253</v>
      </c>
      <c r="N27" s="98">
        <v>2.427883922153677</v>
      </c>
      <c r="O27" s="100">
        <v>-3.2694931569135885</v>
      </c>
      <c r="P27" s="102">
        <v>2.8071064041111824</v>
      </c>
      <c r="Q27" s="99">
        <v>13.629259318324726</v>
      </c>
      <c r="R27" s="98">
        <v>0.78041722810655589</v>
      </c>
      <c r="S27" s="100" t="s">
        <v>34</v>
      </c>
      <c r="T27" s="98" t="s">
        <v>34</v>
      </c>
      <c r="U27" s="100">
        <v>15.543360929472939</v>
      </c>
      <c r="V27" s="98">
        <v>3.2048104841202769</v>
      </c>
      <c r="W27" s="100">
        <v>1.9141016111482134</v>
      </c>
      <c r="X27" s="104">
        <v>3.3044349950738625</v>
      </c>
      <c r="Y27" s="124"/>
      <c r="Z27" s="124"/>
      <c r="AA27" s="124"/>
      <c r="AB27" s="124"/>
      <c r="AC27" s="124"/>
      <c r="AD27" s="124"/>
      <c r="AE27" s="124"/>
    </row>
    <row r="28" spans="1:31" s="105" customFormat="1" x14ac:dyDescent="0.25">
      <c r="A28" s="118" t="s">
        <v>249</v>
      </c>
      <c r="B28" s="132">
        <v>573</v>
      </c>
      <c r="C28" s="133">
        <v>222</v>
      </c>
      <c r="D28" s="97">
        <v>83.11248779296875</v>
      </c>
      <c r="E28" s="99">
        <v>33.161247993037897</v>
      </c>
      <c r="F28" s="102">
        <v>2.2258549789756024</v>
      </c>
      <c r="G28" s="99">
        <v>39.61033645774215</v>
      </c>
      <c r="H28" s="98">
        <v>3.9446323287870415</v>
      </c>
      <c r="I28" s="100">
        <v>30.106242957432869</v>
      </c>
      <c r="J28" s="98">
        <v>4.272489367733538</v>
      </c>
      <c r="K28" s="100">
        <v>30.740475547864193</v>
      </c>
      <c r="L28" s="98">
        <v>4.590615711268633</v>
      </c>
      <c r="M28" s="100">
        <v>26.873147541804546</v>
      </c>
      <c r="N28" s="98">
        <v>4.9873378076337538</v>
      </c>
      <c r="O28" s="100">
        <v>-12.737188915937605</v>
      </c>
      <c r="P28" s="102">
        <v>6.070211917976529</v>
      </c>
      <c r="Q28" s="99">
        <v>33.22444701728687</v>
      </c>
      <c r="R28" s="98">
        <v>2.4078437898049816</v>
      </c>
      <c r="S28" s="100">
        <v>19.873726264949973</v>
      </c>
      <c r="T28" s="98">
        <v>2.8620508170880372</v>
      </c>
      <c r="U28" s="100">
        <v>29.352420746334619</v>
      </c>
      <c r="V28" s="98">
        <v>3.8725148843610744</v>
      </c>
      <c r="W28" s="100">
        <v>-4.6625570841182125</v>
      </c>
      <c r="X28" s="104">
        <v>4.2591197598886206</v>
      </c>
      <c r="Y28" s="124"/>
      <c r="Z28" s="124"/>
      <c r="AA28" s="124"/>
      <c r="AB28" s="124"/>
      <c r="AC28" s="124"/>
      <c r="AD28" s="124"/>
      <c r="AE28" s="124"/>
    </row>
    <row r="29" spans="1:31" s="105" customFormat="1" x14ac:dyDescent="0.25">
      <c r="A29" s="118" t="s">
        <v>303</v>
      </c>
      <c r="B29" s="132">
        <v>367</v>
      </c>
      <c r="C29" s="133">
        <v>147</v>
      </c>
      <c r="D29" s="97">
        <v>84.721183776855469</v>
      </c>
      <c r="E29" s="99">
        <v>11.798508634528536</v>
      </c>
      <c r="F29" s="102">
        <v>0.80661557202752454</v>
      </c>
      <c r="G29" s="99">
        <v>9.8674112209429605</v>
      </c>
      <c r="H29" s="98">
        <v>1.3129199149995148</v>
      </c>
      <c r="I29" s="100">
        <v>12.406456899971419</v>
      </c>
      <c r="J29" s="98">
        <v>1.272303932408551</v>
      </c>
      <c r="K29" s="100">
        <v>11.168425528810163</v>
      </c>
      <c r="L29" s="98">
        <v>1.6938568498479074</v>
      </c>
      <c r="M29" s="100">
        <v>14.838891732675412</v>
      </c>
      <c r="N29" s="98">
        <v>2.3284561058529647</v>
      </c>
      <c r="O29" s="100">
        <v>4.9714805117324516</v>
      </c>
      <c r="P29" s="102">
        <v>2.665222865007157</v>
      </c>
      <c r="Q29" s="99">
        <v>6.6505719883653676</v>
      </c>
      <c r="R29" s="98">
        <v>2.6538842798527398</v>
      </c>
      <c r="S29" s="100">
        <v>11.676777332460007</v>
      </c>
      <c r="T29" s="98">
        <v>0.9407856634314149</v>
      </c>
      <c r="U29" s="100">
        <v>21.046422439638082</v>
      </c>
      <c r="V29" s="98">
        <v>10.638442395489667</v>
      </c>
      <c r="W29" s="100">
        <v>5.4858497011681493</v>
      </c>
      <c r="X29" s="104">
        <v>2.8685635769915221</v>
      </c>
      <c r="Y29" s="124"/>
      <c r="Z29" s="124"/>
      <c r="AA29" s="124"/>
      <c r="AB29" s="124"/>
      <c r="AC29" s="124"/>
      <c r="AD29" s="124"/>
      <c r="AE29" s="124"/>
    </row>
    <row r="30" spans="1:31" s="105" customFormat="1" x14ac:dyDescent="0.25">
      <c r="A30" s="118" t="s">
        <v>256</v>
      </c>
      <c r="B30" s="132">
        <v>588</v>
      </c>
      <c r="C30" s="133">
        <v>45</v>
      </c>
      <c r="D30" s="97">
        <v>97.973670959472656</v>
      </c>
      <c r="E30" s="99">
        <v>21.327529923830252</v>
      </c>
      <c r="F30" s="102" t="s">
        <v>35</v>
      </c>
      <c r="G30" s="99">
        <v>12.932138284250961</v>
      </c>
      <c r="H30" s="98" t="s">
        <v>35</v>
      </c>
      <c r="I30" s="100">
        <v>24.400564174894217</v>
      </c>
      <c r="J30" s="98" t="s">
        <v>35</v>
      </c>
      <c r="K30" s="100">
        <v>19.252336448598133</v>
      </c>
      <c r="L30" s="98" t="s">
        <v>35</v>
      </c>
      <c r="M30" s="100">
        <v>28.825136612021858</v>
      </c>
      <c r="N30" s="98" t="s">
        <v>35</v>
      </c>
      <c r="O30" s="100">
        <v>15.892998327770897</v>
      </c>
      <c r="P30" s="102" t="s">
        <v>35</v>
      </c>
      <c r="Q30" s="99">
        <v>12.719298245614034</v>
      </c>
      <c r="R30" s="98" t="s">
        <v>35</v>
      </c>
      <c r="S30" s="100">
        <v>22.164948453608247</v>
      </c>
      <c r="T30" s="98" t="s">
        <v>35</v>
      </c>
      <c r="U30" s="100">
        <v>21.393034825870647</v>
      </c>
      <c r="V30" s="98" t="s">
        <v>35</v>
      </c>
      <c r="W30" s="100">
        <v>9.3843000145678559</v>
      </c>
      <c r="X30" s="104" t="s">
        <v>35</v>
      </c>
      <c r="Y30" s="124"/>
      <c r="Z30" s="124"/>
      <c r="AA30" s="124"/>
      <c r="AB30" s="124"/>
      <c r="AC30" s="124"/>
      <c r="AD30" s="124"/>
      <c r="AE30" s="124"/>
    </row>
    <row r="31" spans="1:31" s="105" customFormat="1" x14ac:dyDescent="0.25">
      <c r="A31" s="118" t="s">
        <v>257</v>
      </c>
      <c r="B31" s="134">
        <v>676</v>
      </c>
      <c r="C31" s="135">
        <v>191</v>
      </c>
      <c r="D31" s="136">
        <v>97.461441040039063</v>
      </c>
      <c r="E31" s="137">
        <v>16.197605044111114</v>
      </c>
      <c r="F31" s="138">
        <v>1.1702516324438392</v>
      </c>
      <c r="G31" s="137">
        <v>14.169530406849374</v>
      </c>
      <c r="H31" s="139">
        <v>1.6226026406460743</v>
      </c>
      <c r="I31" s="140">
        <v>11.271191444535594</v>
      </c>
      <c r="J31" s="139">
        <v>1.8302079251966754</v>
      </c>
      <c r="K31" s="140">
        <v>15.373926526153774</v>
      </c>
      <c r="L31" s="139">
        <v>2.1418145653399736</v>
      </c>
      <c r="M31" s="140">
        <v>23.788332661587177</v>
      </c>
      <c r="N31" s="139">
        <v>2.9696928679346337</v>
      </c>
      <c r="O31" s="140">
        <v>9.6188022547378029</v>
      </c>
      <c r="P31" s="138">
        <v>3.396026248436038</v>
      </c>
      <c r="Q31" s="137">
        <v>13.693870836354293</v>
      </c>
      <c r="R31" s="139">
        <v>1.2367278858333632</v>
      </c>
      <c r="S31" s="140">
        <v>38.8888888888889</v>
      </c>
      <c r="T31" s="139">
        <v>3.1776437161565096E-14</v>
      </c>
      <c r="U31" s="140">
        <v>41.363219080511989</v>
      </c>
      <c r="V31" s="139">
        <v>8.0452252630878753</v>
      </c>
      <c r="W31" s="140">
        <v>27.299961676672886</v>
      </c>
      <c r="X31" s="141">
        <v>7.6266874941486851</v>
      </c>
      <c r="Y31" s="142"/>
      <c r="Z31" s="124"/>
      <c r="AA31" s="124"/>
      <c r="AB31" s="124"/>
      <c r="AC31" s="124"/>
      <c r="AD31" s="124"/>
      <c r="AE31" s="124"/>
    </row>
    <row r="32" spans="1:31" s="105" customFormat="1" x14ac:dyDescent="0.25">
      <c r="A32" s="118" t="s">
        <v>261</v>
      </c>
      <c r="B32" s="134">
        <v>763</v>
      </c>
      <c r="C32" s="135">
        <v>177</v>
      </c>
      <c r="D32" s="136">
        <v>85.649131774902344</v>
      </c>
      <c r="E32" s="137">
        <v>28.425294757287865</v>
      </c>
      <c r="F32" s="138">
        <v>2.1039965037750554</v>
      </c>
      <c r="G32" s="137">
        <v>44.819226628357193</v>
      </c>
      <c r="H32" s="139">
        <v>5.1341566164273793</v>
      </c>
      <c r="I32" s="140">
        <v>32.311384882201573</v>
      </c>
      <c r="J32" s="139">
        <v>3.942290398905957</v>
      </c>
      <c r="K32" s="140">
        <v>19.681988783942636</v>
      </c>
      <c r="L32" s="139">
        <v>2.8608535228325045</v>
      </c>
      <c r="M32" s="140">
        <v>15.792583774299096</v>
      </c>
      <c r="N32" s="139">
        <v>4.9752347915817534</v>
      </c>
      <c r="O32" s="140">
        <v>-29.026642854058096</v>
      </c>
      <c r="P32" s="138">
        <v>7.3439687374040972</v>
      </c>
      <c r="Q32" s="137">
        <v>29.110206555620188</v>
      </c>
      <c r="R32" s="139">
        <v>2.1275505608012026</v>
      </c>
      <c r="S32" s="140">
        <v>33.333333333333329</v>
      </c>
      <c r="T32" s="139">
        <v>1.4210854715202004E-14</v>
      </c>
      <c r="U32" s="140">
        <v>26.262352109886272</v>
      </c>
      <c r="V32" s="139">
        <v>7.918350370396511</v>
      </c>
      <c r="W32" s="140">
        <v>-2.3415343076497166</v>
      </c>
      <c r="X32" s="141">
        <v>7.7772365770990488</v>
      </c>
      <c r="Y32" s="142"/>
      <c r="Z32" s="124"/>
      <c r="AA32" s="124"/>
      <c r="AB32" s="124"/>
      <c r="AC32" s="124"/>
      <c r="AD32" s="124"/>
      <c r="AE32" s="124"/>
    </row>
    <row r="33" spans="1:31" s="105" customFormat="1" x14ac:dyDescent="0.25">
      <c r="A33" s="118" t="s">
        <v>263</v>
      </c>
      <c r="B33" s="132">
        <v>385</v>
      </c>
      <c r="C33" s="133">
        <v>157</v>
      </c>
      <c r="D33" s="97">
        <v>70.680145263671875</v>
      </c>
      <c r="E33" s="99">
        <v>23.704343975015913</v>
      </c>
      <c r="F33" s="102">
        <v>2.5476190937455883</v>
      </c>
      <c r="G33" s="99">
        <v>28.747657367605644</v>
      </c>
      <c r="H33" s="98">
        <v>5.3777732124261632</v>
      </c>
      <c r="I33" s="100">
        <v>12.701535208380228</v>
      </c>
      <c r="J33" s="98">
        <v>4.5443295689533603</v>
      </c>
      <c r="K33" s="100">
        <v>10.120574051194398</v>
      </c>
      <c r="L33" s="98">
        <v>4.4451071689638075</v>
      </c>
      <c r="M33" s="100">
        <v>29.704519656821194</v>
      </c>
      <c r="N33" s="98">
        <v>4.7121672951595048</v>
      </c>
      <c r="O33" s="100">
        <v>0.95686228921555028</v>
      </c>
      <c r="P33" s="102">
        <v>7.0865144021407369</v>
      </c>
      <c r="Q33" s="99">
        <v>17.658637427357192</v>
      </c>
      <c r="R33" s="98">
        <v>2.8290252068542716</v>
      </c>
      <c r="S33" s="100">
        <v>37.500000000000007</v>
      </c>
      <c r="T33" s="98">
        <v>2.0097183471152322E-14</v>
      </c>
      <c r="U33" s="100">
        <v>36.147469225377456</v>
      </c>
      <c r="V33" s="98">
        <v>5.4697813652565221</v>
      </c>
      <c r="W33" s="100">
        <v>18.51586958272582</v>
      </c>
      <c r="X33" s="104">
        <v>6.0779762768912562</v>
      </c>
      <c r="Y33" s="124"/>
      <c r="Z33" s="124"/>
      <c r="AA33" s="124"/>
      <c r="AB33" s="124"/>
      <c r="AC33" s="124"/>
      <c r="AD33" s="124"/>
      <c r="AE33" s="124"/>
    </row>
    <row r="34" spans="1:31" s="105" customFormat="1" x14ac:dyDescent="0.25">
      <c r="A34" s="118" t="s">
        <v>264</v>
      </c>
      <c r="B34" s="132">
        <v>790</v>
      </c>
      <c r="C34" s="133">
        <v>324</v>
      </c>
      <c r="D34" s="97">
        <v>95.64874267578125</v>
      </c>
      <c r="E34" s="99">
        <v>21.64614501051123</v>
      </c>
      <c r="F34" s="102">
        <v>0.95167269211450034</v>
      </c>
      <c r="G34" s="99">
        <v>27.923285773615945</v>
      </c>
      <c r="H34" s="98">
        <v>1.6001186215311443</v>
      </c>
      <c r="I34" s="100">
        <v>13.419419160685241</v>
      </c>
      <c r="J34" s="98">
        <v>1.5745064947866727</v>
      </c>
      <c r="K34" s="100">
        <v>18.076413581153631</v>
      </c>
      <c r="L34" s="98">
        <v>3.9128986326794579</v>
      </c>
      <c r="M34" s="100">
        <v>19.203036244755321</v>
      </c>
      <c r="N34" s="98">
        <v>2.0711030218785642</v>
      </c>
      <c r="O34" s="100">
        <v>-8.7202495288606237</v>
      </c>
      <c r="P34" s="102">
        <v>2.6509272616016841</v>
      </c>
      <c r="Q34" s="137">
        <v>20.902132253424742</v>
      </c>
      <c r="R34" s="139">
        <v>1.1845486373305281</v>
      </c>
      <c r="S34" s="140">
        <v>9.0909090909090899</v>
      </c>
      <c r="T34" s="139">
        <v>9.0576781872058811E-15</v>
      </c>
      <c r="U34" s="140">
        <v>23.479513041251895</v>
      </c>
      <c r="V34" s="139">
        <v>1.9219926870406887</v>
      </c>
      <c r="W34" s="140">
        <v>2.4642188958286724</v>
      </c>
      <c r="X34" s="141">
        <v>2.3739606203348989</v>
      </c>
      <c r="Y34" s="142"/>
      <c r="Z34" s="124"/>
      <c r="AA34" s="124"/>
      <c r="AB34" s="124"/>
      <c r="AC34" s="124"/>
      <c r="AD34" s="124"/>
      <c r="AE34" s="124"/>
    </row>
    <row r="35" spans="1:31" s="105" customFormat="1" x14ac:dyDescent="0.25">
      <c r="A35" s="118" t="s">
        <v>272</v>
      </c>
      <c r="B35" s="132">
        <v>473</v>
      </c>
      <c r="C35" s="133">
        <v>192</v>
      </c>
      <c r="D35" s="97">
        <v>87.638595581054688</v>
      </c>
      <c r="E35" s="99">
        <v>12.49084784621968</v>
      </c>
      <c r="F35" s="102">
        <v>1.1938273521369458</v>
      </c>
      <c r="G35" s="99">
        <v>16.884367490100303</v>
      </c>
      <c r="H35" s="98">
        <v>2.913906355350901</v>
      </c>
      <c r="I35" s="100">
        <v>9.371178143611731</v>
      </c>
      <c r="J35" s="98">
        <v>1.4552452251128503</v>
      </c>
      <c r="K35" s="100">
        <v>10.624992322463841</v>
      </c>
      <c r="L35" s="98">
        <v>1.5282793014661409</v>
      </c>
      <c r="M35" s="100">
        <v>10.369865515301456</v>
      </c>
      <c r="N35" s="98">
        <v>1.2781212805778908</v>
      </c>
      <c r="O35" s="100">
        <v>-6.5145019747988471</v>
      </c>
      <c r="P35" s="102">
        <v>3.1782823752791649</v>
      </c>
      <c r="Q35" s="99">
        <v>12.0483576944738</v>
      </c>
      <c r="R35" s="98">
        <v>1.4440647179004735</v>
      </c>
      <c r="S35" s="100">
        <v>14.560534817860756</v>
      </c>
      <c r="T35" s="98">
        <v>4.0139214554862255</v>
      </c>
      <c r="U35" s="100">
        <v>14.134620527807904</v>
      </c>
      <c r="V35" s="98">
        <v>1.7762567542158105</v>
      </c>
      <c r="W35" s="100">
        <v>2.2419240099003961</v>
      </c>
      <c r="X35" s="104">
        <v>2.5096639500165474</v>
      </c>
      <c r="Y35" s="124"/>
      <c r="Z35" s="124"/>
      <c r="AA35" s="124"/>
      <c r="AB35" s="124"/>
      <c r="AC35" s="124"/>
      <c r="AD35" s="124"/>
      <c r="AE35" s="124"/>
    </row>
    <row r="36" spans="1:31" s="105" customFormat="1" x14ac:dyDescent="0.25">
      <c r="A36" s="118" t="s">
        <v>275</v>
      </c>
      <c r="B36" s="132">
        <v>1469</v>
      </c>
      <c r="C36" s="133">
        <v>619</v>
      </c>
      <c r="D36" s="97">
        <v>85.808219909667969</v>
      </c>
      <c r="E36" s="99">
        <v>15.216401539636074</v>
      </c>
      <c r="F36" s="102">
        <v>0.71153276463177462</v>
      </c>
      <c r="G36" s="99">
        <v>12.538912601699383</v>
      </c>
      <c r="H36" s="98">
        <v>1.6794256287788536</v>
      </c>
      <c r="I36" s="100">
        <v>13.561415872859335</v>
      </c>
      <c r="J36" s="98">
        <v>0.64914636717019492</v>
      </c>
      <c r="K36" s="100">
        <v>17.531408633053481</v>
      </c>
      <c r="L36" s="98">
        <v>1.8318548255108715</v>
      </c>
      <c r="M36" s="100">
        <v>16.724980451899111</v>
      </c>
      <c r="N36" s="98">
        <v>0.76739363850810394</v>
      </c>
      <c r="O36" s="100">
        <v>4.186067850199727</v>
      </c>
      <c r="P36" s="102">
        <v>1.8749392885660674</v>
      </c>
      <c r="Q36" s="99">
        <v>7.5167140576995299</v>
      </c>
      <c r="R36" s="98">
        <v>5.0002158844835255E-2</v>
      </c>
      <c r="S36" s="100">
        <v>6.666666666666667</v>
      </c>
      <c r="T36" s="98" t="s">
        <v>35</v>
      </c>
      <c r="U36" s="100">
        <v>18.879793752211203</v>
      </c>
      <c r="V36" s="98">
        <v>1.0590930842690118</v>
      </c>
      <c r="W36" s="100">
        <v>11.34052355000594</v>
      </c>
      <c r="X36" s="104">
        <v>1.0593368009471695</v>
      </c>
      <c r="Y36" s="124"/>
      <c r="Z36" s="124"/>
      <c r="AA36" s="124"/>
      <c r="AB36" s="124"/>
      <c r="AC36" s="124"/>
      <c r="AD36" s="124"/>
      <c r="AE36" s="124"/>
    </row>
    <row r="37" spans="1:31" s="105" customFormat="1" ht="13.8" thickBot="1" x14ac:dyDescent="0.3">
      <c r="A37" s="125"/>
      <c r="B37" s="143"/>
      <c r="C37" s="144"/>
      <c r="D37" s="145"/>
      <c r="E37" s="143"/>
      <c r="F37" s="115"/>
      <c r="G37" s="143"/>
      <c r="H37" s="111"/>
      <c r="I37" s="146"/>
      <c r="J37" s="111"/>
      <c r="K37" s="146"/>
      <c r="L37" s="111"/>
      <c r="M37" s="146"/>
      <c r="N37" s="111"/>
      <c r="O37" s="146"/>
      <c r="P37" s="115"/>
      <c r="Q37" s="147"/>
      <c r="R37" s="111"/>
      <c r="S37" s="146"/>
      <c r="T37" s="111"/>
      <c r="U37" s="146"/>
      <c r="V37" s="111"/>
      <c r="W37" s="146"/>
      <c r="X37" s="117"/>
      <c r="Y37" s="124"/>
      <c r="Z37" s="124"/>
      <c r="AA37" s="124"/>
      <c r="AB37" s="124"/>
      <c r="AC37" s="124"/>
      <c r="AD37" s="124"/>
      <c r="AE37" s="124"/>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82</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55</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31" t="s">
        <v>56</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05" t="s">
        <v>43</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A48" s="131" t="s">
        <v>42</v>
      </c>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4">
    <mergeCell ref="Q12:X12"/>
    <mergeCell ref="Q13:R13"/>
    <mergeCell ref="S13:T13"/>
    <mergeCell ref="U13:V13"/>
    <mergeCell ref="W13:X13"/>
    <mergeCell ref="B12:F12"/>
    <mergeCell ref="G12:P12"/>
    <mergeCell ref="B13:C13"/>
    <mergeCell ref="E13:F13"/>
    <mergeCell ref="O13:P13"/>
    <mergeCell ref="G13:H13"/>
    <mergeCell ref="I13:J13"/>
    <mergeCell ref="K13:L13"/>
    <mergeCell ref="M13:N13"/>
  </mergeCells>
  <conditionalFormatting sqref="O15:O37 W15:W37">
    <cfRule type="expression" dxfId="21" priority="3">
      <formula>ABS(O15/P15)&gt;1.96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83</v>
      </c>
      <c r="B6" s="3"/>
      <c r="C6" s="2"/>
      <c r="D6" s="3"/>
      <c r="E6" s="3"/>
      <c r="F6" s="3"/>
      <c r="G6" s="3"/>
      <c r="H6" s="3"/>
      <c r="I6" s="3"/>
      <c r="J6" s="3"/>
      <c r="K6" s="3"/>
      <c r="L6" s="3"/>
      <c r="M6" s="3"/>
      <c r="N6" s="3"/>
      <c r="O6" s="3"/>
    </row>
    <row r="7" spans="1:31" x14ac:dyDescent="0.25">
      <c r="A7" s="5" t="s">
        <v>84</v>
      </c>
    </row>
    <row r="8" spans="1:31" x14ac:dyDescent="0.25">
      <c r="A8" s="6" t="s">
        <v>85</v>
      </c>
    </row>
    <row r="9" spans="1:31" x14ac:dyDescent="0.25">
      <c r="A9" s="59"/>
    </row>
    <row r="10" spans="1:31" x14ac:dyDescent="0.25">
      <c r="A10" s="6"/>
    </row>
    <row r="11" spans="1:31" ht="25.5" customHeight="1" thickBot="1" x14ac:dyDescent="0.3">
      <c r="A11" s="7"/>
      <c r="B11" s="9"/>
      <c r="C11" s="8"/>
      <c r="D11" s="9"/>
      <c r="E11" s="9"/>
      <c r="F11" s="9"/>
      <c r="G11" s="9"/>
      <c r="H11" s="9"/>
      <c r="I11" s="9"/>
      <c r="J11" s="9"/>
      <c r="K11" s="9"/>
      <c r="L11" s="9"/>
      <c r="M11" s="9"/>
      <c r="N11" s="9"/>
      <c r="O11" s="9"/>
    </row>
    <row r="12" spans="1:31" ht="30" customHeight="1" x14ac:dyDescent="0.25">
      <c r="A12" s="28"/>
      <c r="B12" s="211" t="s">
        <v>7</v>
      </c>
      <c r="C12" s="212"/>
      <c r="D12" s="212"/>
      <c r="E12" s="237"/>
      <c r="F12" s="211" t="s">
        <v>304</v>
      </c>
      <c r="G12" s="212"/>
      <c r="H12" s="212"/>
      <c r="I12" s="212"/>
      <c r="J12" s="212"/>
      <c r="K12" s="212"/>
      <c r="L12" s="212"/>
      <c r="M12" s="212"/>
      <c r="N12" s="212"/>
      <c r="O12" s="237"/>
      <c r="P12" s="201" t="s">
        <v>86</v>
      </c>
      <c r="Q12" s="202"/>
      <c r="R12" s="202"/>
      <c r="S12" s="202"/>
      <c r="T12" s="202"/>
      <c r="U12" s="202"/>
      <c r="V12" s="202"/>
      <c r="W12" s="203"/>
    </row>
    <row r="13" spans="1:31" ht="138.75" customHeight="1" x14ac:dyDescent="0.25">
      <c r="A13" s="54"/>
      <c r="B13" s="55" t="s">
        <v>10</v>
      </c>
      <c r="C13" s="93" t="s">
        <v>11</v>
      </c>
      <c r="D13" s="209" t="s">
        <v>87</v>
      </c>
      <c r="E13" s="236"/>
      <c r="F13" s="229" t="s">
        <v>16</v>
      </c>
      <c r="G13" s="230"/>
      <c r="H13" s="231" t="s">
        <v>17</v>
      </c>
      <c r="I13" s="230"/>
      <c r="J13" s="234" t="s">
        <v>50</v>
      </c>
      <c r="K13" s="235"/>
      <c r="L13" s="234" t="s">
        <v>19</v>
      </c>
      <c r="M13" s="235"/>
      <c r="N13" s="207" t="s">
        <v>20</v>
      </c>
      <c r="O13" s="236"/>
      <c r="P13" s="209" t="s">
        <v>21</v>
      </c>
      <c r="Q13" s="210"/>
      <c r="R13" s="207" t="s">
        <v>22</v>
      </c>
      <c r="S13" s="210"/>
      <c r="T13" s="207" t="s">
        <v>23</v>
      </c>
      <c r="U13" s="210"/>
      <c r="V13" s="207" t="s">
        <v>24</v>
      </c>
      <c r="W13" s="208"/>
    </row>
    <row r="14" spans="1:31" ht="27" customHeight="1" x14ac:dyDescent="0.25">
      <c r="A14" s="33"/>
      <c r="B14" s="56" t="s">
        <v>25</v>
      </c>
      <c r="C14" s="35" t="s">
        <v>26</v>
      </c>
      <c r="D14" s="34" t="s">
        <v>26</v>
      </c>
      <c r="E14" s="35" t="s">
        <v>28</v>
      </c>
      <c r="F14" s="34" t="s">
        <v>26</v>
      </c>
      <c r="G14" s="36" t="s">
        <v>28</v>
      </c>
      <c r="H14" s="44" t="s">
        <v>26</v>
      </c>
      <c r="I14" s="36" t="s">
        <v>28</v>
      </c>
      <c r="J14" s="44" t="s">
        <v>26</v>
      </c>
      <c r="K14" s="36" t="s">
        <v>28</v>
      </c>
      <c r="L14" s="44" t="s">
        <v>26</v>
      </c>
      <c r="M14" s="36" t="s">
        <v>28</v>
      </c>
      <c r="N14" s="44" t="s">
        <v>33</v>
      </c>
      <c r="O14" s="35" t="s">
        <v>28</v>
      </c>
      <c r="P14" s="34" t="s">
        <v>26</v>
      </c>
      <c r="Q14" s="36" t="s">
        <v>28</v>
      </c>
      <c r="R14" s="44" t="s">
        <v>26</v>
      </c>
      <c r="S14" s="36" t="s">
        <v>28</v>
      </c>
      <c r="T14" s="44" t="s">
        <v>26</v>
      </c>
      <c r="U14" s="36" t="s">
        <v>28</v>
      </c>
      <c r="V14" s="44" t="s">
        <v>33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674</v>
      </c>
      <c r="C16" s="96">
        <v>88.781059265136719</v>
      </c>
      <c r="D16" s="97">
        <v>86.722217331358081</v>
      </c>
      <c r="E16" s="98">
        <v>1.0319435984465486</v>
      </c>
      <c r="F16" s="99">
        <v>88.620193765180019</v>
      </c>
      <c r="G16" s="98">
        <v>1.8319626707019518</v>
      </c>
      <c r="H16" s="100">
        <v>87.700243561257537</v>
      </c>
      <c r="I16" s="101">
        <v>2.1499200939898846</v>
      </c>
      <c r="J16" s="97">
        <v>86.960962389190655</v>
      </c>
      <c r="K16" s="98">
        <v>3.5077417572475023</v>
      </c>
      <c r="L16" s="100">
        <v>84.575439391541536</v>
      </c>
      <c r="M16" s="101">
        <v>3.0189505950052968</v>
      </c>
      <c r="N16" s="97">
        <v>-4.044754373638483</v>
      </c>
      <c r="O16" s="102">
        <v>3.5987796075189364</v>
      </c>
      <c r="P16" s="99">
        <v>87.977797650062797</v>
      </c>
      <c r="Q16" s="98">
        <v>1.2428657000068375</v>
      </c>
      <c r="R16" s="100">
        <v>86.210168228021644</v>
      </c>
      <c r="S16" s="101">
        <v>2.2971086103648717</v>
      </c>
      <c r="T16" s="97">
        <v>82.743553306379923</v>
      </c>
      <c r="U16" s="101">
        <v>2.8607182899260151</v>
      </c>
      <c r="V16" s="97">
        <v>-3.1128111442846347</v>
      </c>
      <c r="W16" s="104">
        <v>2.1046814257034576</v>
      </c>
      <c r="X16" s="124"/>
      <c r="Y16" s="124"/>
      <c r="Z16" s="124"/>
      <c r="AA16" s="124"/>
      <c r="AB16" s="124"/>
      <c r="AC16" s="124"/>
      <c r="AD16" s="124"/>
      <c r="AE16" s="124"/>
    </row>
    <row r="17" spans="1:31" s="105" customFormat="1" x14ac:dyDescent="0.25">
      <c r="A17" s="118" t="s">
        <v>203</v>
      </c>
      <c r="B17" s="95">
        <v>291</v>
      </c>
      <c r="C17" s="96" t="s">
        <v>34</v>
      </c>
      <c r="D17" s="97">
        <v>43.093318024251793</v>
      </c>
      <c r="E17" s="98">
        <v>1.8566479763269395</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254</v>
      </c>
      <c r="C18" s="96">
        <v>91.677169799804688</v>
      </c>
      <c r="D18" s="97">
        <v>47.852691352718807</v>
      </c>
      <c r="E18" s="98">
        <v>1.7628682516136776</v>
      </c>
      <c r="F18" s="99">
        <v>50.032610256213687</v>
      </c>
      <c r="G18" s="98">
        <v>4.1607648115172147</v>
      </c>
      <c r="H18" s="100">
        <v>52.445156028676983</v>
      </c>
      <c r="I18" s="101">
        <v>4.8671162967730348</v>
      </c>
      <c r="J18" s="97">
        <v>47.203120753621967</v>
      </c>
      <c r="K18" s="98">
        <v>5.2400430848857855</v>
      </c>
      <c r="L18" s="100">
        <v>41.652357139018619</v>
      </c>
      <c r="M18" s="101">
        <v>3.418876740669905</v>
      </c>
      <c r="N18" s="97">
        <v>-8.3802531171950676</v>
      </c>
      <c r="O18" s="102">
        <v>5.5336892152904991</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747</v>
      </c>
      <c r="C19" s="96">
        <v>94.441329956054688</v>
      </c>
      <c r="D19" s="97">
        <v>72.345785639700821</v>
      </c>
      <c r="E19" s="98">
        <v>1.6701278682588299</v>
      </c>
      <c r="F19" s="99">
        <v>66.461869876420025</v>
      </c>
      <c r="G19" s="98">
        <v>3.6592547552503336</v>
      </c>
      <c r="H19" s="100">
        <v>76.415847821844835</v>
      </c>
      <c r="I19" s="101">
        <v>3.7309278839773854</v>
      </c>
      <c r="J19" s="97">
        <v>68.733261324683696</v>
      </c>
      <c r="K19" s="98">
        <v>3.8191690487382113</v>
      </c>
      <c r="L19" s="100">
        <v>77.655487163665995</v>
      </c>
      <c r="M19" s="101">
        <v>3.6715296693407793</v>
      </c>
      <c r="N19" s="97">
        <v>11.193617287245971</v>
      </c>
      <c r="O19" s="102">
        <v>5.1218903317692561</v>
      </c>
      <c r="P19" s="99">
        <v>73.755327712995054</v>
      </c>
      <c r="Q19" s="98">
        <v>1.8186020739975912</v>
      </c>
      <c r="R19" s="100">
        <v>66.708069546245554</v>
      </c>
      <c r="S19" s="101">
        <v>8.7569961155219982</v>
      </c>
      <c r="T19" s="97">
        <v>49.877329849012199</v>
      </c>
      <c r="U19" s="101">
        <v>6.8869968543104925</v>
      </c>
      <c r="V19" s="97">
        <v>-16.937443084263911</v>
      </c>
      <c r="W19" s="104">
        <v>5.3649011351676235</v>
      </c>
      <c r="X19" s="124"/>
      <c r="Y19" s="124"/>
      <c r="Z19" s="124"/>
      <c r="AA19" s="124"/>
      <c r="AB19" s="124"/>
      <c r="AC19" s="124"/>
      <c r="AD19" s="124"/>
      <c r="AE19" s="124"/>
    </row>
    <row r="20" spans="1:31" s="105" customFormat="1" x14ac:dyDescent="0.25">
      <c r="A20" s="118" t="s">
        <v>206</v>
      </c>
      <c r="B20" s="95">
        <v>177</v>
      </c>
      <c r="C20" s="96">
        <v>75.532241821289063</v>
      </c>
      <c r="D20" s="97">
        <v>47.98110342298331</v>
      </c>
      <c r="E20" s="98">
        <v>3.5120652604451839</v>
      </c>
      <c r="F20" s="99">
        <v>41.832680739499587</v>
      </c>
      <c r="G20" s="98">
        <v>6.3945445520078259</v>
      </c>
      <c r="H20" s="100">
        <v>51.530176143154783</v>
      </c>
      <c r="I20" s="101">
        <v>7.2964973653234377</v>
      </c>
      <c r="J20" s="97">
        <v>45.313670198711733</v>
      </c>
      <c r="K20" s="98">
        <v>8.0507565226173536</v>
      </c>
      <c r="L20" s="100">
        <v>53.018048941257902</v>
      </c>
      <c r="M20" s="101">
        <v>6.7284032733445311</v>
      </c>
      <c r="N20" s="97">
        <v>11.185368201758299</v>
      </c>
      <c r="O20" s="102">
        <v>9.0892907077138911</v>
      </c>
      <c r="P20" s="99">
        <v>43.764455391418572</v>
      </c>
      <c r="Q20" s="98">
        <v>6.056889592486054</v>
      </c>
      <c r="R20" s="100">
        <v>49.244597648125257</v>
      </c>
      <c r="S20" s="101">
        <v>5.0590362321864637</v>
      </c>
      <c r="T20" s="97">
        <v>54.976727869680552</v>
      </c>
      <c r="U20" s="101">
        <v>6.7633379376722029</v>
      </c>
      <c r="V20" s="97">
        <v>6.7866813890189945</v>
      </c>
      <c r="W20" s="104">
        <v>7.2256177969918856</v>
      </c>
      <c r="X20" s="124"/>
      <c r="Y20" s="124"/>
      <c r="Z20" s="124"/>
      <c r="AA20" s="124"/>
      <c r="AB20" s="124"/>
      <c r="AC20" s="124"/>
      <c r="AD20" s="124"/>
      <c r="AE20" s="124"/>
    </row>
    <row r="21" spans="1:31" s="105" customFormat="1" x14ac:dyDescent="0.25">
      <c r="A21" s="118" t="s">
        <v>207</v>
      </c>
      <c r="B21" s="95">
        <v>244</v>
      </c>
      <c r="C21" s="96">
        <v>98.509407043457031</v>
      </c>
      <c r="D21" s="97">
        <v>31.846178502872139</v>
      </c>
      <c r="E21" s="98">
        <v>2.149505350631729</v>
      </c>
      <c r="F21" s="99">
        <v>20.755739283275929</v>
      </c>
      <c r="G21" s="98">
        <v>4.4634952085231285</v>
      </c>
      <c r="H21" s="100">
        <v>25.07050463850014</v>
      </c>
      <c r="I21" s="101">
        <v>4.3592168784461318</v>
      </c>
      <c r="J21" s="97">
        <v>33.19467957226658</v>
      </c>
      <c r="K21" s="98">
        <v>4.65034124398918</v>
      </c>
      <c r="L21" s="100">
        <v>48.129456801029583</v>
      </c>
      <c r="M21" s="101">
        <v>4.7186358991830719</v>
      </c>
      <c r="N21" s="97">
        <v>27.373717517753661</v>
      </c>
      <c r="O21" s="102">
        <v>6.578051176256583</v>
      </c>
      <c r="P21" s="99">
        <v>26.751973267782478</v>
      </c>
      <c r="Q21" s="98">
        <v>2.390617751294045</v>
      </c>
      <c r="R21" s="100" t="s">
        <v>34</v>
      </c>
      <c r="S21" s="101" t="s">
        <v>34</v>
      </c>
      <c r="T21" s="97">
        <v>56.567507652985732</v>
      </c>
      <c r="U21" s="101">
        <v>5.5681818447640934</v>
      </c>
      <c r="V21" s="97">
        <v>29.815534385203254</v>
      </c>
      <c r="W21" s="104">
        <v>6.2458955933105607</v>
      </c>
      <c r="X21" s="124"/>
      <c r="Y21" s="124"/>
      <c r="Z21" s="124"/>
      <c r="AA21" s="124"/>
      <c r="AB21" s="124"/>
      <c r="AC21" s="124"/>
      <c r="AD21" s="124"/>
      <c r="AE21" s="124"/>
    </row>
    <row r="22" spans="1:31" s="105" customFormat="1" x14ac:dyDescent="0.25">
      <c r="A22" s="118" t="s">
        <v>208</v>
      </c>
      <c r="B22" s="95">
        <v>323</v>
      </c>
      <c r="C22" s="96">
        <v>97.003257751464844</v>
      </c>
      <c r="D22" s="97">
        <v>41.853078342363347</v>
      </c>
      <c r="E22" s="98">
        <v>1.9609245514810558</v>
      </c>
      <c r="F22" s="99">
        <v>45.579105704490097</v>
      </c>
      <c r="G22" s="98">
        <v>3.5516397428626525</v>
      </c>
      <c r="H22" s="100">
        <v>46.045892441299053</v>
      </c>
      <c r="I22" s="101">
        <v>4.7420893453918529</v>
      </c>
      <c r="J22" s="97">
        <v>42.265499149239737</v>
      </c>
      <c r="K22" s="98">
        <v>5.0021748907489991</v>
      </c>
      <c r="L22" s="100">
        <v>33.610320738517508</v>
      </c>
      <c r="M22" s="101">
        <v>2.7370110503554455</v>
      </c>
      <c r="N22" s="97">
        <v>-11.968784965972601</v>
      </c>
      <c r="O22" s="102">
        <v>4.5140411100137836</v>
      </c>
      <c r="P22" s="99">
        <v>42.226947323463257</v>
      </c>
      <c r="Q22" s="98">
        <v>2.136813975163208</v>
      </c>
      <c r="R22" s="100">
        <v>31.696180138900171</v>
      </c>
      <c r="S22" s="101">
        <v>7.6729319716415789</v>
      </c>
      <c r="T22" s="97" t="s">
        <v>34</v>
      </c>
      <c r="U22" s="101" t="s">
        <v>34</v>
      </c>
      <c r="V22" s="97">
        <v>-10.530767184563086</v>
      </c>
      <c r="W22" s="104">
        <v>8.050774731216551</v>
      </c>
      <c r="X22" s="124"/>
      <c r="Y22" s="124"/>
      <c r="Z22" s="124"/>
      <c r="AA22" s="124"/>
      <c r="AB22" s="124"/>
      <c r="AC22" s="124"/>
      <c r="AD22" s="124"/>
      <c r="AE22" s="124"/>
    </row>
    <row r="23" spans="1:31" s="105" customFormat="1" x14ac:dyDescent="0.25">
      <c r="A23" s="118" t="s">
        <v>209</v>
      </c>
      <c r="B23" s="95">
        <v>245</v>
      </c>
      <c r="C23" s="96">
        <v>73.517311096191406</v>
      </c>
      <c r="D23" s="97">
        <v>32.835517526209991</v>
      </c>
      <c r="E23" s="98">
        <v>2.083782304542602</v>
      </c>
      <c r="F23" s="99">
        <v>31.779348226603329</v>
      </c>
      <c r="G23" s="98">
        <v>5.0579180555003953</v>
      </c>
      <c r="H23" s="100">
        <v>32.670773612397653</v>
      </c>
      <c r="I23" s="101">
        <v>4.5808334831028397</v>
      </c>
      <c r="J23" s="97">
        <v>31.221270469328829</v>
      </c>
      <c r="K23" s="98">
        <v>5.088301032966398</v>
      </c>
      <c r="L23" s="100">
        <v>35.72980811238476</v>
      </c>
      <c r="M23" s="101">
        <v>4.8572529800436479</v>
      </c>
      <c r="N23" s="97">
        <v>3.9504598857814339</v>
      </c>
      <c r="O23" s="102">
        <v>7.3114952712312711</v>
      </c>
      <c r="P23" s="99">
        <v>30.580860597958701</v>
      </c>
      <c r="Q23" s="98">
        <v>2.4565444203569031</v>
      </c>
      <c r="R23" s="100">
        <v>36.986182478067718</v>
      </c>
      <c r="S23" s="101">
        <v>5.3682829286616016</v>
      </c>
      <c r="T23" s="97">
        <v>35.424719397960352</v>
      </c>
      <c r="U23" s="101">
        <v>12.189791937780074</v>
      </c>
      <c r="V23" s="97">
        <v>6.0607867548878325</v>
      </c>
      <c r="W23" s="104">
        <v>5.6351674860308263</v>
      </c>
      <c r="X23" s="124"/>
      <c r="Y23" s="124"/>
      <c r="Z23" s="124"/>
      <c r="AA23" s="124"/>
      <c r="AB23" s="124"/>
      <c r="AC23" s="124"/>
      <c r="AD23" s="124"/>
      <c r="AE23" s="124"/>
    </row>
    <row r="24" spans="1:31" s="105" customFormat="1" x14ac:dyDescent="0.25">
      <c r="A24" s="118" t="s">
        <v>210</v>
      </c>
      <c r="B24" s="95">
        <v>224</v>
      </c>
      <c r="C24" s="96">
        <v>99.549774169921875</v>
      </c>
      <c r="D24" s="97">
        <v>62.009220847693094</v>
      </c>
      <c r="E24" s="98">
        <v>1.1254263856668043</v>
      </c>
      <c r="F24" s="99">
        <v>57.882747343609147</v>
      </c>
      <c r="G24" s="98">
        <v>3.2335876058587645</v>
      </c>
      <c r="H24" s="100">
        <v>60.634398087262497</v>
      </c>
      <c r="I24" s="101">
        <v>3.2284662320656041</v>
      </c>
      <c r="J24" s="97">
        <v>64.92243363574093</v>
      </c>
      <c r="K24" s="98">
        <v>2.3271834591979936</v>
      </c>
      <c r="L24" s="100">
        <v>64.704534375964784</v>
      </c>
      <c r="M24" s="101">
        <v>2.2159738618224081</v>
      </c>
      <c r="N24" s="97">
        <v>6.8217870323556298</v>
      </c>
      <c r="O24" s="102">
        <v>3.8470207155255443</v>
      </c>
      <c r="P24" s="99">
        <v>61.4317214300819</v>
      </c>
      <c r="Q24" s="98">
        <v>1.0999997117265043</v>
      </c>
      <c r="R24" s="100">
        <v>68.920178590332</v>
      </c>
      <c r="S24" s="101">
        <v>12.227535976162532</v>
      </c>
      <c r="T24" s="97">
        <v>86.053405540141668</v>
      </c>
      <c r="U24" s="101">
        <v>7.4062197156230045</v>
      </c>
      <c r="V24" s="97">
        <v>14.59804430279231</v>
      </c>
      <c r="W24" s="104">
        <v>8.9627686480166879</v>
      </c>
      <c r="X24" s="124"/>
      <c r="Y24" s="124"/>
      <c r="Z24" s="124"/>
      <c r="AA24" s="124"/>
      <c r="AB24" s="124"/>
      <c r="AC24" s="124"/>
      <c r="AD24" s="124"/>
      <c r="AE24" s="124"/>
    </row>
    <row r="25" spans="1:31" s="105" customFormat="1" x14ac:dyDescent="0.25">
      <c r="A25" s="118" t="s">
        <v>211</v>
      </c>
      <c r="B25" s="95">
        <v>208</v>
      </c>
      <c r="C25" s="96">
        <v>98.253120422363281</v>
      </c>
      <c r="D25" s="97">
        <v>47.313779702426856</v>
      </c>
      <c r="E25" s="98">
        <v>2.2225819680206853</v>
      </c>
      <c r="F25" s="99">
        <v>39.931412744952688</v>
      </c>
      <c r="G25" s="98">
        <v>4.8567516188618933</v>
      </c>
      <c r="H25" s="100">
        <v>46.7098558949005</v>
      </c>
      <c r="I25" s="101">
        <v>5.3045999581245713</v>
      </c>
      <c r="J25" s="97">
        <v>53.033387321234372</v>
      </c>
      <c r="K25" s="98">
        <v>6.392348048753524</v>
      </c>
      <c r="L25" s="100">
        <v>49.477386928152157</v>
      </c>
      <c r="M25" s="101">
        <v>5.1606943276835615</v>
      </c>
      <c r="N25" s="97">
        <v>9.5459741831994691</v>
      </c>
      <c r="O25" s="102">
        <v>7.1339317164775968</v>
      </c>
      <c r="P25" s="99">
        <v>47.265940011129089</v>
      </c>
      <c r="Q25" s="98">
        <v>2.3159133369282054</v>
      </c>
      <c r="R25" s="100">
        <v>48.448434392801772</v>
      </c>
      <c r="S25" s="101">
        <v>12.228380384094999</v>
      </c>
      <c r="T25" s="97" t="s">
        <v>34</v>
      </c>
      <c r="U25" s="101" t="s">
        <v>34</v>
      </c>
      <c r="V25" s="97">
        <v>1.1824943816726829</v>
      </c>
      <c r="W25" s="104">
        <v>12.687254002105739</v>
      </c>
      <c r="X25" s="124"/>
      <c r="Y25" s="124"/>
      <c r="Z25" s="124"/>
      <c r="AA25" s="124"/>
      <c r="AB25" s="124"/>
      <c r="AC25" s="124"/>
      <c r="AD25" s="124"/>
      <c r="AE25" s="124"/>
    </row>
    <row r="26" spans="1:31" s="105" customFormat="1" x14ac:dyDescent="0.25">
      <c r="A26" s="118" t="s">
        <v>212</v>
      </c>
      <c r="B26" s="95">
        <v>161</v>
      </c>
      <c r="C26" s="96">
        <v>75.278564453125</v>
      </c>
      <c r="D26" s="97">
        <v>34.069896439313389</v>
      </c>
      <c r="E26" s="98">
        <v>1.815578490758208</v>
      </c>
      <c r="F26" s="99">
        <v>42.689185205114448</v>
      </c>
      <c r="G26" s="98">
        <v>4.2746795407518254</v>
      </c>
      <c r="H26" s="100">
        <v>37.272128155912952</v>
      </c>
      <c r="I26" s="101">
        <v>4.5405674087010048</v>
      </c>
      <c r="J26" s="97">
        <v>29.936246838808071</v>
      </c>
      <c r="K26" s="98">
        <v>3.9937755862628617</v>
      </c>
      <c r="L26" s="100">
        <v>26.588677661100562</v>
      </c>
      <c r="M26" s="101">
        <v>3.6533559899503913</v>
      </c>
      <c r="N26" s="97">
        <v>-16.10050754401389</v>
      </c>
      <c r="O26" s="102">
        <v>6.030790773877138</v>
      </c>
      <c r="P26" s="99">
        <v>35.775439328621403</v>
      </c>
      <c r="Q26" s="98">
        <v>1.8581255066556239</v>
      </c>
      <c r="R26" s="100">
        <v>34.366611251964777</v>
      </c>
      <c r="S26" s="101">
        <v>9.2681032578226432</v>
      </c>
      <c r="T26" s="97">
        <v>22.499769319734469</v>
      </c>
      <c r="U26" s="101">
        <v>6.956219923419515</v>
      </c>
      <c r="V26" s="97">
        <v>-7.1128580497801508</v>
      </c>
      <c r="W26" s="104">
        <v>6.0416443381725751</v>
      </c>
      <c r="X26" s="124"/>
      <c r="Y26" s="124"/>
      <c r="Z26" s="124"/>
      <c r="AA26" s="124"/>
      <c r="AB26" s="124"/>
      <c r="AC26" s="124"/>
      <c r="AD26" s="124"/>
      <c r="AE26" s="124"/>
    </row>
    <row r="27" spans="1:31" s="105" customFormat="1" x14ac:dyDescent="0.25">
      <c r="A27" s="118" t="s">
        <v>213</v>
      </c>
      <c r="B27" s="95">
        <v>183</v>
      </c>
      <c r="C27" s="96">
        <v>81.228988647460938</v>
      </c>
      <c r="D27" s="97">
        <v>44.543245437270308</v>
      </c>
      <c r="E27" s="98">
        <v>2.5008128933261777</v>
      </c>
      <c r="F27" s="99">
        <v>57.529112845516437</v>
      </c>
      <c r="G27" s="98">
        <v>4.8761245105079869</v>
      </c>
      <c r="H27" s="100">
        <v>42.030371297871071</v>
      </c>
      <c r="I27" s="101">
        <v>5.7878617067681892</v>
      </c>
      <c r="J27" s="97">
        <v>40.61080458740674</v>
      </c>
      <c r="K27" s="98">
        <v>5.5985013854966459</v>
      </c>
      <c r="L27" s="100">
        <v>38.293450104919053</v>
      </c>
      <c r="M27" s="101">
        <v>4.4931947118718272</v>
      </c>
      <c r="N27" s="97">
        <v>-19.235662740597402</v>
      </c>
      <c r="O27" s="102">
        <v>6.4473476294455692</v>
      </c>
      <c r="P27" s="99">
        <v>45.150832740415929</v>
      </c>
      <c r="Q27" s="98">
        <v>2.6008205828702828</v>
      </c>
      <c r="R27" s="100">
        <v>27.899167615902051</v>
      </c>
      <c r="S27" s="101">
        <v>5.2613253635932722</v>
      </c>
      <c r="T27" s="97" t="s">
        <v>34</v>
      </c>
      <c r="U27" s="101" t="s">
        <v>34</v>
      </c>
      <c r="V27" s="97">
        <v>-17.251665124513877</v>
      </c>
      <c r="W27" s="104">
        <v>5.712931798978703</v>
      </c>
      <c r="X27" s="124"/>
      <c r="Y27" s="124"/>
      <c r="Z27" s="124"/>
      <c r="AA27" s="124"/>
      <c r="AB27" s="124"/>
      <c r="AC27" s="124"/>
      <c r="AD27" s="124"/>
      <c r="AE27" s="124"/>
    </row>
    <row r="28" spans="1:31" s="105" customFormat="1" x14ac:dyDescent="0.25">
      <c r="A28" s="118" t="s">
        <v>214</v>
      </c>
      <c r="B28" s="95">
        <v>166</v>
      </c>
      <c r="C28" s="96">
        <v>77.966171264648438</v>
      </c>
      <c r="D28" s="97">
        <v>25.918330702607491</v>
      </c>
      <c r="E28" s="98">
        <v>2.3476392268227264</v>
      </c>
      <c r="F28" s="99">
        <v>29.97272656686123</v>
      </c>
      <c r="G28" s="98">
        <v>5.146126101631701</v>
      </c>
      <c r="H28" s="100">
        <v>23.520169112901971</v>
      </c>
      <c r="I28" s="101">
        <v>4.520780770529913</v>
      </c>
      <c r="J28" s="97">
        <v>23.764019829084528</v>
      </c>
      <c r="K28" s="98">
        <v>4.6118804462077092</v>
      </c>
      <c r="L28" s="100">
        <v>26.29723411998982</v>
      </c>
      <c r="M28" s="101">
        <v>5.4834688244706138</v>
      </c>
      <c r="N28" s="97">
        <v>-3.675492446871409</v>
      </c>
      <c r="O28" s="102">
        <v>7.4812529483254693</v>
      </c>
      <c r="P28" s="99">
        <v>26.396617157024242</v>
      </c>
      <c r="Q28" s="98">
        <v>2.4381539150981908</v>
      </c>
      <c r="R28" s="100" t="s">
        <v>34</v>
      </c>
      <c r="S28" s="101" t="s">
        <v>34</v>
      </c>
      <c r="T28" s="97">
        <v>13.62594844105223</v>
      </c>
      <c r="U28" s="101">
        <v>4.4291352065243572</v>
      </c>
      <c r="V28" s="97">
        <v>-12.770668715972011</v>
      </c>
      <c r="W28" s="104">
        <v>5.1399443040724231</v>
      </c>
      <c r="X28" s="124"/>
      <c r="Y28" s="124"/>
      <c r="Z28" s="124"/>
      <c r="AA28" s="124"/>
      <c r="AB28" s="124"/>
      <c r="AC28" s="124"/>
      <c r="AD28" s="124"/>
      <c r="AE28" s="124"/>
    </row>
    <row r="29" spans="1:31" s="105" customFormat="1" x14ac:dyDescent="0.25">
      <c r="A29" s="118" t="s">
        <v>215</v>
      </c>
      <c r="B29" s="95">
        <v>154</v>
      </c>
      <c r="C29" s="96">
        <v>85.911331176757813</v>
      </c>
      <c r="D29" s="97">
        <v>19.410898831863008</v>
      </c>
      <c r="E29" s="98">
        <v>1.7310230572800429</v>
      </c>
      <c r="F29" s="99">
        <v>19.93808063233735</v>
      </c>
      <c r="G29" s="98">
        <v>4.6903707447655085</v>
      </c>
      <c r="H29" s="100">
        <v>25.802596679395869</v>
      </c>
      <c r="I29" s="101">
        <v>4.4762115403060072</v>
      </c>
      <c r="J29" s="97">
        <v>17.691737509478461</v>
      </c>
      <c r="K29" s="98">
        <v>3.6652811323899872</v>
      </c>
      <c r="L29" s="100">
        <v>14.26021433395444</v>
      </c>
      <c r="M29" s="101">
        <v>2.356390440007933</v>
      </c>
      <c r="N29" s="97">
        <v>-5.6778662983829156</v>
      </c>
      <c r="O29" s="102">
        <v>5.1722238266962739</v>
      </c>
      <c r="P29" s="99">
        <v>18.852566463188431</v>
      </c>
      <c r="Q29" s="98">
        <v>1.9607766515120943</v>
      </c>
      <c r="R29" s="100">
        <v>21.423883760363669</v>
      </c>
      <c r="S29" s="101">
        <v>3.738184597078642</v>
      </c>
      <c r="T29" s="97" t="s">
        <v>34</v>
      </c>
      <c r="U29" s="101" t="s">
        <v>34</v>
      </c>
      <c r="V29" s="97">
        <v>2.5713172971752378</v>
      </c>
      <c r="W29" s="104">
        <v>4.1737474379085242</v>
      </c>
      <c r="X29" s="142"/>
      <c r="Y29" s="124"/>
      <c r="Z29" s="124"/>
      <c r="AA29" s="124"/>
      <c r="AB29" s="124"/>
      <c r="AC29" s="124"/>
      <c r="AD29" s="124"/>
      <c r="AE29" s="124"/>
    </row>
    <row r="30" spans="1:31" s="105" customFormat="1" x14ac:dyDescent="0.25">
      <c r="A30" s="118" t="s">
        <v>216</v>
      </c>
      <c r="B30" s="95">
        <v>126</v>
      </c>
      <c r="C30" s="96">
        <v>97.251823425292969</v>
      </c>
      <c r="D30" s="97">
        <v>72.300546040013785</v>
      </c>
      <c r="E30" s="98">
        <v>0.18359292434710975</v>
      </c>
      <c r="F30" s="99">
        <v>72.28466253174021</v>
      </c>
      <c r="G30" s="98">
        <v>0.7375798290443637</v>
      </c>
      <c r="H30" s="100">
        <v>71.419223764123075</v>
      </c>
      <c r="I30" s="101">
        <v>1.1276821822168086</v>
      </c>
      <c r="J30" s="97">
        <v>60.967157951603703</v>
      </c>
      <c r="K30" s="98">
        <v>0.97265618551105681</v>
      </c>
      <c r="L30" s="100">
        <v>84.873738295014363</v>
      </c>
      <c r="M30" s="101">
        <v>0.17842929383999762</v>
      </c>
      <c r="N30" s="97">
        <v>12.589075763274151</v>
      </c>
      <c r="O30" s="102">
        <v>0.77896760000879928</v>
      </c>
      <c r="P30" s="99">
        <v>72.405356446290966</v>
      </c>
      <c r="Q30" s="98">
        <v>0.1837026384324508</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154</v>
      </c>
      <c r="C31" s="96">
        <v>98.131698608398438</v>
      </c>
      <c r="D31" s="97">
        <v>77.795461472760365</v>
      </c>
      <c r="E31" s="98">
        <v>2.9744496060680943</v>
      </c>
      <c r="F31" s="99">
        <v>83.128075083911099</v>
      </c>
      <c r="G31" s="98">
        <v>5.2005022928013487</v>
      </c>
      <c r="H31" s="100">
        <v>74.337456081818914</v>
      </c>
      <c r="I31" s="101">
        <v>6.573055811118687</v>
      </c>
      <c r="J31" s="97">
        <v>72.741063362450546</v>
      </c>
      <c r="K31" s="98">
        <v>7.1389682508377819</v>
      </c>
      <c r="L31" s="100">
        <v>80.924249990527045</v>
      </c>
      <c r="M31" s="101">
        <v>6.2489152987536505</v>
      </c>
      <c r="N31" s="97">
        <v>-2.203825093384054</v>
      </c>
      <c r="O31" s="102">
        <v>8.1328110751493963</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157</v>
      </c>
      <c r="C32" s="96">
        <v>91.800735473632813</v>
      </c>
      <c r="D32" s="97">
        <v>69.48825960999018</v>
      </c>
      <c r="E32" s="98">
        <v>2.4848751392327562</v>
      </c>
      <c r="F32" s="99">
        <v>73.046596318006948</v>
      </c>
      <c r="G32" s="98">
        <v>4.9273734581419832</v>
      </c>
      <c r="H32" s="100">
        <v>72.719386318624856</v>
      </c>
      <c r="I32" s="101">
        <v>4.3299858995932405</v>
      </c>
      <c r="J32" s="97">
        <v>65.672108175527043</v>
      </c>
      <c r="K32" s="98">
        <v>5.1041939286027675</v>
      </c>
      <c r="L32" s="100">
        <v>66.420738776235851</v>
      </c>
      <c r="M32" s="101">
        <v>6.3135561230126767</v>
      </c>
      <c r="N32" s="97">
        <v>-6.6258575417710972</v>
      </c>
      <c r="O32" s="102">
        <v>7.7399707742473085</v>
      </c>
      <c r="P32" s="99">
        <v>69.48825960999018</v>
      </c>
      <c r="Q32" s="98">
        <v>2.4848751392327562</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470</v>
      </c>
      <c r="C33" s="96">
        <v>90.608673095703125</v>
      </c>
      <c r="D33" s="97">
        <v>43.948812003438178</v>
      </c>
      <c r="E33" s="98">
        <v>1.6918506759773682</v>
      </c>
      <c r="F33" s="99">
        <v>42.285301803881559</v>
      </c>
      <c r="G33" s="98">
        <v>4.3083374197190123</v>
      </c>
      <c r="H33" s="100">
        <v>43.381137124850397</v>
      </c>
      <c r="I33" s="101">
        <v>4.321976706319913</v>
      </c>
      <c r="J33" s="97">
        <v>42.880540048396242</v>
      </c>
      <c r="K33" s="98">
        <v>5.2557584136936288</v>
      </c>
      <c r="L33" s="100">
        <v>47.279388231291612</v>
      </c>
      <c r="M33" s="101">
        <v>4.2267699106828767</v>
      </c>
      <c r="N33" s="97">
        <v>4.9940864274100534</v>
      </c>
      <c r="O33" s="102">
        <v>5.8885010571129595</v>
      </c>
      <c r="P33" s="99">
        <v>44.137272602193093</v>
      </c>
      <c r="Q33" s="98">
        <v>1.714904204012248</v>
      </c>
      <c r="R33" s="100">
        <v>34.26411606388146</v>
      </c>
      <c r="S33" s="101">
        <v>5.4108842370594479</v>
      </c>
      <c r="T33" s="97">
        <v>48.564386310319001</v>
      </c>
      <c r="U33" s="101">
        <v>18.468666084242603</v>
      </c>
      <c r="V33" s="97">
        <v>-1.3584605735848996</v>
      </c>
      <c r="W33" s="104">
        <v>11.66338113679161</v>
      </c>
      <c r="X33" s="124"/>
      <c r="Y33" s="124"/>
      <c r="Z33" s="124"/>
      <c r="AA33" s="124"/>
      <c r="AB33" s="124"/>
      <c r="AC33" s="124"/>
      <c r="AD33" s="124"/>
      <c r="AE33" s="124"/>
    </row>
    <row r="34" spans="1:31" s="105" customFormat="1" x14ac:dyDescent="0.25">
      <c r="A34" s="118" t="s">
        <v>220</v>
      </c>
      <c r="B34" s="95">
        <v>183</v>
      </c>
      <c r="C34" s="96">
        <v>100</v>
      </c>
      <c r="D34" s="97">
        <v>39.365410663687378</v>
      </c>
      <c r="E34" s="98">
        <v>2.5358974068664413</v>
      </c>
      <c r="F34" s="99">
        <v>38.741532819087944</v>
      </c>
      <c r="G34" s="98">
        <v>5.7060525551135282</v>
      </c>
      <c r="H34" s="100">
        <v>44.526291794143013</v>
      </c>
      <c r="I34" s="101">
        <v>5.3707247525706707</v>
      </c>
      <c r="J34" s="97">
        <v>41.604432520195537</v>
      </c>
      <c r="K34" s="98">
        <v>5.7319294271749053</v>
      </c>
      <c r="L34" s="100">
        <v>32.734388743945779</v>
      </c>
      <c r="M34" s="101">
        <v>5.5976730911400727</v>
      </c>
      <c r="N34" s="97">
        <v>-6.0071440751421576</v>
      </c>
      <c r="O34" s="102">
        <v>7.0721820058621976</v>
      </c>
      <c r="P34" s="99">
        <v>41.063540227439283</v>
      </c>
      <c r="Q34" s="98">
        <v>3.1139525218832143</v>
      </c>
      <c r="R34" s="100">
        <v>58.238896071823063</v>
      </c>
      <c r="S34" s="101">
        <v>11.18060971991283</v>
      </c>
      <c r="T34" s="97">
        <v>33.348570467091072</v>
      </c>
      <c r="U34" s="101">
        <v>4.4996322467697096</v>
      </c>
      <c r="V34" s="97">
        <v>-5.037775079349565</v>
      </c>
      <c r="W34" s="104">
        <v>4.476707987732568</v>
      </c>
      <c r="X34" s="124"/>
      <c r="Y34" s="124"/>
      <c r="Z34" s="124"/>
      <c r="AA34" s="124"/>
      <c r="AB34" s="124"/>
      <c r="AC34" s="124"/>
      <c r="AD34" s="124"/>
      <c r="AE34" s="124"/>
    </row>
    <row r="35" spans="1:31" s="105" customFormat="1" x14ac:dyDescent="0.25">
      <c r="A35" s="118" t="s">
        <v>221</v>
      </c>
      <c r="B35" s="95">
        <v>151</v>
      </c>
      <c r="C35" s="96">
        <v>82.163612365722656</v>
      </c>
      <c r="D35" s="97">
        <v>55.591311211458738</v>
      </c>
      <c r="E35" s="98">
        <v>2.8556194062934819</v>
      </c>
      <c r="F35" s="99">
        <v>56.553364024028816</v>
      </c>
      <c r="G35" s="98">
        <v>5.7638633692729559</v>
      </c>
      <c r="H35" s="100">
        <v>53.4655745662388</v>
      </c>
      <c r="I35" s="101">
        <v>7.2036497887945403</v>
      </c>
      <c r="J35" s="97">
        <v>54.013408672291909</v>
      </c>
      <c r="K35" s="98">
        <v>6.6312956284689761</v>
      </c>
      <c r="L35" s="100">
        <v>58.363569411382123</v>
      </c>
      <c r="M35" s="101">
        <v>5.7356255513979244</v>
      </c>
      <c r="N35" s="97">
        <v>1.8102053873532999</v>
      </c>
      <c r="O35" s="102">
        <v>7.8650654072016177</v>
      </c>
      <c r="P35" s="99">
        <v>58.835209061812208</v>
      </c>
      <c r="Q35" s="98">
        <v>3.6497901065315261</v>
      </c>
      <c r="R35" s="100">
        <v>51.581146205375141</v>
      </c>
      <c r="S35" s="101">
        <v>4.2368082419986584</v>
      </c>
      <c r="T35" s="97">
        <v>49.861781911717188</v>
      </c>
      <c r="U35" s="101">
        <v>12.408093136336161</v>
      </c>
      <c r="V35" s="97">
        <v>-7.5054066421219545</v>
      </c>
      <c r="W35" s="104">
        <v>5.3499539056725514</v>
      </c>
      <c r="X35" s="124"/>
      <c r="Y35" s="124"/>
      <c r="Z35" s="124"/>
      <c r="AA35" s="124"/>
      <c r="AB35" s="124"/>
      <c r="AC35" s="124"/>
      <c r="AD35" s="124"/>
      <c r="AE35" s="124"/>
    </row>
    <row r="36" spans="1:31" s="105" customFormat="1" x14ac:dyDescent="0.25">
      <c r="A36" s="118" t="s">
        <v>222</v>
      </c>
      <c r="B36" s="95">
        <v>290</v>
      </c>
      <c r="C36" s="96">
        <v>94.3828125</v>
      </c>
      <c r="D36" s="97">
        <v>58.739060176567442</v>
      </c>
      <c r="E36" s="98">
        <v>1.0847420860043873</v>
      </c>
      <c r="F36" s="99">
        <v>59.271518650469048</v>
      </c>
      <c r="G36" s="98">
        <v>2.9043356658052328</v>
      </c>
      <c r="H36" s="100">
        <v>55.211281268943623</v>
      </c>
      <c r="I36" s="101">
        <v>3.7976782449997812</v>
      </c>
      <c r="J36" s="97">
        <v>61.539677554488357</v>
      </c>
      <c r="K36" s="98">
        <v>4.4958873031165378</v>
      </c>
      <c r="L36" s="100">
        <v>59.066527086564832</v>
      </c>
      <c r="M36" s="101">
        <v>2.1239583832552489</v>
      </c>
      <c r="N36" s="97">
        <v>-0.2049915639042226</v>
      </c>
      <c r="O36" s="102">
        <v>3.6145754867437656</v>
      </c>
      <c r="P36" s="99">
        <v>58.891843814918111</v>
      </c>
      <c r="Q36" s="98">
        <v>1.0937533628386553</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99.715278625488281</v>
      </c>
      <c r="D37" s="97">
        <v>68.814099551201579</v>
      </c>
      <c r="E37" s="98">
        <v>0.91093775722535686</v>
      </c>
      <c r="F37" s="99">
        <v>71.334911719099054</v>
      </c>
      <c r="G37" s="98">
        <v>2.3690968578422673</v>
      </c>
      <c r="H37" s="100">
        <v>67.091454130154517</v>
      </c>
      <c r="I37" s="101">
        <v>2.8220289557033182</v>
      </c>
      <c r="J37" s="97">
        <v>74.224438078345074</v>
      </c>
      <c r="K37" s="98">
        <v>2.5757033287985704</v>
      </c>
      <c r="L37" s="100">
        <v>62.44328395462491</v>
      </c>
      <c r="M37" s="101">
        <v>2.0131045741755633</v>
      </c>
      <c r="N37" s="97">
        <v>-8.8916277644741442</v>
      </c>
      <c r="O37" s="102">
        <v>3.2166429708420998</v>
      </c>
      <c r="P37" s="99">
        <v>68.432828811166246</v>
      </c>
      <c r="Q37" s="98">
        <v>0.93867724200025049</v>
      </c>
      <c r="R37" s="100">
        <v>81.582637456946173</v>
      </c>
      <c r="S37" s="101">
        <v>2.0756316271865511</v>
      </c>
      <c r="T37" s="97" t="s">
        <v>34</v>
      </c>
      <c r="U37" s="101" t="s">
        <v>34</v>
      </c>
      <c r="V37" s="97">
        <v>13.149808645779927</v>
      </c>
      <c r="W37" s="104">
        <v>2.2870569025907312</v>
      </c>
      <c r="X37" s="124"/>
      <c r="Y37" s="124"/>
      <c r="Z37" s="124"/>
      <c r="AA37" s="124"/>
      <c r="AB37" s="124"/>
      <c r="AC37" s="124"/>
      <c r="AD37" s="124"/>
      <c r="AE37" s="124"/>
    </row>
    <row r="38" spans="1:31" s="105" customFormat="1" x14ac:dyDescent="0.25">
      <c r="A38" s="118" t="s">
        <v>224</v>
      </c>
      <c r="B38" s="95">
        <v>42</v>
      </c>
      <c r="C38" s="96">
        <v>91.512962341308594</v>
      </c>
      <c r="D38" s="97">
        <v>77.29643568202691</v>
      </c>
      <c r="E38" s="98">
        <v>6.5090980900911602E-2</v>
      </c>
      <c r="F38" s="99">
        <v>80.116779049621172</v>
      </c>
      <c r="G38" s="98">
        <v>9.3472350765574669E-2</v>
      </c>
      <c r="H38" s="100">
        <v>63.123602004003253</v>
      </c>
      <c r="I38" s="101">
        <v>0.1269736410592428</v>
      </c>
      <c r="J38" s="97">
        <v>77.234041292973529</v>
      </c>
      <c r="K38" s="98">
        <v>0.13885880411085613</v>
      </c>
      <c r="L38" s="100">
        <v>91.916217463189184</v>
      </c>
      <c r="M38" s="101">
        <v>0.15721639886822922</v>
      </c>
      <c r="N38" s="97">
        <v>11.79943841356801</v>
      </c>
      <c r="O38" s="102">
        <v>0.17494551389210597</v>
      </c>
      <c r="P38" s="99">
        <v>80.626017751841829</v>
      </c>
      <c r="Q38" s="98">
        <v>5.5457050420706915E-2</v>
      </c>
      <c r="R38" s="100">
        <v>52.034863518428928</v>
      </c>
      <c r="S38" s="101">
        <v>0.288245675502665</v>
      </c>
      <c r="T38" s="97" t="s">
        <v>34</v>
      </c>
      <c r="U38" s="101" t="s">
        <v>34</v>
      </c>
      <c r="V38" s="97">
        <v>-28.591154233412901</v>
      </c>
      <c r="W38" s="104">
        <v>0.29278542731258023</v>
      </c>
      <c r="X38" s="124"/>
      <c r="Y38" s="124"/>
      <c r="Z38" s="124"/>
      <c r="AA38" s="124"/>
      <c r="AB38" s="124"/>
      <c r="AC38" s="124"/>
      <c r="AD38" s="124"/>
      <c r="AE38" s="124"/>
    </row>
    <row r="39" spans="1:31" s="105" customFormat="1" x14ac:dyDescent="0.25">
      <c r="A39" s="118" t="s">
        <v>225</v>
      </c>
      <c r="B39" s="95">
        <v>199</v>
      </c>
      <c r="C39" s="96">
        <v>75.876655578613281</v>
      </c>
      <c r="D39" s="97">
        <v>61.274803876998057</v>
      </c>
      <c r="E39" s="98">
        <v>2.4131728868022391</v>
      </c>
      <c r="F39" s="99">
        <v>64.112974509910259</v>
      </c>
      <c r="G39" s="98">
        <v>4.548533432854736</v>
      </c>
      <c r="H39" s="100">
        <v>59.173270440871207</v>
      </c>
      <c r="I39" s="101">
        <v>5.159193173098088</v>
      </c>
      <c r="J39" s="97">
        <v>53.9327799085615</v>
      </c>
      <c r="K39" s="98">
        <v>6.2387406926573137</v>
      </c>
      <c r="L39" s="100">
        <v>68.141675089641126</v>
      </c>
      <c r="M39" s="101">
        <v>6.1277969360982469</v>
      </c>
      <c r="N39" s="97">
        <v>4.0287005797308666</v>
      </c>
      <c r="O39" s="102">
        <v>7.6447091076895184</v>
      </c>
      <c r="P39" s="99">
        <v>60.491365524829931</v>
      </c>
      <c r="Q39" s="98">
        <v>2.6361675712577708</v>
      </c>
      <c r="R39" s="100" t="s">
        <v>34</v>
      </c>
      <c r="S39" s="101" t="s">
        <v>34</v>
      </c>
      <c r="T39" s="97">
        <v>66.7219033511129</v>
      </c>
      <c r="U39" s="101">
        <v>7.1689727831851418</v>
      </c>
      <c r="V39" s="97">
        <v>6.2305378262829691</v>
      </c>
      <c r="W39" s="104">
        <v>7.8163451454277606</v>
      </c>
      <c r="X39" s="142"/>
      <c r="Y39" s="124"/>
      <c r="Z39" s="124"/>
      <c r="AA39" s="124"/>
      <c r="AB39" s="124"/>
      <c r="AC39" s="124"/>
      <c r="AD39" s="124"/>
      <c r="AE39" s="124"/>
    </row>
    <row r="40" spans="1:31" s="105" customFormat="1" x14ac:dyDescent="0.25">
      <c r="A40" s="118" t="s">
        <v>300</v>
      </c>
      <c r="B40" s="95">
        <v>143</v>
      </c>
      <c r="C40" s="96">
        <v>92.013343811035156</v>
      </c>
      <c r="D40" s="97">
        <v>52.694233138377328</v>
      </c>
      <c r="E40" s="98">
        <v>3.3187807636067115</v>
      </c>
      <c r="F40" s="99">
        <v>54.664198247872648</v>
      </c>
      <c r="G40" s="98">
        <v>7.8571863922429941</v>
      </c>
      <c r="H40" s="100">
        <v>56.51825214311539</v>
      </c>
      <c r="I40" s="101">
        <v>6.7356831858171526</v>
      </c>
      <c r="J40" s="97">
        <v>47.724310816595739</v>
      </c>
      <c r="K40" s="98">
        <v>7.229082888316718</v>
      </c>
      <c r="L40" s="100">
        <v>51.807914687638842</v>
      </c>
      <c r="M40" s="101">
        <v>7.722741046696143</v>
      </c>
      <c r="N40" s="97">
        <v>-2.856283560233805</v>
      </c>
      <c r="O40" s="102">
        <v>10.880364035521236</v>
      </c>
      <c r="P40" s="99">
        <v>53.5900384933176</v>
      </c>
      <c r="Q40" s="98">
        <v>5.7432606908572943</v>
      </c>
      <c r="R40" s="100">
        <v>51.869697891348999</v>
      </c>
      <c r="S40" s="101">
        <v>4.1088087512819236</v>
      </c>
      <c r="T40" s="97" t="s">
        <v>34</v>
      </c>
      <c r="U40" s="101" t="s">
        <v>34</v>
      </c>
      <c r="V40" s="97">
        <v>-1.7203406019686014</v>
      </c>
      <c r="W40" s="104">
        <v>6.9861444409560285</v>
      </c>
      <c r="X40" s="124"/>
      <c r="Y40" s="124"/>
      <c r="Z40" s="124"/>
      <c r="AA40" s="124"/>
      <c r="AB40" s="124"/>
      <c r="AC40" s="124"/>
      <c r="AD40" s="124"/>
      <c r="AE40" s="124"/>
    </row>
    <row r="41" spans="1:31" s="105" customFormat="1" x14ac:dyDescent="0.25">
      <c r="A41" s="118" t="s">
        <v>226</v>
      </c>
      <c r="B41" s="95">
        <v>181</v>
      </c>
      <c r="C41" s="96">
        <v>94.870124816894531</v>
      </c>
      <c r="D41" s="97">
        <v>74.378399812882748</v>
      </c>
      <c r="E41" s="98">
        <v>2.3161564563800137</v>
      </c>
      <c r="F41" s="99">
        <v>74.689194210976027</v>
      </c>
      <c r="G41" s="98">
        <v>5.2743737234459962</v>
      </c>
      <c r="H41" s="100">
        <v>69.686483134006181</v>
      </c>
      <c r="I41" s="101">
        <v>5.4418425812333471</v>
      </c>
      <c r="J41" s="97">
        <v>82.284843221143461</v>
      </c>
      <c r="K41" s="98">
        <v>3.5317365457496983</v>
      </c>
      <c r="L41" s="100">
        <v>70.503879254180575</v>
      </c>
      <c r="M41" s="101">
        <v>4.3417051138188123</v>
      </c>
      <c r="N41" s="97">
        <v>-4.1853149567954517</v>
      </c>
      <c r="O41" s="102">
        <v>7.1409800656440421</v>
      </c>
      <c r="P41" s="99">
        <v>73.922011380152611</v>
      </c>
      <c r="Q41" s="98">
        <v>2.4228451031864893</v>
      </c>
      <c r="R41" s="100" t="s">
        <v>34</v>
      </c>
      <c r="S41" s="101" t="s">
        <v>34</v>
      </c>
      <c r="T41" s="97">
        <v>81.388837579283077</v>
      </c>
      <c r="U41" s="101">
        <v>6.7145378187980871</v>
      </c>
      <c r="V41" s="97">
        <v>7.4668261991304661</v>
      </c>
      <c r="W41" s="104">
        <v>7.1313636799095503</v>
      </c>
      <c r="X41" s="124"/>
      <c r="Y41" s="124"/>
      <c r="Z41" s="124"/>
      <c r="AA41" s="124"/>
      <c r="AB41" s="124"/>
      <c r="AC41" s="124"/>
      <c r="AD41" s="124"/>
      <c r="AE41" s="124"/>
    </row>
    <row r="42" spans="1:31" s="105" customFormat="1" x14ac:dyDescent="0.25">
      <c r="A42" s="118" t="s">
        <v>227</v>
      </c>
      <c r="B42" s="95">
        <v>237</v>
      </c>
      <c r="C42" s="96">
        <v>95.880744934082031</v>
      </c>
      <c r="D42" s="97">
        <v>23.335984890324031</v>
      </c>
      <c r="E42" s="98">
        <v>1.8580706323989742</v>
      </c>
      <c r="F42" s="99">
        <v>30.06487048012221</v>
      </c>
      <c r="G42" s="98">
        <v>4.8649102966077429</v>
      </c>
      <c r="H42" s="100">
        <v>22.938885438659529</v>
      </c>
      <c r="I42" s="101">
        <v>5.7102936807285696</v>
      </c>
      <c r="J42" s="97">
        <v>24.291989761569312</v>
      </c>
      <c r="K42" s="98">
        <v>4.1417437865865141</v>
      </c>
      <c r="L42" s="100">
        <v>15.80013538157737</v>
      </c>
      <c r="M42" s="101">
        <v>2.792458790632224</v>
      </c>
      <c r="N42" s="97">
        <v>-14.26473509854484</v>
      </c>
      <c r="O42" s="102">
        <v>5.4024846688055952</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54.869070634036447</v>
      </c>
      <c r="E43" s="98">
        <v>2.267235147976471</v>
      </c>
      <c r="F43" s="99">
        <v>58.575094065655477</v>
      </c>
      <c r="G43" s="98">
        <v>5.0118668908833621</v>
      </c>
      <c r="H43" s="100">
        <v>53.339572124817742</v>
      </c>
      <c r="I43" s="101">
        <v>5.3597689128245865</v>
      </c>
      <c r="J43" s="97">
        <v>47.717586151582871</v>
      </c>
      <c r="K43" s="98">
        <v>5.9156624792047303</v>
      </c>
      <c r="L43" s="100">
        <v>59.933661627818232</v>
      </c>
      <c r="M43" s="101">
        <v>5.556100266764564</v>
      </c>
      <c r="N43" s="97">
        <v>1.358567562162754</v>
      </c>
      <c r="O43" s="102">
        <v>7.5535415230831644</v>
      </c>
      <c r="P43" s="99">
        <v>55.034456394262747</v>
      </c>
      <c r="Q43" s="98">
        <v>2.3664222982096739</v>
      </c>
      <c r="R43" s="100">
        <v>51.974626234604337</v>
      </c>
      <c r="S43" s="101">
        <v>11.257077734377454</v>
      </c>
      <c r="T43" s="97" t="s">
        <v>34</v>
      </c>
      <c r="U43" s="101" t="s">
        <v>34</v>
      </c>
      <c r="V43" s="97">
        <v>-3.0598301596584108</v>
      </c>
      <c r="W43" s="104">
        <v>11.68043897228784</v>
      </c>
      <c r="X43" s="124"/>
      <c r="Y43" s="124"/>
      <c r="Z43" s="124"/>
      <c r="AA43" s="124"/>
      <c r="AB43" s="124"/>
      <c r="AC43" s="124"/>
      <c r="AD43" s="124"/>
      <c r="AE43" s="124"/>
    </row>
    <row r="44" spans="1:31" s="105" customFormat="1" x14ac:dyDescent="0.25">
      <c r="A44" s="118" t="s">
        <v>301</v>
      </c>
      <c r="B44" s="95">
        <v>213</v>
      </c>
      <c r="C44" s="96">
        <v>82.32476806640625</v>
      </c>
      <c r="D44" s="97">
        <v>35.044881842038052</v>
      </c>
      <c r="E44" s="98">
        <v>1.8629482593055524</v>
      </c>
      <c r="F44" s="99">
        <v>40.605600707450577</v>
      </c>
      <c r="G44" s="98">
        <v>4.5688727858544862</v>
      </c>
      <c r="H44" s="100">
        <v>31.522947065577689</v>
      </c>
      <c r="I44" s="101">
        <v>5.0194854213360358</v>
      </c>
      <c r="J44" s="97">
        <v>29.84188952170291</v>
      </c>
      <c r="K44" s="98">
        <v>3.6387024137748138</v>
      </c>
      <c r="L44" s="100">
        <v>38.530097146216598</v>
      </c>
      <c r="M44" s="101">
        <v>3.8451546620787411</v>
      </c>
      <c r="N44" s="97">
        <v>-2.0755035612339872</v>
      </c>
      <c r="O44" s="102">
        <v>5.7103739840588839</v>
      </c>
      <c r="P44" s="99">
        <v>33.896876500325199</v>
      </c>
      <c r="Q44" s="98">
        <v>1.9880732365329064</v>
      </c>
      <c r="R44" s="100">
        <v>42.006501261338457</v>
      </c>
      <c r="S44" s="101">
        <v>7.3436989876892564</v>
      </c>
      <c r="T44" s="97">
        <v>42.448686047848788</v>
      </c>
      <c r="U44" s="101">
        <v>9.7612059017285748</v>
      </c>
      <c r="V44" s="97">
        <v>8.3397683556681486</v>
      </c>
      <c r="W44" s="104">
        <v>6.4351204907634534</v>
      </c>
      <c r="X44" s="124"/>
      <c r="Y44" s="124"/>
      <c r="Z44" s="124"/>
      <c r="AA44" s="124"/>
      <c r="AB44" s="124"/>
      <c r="AC44" s="124"/>
      <c r="AD44" s="124"/>
      <c r="AE44" s="124"/>
    </row>
    <row r="45" spans="1:31" s="105" customFormat="1" x14ac:dyDescent="0.25">
      <c r="A45" s="118" t="s">
        <v>229</v>
      </c>
      <c r="B45" s="95">
        <v>323</v>
      </c>
      <c r="C45" s="96">
        <v>86.111793518066406</v>
      </c>
      <c r="D45" s="97">
        <v>26.110974104921041</v>
      </c>
      <c r="E45" s="98">
        <v>1.5220220339043014</v>
      </c>
      <c r="F45" s="99">
        <v>27.132437140120771</v>
      </c>
      <c r="G45" s="98">
        <v>2.7918518877582361</v>
      </c>
      <c r="H45" s="100">
        <v>24.16710500626186</v>
      </c>
      <c r="I45" s="101">
        <v>2.7165160033525382</v>
      </c>
      <c r="J45" s="97">
        <v>22.007503721199669</v>
      </c>
      <c r="K45" s="98">
        <v>3.6422227042242916</v>
      </c>
      <c r="L45" s="100">
        <v>31.07242621321042</v>
      </c>
      <c r="M45" s="101">
        <v>4.2798094251281418</v>
      </c>
      <c r="N45" s="97">
        <v>3.9399890730896558</v>
      </c>
      <c r="O45" s="102">
        <v>5.4372665074797677</v>
      </c>
      <c r="P45" s="99">
        <v>26.607227584579139</v>
      </c>
      <c r="Q45" s="98">
        <v>1.6291047425297449</v>
      </c>
      <c r="R45" s="100">
        <v>23.464607096147549</v>
      </c>
      <c r="S45" s="101">
        <v>4.0088366174198296</v>
      </c>
      <c r="T45" s="97" t="s">
        <v>34</v>
      </c>
      <c r="U45" s="101" t="s">
        <v>34</v>
      </c>
      <c r="V45" s="97">
        <v>-3.1426204884315894</v>
      </c>
      <c r="W45" s="104">
        <v>4.2910504563506091</v>
      </c>
      <c r="X45" s="124"/>
      <c r="Y45" s="124"/>
      <c r="Z45" s="124"/>
      <c r="AA45" s="124"/>
      <c r="AB45" s="124"/>
      <c r="AC45" s="124"/>
      <c r="AD45" s="124"/>
      <c r="AE45" s="124"/>
    </row>
    <row r="46" spans="1:31" s="105" customFormat="1" x14ac:dyDescent="0.25">
      <c r="A46" s="118" t="s">
        <v>230</v>
      </c>
      <c r="B46" s="95">
        <v>276</v>
      </c>
      <c r="C46" s="96">
        <v>87.400062561035156</v>
      </c>
      <c r="D46" s="97">
        <v>44.180010025369612</v>
      </c>
      <c r="E46" s="98">
        <v>9.5719574238688598E-2</v>
      </c>
      <c r="F46" s="99">
        <v>49.170273850033801</v>
      </c>
      <c r="G46" s="98">
        <v>0.16981232663841356</v>
      </c>
      <c r="H46" s="100">
        <v>39.70597821419787</v>
      </c>
      <c r="I46" s="101">
        <v>0.32897133415903246</v>
      </c>
      <c r="J46" s="97">
        <v>44.920265328352258</v>
      </c>
      <c r="K46" s="98">
        <v>0.19723030013891701</v>
      </c>
      <c r="L46" s="100">
        <v>42.940477132978522</v>
      </c>
      <c r="M46" s="101">
        <v>0.17851807521086277</v>
      </c>
      <c r="N46" s="97">
        <v>-6.2297967170552786</v>
      </c>
      <c r="O46" s="102">
        <v>0.24253312546967992</v>
      </c>
      <c r="P46" s="99">
        <v>44.327702395426513</v>
      </c>
      <c r="Q46" s="98">
        <v>0.10170610046673975</v>
      </c>
      <c r="R46" s="100">
        <v>38.452840690871781</v>
      </c>
      <c r="S46" s="101">
        <v>0.73926358139702597</v>
      </c>
      <c r="T46" s="97" t="s">
        <v>34</v>
      </c>
      <c r="U46" s="101" t="s">
        <v>34</v>
      </c>
      <c r="V46" s="97">
        <v>-5.874861704554732</v>
      </c>
      <c r="W46" s="104">
        <v>0.7703553739839416</v>
      </c>
      <c r="X46" s="124"/>
      <c r="Y46" s="124"/>
      <c r="Z46" s="124"/>
      <c r="AA46" s="124"/>
      <c r="AB46" s="124"/>
      <c r="AC46" s="124"/>
      <c r="AD46" s="124"/>
      <c r="AE46" s="124"/>
    </row>
    <row r="47" spans="1:31" s="105" customFormat="1" x14ac:dyDescent="0.25">
      <c r="A47" s="118" t="s">
        <v>231</v>
      </c>
      <c r="B47" s="95">
        <v>1016</v>
      </c>
      <c r="C47" s="96">
        <v>93.839363098144531</v>
      </c>
      <c r="D47" s="97">
        <v>51.615852782065062</v>
      </c>
      <c r="E47" s="98">
        <v>1.2731299476995224</v>
      </c>
      <c r="F47" s="99">
        <v>48.301104260763559</v>
      </c>
      <c r="G47" s="98">
        <v>2.6187816502941743</v>
      </c>
      <c r="H47" s="100">
        <v>50.138165367402507</v>
      </c>
      <c r="I47" s="101">
        <v>2.6213640239499219</v>
      </c>
      <c r="J47" s="97">
        <v>50.314673226082903</v>
      </c>
      <c r="K47" s="98">
        <v>2.5663118963147227</v>
      </c>
      <c r="L47" s="100">
        <v>57.700987917971233</v>
      </c>
      <c r="M47" s="101">
        <v>3.4966223490583963</v>
      </c>
      <c r="N47" s="97">
        <v>9.399883657207674</v>
      </c>
      <c r="O47" s="102">
        <v>4.4217238471363558</v>
      </c>
      <c r="P47" s="99">
        <v>44.657380760148882</v>
      </c>
      <c r="Q47" s="98">
        <v>1.606021389348554</v>
      </c>
      <c r="R47" s="100">
        <v>68.797076623514855</v>
      </c>
      <c r="S47" s="101">
        <v>2.9161602065346832</v>
      </c>
      <c r="T47" s="97">
        <v>59.169608339851038</v>
      </c>
      <c r="U47" s="101">
        <v>4.7338673164017209</v>
      </c>
      <c r="V47" s="97">
        <v>22.284261947501903</v>
      </c>
      <c r="W47" s="104">
        <v>2.9774184868676254</v>
      </c>
      <c r="X47" s="124"/>
      <c r="Y47" s="124"/>
      <c r="Z47" s="124"/>
      <c r="AA47" s="124"/>
      <c r="AB47" s="124"/>
      <c r="AC47" s="124"/>
      <c r="AD47" s="124"/>
      <c r="AE47" s="124"/>
    </row>
    <row r="48" spans="1:31" s="105" customFormat="1" x14ac:dyDescent="0.25">
      <c r="A48" s="118" t="s">
        <v>232</v>
      </c>
      <c r="B48" s="95">
        <v>192</v>
      </c>
      <c r="C48" s="96">
        <v>91.709396362304688</v>
      </c>
      <c r="D48" s="97">
        <v>80.413497621994466</v>
      </c>
      <c r="E48" s="98">
        <v>2.6249425733452574</v>
      </c>
      <c r="F48" s="99">
        <v>81.987119184684218</v>
      </c>
      <c r="G48" s="98">
        <v>5.0501226216730339</v>
      </c>
      <c r="H48" s="100">
        <v>78.077554579527771</v>
      </c>
      <c r="I48" s="101">
        <v>6.3668338031787091</v>
      </c>
      <c r="J48" s="97">
        <v>74.846672839832735</v>
      </c>
      <c r="K48" s="98">
        <v>7.1597365132894044</v>
      </c>
      <c r="L48" s="100">
        <v>86.769240702330237</v>
      </c>
      <c r="M48" s="101">
        <v>4.9658712238921048</v>
      </c>
      <c r="N48" s="97">
        <v>4.7821215176460186</v>
      </c>
      <c r="O48" s="102">
        <v>6.9021023746025172</v>
      </c>
      <c r="P48" s="99">
        <v>82.793687354873128</v>
      </c>
      <c r="Q48" s="98">
        <v>2.8877253272078733</v>
      </c>
      <c r="R48" s="100">
        <v>70.344016055748767</v>
      </c>
      <c r="S48" s="101">
        <v>5.4659295900687948</v>
      </c>
      <c r="T48" s="97" t="s">
        <v>34</v>
      </c>
      <c r="U48" s="101" t="s">
        <v>34</v>
      </c>
      <c r="V48" s="97">
        <v>-12.449671299124361</v>
      </c>
      <c r="W48" s="104">
        <v>5.9358372496145959</v>
      </c>
      <c r="X48" s="124"/>
      <c r="Y48" s="124"/>
      <c r="Z48" s="124"/>
      <c r="AA48" s="124"/>
      <c r="AB48" s="124"/>
      <c r="AC48" s="124"/>
      <c r="AD48" s="124"/>
      <c r="AE48" s="124"/>
    </row>
    <row r="49" spans="1:31" s="105" customFormat="1" x14ac:dyDescent="0.25">
      <c r="A49" s="118" t="s">
        <v>233</v>
      </c>
      <c r="B49" s="95">
        <v>154</v>
      </c>
      <c r="C49" s="96">
        <v>73.115760803222656</v>
      </c>
      <c r="D49" s="97">
        <v>67.566920504353845</v>
      </c>
      <c r="E49" s="98">
        <v>2.868472992876351</v>
      </c>
      <c r="F49" s="99">
        <v>69.063978269378154</v>
      </c>
      <c r="G49" s="98">
        <v>8.0111961984273563</v>
      </c>
      <c r="H49" s="100">
        <v>77.672595865824547</v>
      </c>
      <c r="I49" s="101">
        <v>7.978028230921753</v>
      </c>
      <c r="J49" s="97">
        <v>77.351015079824279</v>
      </c>
      <c r="K49" s="98">
        <v>7.3074197180498208</v>
      </c>
      <c r="L49" s="100">
        <v>45.76624830636441</v>
      </c>
      <c r="M49" s="101">
        <v>8.8439450410443801</v>
      </c>
      <c r="N49" s="97">
        <v>-23.29772996301374</v>
      </c>
      <c r="O49" s="102">
        <v>12.129634691053971</v>
      </c>
      <c r="P49" s="99">
        <v>67.392642121994328</v>
      </c>
      <c r="Q49" s="98">
        <v>3.0261645333127993</v>
      </c>
      <c r="R49" s="100" t="s">
        <v>34</v>
      </c>
      <c r="S49" s="101" t="s">
        <v>34</v>
      </c>
      <c r="T49" s="97">
        <v>81.294969053916859</v>
      </c>
      <c r="U49" s="101">
        <v>9.2655746345714718</v>
      </c>
      <c r="V49" s="97">
        <v>13.902326931922531</v>
      </c>
      <c r="W49" s="104">
        <v>9.7338143950598965</v>
      </c>
      <c r="X49" s="124"/>
      <c r="Y49" s="124"/>
      <c r="Z49" s="124"/>
      <c r="AA49" s="124"/>
      <c r="AB49" s="124"/>
      <c r="AC49" s="124"/>
      <c r="AD49" s="124"/>
      <c r="AE49" s="124"/>
    </row>
    <row r="50" spans="1:31" s="105" customFormat="1" x14ac:dyDescent="0.25">
      <c r="A50" s="118" t="s">
        <v>234</v>
      </c>
      <c r="B50" s="95">
        <v>177</v>
      </c>
      <c r="C50" s="96">
        <v>97.740425109863281</v>
      </c>
      <c r="D50" s="97">
        <v>27.916251736418829</v>
      </c>
      <c r="E50" s="98">
        <v>2.3676182366827825</v>
      </c>
      <c r="F50" s="99">
        <v>23.380618816886841</v>
      </c>
      <c r="G50" s="98">
        <v>5.2845514901090693</v>
      </c>
      <c r="H50" s="100">
        <v>25.858053510193908</v>
      </c>
      <c r="I50" s="101">
        <v>5.7291747571614406</v>
      </c>
      <c r="J50" s="97">
        <v>27.302865269379989</v>
      </c>
      <c r="K50" s="98">
        <v>5.9517013208415195</v>
      </c>
      <c r="L50" s="100">
        <v>35.251560300896443</v>
      </c>
      <c r="M50" s="101">
        <v>5.7835747285665251</v>
      </c>
      <c r="N50" s="97">
        <v>11.870941484009601</v>
      </c>
      <c r="O50" s="102">
        <v>7.7912137628976499</v>
      </c>
      <c r="P50" s="99">
        <v>28.567536665204269</v>
      </c>
      <c r="Q50" s="98">
        <v>2.2474546219956366</v>
      </c>
      <c r="R50" s="100" t="s">
        <v>34</v>
      </c>
      <c r="S50" s="101" t="s">
        <v>34</v>
      </c>
      <c r="T50" s="97">
        <v>25.676068144708079</v>
      </c>
      <c r="U50" s="101">
        <v>11.063491619061136</v>
      </c>
      <c r="V50" s="97">
        <v>-2.8914685204961899</v>
      </c>
      <c r="W50" s="104">
        <v>11.372313783684588</v>
      </c>
      <c r="X50" s="124"/>
      <c r="Y50" s="124"/>
      <c r="Z50" s="124"/>
      <c r="AA50" s="124"/>
      <c r="AB50" s="124"/>
      <c r="AC50" s="124"/>
      <c r="AD50" s="124"/>
      <c r="AE50" s="124"/>
    </row>
    <row r="51" spans="1:31" s="105" customFormat="1" x14ac:dyDescent="0.25">
      <c r="A51" s="118" t="s">
        <v>235</v>
      </c>
      <c r="B51" s="95">
        <v>375</v>
      </c>
      <c r="C51" s="96">
        <v>75.572418212890625</v>
      </c>
      <c r="D51" s="97">
        <v>71.960933787286422</v>
      </c>
      <c r="E51" s="98">
        <v>2.7552490017793891</v>
      </c>
      <c r="F51" s="99">
        <v>76.825699478956793</v>
      </c>
      <c r="G51" s="98">
        <v>6.5828957733131865</v>
      </c>
      <c r="H51" s="100">
        <v>61.930220593102277</v>
      </c>
      <c r="I51" s="101">
        <v>5.7007641565052989</v>
      </c>
      <c r="J51" s="97">
        <v>71.746215105066227</v>
      </c>
      <c r="K51" s="98">
        <v>7.9480391347685249</v>
      </c>
      <c r="L51" s="100">
        <v>75.777167000227976</v>
      </c>
      <c r="M51" s="101">
        <v>7.3504629853160086</v>
      </c>
      <c r="N51" s="97">
        <v>-1.0485324787288159</v>
      </c>
      <c r="O51" s="102">
        <v>10.157137744922251</v>
      </c>
      <c r="P51" s="99">
        <v>73.766427366375311</v>
      </c>
      <c r="Q51" s="98">
        <v>3.0945989895405086</v>
      </c>
      <c r="R51" s="100">
        <v>73.13752786819289</v>
      </c>
      <c r="S51" s="101">
        <v>3.983206749219574</v>
      </c>
      <c r="T51" s="97">
        <v>62.265267818790882</v>
      </c>
      <c r="U51" s="101">
        <v>11.645441542476394</v>
      </c>
      <c r="V51" s="97">
        <v>-2.275494909859276</v>
      </c>
      <c r="W51" s="104">
        <v>4.4227393835579516</v>
      </c>
      <c r="X51" s="124"/>
      <c r="Y51" s="124"/>
      <c r="Z51" s="124"/>
      <c r="AA51" s="124"/>
      <c r="AB51" s="124"/>
      <c r="AC51" s="124"/>
      <c r="AD51" s="124"/>
      <c r="AE51" s="124"/>
    </row>
    <row r="52" spans="1:31" s="105" customFormat="1" x14ac:dyDescent="0.25">
      <c r="A52" s="118" t="s">
        <v>302</v>
      </c>
      <c r="B52" s="95">
        <v>140</v>
      </c>
      <c r="C52" s="96">
        <v>85.611412048339844</v>
      </c>
      <c r="D52" s="97">
        <v>87.967681867811436</v>
      </c>
      <c r="E52" s="98">
        <v>2.2203573592598249</v>
      </c>
      <c r="F52" s="99">
        <v>92.433561553669904</v>
      </c>
      <c r="G52" s="98">
        <v>3.1833253261239931</v>
      </c>
      <c r="H52" s="100">
        <v>88.468878603031172</v>
      </c>
      <c r="I52" s="101">
        <v>4.7870032940248315</v>
      </c>
      <c r="J52" s="97">
        <v>90.14014558283813</v>
      </c>
      <c r="K52" s="98">
        <v>4.3728057449482236</v>
      </c>
      <c r="L52" s="100">
        <v>80.76722239920818</v>
      </c>
      <c r="M52" s="101">
        <v>7.4141075805172898</v>
      </c>
      <c r="N52" s="97">
        <v>-11.666339154461721</v>
      </c>
      <c r="O52" s="102">
        <v>7.929413337120307</v>
      </c>
      <c r="P52" s="99">
        <v>88.907582568360255</v>
      </c>
      <c r="Q52" s="98">
        <v>2.0710659854148332</v>
      </c>
      <c r="R52" s="100" t="s">
        <v>34</v>
      </c>
      <c r="S52" s="101" t="s">
        <v>34</v>
      </c>
      <c r="T52" s="97">
        <v>70.775900368523338</v>
      </c>
      <c r="U52" s="101">
        <v>19.911140968474673</v>
      </c>
      <c r="V52" s="97">
        <v>-18.131682199836916</v>
      </c>
      <c r="W52" s="104">
        <v>20.027852553907177</v>
      </c>
      <c r="X52" s="124"/>
      <c r="Y52" s="124"/>
      <c r="Z52" s="124"/>
      <c r="AA52" s="124"/>
      <c r="AB52" s="124"/>
      <c r="AC52" s="124"/>
      <c r="AD52" s="124"/>
      <c r="AE52" s="124"/>
    </row>
    <row r="53" spans="1:31" s="105" customFormat="1" x14ac:dyDescent="0.25">
      <c r="A53" s="118" t="s">
        <v>236</v>
      </c>
      <c r="B53" s="95" t="s">
        <v>34</v>
      </c>
      <c r="C53" s="96" t="s">
        <v>34</v>
      </c>
      <c r="D53" s="97">
        <v>52.985517706477147</v>
      </c>
      <c r="E53" s="98">
        <v>0.34799632626685378</v>
      </c>
      <c r="F53" s="99">
        <v>54.465952221288923</v>
      </c>
      <c r="G53" s="98">
        <v>0.7725891124911487</v>
      </c>
      <c r="H53" s="100">
        <v>52.564485628190717</v>
      </c>
      <c r="I53" s="101">
        <v>0.81982228657970913</v>
      </c>
      <c r="J53" s="97">
        <v>52.226408799133338</v>
      </c>
      <c r="K53" s="98">
        <v>0.85190826702499212</v>
      </c>
      <c r="L53" s="100">
        <v>53.854922525681459</v>
      </c>
      <c r="M53" s="101">
        <v>0.80919861385241554</v>
      </c>
      <c r="N53" s="97">
        <v>-0.61102969560745934</v>
      </c>
      <c r="O53" s="102">
        <v>1.1145378446537639</v>
      </c>
      <c r="P53" s="99">
        <v>53.56865886392859</v>
      </c>
      <c r="Q53" s="98">
        <v>0.44504695105439551</v>
      </c>
      <c r="R53" s="100">
        <v>50.854435942997704</v>
      </c>
      <c r="S53" s="101">
        <v>1.420129593537671</v>
      </c>
      <c r="T53" s="97">
        <v>53.857102145795217</v>
      </c>
      <c r="U53" s="101">
        <v>2.2781642253763632</v>
      </c>
      <c r="V53" s="97">
        <v>-0.91221970995802704</v>
      </c>
      <c r="W53" s="104">
        <v>1.418822452596328</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316</v>
      </c>
      <c r="C55" s="96">
        <v>97.565605163574219</v>
      </c>
      <c r="D55" s="97">
        <v>66.043099284596721</v>
      </c>
      <c r="E55" s="98">
        <v>2.1210646852363344</v>
      </c>
      <c r="F55" s="99">
        <v>67.741365013659305</v>
      </c>
      <c r="G55" s="98">
        <v>6.417406183146162</v>
      </c>
      <c r="H55" s="100">
        <v>70.626953274134507</v>
      </c>
      <c r="I55" s="101">
        <v>4.8188839861654778</v>
      </c>
      <c r="J55" s="97">
        <v>60.968767470765059</v>
      </c>
      <c r="K55" s="98">
        <v>3.8414061291654802</v>
      </c>
      <c r="L55" s="100">
        <v>64.889113207826085</v>
      </c>
      <c r="M55" s="101">
        <v>4.9669729375338667</v>
      </c>
      <c r="N55" s="97">
        <v>-2.85225180583322</v>
      </c>
      <c r="O55" s="102">
        <v>8.6952032446835208</v>
      </c>
      <c r="P55" s="99">
        <v>67.592531030008246</v>
      </c>
      <c r="Q55" s="98">
        <v>2.1502871214639856</v>
      </c>
      <c r="R55" s="100" t="s">
        <v>34</v>
      </c>
      <c r="S55" s="101" t="s">
        <v>34</v>
      </c>
      <c r="T55" s="97">
        <v>53.768763253092217</v>
      </c>
      <c r="U55" s="101">
        <v>7.0509711391578858</v>
      </c>
      <c r="V55" s="97">
        <v>-13.823767776916029</v>
      </c>
      <c r="W55" s="104">
        <v>7.1995437851233159</v>
      </c>
      <c r="X55" s="124"/>
      <c r="Y55" s="124"/>
      <c r="Z55" s="124"/>
      <c r="AA55" s="124"/>
      <c r="AB55" s="124"/>
      <c r="AC55" s="124"/>
      <c r="AD55" s="124"/>
      <c r="AE55" s="124"/>
    </row>
    <row r="56" spans="1:31" s="105" customFormat="1" x14ac:dyDescent="0.25">
      <c r="A56" s="118" t="s">
        <v>238</v>
      </c>
      <c r="B56" s="95">
        <v>429</v>
      </c>
      <c r="C56" s="96">
        <v>95.195648193359375</v>
      </c>
      <c r="D56" s="97">
        <v>40.409026764593378</v>
      </c>
      <c r="E56" s="98">
        <v>1.8581096908271284</v>
      </c>
      <c r="F56" s="99">
        <v>34.502183246031123</v>
      </c>
      <c r="G56" s="98">
        <v>3.0542502542203351</v>
      </c>
      <c r="H56" s="100">
        <v>37.50470357421645</v>
      </c>
      <c r="I56" s="101">
        <v>4.5678246487527012</v>
      </c>
      <c r="J56" s="97">
        <v>46.798486693863609</v>
      </c>
      <c r="K56" s="98">
        <v>4.7729078506170621</v>
      </c>
      <c r="L56" s="100">
        <v>43.030184630133249</v>
      </c>
      <c r="M56" s="101">
        <v>4.1077431561536129</v>
      </c>
      <c r="N56" s="97">
        <v>8.5280013841021258</v>
      </c>
      <c r="O56" s="102">
        <v>5.2619650929590032</v>
      </c>
      <c r="P56" s="99">
        <v>38.953376476502569</v>
      </c>
      <c r="Q56" s="98">
        <v>1.8474835357981532</v>
      </c>
      <c r="R56" s="100">
        <v>44.265401204729308</v>
      </c>
      <c r="S56" s="101">
        <v>6.0726092931664715</v>
      </c>
      <c r="T56" s="97">
        <v>40.020215829823513</v>
      </c>
      <c r="U56" s="101">
        <v>5.8929190646174732</v>
      </c>
      <c r="V56" s="97">
        <v>4.1634913028160483</v>
      </c>
      <c r="W56" s="104">
        <v>4.6184151497131243</v>
      </c>
      <c r="X56" s="124"/>
      <c r="Y56" s="124"/>
      <c r="Z56" s="124"/>
      <c r="AA56" s="124"/>
      <c r="AB56" s="124"/>
      <c r="AC56" s="124"/>
      <c r="AD56" s="124"/>
      <c r="AE56" s="124"/>
    </row>
    <row r="57" spans="1:31" s="105" customFormat="1" x14ac:dyDescent="0.25">
      <c r="A57" s="118" t="s">
        <v>239</v>
      </c>
      <c r="B57" s="95">
        <v>92</v>
      </c>
      <c r="C57" s="96">
        <v>45.193050384521484</v>
      </c>
      <c r="D57" s="97">
        <v>27.76311725379534</v>
      </c>
      <c r="E57" s="98">
        <v>3.4687680627839539</v>
      </c>
      <c r="F57" s="99">
        <v>28.481876538383801</v>
      </c>
      <c r="G57" s="98">
        <v>7.0004405594589176</v>
      </c>
      <c r="H57" s="100">
        <v>24.859351075791071</v>
      </c>
      <c r="I57" s="101">
        <v>6.9099913080550621</v>
      </c>
      <c r="J57" s="97">
        <v>15.91423602670196</v>
      </c>
      <c r="K57" s="98">
        <v>10.109842682230815</v>
      </c>
      <c r="L57" s="100">
        <v>42.488775297414691</v>
      </c>
      <c r="M57" s="101">
        <v>9.6558067160116341</v>
      </c>
      <c r="N57" s="97">
        <v>14.006898759030889</v>
      </c>
      <c r="O57" s="102">
        <v>12.322834643589196</v>
      </c>
      <c r="P57" s="99">
        <v>27.431072753295659</v>
      </c>
      <c r="Q57" s="98">
        <v>3.5006756651860971</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16.63448441438937</v>
      </c>
      <c r="E58" s="98">
        <v>0.94887294058877159</v>
      </c>
      <c r="F58" s="99">
        <v>16.408671445506471</v>
      </c>
      <c r="G58" s="98">
        <v>1.8534662973436398</v>
      </c>
      <c r="H58" s="100">
        <v>13.67979058983205</v>
      </c>
      <c r="I58" s="101">
        <v>1.8240056351588445</v>
      </c>
      <c r="J58" s="97">
        <v>13.769307853400219</v>
      </c>
      <c r="K58" s="98">
        <v>1.4051641347701791</v>
      </c>
      <c r="L58" s="100">
        <v>22.82811715604997</v>
      </c>
      <c r="M58" s="101">
        <v>2.9773550193073981</v>
      </c>
      <c r="N58" s="97">
        <v>6.4194457105435028</v>
      </c>
      <c r="O58" s="102">
        <v>3.4658859452485027</v>
      </c>
      <c r="P58" s="99">
        <v>16.64088238555712</v>
      </c>
      <c r="Q58" s="98">
        <v>0.95287695082879897</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123</v>
      </c>
      <c r="C59" s="96">
        <v>79.257034301757813</v>
      </c>
      <c r="D59" s="97">
        <v>29.77179286310486</v>
      </c>
      <c r="E59" s="98">
        <v>2.8682520119658976</v>
      </c>
      <c r="F59" s="99">
        <v>23.90661870789318</v>
      </c>
      <c r="G59" s="98">
        <v>7.275037031457658</v>
      </c>
      <c r="H59" s="100">
        <v>24.800165248860331</v>
      </c>
      <c r="I59" s="101">
        <v>7.2136424189309993</v>
      </c>
      <c r="J59" s="97">
        <v>28.510022004464609</v>
      </c>
      <c r="K59" s="98">
        <v>7.6677425110856703</v>
      </c>
      <c r="L59" s="100">
        <v>42.109073360183842</v>
      </c>
      <c r="M59" s="101">
        <v>6.8897377448971531</v>
      </c>
      <c r="N59" s="97">
        <v>18.202454652290658</v>
      </c>
      <c r="O59" s="102">
        <v>8.8738502113330053</v>
      </c>
      <c r="P59" s="99">
        <v>29.251832641790479</v>
      </c>
      <c r="Q59" s="98">
        <v>2.8806202737201807</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399</v>
      </c>
      <c r="C60" s="96">
        <v>74.334930419921875</v>
      </c>
      <c r="D60" s="97">
        <v>42.650707931512592</v>
      </c>
      <c r="E60" s="98">
        <v>1.7415414941762664</v>
      </c>
      <c r="F60" s="99">
        <v>40.59341223921902</v>
      </c>
      <c r="G60" s="98">
        <v>3.5968281036846386</v>
      </c>
      <c r="H60" s="100">
        <v>41.517255421305947</v>
      </c>
      <c r="I60" s="101">
        <v>3.8669616983323927</v>
      </c>
      <c r="J60" s="97">
        <v>38.152742846276013</v>
      </c>
      <c r="K60" s="98">
        <v>4.9294539767308319</v>
      </c>
      <c r="L60" s="100">
        <v>50.353694984165308</v>
      </c>
      <c r="M60" s="101">
        <v>4.3091598040199557</v>
      </c>
      <c r="N60" s="97">
        <v>9.7602827449462879</v>
      </c>
      <c r="O60" s="102">
        <v>6.1702100954472403</v>
      </c>
      <c r="P60" s="99">
        <v>40.137829167667533</v>
      </c>
      <c r="Q60" s="98">
        <v>2.0155657029049707</v>
      </c>
      <c r="R60" s="100" t="s">
        <v>34</v>
      </c>
      <c r="S60" s="101" t="s">
        <v>34</v>
      </c>
      <c r="T60" s="97">
        <v>53.759641002876172</v>
      </c>
      <c r="U60" s="101">
        <v>5.1533220354752336</v>
      </c>
      <c r="V60" s="97">
        <v>13.621811835208639</v>
      </c>
      <c r="W60" s="104">
        <v>5.8695067620153285</v>
      </c>
      <c r="X60" s="124"/>
      <c r="Y60" s="124"/>
      <c r="Z60" s="124"/>
      <c r="AA60" s="124"/>
      <c r="AB60" s="124"/>
      <c r="AC60" s="124"/>
      <c r="AD60" s="124"/>
      <c r="AE60" s="124"/>
    </row>
    <row r="61" spans="1:31" s="105" customFormat="1" x14ac:dyDescent="0.25">
      <c r="A61" s="118" t="s">
        <v>243</v>
      </c>
      <c r="B61" s="95">
        <v>55</v>
      </c>
      <c r="C61" s="96">
        <v>100</v>
      </c>
      <c r="D61" s="97">
        <v>78.158289729204995</v>
      </c>
      <c r="E61" s="98">
        <v>5.0741722511633058E-2</v>
      </c>
      <c r="F61" s="99">
        <v>80.296867107658571</v>
      </c>
      <c r="G61" s="98">
        <v>0.10609101010320955</v>
      </c>
      <c r="H61" s="100">
        <v>84.257284372366811</v>
      </c>
      <c r="I61" s="101">
        <v>0.10336988967606885</v>
      </c>
      <c r="J61" s="97">
        <v>79.144745788770564</v>
      </c>
      <c r="K61" s="98">
        <v>9.2998434081920989E-2</v>
      </c>
      <c r="L61" s="100">
        <v>68.126348417202664</v>
      </c>
      <c r="M61" s="101">
        <v>9.7089423901748614E-2</v>
      </c>
      <c r="N61" s="97">
        <v>-12.170518690455911</v>
      </c>
      <c r="O61" s="102">
        <v>0.13690434734389775</v>
      </c>
      <c r="P61" s="99">
        <v>80.467966830429148</v>
      </c>
      <c r="Q61" s="98">
        <v>5.157669346223033E-2</v>
      </c>
      <c r="R61" s="100" t="s">
        <v>34</v>
      </c>
      <c r="S61" s="101" t="s">
        <v>34</v>
      </c>
      <c r="T61" s="97">
        <v>65.713833182535495</v>
      </c>
      <c r="U61" s="101">
        <v>0.13407733912187833</v>
      </c>
      <c r="V61" s="97">
        <v>-14.754133647893653</v>
      </c>
      <c r="W61" s="104">
        <v>0.13518813501726962</v>
      </c>
      <c r="X61" s="124"/>
      <c r="Y61" s="124"/>
      <c r="Z61" s="124"/>
      <c r="AA61" s="124"/>
      <c r="AB61" s="124"/>
      <c r="AC61" s="124"/>
      <c r="AD61" s="124"/>
      <c r="AE61" s="124"/>
    </row>
    <row r="62" spans="1:31" s="105" customFormat="1" x14ac:dyDescent="0.25">
      <c r="A62" s="118" t="s">
        <v>244</v>
      </c>
      <c r="B62" s="95">
        <v>361</v>
      </c>
      <c r="C62" s="96">
        <v>100</v>
      </c>
      <c r="D62" s="97">
        <v>71.425947886810221</v>
      </c>
      <c r="E62" s="98">
        <v>2.4329572496554119</v>
      </c>
      <c r="F62" s="99">
        <v>66.332807105485088</v>
      </c>
      <c r="G62" s="98">
        <v>5.3052209582821748</v>
      </c>
      <c r="H62" s="100">
        <v>63.227198994438517</v>
      </c>
      <c r="I62" s="101">
        <v>6.8767791384797627</v>
      </c>
      <c r="J62" s="97">
        <v>74.681354796595684</v>
      </c>
      <c r="K62" s="98">
        <v>5.8322209232981193</v>
      </c>
      <c r="L62" s="100">
        <v>81.596087989107701</v>
      </c>
      <c r="M62" s="101">
        <v>3.6844072793161033</v>
      </c>
      <c r="N62" s="97">
        <v>15.26328088362261</v>
      </c>
      <c r="O62" s="102">
        <v>6.0644906035466137</v>
      </c>
      <c r="P62" s="99">
        <v>71.01177981555918</v>
      </c>
      <c r="Q62" s="98">
        <v>2.5626791539900915</v>
      </c>
      <c r="R62" s="100" t="s">
        <v>34</v>
      </c>
      <c r="S62" s="101" t="s">
        <v>34</v>
      </c>
      <c r="T62" s="97">
        <v>74.62314734034905</v>
      </c>
      <c r="U62" s="101">
        <v>6.8061978531339804</v>
      </c>
      <c r="V62" s="97">
        <v>3.6113675247898698</v>
      </c>
      <c r="W62" s="104">
        <v>7.0801027849069413</v>
      </c>
      <c r="X62" s="124"/>
      <c r="Y62" s="124"/>
      <c r="Z62" s="124"/>
      <c r="AA62" s="124"/>
      <c r="AB62" s="124"/>
      <c r="AC62" s="124"/>
      <c r="AD62" s="124"/>
      <c r="AE62" s="124"/>
    </row>
    <row r="63" spans="1:31" s="105" customFormat="1" x14ac:dyDescent="0.25">
      <c r="A63" s="118" t="s">
        <v>245</v>
      </c>
      <c r="B63" s="95">
        <v>179</v>
      </c>
      <c r="C63" s="96">
        <v>91.5740966796875</v>
      </c>
      <c r="D63" s="97">
        <v>54.194342938473362</v>
      </c>
      <c r="E63" s="98">
        <v>2.5546951893290375</v>
      </c>
      <c r="F63" s="99">
        <v>54.575296978638796</v>
      </c>
      <c r="G63" s="98">
        <v>6.94742987442008</v>
      </c>
      <c r="H63" s="100">
        <v>54.897926475594751</v>
      </c>
      <c r="I63" s="101">
        <v>7.1529740833854181</v>
      </c>
      <c r="J63" s="97">
        <v>58.15744831395002</v>
      </c>
      <c r="K63" s="98">
        <v>5.5258350498476796</v>
      </c>
      <c r="L63" s="100">
        <v>49.123044723440422</v>
      </c>
      <c r="M63" s="101">
        <v>5.9865904458976384</v>
      </c>
      <c r="N63" s="97">
        <v>-5.4522522551983883</v>
      </c>
      <c r="O63" s="102">
        <v>8.5873817294034609</v>
      </c>
      <c r="P63" s="99">
        <v>54.415717684328001</v>
      </c>
      <c r="Q63" s="98">
        <v>2.5766668644148725</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34.371560119248507</v>
      </c>
      <c r="E64" s="98">
        <v>2.2023528501440968</v>
      </c>
      <c r="F64" s="99">
        <v>28.357945961320429</v>
      </c>
      <c r="G64" s="98">
        <v>4.8696363912767229</v>
      </c>
      <c r="H64" s="100">
        <v>32.341123454115163</v>
      </c>
      <c r="I64" s="101">
        <v>4.7688227243636216</v>
      </c>
      <c r="J64" s="97">
        <v>36.671166064007437</v>
      </c>
      <c r="K64" s="98">
        <v>5.5106558999900228</v>
      </c>
      <c r="L64" s="100">
        <v>40.202609973367593</v>
      </c>
      <c r="M64" s="101">
        <v>4.6720241064465506</v>
      </c>
      <c r="N64" s="97">
        <v>11.84466401204716</v>
      </c>
      <c r="O64" s="102">
        <v>7.0143750295579581</v>
      </c>
      <c r="P64" s="99">
        <v>31.335990737495401</v>
      </c>
      <c r="Q64" s="98">
        <v>2.3739134991416004</v>
      </c>
      <c r="R64" s="100" t="s">
        <v>34</v>
      </c>
      <c r="S64" s="101" t="s">
        <v>34</v>
      </c>
      <c r="T64" s="97">
        <v>55.150602277870682</v>
      </c>
      <c r="U64" s="101">
        <v>4.9399426954710517</v>
      </c>
      <c r="V64" s="97">
        <v>23.814611540375282</v>
      </c>
      <c r="W64" s="104">
        <v>5.2815524680795347</v>
      </c>
      <c r="X64" s="124"/>
      <c r="Y64" s="124"/>
      <c r="Z64" s="124"/>
      <c r="AA64" s="124"/>
      <c r="AB64" s="124"/>
      <c r="AC64" s="124"/>
      <c r="AD64" s="124"/>
      <c r="AE64" s="124"/>
    </row>
    <row r="65" spans="1:31" s="105" customFormat="1" x14ac:dyDescent="0.25">
      <c r="A65" s="118" t="s">
        <v>247</v>
      </c>
      <c r="B65" s="95">
        <v>175</v>
      </c>
      <c r="C65" s="96">
        <v>97.563217163085938</v>
      </c>
      <c r="D65" s="97">
        <v>52.825663877882029</v>
      </c>
      <c r="E65" s="98">
        <v>2.1957461522953627</v>
      </c>
      <c r="F65" s="99">
        <v>48.587176306140151</v>
      </c>
      <c r="G65" s="98">
        <v>4.6685573821746376</v>
      </c>
      <c r="H65" s="100">
        <v>45.85336344268115</v>
      </c>
      <c r="I65" s="101">
        <v>5.995727695486238</v>
      </c>
      <c r="J65" s="97">
        <v>53.880449996003641</v>
      </c>
      <c r="K65" s="98">
        <v>4.7641223720682815</v>
      </c>
      <c r="L65" s="100">
        <v>62.867903490720643</v>
      </c>
      <c r="M65" s="101">
        <v>5.1120005802266366</v>
      </c>
      <c r="N65" s="97">
        <v>14.28072718458048</v>
      </c>
      <c r="O65" s="102">
        <v>7.2719454119237454</v>
      </c>
      <c r="P65" s="99">
        <v>52.376838328068459</v>
      </c>
      <c r="Q65" s="98">
        <v>2.2353069444310134</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68.683629416076201</v>
      </c>
      <c r="E66" s="98">
        <v>8.7198778591039278E-2</v>
      </c>
      <c r="F66" s="99">
        <v>65.384063601537733</v>
      </c>
      <c r="G66" s="98">
        <v>0.20271063530011979</v>
      </c>
      <c r="H66" s="100">
        <v>74.736123827708411</v>
      </c>
      <c r="I66" s="101">
        <v>0.12153574638546825</v>
      </c>
      <c r="J66" s="97">
        <v>69.196787749899485</v>
      </c>
      <c r="K66" s="98">
        <v>0.21248240661681303</v>
      </c>
      <c r="L66" s="100">
        <v>64.901375856288638</v>
      </c>
      <c r="M66" s="101">
        <v>0.14321611766059777</v>
      </c>
      <c r="N66" s="97">
        <v>-0.48268774524909469</v>
      </c>
      <c r="O66" s="102">
        <v>0.25065931849594364</v>
      </c>
      <c r="P66" s="99">
        <v>70.670913066097327</v>
      </c>
      <c r="Q66" s="98">
        <v>9.1106288726405804E-2</v>
      </c>
      <c r="R66" s="100" t="s">
        <v>34</v>
      </c>
      <c r="S66" s="101" t="s">
        <v>34</v>
      </c>
      <c r="T66" s="97">
        <v>59.253463888517551</v>
      </c>
      <c r="U66" s="101">
        <v>0.21708672537182533</v>
      </c>
      <c r="V66" s="97">
        <v>-11.417449177579776</v>
      </c>
      <c r="W66" s="104">
        <v>0.22650662668923716</v>
      </c>
      <c r="X66" s="124"/>
      <c r="Y66" s="124"/>
      <c r="Z66" s="124"/>
      <c r="AA66" s="124"/>
      <c r="AB66" s="124"/>
      <c r="AC66" s="124"/>
      <c r="AD66" s="124"/>
      <c r="AE66" s="124"/>
    </row>
    <row r="67" spans="1:31" s="105" customFormat="1" x14ac:dyDescent="0.25">
      <c r="A67" s="118" t="s">
        <v>249</v>
      </c>
      <c r="B67" s="95">
        <v>204</v>
      </c>
      <c r="C67" s="96">
        <v>87.098854064941406</v>
      </c>
      <c r="D67" s="97">
        <v>47.7683528145159</v>
      </c>
      <c r="E67" s="98">
        <v>3.3435237034044736</v>
      </c>
      <c r="F67" s="99">
        <v>40.620331723514617</v>
      </c>
      <c r="G67" s="98">
        <v>5.3027902030355234</v>
      </c>
      <c r="H67" s="100">
        <v>40.635789139889368</v>
      </c>
      <c r="I67" s="101">
        <v>7.7840545894813395</v>
      </c>
      <c r="J67" s="97">
        <v>49.931988233935677</v>
      </c>
      <c r="K67" s="98">
        <v>7.5423031482267922</v>
      </c>
      <c r="L67" s="100">
        <v>59.879201052401179</v>
      </c>
      <c r="M67" s="101">
        <v>7.5530952051118776</v>
      </c>
      <c r="N67" s="97">
        <v>19.258869328886561</v>
      </c>
      <c r="O67" s="102">
        <v>9.3419070428042001</v>
      </c>
      <c r="P67" s="99">
        <v>46.441549981195912</v>
      </c>
      <c r="Q67" s="98">
        <v>3.584505673683775</v>
      </c>
      <c r="R67" s="100">
        <v>65.471504580399852</v>
      </c>
      <c r="S67" s="101">
        <v>18.417250585162947</v>
      </c>
      <c r="T67" s="97">
        <v>51.148478311277508</v>
      </c>
      <c r="U67" s="101">
        <v>7.4537845777620539</v>
      </c>
      <c r="V67" s="97">
        <v>6.1975247847811943</v>
      </c>
      <c r="W67" s="104">
        <v>7.6011533186625053</v>
      </c>
      <c r="X67" s="124"/>
      <c r="Y67" s="124"/>
      <c r="Z67" s="124"/>
      <c r="AA67" s="124"/>
      <c r="AB67" s="124"/>
      <c r="AC67" s="124"/>
      <c r="AD67" s="124"/>
      <c r="AE67" s="124"/>
    </row>
    <row r="68" spans="1:31" s="105" customFormat="1" x14ac:dyDescent="0.25">
      <c r="A68" s="118" t="s">
        <v>250</v>
      </c>
      <c r="B68" s="95">
        <v>307</v>
      </c>
      <c r="C68" s="96">
        <v>97.9912109375</v>
      </c>
      <c r="D68" s="97">
        <v>36.540566599674627</v>
      </c>
      <c r="E68" s="98">
        <v>1.7485688756144813</v>
      </c>
      <c r="F68" s="99">
        <v>35.910491628302729</v>
      </c>
      <c r="G68" s="98">
        <v>3.3392263531666546</v>
      </c>
      <c r="H68" s="100">
        <v>33.958524250080011</v>
      </c>
      <c r="I68" s="101">
        <v>4.5593167444370239</v>
      </c>
      <c r="J68" s="97">
        <v>34.96082120814588</v>
      </c>
      <c r="K68" s="98">
        <v>4.4245895198226819</v>
      </c>
      <c r="L68" s="100">
        <v>41.332314489794349</v>
      </c>
      <c r="M68" s="101">
        <v>3.5045003940566941</v>
      </c>
      <c r="N68" s="97">
        <v>5.42182286149162</v>
      </c>
      <c r="O68" s="102">
        <v>5.4859371131626471</v>
      </c>
      <c r="P68" s="99">
        <v>36.684112514416988</v>
      </c>
      <c r="Q68" s="98">
        <v>1.8655476167289733</v>
      </c>
      <c r="R68" s="100" t="s">
        <v>34</v>
      </c>
      <c r="S68" s="101" t="s">
        <v>34</v>
      </c>
      <c r="T68" s="97">
        <v>36.284418231347892</v>
      </c>
      <c r="U68" s="101">
        <v>5.1496138205384394</v>
      </c>
      <c r="V68" s="97">
        <v>-0.39969428306909549</v>
      </c>
      <c r="W68" s="104">
        <v>5.5303248328464338</v>
      </c>
      <c r="X68" s="124"/>
      <c r="Y68" s="124"/>
      <c r="Z68" s="124"/>
      <c r="AA68" s="124"/>
      <c r="AB68" s="124"/>
      <c r="AC68" s="124"/>
      <c r="AD68" s="124"/>
      <c r="AE68" s="124"/>
    </row>
    <row r="69" spans="1:31" s="105" customFormat="1" x14ac:dyDescent="0.25">
      <c r="A69" s="118" t="s">
        <v>303</v>
      </c>
      <c r="B69" s="95">
        <v>110</v>
      </c>
      <c r="C69" s="96">
        <v>74.262413024902344</v>
      </c>
      <c r="D69" s="97">
        <v>66.495827881472138</v>
      </c>
      <c r="E69" s="98">
        <v>3.3117482218454617</v>
      </c>
      <c r="F69" s="99">
        <v>63.895102635662703</v>
      </c>
      <c r="G69" s="98">
        <v>8.2766001947300119</v>
      </c>
      <c r="H69" s="100">
        <v>69.322198540787056</v>
      </c>
      <c r="I69" s="101">
        <v>8.1847889742730704</v>
      </c>
      <c r="J69" s="97">
        <v>59.879781032446857</v>
      </c>
      <c r="K69" s="98">
        <v>8.9860737954597916</v>
      </c>
      <c r="L69" s="100">
        <v>72.937493033577979</v>
      </c>
      <c r="M69" s="101">
        <v>10.13880847515072</v>
      </c>
      <c r="N69" s="97">
        <v>9.0423903979152769</v>
      </c>
      <c r="O69" s="102">
        <v>12.717521760977958</v>
      </c>
      <c r="P69" s="99">
        <v>61.567497074006113</v>
      </c>
      <c r="Q69" s="98">
        <v>10.709434090553918</v>
      </c>
      <c r="R69" s="100">
        <v>66.095101859140939</v>
      </c>
      <c r="S69" s="101">
        <v>3.6599990466831063</v>
      </c>
      <c r="T69" s="97" t="s">
        <v>34</v>
      </c>
      <c r="U69" s="101" t="s">
        <v>34</v>
      </c>
      <c r="V69" s="97">
        <v>4.5276047851348267</v>
      </c>
      <c r="W69" s="104">
        <v>11.52586425850361</v>
      </c>
      <c r="X69" s="124"/>
      <c r="Y69" s="124"/>
      <c r="Z69" s="124"/>
      <c r="AA69" s="124"/>
      <c r="AB69" s="124"/>
      <c r="AC69" s="124"/>
      <c r="AD69" s="124"/>
      <c r="AE69" s="124"/>
    </row>
    <row r="70" spans="1:31" s="105" customFormat="1" x14ac:dyDescent="0.25">
      <c r="A70" s="118" t="s">
        <v>251</v>
      </c>
      <c r="B70" s="95">
        <v>284</v>
      </c>
      <c r="C70" s="96">
        <v>73.219375610351563</v>
      </c>
      <c r="D70" s="97">
        <v>32.94801190587355</v>
      </c>
      <c r="E70" s="98">
        <v>2.8293481110781511</v>
      </c>
      <c r="F70" s="99">
        <v>23.944747240674239</v>
      </c>
      <c r="G70" s="98">
        <v>4.7615775467386188</v>
      </c>
      <c r="H70" s="100">
        <v>35.644965859726611</v>
      </c>
      <c r="I70" s="101">
        <v>6.1532489143159399</v>
      </c>
      <c r="J70" s="97">
        <v>39.989777217630483</v>
      </c>
      <c r="K70" s="98">
        <v>8.7432642533969602</v>
      </c>
      <c r="L70" s="100">
        <v>32.325160147433976</v>
      </c>
      <c r="M70" s="101">
        <v>9.9304190260374146</v>
      </c>
      <c r="N70" s="97">
        <v>8.3804129067597479</v>
      </c>
      <c r="O70" s="102">
        <v>10.507188822596017</v>
      </c>
      <c r="P70" s="99">
        <v>39.069203891487597</v>
      </c>
      <c r="Q70" s="98">
        <v>3.8517525315442751</v>
      </c>
      <c r="R70" s="100">
        <v>30.720619738402661</v>
      </c>
      <c r="S70" s="101">
        <v>5.996674803470385</v>
      </c>
      <c r="T70" s="97">
        <v>17.40425428636404</v>
      </c>
      <c r="U70" s="101">
        <v>4.3953069085343675</v>
      </c>
      <c r="V70" s="97">
        <v>-13.926632484392396</v>
      </c>
      <c r="W70" s="104">
        <v>5.6145802980041921</v>
      </c>
      <c r="X70" s="124"/>
      <c r="Y70" s="124"/>
      <c r="Z70" s="124"/>
      <c r="AA70" s="124"/>
      <c r="AB70" s="124"/>
      <c r="AC70" s="124"/>
      <c r="AD70" s="124"/>
      <c r="AE70" s="124"/>
    </row>
    <row r="71" spans="1:31" s="105" customFormat="1" x14ac:dyDescent="0.25">
      <c r="A71" s="118" t="s">
        <v>252</v>
      </c>
      <c r="B71" s="95">
        <v>300</v>
      </c>
      <c r="C71" s="96">
        <v>96.009361267089844</v>
      </c>
      <c r="D71" s="97">
        <v>33.031887145588883</v>
      </c>
      <c r="E71" s="98">
        <v>2.2723152682074974</v>
      </c>
      <c r="F71" s="99">
        <v>30.87605550626164</v>
      </c>
      <c r="G71" s="98">
        <v>5.0015195608216452</v>
      </c>
      <c r="H71" s="100">
        <v>33.628379712011878</v>
      </c>
      <c r="I71" s="101">
        <v>4.362629815056474</v>
      </c>
      <c r="J71" s="97">
        <v>36.902093485747827</v>
      </c>
      <c r="K71" s="98">
        <v>4.6875001653484007</v>
      </c>
      <c r="L71" s="100">
        <v>30.67307095387822</v>
      </c>
      <c r="M71" s="101">
        <v>6.5619719348557028</v>
      </c>
      <c r="N71" s="97">
        <v>-0.20298455238342331</v>
      </c>
      <c r="O71" s="102">
        <v>8.7737178795947859</v>
      </c>
      <c r="P71" s="99">
        <v>32.802237774732163</v>
      </c>
      <c r="Q71" s="98">
        <v>2.6540382554248119</v>
      </c>
      <c r="R71" s="100" t="s">
        <v>34</v>
      </c>
      <c r="S71" s="101" t="s">
        <v>34</v>
      </c>
      <c r="T71" s="97">
        <v>33.601596512650147</v>
      </c>
      <c r="U71" s="101">
        <v>6.1689345629803958</v>
      </c>
      <c r="V71" s="97">
        <v>0.79935873791798429</v>
      </c>
      <c r="W71" s="104">
        <v>7.0991715770637445</v>
      </c>
      <c r="X71" s="124"/>
      <c r="Y71" s="124"/>
      <c r="Z71" s="124"/>
      <c r="AA71" s="124"/>
      <c r="AB71" s="124"/>
      <c r="AC71" s="124"/>
      <c r="AD71" s="124"/>
      <c r="AE71" s="124"/>
    </row>
    <row r="72" spans="1:31" s="105" customFormat="1" x14ac:dyDescent="0.25">
      <c r="A72" s="118" t="s">
        <v>253</v>
      </c>
      <c r="B72" s="95">
        <v>516</v>
      </c>
      <c r="C72" s="96">
        <v>80.3912353515625</v>
      </c>
      <c r="D72" s="97">
        <v>25.68314257033138</v>
      </c>
      <c r="E72" s="98">
        <v>1.2914571501087257</v>
      </c>
      <c r="F72" s="99">
        <v>23.438796400189641</v>
      </c>
      <c r="G72" s="98">
        <v>2.1420991191601382</v>
      </c>
      <c r="H72" s="100">
        <v>25.20359328180551</v>
      </c>
      <c r="I72" s="101">
        <v>2.9161549602008838</v>
      </c>
      <c r="J72" s="97">
        <v>25.480980202235941</v>
      </c>
      <c r="K72" s="98">
        <v>2.9295036199333522</v>
      </c>
      <c r="L72" s="100">
        <v>28.651587168211329</v>
      </c>
      <c r="M72" s="101">
        <v>3.2759743813083824</v>
      </c>
      <c r="N72" s="97">
        <v>5.2127907680216872</v>
      </c>
      <c r="O72" s="102">
        <v>3.9601355682427486</v>
      </c>
      <c r="P72" s="99">
        <v>25.022899440795371</v>
      </c>
      <c r="Q72" s="98">
        <v>1.1795387850784065</v>
      </c>
      <c r="R72" s="100">
        <v>62.819362531243847</v>
      </c>
      <c r="S72" s="101">
        <v>15.976176310967871</v>
      </c>
      <c r="T72" s="97" t="s">
        <v>34</v>
      </c>
      <c r="U72" s="101" t="s">
        <v>34</v>
      </c>
      <c r="V72" s="97">
        <v>37.796463090448476</v>
      </c>
      <c r="W72" s="104">
        <v>15.937513554987458</v>
      </c>
      <c r="X72" s="142"/>
      <c r="Y72" s="124"/>
      <c r="Z72" s="124"/>
      <c r="AA72" s="124"/>
      <c r="AB72" s="124"/>
      <c r="AC72" s="124"/>
      <c r="AD72" s="124"/>
      <c r="AE72" s="124"/>
    </row>
    <row r="73" spans="1:31" s="105" customFormat="1" x14ac:dyDescent="0.25">
      <c r="A73" s="118" t="s">
        <v>254</v>
      </c>
      <c r="B73" s="95">
        <v>61</v>
      </c>
      <c r="C73" s="96">
        <v>53.516746520996094</v>
      </c>
      <c r="D73" s="97">
        <v>14.125835432788641</v>
      </c>
      <c r="E73" s="98">
        <v>1.0347529321329039</v>
      </c>
      <c r="F73" s="99">
        <v>10.726160467373621</v>
      </c>
      <c r="G73" s="98">
        <v>2.8266967733733814</v>
      </c>
      <c r="H73" s="100">
        <v>14.771351727364721</v>
      </c>
      <c r="I73" s="101">
        <v>3.5951419530273152</v>
      </c>
      <c r="J73" s="97">
        <v>9.4661643689602801</v>
      </c>
      <c r="K73" s="98">
        <v>0.28559393668619809</v>
      </c>
      <c r="L73" s="100">
        <v>21.84286871457217</v>
      </c>
      <c r="M73" s="101">
        <v>0.82619802565759359</v>
      </c>
      <c r="N73" s="97">
        <v>11.116708247198551</v>
      </c>
      <c r="O73" s="102">
        <v>2.9597047122418658</v>
      </c>
      <c r="P73" s="99">
        <v>13.77628964552739</v>
      </c>
      <c r="Q73" s="98">
        <v>1.0607132378451827</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177</v>
      </c>
      <c r="C74" s="96">
        <v>65.721397399902344</v>
      </c>
      <c r="D74" s="97">
        <v>41.688907313742128</v>
      </c>
      <c r="E74" s="98">
        <v>2.3808117821822199</v>
      </c>
      <c r="F74" s="99">
        <v>33.231887122731663</v>
      </c>
      <c r="G74" s="98">
        <v>4.9495417765092773</v>
      </c>
      <c r="H74" s="100">
        <v>36.287483770226913</v>
      </c>
      <c r="I74" s="101">
        <v>7.4415006885638189</v>
      </c>
      <c r="J74" s="97">
        <v>45.864414991254378</v>
      </c>
      <c r="K74" s="98">
        <v>7.7350385576033496</v>
      </c>
      <c r="L74" s="100">
        <v>51.721282694287822</v>
      </c>
      <c r="M74" s="101">
        <v>6.882152701969976</v>
      </c>
      <c r="N74" s="97">
        <v>18.489395571556159</v>
      </c>
      <c r="O74" s="102">
        <v>8.5803704623638062</v>
      </c>
      <c r="P74" s="99">
        <v>30.69527588285813</v>
      </c>
      <c r="Q74" s="98">
        <v>3.0054994550052712</v>
      </c>
      <c r="R74" s="100" t="s">
        <v>34</v>
      </c>
      <c r="S74" s="101" t="s">
        <v>34</v>
      </c>
      <c r="T74" s="97">
        <v>45.513980073790499</v>
      </c>
      <c r="U74" s="101">
        <v>4.6332319016337049</v>
      </c>
      <c r="V74" s="97">
        <v>14.818704190932369</v>
      </c>
      <c r="W74" s="104">
        <v>5.3199318025127811</v>
      </c>
      <c r="X74" s="124"/>
      <c r="Y74" s="124"/>
      <c r="Z74" s="124"/>
      <c r="AA74" s="124"/>
      <c r="AB74" s="124"/>
      <c r="AC74" s="124"/>
      <c r="AD74" s="124"/>
      <c r="AE74" s="124"/>
    </row>
    <row r="75" spans="1:31" s="105" customFormat="1" x14ac:dyDescent="0.25">
      <c r="A75" s="118" t="s">
        <v>256</v>
      </c>
      <c r="B75" s="95">
        <v>45</v>
      </c>
      <c r="C75" s="96">
        <v>100</v>
      </c>
      <c r="D75" s="97">
        <v>77.924627246048658</v>
      </c>
      <c r="E75" s="98">
        <v>3.5791451920919183E-2</v>
      </c>
      <c r="F75" s="99">
        <v>88.157576291196122</v>
      </c>
      <c r="G75" s="98">
        <v>6.8860697174550234E-2</v>
      </c>
      <c r="H75" s="100">
        <v>59.108200534383947</v>
      </c>
      <c r="I75" s="101">
        <v>7.3066980169577134E-2</v>
      </c>
      <c r="J75" s="97">
        <v>69.130283742395889</v>
      </c>
      <c r="K75" s="98">
        <v>8.1669750228238039E-2</v>
      </c>
      <c r="L75" s="100">
        <v>92.62691552138125</v>
      </c>
      <c r="M75" s="101">
        <v>2.026427420670689E-2</v>
      </c>
      <c r="N75" s="97">
        <v>4.4693392301851276</v>
      </c>
      <c r="O75" s="102">
        <v>7.090783391031584E-2</v>
      </c>
      <c r="P75" s="99">
        <v>77.397751701071854</v>
      </c>
      <c r="Q75" s="98">
        <v>3.5538027977387553E-2</v>
      </c>
      <c r="R75" s="100">
        <v>76.203009355312503</v>
      </c>
      <c r="S75" s="101">
        <v>4.2093305706703492E-2</v>
      </c>
      <c r="T75" s="97" t="s">
        <v>34</v>
      </c>
      <c r="U75" s="101" t="s">
        <v>34</v>
      </c>
      <c r="V75" s="97">
        <v>-1.1947423457593516</v>
      </c>
      <c r="W75" s="104">
        <v>5.5374466425520644E-2</v>
      </c>
      <c r="X75" s="124"/>
      <c r="Y75" s="124"/>
      <c r="Z75" s="124"/>
      <c r="AA75" s="124"/>
      <c r="AB75" s="124"/>
      <c r="AC75" s="124"/>
      <c r="AD75" s="124"/>
      <c r="AE75" s="124"/>
    </row>
    <row r="76" spans="1:31" s="105" customFormat="1" x14ac:dyDescent="0.25">
      <c r="A76" s="118" t="s">
        <v>257</v>
      </c>
      <c r="B76" s="95">
        <v>191</v>
      </c>
      <c r="C76" s="96">
        <v>100</v>
      </c>
      <c r="D76" s="97">
        <v>70.690645795993476</v>
      </c>
      <c r="E76" s="98">
        <v>2.2131036156101733</v>
      </c>
      <c r="F76" s="99">
        <v>62.089506316606638</v>
      </c>
      <c r="G76" s="98">
        <v>5.2883799095084179</v>
      </c>
      <c r="H76" s="100">
        <v>78.356193787655869</v>
      </c>
      <c r="I76" s="101">
        <v>4.4824052923075701</v>
      </c>
      <c r="J76" s="97">
        <v>69.419829984557808</v>
      </c>
      <c r="K76" s="98">
        <v>5.3152347651191461</v>
      </c>
      <c r="L76" s="100">
        <v>72.495406231831453</v>
      </c>
      <c r="M76" s="101">
        <v>4.9889023186080586</v>
      </c>
      <c r="N76" s="97">
        <v>10.40589991522481</v>
      </c>
      <c r="O76" s="102">
        <v>7.4483851253190254</v>
      </c>
      <c r="P76" s="99">
        <v>71.831267110392304</v>
      </c>
      <c r="Q76" s="98">
        <v>2.3414614756564514</v>
      </c>
      <c r="R76" s="100" t="s">
        <v>34</v>
      </c>
      <c r="S76" s="101" t="s">
        <v>34</v>
      </c>
      <c r="T76" s="97">
        <v>55.208240291458011</v>
      </c>
      <c r="U76" s="101">
        <v>10.044347982366631</v>
      </c>
      <c r="V76" s="97">
        <v>-16.623026818934292</v>
      </c>
      <c r="W76" s="104">
        <v>10.424883238701391</v>
      </c>
      <c r="X76" s="124"/>
      <c r="Y76" s="124"/>
      <c r="Z76" s="124"/>
      <c r="AA76" s="124"/>
      <c r="AB76" s="124"/>
      <c r="AC76" s="124"/>
      <c r="AD76" s="124"/>
      <c r="AE76" s="124"/>
    </row>
    <row r="77" spans="1:31" s="105" customFormat="1" x14ac:dyDescent="0.25">
      <c r="A77" s="118" t="s">
        <v>258</v>
      </c>
      <c r="B77" s="95">
        <v>49</v>
      </c>
      <c r="C77" s="96">
        <v>99.911201477050781</v>
      </c>
      <c r="D77" s="97">
        <v>71.86494198586098</v>
      </c>
      <c r="E77" s="98">
        <v>0.14423769532224018</v>
      </c>
      <c r="F77" s="99">
        <v>92.664737411946149</v>
      </c>
      <c r="G77" s="98">
        <v>0.14007330887447203</v>
      </c>
      <c r="H77" s="100">
        <v>59.117088272968182</v>
      </c>
      <c r="I77" s="101">
        <v>0.24008260028381176</v>
      </c>
      <c r="J77" s="97">
        <v>75.354630305443166</v>
      </c>
      <c r="K77" s="98">
        <v>0.25165398488401458</v>
      </c>
      <c r="L77" s="100">
        <v>62.480680251247293</v>
      </c>
      <c r="M77" s="101">
        <v>0.28114589418628083</v>
      </c>
      <c r="N77" s="97">
        <v>-30.18405716069886</v>
      </c>
      <c r="O77" s="102">
        <v>0.31109658234501275</v>
      </c>
      <c r="P77" s="99">
        <v>73.675204470874519</v>
      </c>
      <c r="Q77" s="98">
        <v>0.17101247293859964</v>
      </c>
      <c r="R77" s="100">
        <v>70.874385131621338</v>
      </c>
      <c r="S77" s="101">
        <v>0.1741861949751658</v>
      </c>
      <c r="T77" s="97">
        <v>66.891176078732713</v>
      </c>
      <c r="U77" s="101">
        <v>0.48470138796417978</v>
      </c>
      <c r="V77" s="97">
        <v>-4.0167871346874051</v>
      </c>
      <c r="W77" s="104">
        <v>0.22474372856737451</v>
      </c>
      <c r="X77" s="124"/>
      <c r="Y77" s="124"/>
      <c r="Z77" s="124"/>
      <c r="AA77" s="124"/>
      <c r="AB77" s="124"/>
      <c r="AC77" s="124"/>
      <c r="AD77" s="124"/>
      <c r="AE77" s="124"/>
    </row>
    <row r="78" spans="1:31" s="105" customFormat="1" x14ac:dyDescent="0.25">
      <c r="A78" s="118" t="s">
        <v>259</v>
      </c>
      <c r="B78" s="95">
        <v>215</v>
      </c>
      <c r="C78" s="96">
        <v>93.595138549804688</v>
      </c>
      <c r="D78" s="97">
        <v>32.797319119473563</v>
      </c>
      <c r="E78" s="98">
        <v>2.3682984043190429</v>
      </c>
      <c r="F78" s="99">
        <v>31.708687062752659</v>
      </c>
      <c r="G78" s="98">
        <v>3.4832319931999147</v>
      </c>
      <c r="H78" s="100">
        <v>34.040159203852937</v>
      </c>
      <c r="I78" s="101">
        <v>3.925270918012894</v>
      </c>
      <c r="J78" s="97">
        <v>36.378553227183467</v>
      </c>
      <c r="K78" s="98">
        <v>6.3899142869467838</v>
      </c>
      <c r="L78" s="100">
        <v>28.948898515852619</v>
      </c>
      <c r="M78" s="101">
        <v>6.1964161682242898</v>
      </c>
      <c r="N78" s="97">
        <v>-2.7597885469000398</v>
      </c>
      <c r="O78" s="102">
        <v>6.4467445658416764</v>
      </c>
      <c r="P78" s="99">
        <v>32.769148875165968</v>
      </c>
      <c r="Q78" s="98">
        <v>2.3844276029744642</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46.984177354619817</v>
      </c>
      <c r="E79" s="98">
        <v>2.8219665043667738E-2</v>
      </c>
      <c r="F79" s="99">
        <v>45.240508224199132</v>
      </c>
      <c r="G79" s="98">
        <v>6.8346964887351716E-2</v>
      </c>
      <c r="H79" s="100">
        <v>45.474302195814467</v>
      </c>
      <c r="I79" s="101">
        <v>5.2081282237760158E-2</v>
      </c>
      <c r="J79" s="97">
        <v>42.050198953202923</v>
      </c>
      <c r="K79" s="98">
        <v>5.418339439000943E-2</v>
      </c>
      <c r="L79" s="100">
        <v>54.704492886867392</v>
      </c>
      <c r="M79" s="101">
        <v>6.6024037052866247E-2</v>
      </c>
      <c r="N79" s="97">
        <v>9.4639846626682598</v>
      </c>
      <c r="O79" s="102">
        <v>0.10115711948398343</v>
      </c>
      <c r="P79" s="99">
        <v>46.978443011256957</v>
      </c>
      <c r="Q79" s="98">
        <v>2.8270128141401042E-2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138</v>
      </c>
      <c r="C80" s="96">
        <v>76.628616333007813</v>
      </c>
      <c r="D80" s="97">
        <v>28.73143272787021</v>
      </c>
      <c r="E80" s="98">
        <v>2.8366225740929574</v>
      </c>
      <c r="F80" s="99">
        <v>33.53627674341223</v>
      </c>
      <c r="G80" s="98">
        <v>6.8665929195988271</v>
      </c>
      <c r="H80" s="100">
        <v>28.323284308708441</v>
      </c>
      <c r="I80" s="101">
        <v>7.095921019842546</v>
      </c>
      <c r="J80" s="97">
        <v>30.47165994194053</v>
      </c>
      <c r="K80" s="98">
        <v>8.2571145847392611</v>
      </c>
      <c r="L80" s="100">
        <v>22.47042881625994</v>
      </c>
      <c r="M80" s="101">
        <v>5.1818365235920281</v>
      </c>
      <c r="N80" s="97">
        <v>-11.065847927152291</v>
      </c>
      <c r="O80" s="102">
        <v>7.6755646438461209</v>
      </c>
      <c r="P80" s="99">
        <v>28.561772296885991</v>
      </c>
      <c r="Q80" s="98">
        <v>3.0740135436329652</v>
      </c>
      <c r="R80" s="100" t="s">
        <v>34</v>
      </c>
      <c r="S80" s="101" t="s">
        <v>34</v>
      </c>
      <c r="T80" s="97">
        <v>26.182967772391379</v>
      </c>
      <c r="U80" s="101">
        <v>4.9640082196795579</v>
      </c>
      <c r="V80" s="97">
        <v>-2.3788045244946119</v>
      </c>
      <c r="W80" s="104">
        <v>5.6948956564171942</v>
      </c>
      <c r="X80" s="124"/>
      <c r="Y80" s="124"/>
      <c r="Z80" s="124"/>
      <c r="AA80" s="124"/>
      <c r="AB80" s="124"/>
      <c r="AC80" s="124"/>
      <c r="AD80" s="124"/>
      <c r="AE80" s="124"/>
    </row>
    <row r="81" spans="1:31" s="105" customFormat="1" x14ac:dyDescent="0.25">
      <c r="A81" s="118" t="s">
        <v>262</v>
      </c>
      <c r="B81" s="95">
        <v>94</v>
      </c>
      <c r="C81" s="96">
        <v>88.432243347167969</v>
      </c>
      <c r="D81" s="97">
        <v>21.068070096054591</v>
      </c>
      <c r="E81" s="98">
        <v>6.2380342276943439E-2</v>
      </c>
      <c r="F81" s="99">
        <v>21.07392443591224</v>
      </c>
      <c r="G81" s="98">
        <v>0.16013926075483731</v>
      </c>
      <c r="H81" s="100">
        <v>20.409665527513152</v>
      </c>
      <c r="I81" s="101">
        <v>0.15906265048192325</v>
      </c>
      <c r="J81" s="97">
        <v>8.8897768701057007</v>
      </c>
      <c r="K81" s="98">
        <v>8.9450120008394779E-2</v>
      </c>
      <c r="L81" s="100">
        <v>33.549523724275609</v>
      </c>
      <c r="M81" s="101">
        <v>0.18712929172414886</v>
      </c>
      <c r="N81" s="97">
        <v>12.47559928836337</v>
      </c>
      <c r="O81" s="102">
        <v>0.24092083986884102</v>
      </c>
      <c r="P81" s="99">
        <v>21.094641919920988</v>
      </c>
      <c r="Q81" s="98">
        <v>6.3913270167687386E-2</v>
      </c>
      <c r="R81" s="100" t="s">
        <v>34</v>
      </c>
      <c r="S81" s="101" t="s">
        <v>34</v>
      </c>
      <c r="T81" s="97">
        <v>49.84754011135476</v>
      </c>
      <c r="U81" s="101">
        <v>0.96757035785973966</v>
      </c>
      <c r="V81" s="97">
        <v>28.752898191433772</v>
      </c>
      <c r="W81" s="104">
        <v>0.9759646549439428</v>
      </c>
      <c r="X81" s="124"/>
      <c r="Y81" s="124"/>
      <c r="Z81" s="124"/>
      <c r="AA81" s="124"/>
      <c r="AB81" s="124"/>
      <c r="AC81" s="124"/>
      <c r="AD81" s="124"/>
      <c r="AE81" s="124"/>
    </row>
    <row r="82" spans="1:31" s="105" customFormat="1" x14ac:dyDescent="0.25">
      <c r="A82" s="118" t="s">
        <v>263</v>
      </c>
      <c r="B82" s="95">
        <v>135</v>
      </c>
      <c r="C82" s="96">
        <v>66.411170959472656</v>
      </c>
      <c r="D82" s="97">
        <v>35.351474596042898</v>
      </c>
      <c r="E82" s="98">
        <v>2.4823394724558949</v>
      </c>
      <c r="F82" s="99">
        <v>35.702624676614363</v>
      </c>
      <c r="G82" s="98">
        <v>7.5534730528050451</v>
      </c>
      <c r="H82" s="100">
        <v>26.08290572410009</v>
      </c>
      <c r="I82" s="101">
        <v>5.7343506246148612</v>
      </c>
      <c r="J82" s="97">
        <v>23.56002542313669</v>
      </c>
      <c r="K82" s="98">
        <v>3.4160644762172532</v>
      </c>
      <c r="L82" s="100">
        <v>55.976308023350491</v>
      </c>
      <c r="M82" s="101">
        <v>6.2255667102866008</v>
      </c>
      <c r="N82" s="97">
        <v>20.273683346736131</v>
      </c>
      <c r="O82" s="102">
        <v>8.6972608546467569</v>
      </c>
      <c r="P82" s="99">
        <v>28.812164679335531</v>
      </c>
      <c r="Q82" s="98">
        <v>2.1810635510521403</v>
      </c>
      <c r="R82" s="100" t="s">
        <v>34</v>
      </c>
      <c r="S82" s="101" t="s">
        <v>34</v>
      </c>
      <c r="T82" s="97">
        <v>61.104862915073021</v>
      </c>
      <c r="U82" s="101">
        <v>7.8305363399677388</v>
      </c>
      <c r="V82" s="97">
        <v>32.29269823573749</v>
      </c>
      <c r="W82" s="104">
        <v>8.1147994693086432</v>
      </c>
      <c r="X82" s="124"/>
      <c r="Y82" s="124"/>
      <c r="Z82" s="124"/>
      <c r="AA82" s="124"/>
      <c r="AB82" s="124"/>
      <c r="AC82" s="124"/>
      <c r="AD82" s="124"/>
      <c r="AE82" s="124"/>
    </row>
    <row r="83" spans="1:31" s="105" customFormat="1" x14ac:dyDescent="0.25">
      <c r="A83" s="118" t="s">
        <v>264</v>
      </c>
      <c r="B83" s="95">
        <v>323</v>
      </c>
      <c r="C83" s="96">
        <v>97.6805419921875</v>
      </c>
      <c r="D83" s="97">
        <v>44.466420611053081</v>
      </c>
      <c r="E83" s="98">
        <v>1.9100704135104176</v>
      </c>
      <c r="F83" s="99">
        <v>43.255925309312367</v>
      </c>
      <c r="G83" s="98">
        <v>4.3219848095831024</v>
      </c>
      <c r="H83" s="100">
        <v>44.482936019548198</v>
      </c>
      <c r="I83" s="101">
        <v>3.4901913937100923</v>
      </c>
      <c r="J83" s="97">
        <v>39.362911658285881</v>
      </c>
      <c r="K83" s="98">
        <v>4.7089137201563034</v>
      </c>
      <c r="L83" s="100">
        <v>50.885206895295653</v>
      </c>
      <c r="M83" s="101">
        <v>4.2696517167782098</v>
      </c>
      <c r="N83" s="97">
        <v>7.6292815859832794</v>
      </c>
      <c r="O83" s="102">
        <v>6.1290094993697011</v>
      </c>
      <c r="P83" s="99">
        <v>43.167466903718903</v>
      </c>
      <c r="Q83" s="98">
        <v>2.1755543592644302</v>
      </c>
      <c r="R83" s="100" t="s">
        <v>34</v>
      </c>
      <c r="S83" s="101" t="s">
        <v>34</v>
      </c>
      <c r="T83" s="97">
        <v>48.795365802083019</v>
      </c>
      <c r="U83" s="101">
        <v>4.209730986304236</v>
      </c>
      <c r="V83" s="97">
        <v>5.6278988983641156</v>
      </c>
      <c r="W83" s="104">
        <v>4.7893158646868486</v>
      </c>
      <c r="X83" s="124"/>
      <c r="Y83" s="124"/>
      <c r="Z83" s="124"/>
      <c r="AA83" s="124"/>
      <c r="AB83" s="124"/>
      <c r="AC83" s="124"/>
      <c r="AD83" s="124"/>
      <c r="AE83" s="124"/>
    </row>
    <row r="84" spans="1:31" s="105" customFormat="1" x14ac:dyDescent="0.25">
      <c r="A84" s="118" t="s">
        <v>265</v>
      </c>
      <c r="B84" s="95">
        <v>183</v>
      </c>
      <c r="C84" s="96">
        <v>98.078941345214844</v>
      </c>
      <c r="D84" s="97">
        <v>59.286190227430659</v>
      </c>
      <c r="E84" s="98">
        <v>2.8493077852057067</v>
      </c>
      <c r="F84" s="99">
        <v>53.746534617596282</v>
      </c>
      <c r="G84" s="98">
        <v>5.9150867358628716</v>
      </c>
      <c r="H84" s="100">
        <v>61.436300071476609</v>
      </c>
      <c r="I84" s="101">
        <v>7.6713876149668572</v>
      </c>
      <c r="J84" s="97">
        <v>70.838540024170655</v>
      </c>
      <c r="K84" s="98">
        <v>6.8217690101453092</v>
      </c>
      <c r="L84" s="100">
        <v>51.405225678732407</v>
      </c>
      <c r="M84" s="101">
        <v>5.0449484003988374</v>
      </c>
      <c r="N84" s="97">
        <v>-2.341308938863861</v>
      </c>
      <c r="O84" s="102">
        <v>7.9428133905697118</v>
      </c>
      <c r="P84" s="99">
        <v>60.905902486326028</v>
      </c>
      <c r="Q84" s="98">
        <v>3.2233824875536587</v>
      </c>
      <c r="R84" s="100">
        <v>50.094631127835889</v>
      </c>
      <c r="S84" s="101">
        <v>8.5977604909037364</v>
      </c>
      <c r="T84" s="97">
        <v>53.621409956464902</v>
      </c>
      <c r="U84" s="101">
        <v>7.4430169323228457</v>
      </c>
      <c r="V84" s="97">
        <v>-9.1269477758285973</v>
      </c>
      <c r="W84" s="104">
        <v>6.3313477850341018</v>
      </c>
      <c r="X84" s="124"/>
      <c r="Y84" s="124"/>
      <c r="Z84" s="124"/>
      <c r="AA84" s="124"/>
      <c r="AB84" s="124"/>
      <c r="AC84" s="124"/>
      <c r="AD84" s="124"/>
      <c r="AE84" s="124"/>
    </row>
    <row r="85" spans="1:31" s="105" customFormat="1" x14ac:dyDescent="0.25">
      <c r="A85" s="118" t="s">
        <v>266</v>
      </c>
      <c r="B85" s="95">
        <v>136</v>
      </c>
      <c r="C85" s="96">
        <v>85.952011108398438</v>
      </c>
      <c r="D85" s="97">
        <v>68.241317728747887</v>
      </c>
      <c r="E85" s="98">
        <v>5.7336478899047895E-2</v>
      </c>
      <c r="F85" s="99">
        <v>47.30759763907016</v>
      </c>
      <c r="G85" s="98">
        <v>0.99556295307645892</v>
      </c>
      <c r="H85" s="100">
        <v>73.203896947277457</v>
      </c>
      <c r="I85" s="101">
        <v>0.54940066938991927</v>
      </c>
      <c r="J85" s="97">
        <v>75.01123760757055</v>
      </c>
      <c r="K85" s="98">
        <v>0.11980823180559728</v>
      </c>
      <c r="L85" s="100">
        <v>77.59527757466401</v>
      </c>
      <c r="M85" s="101">
        <v>0.13776656442141241</v>
      </c>
      <c r="N85" s="97">
        <v>30.28767993559385</v>
      </c>
      <c r="O85" s="102">
        <v>0.99070951509285965</v>
      </c>
      <c r="P85" s="99">
        <v>61.334280444328328</v>
      </c>
      <c r="Q85" s="98">
        <v>5.2483863453690667E-2</v>
      </c>
      <c r="R85" s="100" t="s">
        <v>34</v>
      </c>
      <c r="S85" s="101" t="s">
        <v>34</v>
      </c>
      <c r="T85" s="97">
        <v>75.267003866367816</v>
      </c>
      <c r="U85" s="101">
        <v>0.10599533781919959</v>
      </c>
      <c r="V85" s="97">
        <v>13.932723422039487</v>
      </c>
      <c r="W85" s="104">
        <v>0.11954279917149724</v>
      </c>
      <c r="X85" s="124"/>
      <c r="Y85" s="124"/>
      <c r="Z85" s="124"/>
      <c r="AA85" s="124"/>
      <c r="AB85" s="124"/>
      <c r="AC85" s="124"/>
      <c r="AD85" s="124"/>
      <c r="AE85" s="124"/>
    </row>
    <row r="86" spans="1:31" s="105" customFormat="1" x14ac:dyDescent="0.25">
      <c r="A86" s="118" t="s">
        <v>267</v>
      </c>
      <c r="B86" s="95">
        <v>140</v>
      </c>
      <c r="C86" s="96">
        <v>92.605796813964844</v>
      </c>
      <c r="D86" s="97">
        <v>30.331070671824111</v>
      </c>
      <c r="E86" s="98">
        <v>2.4900575846810189</v>
      </c>
      <c r="F86" s="99">
        <v>35.050060604887143</v>
      </c>
      <c r="G86" s="98">
        <v>5.5650030824040089</v>
      </c>
      <c r="H86" s="100">
        <v>25.535246742438549</v>
      </c>
      <c r="I86" s="101">
        <v>5.8097657016637294</v>
      </c>
      <c r="J86" s="97">
        <v>32.364203647136002</v>
      </c>
      <c r="K86" s="98">
        <v>7.0707373144145524</v>
      </c>
      <c r="L86" s="100">
        <v>28.413237621221441</v>
      </c>
      <c r="M86" s="101">
        <v>5.0393445543058171</v>
      </c>
      <c r="N86" s="97">
        <v>-6.6368229836656916</v>
      </c>
      <c r="O86" s="102">
        <v>7.156841362521571</v>
      </c>
      <c r="P86" s="99">
        <v>29.98107425044746</v>
      </c>
      <c r="Q86" s="98">
        <v>2.5151135866086891</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30.14928771893824</v>
      </c>
      <c r="E87" s="98">
        <v>1.909790011512466</v>
      </c>
      <c r="F87" s="99">
        <v>22.76832487337407</v>
      </c>
      <c r="G87" s="98">
        <v>3.3760653892310453</v>
      </c>
      <c r="H87" s="100">
        <v>23.295986708203131</v>
      </c>
      <c r="I87" s="101">
        <v>4.3588164153803248</v>
      </c>
      <c r="J87" s="97">
        <v>32.146283569970258</v>
      </c>
      <c r="K87" s="98">
        <v>4.9444150570198309</v>
      </c>
      <c r="L87" s="100">
        <v>42.534570339958456</v>
      </c>
      <c r="M87" s="101">
        <v>5.4247026854517593</v>
      </c>
      <c r="N87" s="97">
        <v>19.766245466584401</v>
      </c>
      <c r="O87" s="102">
        <v>6.5992154784281469</v>
      </c>
      <c r="P87" s="99">
        <v>30.14928771893824</v>
      </c>
      <c r="Q87" s="98">
        <v>1.909790011512466</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162</v>
      </c>
      <c r="C88" s="96">
        <v>77.276443481445313</v>
      </c>
      <c r="D88" s="97">
        <v>66.641586130017799</v>
      </c>
      <c r="E88" s="98">
        <v>2.5627588103700494</v>
      </c>
      <c r="F88" s="99">
        <v>55.239446410790258</v>
      </c>
      <c r="G88" s="98">
        <v>6.5999846072297572</v>
      </c>
      <c r="H88" s="100">
        <v>59.332051928093946</v>
      </c>
      <c r="I88" s="101">
        <v>6.7210375839172407</v>
      </c>
      <c r="J88" s="97">
        <v>71.643163737124652</v>
      </c>
      <c r="K88" s="98">
        <v>5.6326634093274057</v>
      </c>
      <c r="L88" s="100">
        <v>80.629682988480297</v>
      </c>
      <c r="M88" s="101">
        <v>5.0898240072369898</v>
      </c>
      <c r="N88" s="97">
        <v>25.39023657769004</v>
      </c>
      <c r="O88" s="102">
        <v>8.6022735761264162</v>
      </c>
      <c r="P88" s="99">
        <v>64.127141326235531</v>
      </c>
      <c r="Q88" s="98">
        <v>2.8653277407713338</v>
      </c>
      <c r="R88" s="100" t="s">
        <v>34</v>
      </c>
      <c r="S88" s="101" t="s">
        <v>34</v>
      </c>
      <c r="T88" s="97">
        <v>75.211931464487122</v>
      </c>
      <c r="U88" s="101">
        <v>6.8657054931597656</v>
      </c>
      <c r="V88" s="97">
        <v>11.084790138251591</v>
      </c>
      <c r="W88" s="104">
        <v>7.5216619826937166</v>
      </c>
      <c r="X88" s="124"/>
      <c r="Y88" s="124"/>
      <c r="Z88" s="124"/>
      <c r="AA88" s="124"/>
      <c r="AB88" s="124"/>
      <c r="AC88" s="124"/>
      <c r="AD88" s="124"/>
      <c r="AE88" s="124"/>
    </row>
    <row r="89" spans="1:31" s="105" customFormat="1" x14ac:dyDescent="0.25">
      <c r="A89" s="118" t="s">
        <v>270</v>
      </c>
      <c r="B89" s="95">
        <v>177</v>
      </c>
      <c r="C89" s="96">
        <v>98.513496398925781</v>
      </c>
      <c r="D89" s="97">
        <v>52.139063621599583</v>
      </c>
      <c r="E89" s="98">
        <v>2.1809217302283757</v>
      </c>
      <c r="F89" s="99">
        <v>52.1220015067547</v>
      </c>
      <c r="G89" s="98">
        <v>4.0998036700488303</v>
      </c>
      <c r="H89" s="100">
        <v>43.136115303129188</v>
      </c>
      <c r="I89" s="101">
        <v>4.8742734816762345</v>
      </c>
      <c r="J89" s="97">
        <v>55.425898076378353</v>
      </c>
      <c r="K89" s="98">
        <v>4.7620187503226257</v>
      </c>
      <c r="L89" s="100">
        <v>57.904694364857278</v>
      </c>
      <c r="M89" s="101">
        <v>5.0674617306028438</v>
      </c>
      <c r="N89" s="97">
        <v>5.7826928581025854</v>
      </c>
      <c r="O89" s="102">
        <v>6.2897344089172167</v>
      </c>
      <c r="P89" s="99">
        <v>52.834462381883341</v>
      </c>
      <c r="Q89" s="98">
        <v>2.0771700289319788</v>
      </c>
      <c r="R89" s="100" t="s">
        <v>34</v>
      </c>
      <c r="S89" s="101" t="s">
        <v>34</v>
      </c>
      <c r="T89" s="97">
        <v>31.32054972834592</v>
      </c>
      <c r="U89" s="101">
        <v>13.292159883147701</v>
      </c>
      <c r="V89" s="97">
        <v>-21.513912653537421</v>
      </c>
      <c r="W89" s="104">
        <v>13.364642404742497</v>
      </c>
      <c r="X89" s="124"/>
      <c r="Y89" s="124"/>
      <c r="Z89" s="124"/>
      <c r="AA89" s="124"/>
      <c r="AB89" s="124"/>
      <c r="AC89" s="124"/>
      <c r="AD89" s="124"/>
      <c r="AE89" s="124"/>
    </row>
    <row r="90" spans="1:31" s="105" customFormat="1" x14ac:dyDescent="0.25">
      <c r="A90" s="118" t="s">
        <v>271</v>
      </c>
      <c r="B90" s="95">
        <v>166</v>
      </c>
      <c r="C90" s="96">
        <v>100</v>
      </c>
      <c r="D90" s="97">
        <v>81.301266074417001</v>
      </c>
      <c r="E90" s="98">
        <v>0.80739115264528605</v>
      </c>
      <c r="F90" s="99">
        <v>91.240757896272697</v>
      </c>
      <c r="G90" s="98">
        <v>0.17742485898737265</v>
      </c>
      <c r="H90" s="100">
        <v>89.007842389272525</v>
      </c>
      <c r="I90" s="101">
        <v>1.6104581134442242</v>
      </c>
      <c r="J90" s="97">
        <v>76.051255342632999</v>
      </c>
      <c r="K90" s="98">
        <v>2.3651705838390376</v>
      </c>
      <c r="L90" s="100">
        <v>69.020713662162564</v>
      </c>
      <c r="M90" s="101">
        <v>3.9889777143148102</v>
      </c>
      <c r="N90" s="97">
        <v>-22.22004423411013</v>
      </c>
      <c r="O90" s="102">
        <v>3.9806411487296121</v>
      </c>
      <c r="P90" s="99">
        <v>83.466658935318989</v>
      </c>
      <c r="Q90" s="98">
        <v>9.136807374231258E-2</v>
      </c>
      <c r="R90" s="100" t="s">
        <v>34</v>
      </c>
      <c r="S90" s="101" t="s">
        <v>34</v>
      </c>
      <c r="T90" s="97">
        <v>54.176905313168369</v>
      </c>
      <c r="U90" s="101">
        <v>10.659037993185992</v>
      </c>
      <c r="V90" s="97">
        <v>-29.28975362215062</v>
      </c>
      <c r="W90" s="104">
        <v>10.626705115128843</v>
      </c>
      <c r="X90" s="124"/>
      <c r="Y90" s="124"/>
      <c r="Z90" s="124"/>
      <c r="AA90" s="124"/>
      <c r="AB90" s="124"/>
      <c r="AC90" s="124"/>
      <c r="AD90" s="124"/>
      <c r="AE90" s="124"/>
    </row>
    <row r="91" spans="1:31" s="105" customFormat="1" x14ac:dyDescent="0.25">
      <c r="A91" s="118" t="s">
        <v>272</v>
      </c>
      <c r="B91" s="95">
        <v>178</v>
      </c>
      <c r="C91" s="96">
        <v>92.986953735351563</v>
      </c>
      <c r="D91" s="97">
        <v>59.810742803486377</v>
      </c>
      <c r="E91" s="98">
        <v>2.6036211903593327</v>
      </c>
      <c r="F91" s="99">
        <v>59.831921740327317</v>
      </c>
      <c r="G91" s="98">
        <v>4.2569698204764022</v>
      </c>
      <c r="H91" s="100">
        <v>60.618143652652599</v>
      </c>
      <c r="I91" s="101">
        <v>6.2812529878126835</v>
      </c>
      <c r="J91" s="97">
        <v>51.738356935671227</v>
      </c>
      <c r="K91" s="98">
        <v>6.4775933777363868</v>
      </c>
      <c r="L91" s="100">
        <v>66.897689539354388</v>
      </c>
      <c r="M91" s="101">
        <v>5.8968102238495819</v>
      </c>
      <c r="N91" s="97">
        <v>7.0657677990270713</v>
      </c>
      <c r="O91" s="102">
        <v>7.0643801413839453</v>
      </c>
      <c r="P91" s="99">
        <v>54.116121385668997</v>
      </c>
      <c r="Q91" s="98">
        <v>3.3853509456655133</v>
      </c>
      <c r="R91" s="100">
        <v>67.689092005757161</v>
      </c>
      <c r="S91" s="101">
        <v>6.1544626514305749</v>
      </c>
      <c r="T91" s="97">
        <v>72.485568615322123</v>
      </c>
      <c r="U91" s="101">
        <v>4.9054015888343017</v>
      </c>
      <c r="V91" s="97">
        <v>16.639591319429989</v>
      </c>
      <c r="W91" s="104">
        <v>4.7560986319100014</v>
      </c>
      <c r="X91" s="124"/>
      <c r="Y91" s="124"/>
      <c r="Z91" s="124"/>
      <c r="AA91" s="124"/>
      <c r="AB91" s="124"/>
      <c r="AC91" s="124"/>
      <c r="AD91" s="124"/>
      <c r="AE91" s="124"/>
    </row>
    <row r="92" spans="1:31" s="105" customFormat="1" x14ac:dyDescent="0.25">
      <c r="A92" s="118" t="s">
        <v>273</v>
      </c>
      <c r="B92" s="95">
        <v>204</v>
      </c>
      <c r="C92" s="96">
        <v>92.950508117675781</v>
      </c>
      <c r="D92" s="97">
        <v>79.325285398358574</v>
      </c>
      <c r="E92" s="98">
        <v>2.1060270276456197</v>
      </c>
      <c r="F92" s="99">
        <v>79.487670690842023</v>
      </c>
      <c r="G92" s="98">
        <v>4.869124326996765</v>
      </c>
      <c r="H92" s="100">
        <v>72.124202624316538</v>
      </c>
      <c r="I92" s="101">
        <v>4.8852870951918392</v>
      </c>
      <c r="J92" s="97">
        <v>79.111759288349958</v>
      </c>
      <c r="K92" s="98">
        <v>5.7755286609984067</v>
      </c>
      <c r="L92" s="100">
        <v>86.569918211808996</v>
      </c>
      <c r="M92" s="101">
        <v>3.798277346276584</v>
      </c>
      <c r="N92" s="97">
        <v>7.0822475209669733</v>
      </c>
      <c r="O92" s="102">
        <v>5.699764982082475</v>
      </c>
      <c r="P92" s="99">
        <v>83.660164255778909</v>
      </c>
      <c r="Q92" s="98">
        <v>1.9623184249854613</v>
      </c>
      <c r="R92" s="100">
        <v>41.989439706591469</v>
      </c>
      <c r="S92" s="101">
        <v>6.459109828895552</v>
      </c>
      <c r="T92" s="97">
        <v>76.400620181233677</v>
      </c>
      <c r="U92" s="101">
        <v>10.51243828924313</v>
      </c>
      <c r="V92" s="97">
        <v>-25.909413016569488</v>
      </c>
      <c r="W92" s="104">
        <v>7.3550598760789789</v>
      </c>
      <c r="X92" s="124"/>
      <c r="Y92" s="124"/>
      <c r="Z92" s="124"/>
      <c r="AA92" s="124"/>
      <c r="AB92" s="124"/>
      <c r="AC92" s="124"/>
      <c r="AD92" s="124"/>
      <c r="AE92" s="124"/>
    </row>
    <row r="93" spans="1:31" s="105" customFormat="1" x14ac:dyDescent="0.25">
      <c r="A93" s="118" t="s">
        <v>274</v>
      </c>
      <c r="B93" s="95">
        <v>250</v>
      </c>
      <c r="C93" s="96">
        <v>100</v>
      </c>
      <c r="D93" s="97">
        <v>22.260973614654169</v>
      </c>
      <c r="E93" s="98">
        <v>1.5482049179772523</v>
      </c>
      <c r="F93" s="99">
        <v>23.873120478704461</v>
      </c>
      <c r="G93" s="98">
        <v>3.6821736372219331</v>
      </c>
      <c r="H93" s="100">
        <v>20.72135926104065</v>
      </c>
      <c r="I93" s="101">
        <v>3.8974939568033671</v>
      </c>
      <c r="J93" s="97">
        <v>20.277065473857281</v>
      </c>
      <c r="K93" s="98">
        <v>3.3472548667100259</v>
      </c>
      <c r="L93" s="100">
        <v>24.116821743286671</v>
      </c>
      <c r="M93" s="101">
        <v>3.901864500280479</v>
      </c>
      <c r="N93" s="97">
        <v>0.24370126458221009</v>
      </c>
      <c r="O93" s="102">
        <v>5.3610846360699558</v>
      </c>
      <c r="P93" s="99">
        <v>22.40130511828923</v>
      </c>
      <c r="Q93" s="98">
        <v>1.5602065978810216</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580</v>
      </c>
      <c r="C94" s="96">
        <v>89.19464111328125</v>
      </c>
      <c r="D94" s="97">
        <v>84.406391872660166</v>
      </c>
      <c r="E94" s="98">
        <v>1.1760642010444275</v>
      </c>
      <c r="F94" s="99">
        <v>89.055283574858535</v>
      </c>
      <c r="G94" s="98">
        <v>1.020377928860893</v>
      </c>
      <c r="H94" s="100">
        <v>85.46972008639095</v>
      </c>
      <c r="I94" s="101">
        <v>1.3191799216439308</v>
      </c>
      <c r="J94" s="97">
        <v>83.663339792315199</v>
      </c>
      <c r="K94" s="98">
        <v>2.1124023287929146</v>
      </c>
      <c r="L94" s="100">
        <v>79.219855620576666</v>
      </c>
      <c r="M94" s="101">
        <v>4.4376799553690152</v>
      </c>
      <c r="N94" s="97">
        <v>-9.8354279542818688</v>
      </c>
      <c r="O94" s="102">
        <v>4.5782174145254722</v>
      </c>
      <c r="P94" s="99">
        <v>96.38179952227604</v>
      </c>
      <c r="Q94" s="98">
        <v>0.34355746056463637</v>
      </c>
      <c r="R94" s="100" t="s">
        <v>34</v>
      </c>
      <c r="S94" s="101" t="s">
        <v>34</v>
      </c>
      <c r="T94" s="97">
        <v>77.616285085383169</v>
      </c>
      <c r="U94" s="101">
        <v>1.7595495936532046</v>
      </c>
      <c r="V94" s="97">
        <v>-18.765514436892872</v>
      </c>
      <c r="W94" s="104">
        <v>1.8096849554576224</v>
      </c>
      <c r="X94" s="124"/>
      <c r="Y94" s="124"/>
      <c r="Z94" s="124"/>
      <c r="AA94" s="124"/>
      <c r="AB94" s="124"/>
      <c r="AC94" s="124"/>
      <c r="AD94" s="124"/>
      <c r="AE94" s="124"/>
    </row>
    <row r="95" spans="1:31" s="105" customFormat="1" x14ac:dyDescent="0.25">
      <c r="A95" s="118" t="s">
        <v>276</v>
      </c>
      <c r="B95" s="95">
        <v>189</v>
      </c>
      <c r="C95" s="96">
        <v>100</v>
      </c>
      <c r="D95" s="97">
        <v>20.22430239393686</v>
      </c>
      <c r="E95" s="98">
        <v>1.652210442942406</v>
      </c>
      <c r="F95" s="99">
        <v>21.730925859898051</v>
      </c>
      <c r="G95" s="98">
        <v>3.1150806961596254</v>
      </c>
      <c r="H95" s="100">
        <v>16.638888394604869</v>
      </c>
      <c r="I95" s="101">
        <v>3.0764056977276772</v>
      </c>
      <c r="J95" s="97">
        <v>20.10147912216754</v>
      </c>
      <c r="K95" s="98">
        <v>3.2592478420206104</v>
      </c>
      <c r="L95" s="100">
        <v>22.554039591065571</v>
      </c>
      <c r="M95" s="101">
        <v>4.4724210373588473</v>
      </c>
      <c r="N95" s="97">
        <v>0.82311373116752051</v>
      </c>
      <c r="O95" s="102">
        <v>5.4452180837618354</v>
      </c>
      <c r="P95" s="99">
        <v>18.016884449247691</v>
      </c>
      <c r="Q95" s="98">
        <v>1.3659323048239067</v>
      </c>
      <c r="R95" s="100" t="s">
        <v>34</v>
      </c>
      <c r="S95" s="101" t="s">
        <v>34</v>
      </c>
      <c r="T95" s="97">
        <v>29.47598039296399</v>
      </c>
      <c r="U95" s="101">
        <v>6.5123291928637084</v>
      </c>
      <c r="V95" s="97">
        <v>11.459095943716299</v>
      </c>
      <c r="W95" s="104">
        <v>6.6388930410602072</v>
      </c>
      <c r="X95" s="124"/>
      <c r="Y95" s="124"/>
      <c r="Z95" s="124"/>
      <c r="AA95" s="124"/>
      <c r="AB95" s="124"/>
      <c r="AC95" s="124"/>
      <c r="AD95" s="124"/>
      <c r="AE95" s="124"/>
    </row>
    <row r="96" spans="1:31" s="105" customFormat="1" ht="13.8" thickBot="1" x14ac:dyDescent="0.3">
      <c r="A96" s="125" t="s">
        <v>277</v>
      </c>
      <c r="B96" s="108">
        <v>123</v>
      </c>
      <c r="C96" s="109">
        <v>95.170951843261719</v>
      </c>
      <c r="D96" s="110">
        <v>56.588299910926068</v>
      </c>
      <c r="E96" s="111">
        <v>3.9886391190509913</v>
      </c>
      <c r="F96" s="112">
        <v>59.405689305327023</v>
      </c>
      <c r="G96" s="111">
        <v>8.8198325180362289</v>
      </c>
      <c r="H96" s="113">
        <v>60.524730249292752</v>
      </c>
      <c r="I96" s="114">
        <v>8.9472518184315426</v>
      </c>
      <c r="J96" s="110">
        <v>53.094851300832701</v>
      </c>
      <c r="K96" s="111">
        <v>8.1035549656650367</v>
      </c>
      <c r="L96" s="113">
        <v>53.441462096413659</v>
      </c>
      <c r="M96" s="114">
        <v>8.3770553689858591</v>
      </c>
      <c r="N96" s="110">
        <v>-5.964227208913357</v>
      </c>
      <c r="O96" s="115">
        <v>12.20891356823998</v>
      </c>
      <c r="P96" s="112">
        <v>56.650098246372039</v>
      </c>
      <c r="Q96" s="111">
        <v>3.8508643902367781</v>
      </c>
      <c r="R96" s="113" t="s">
        <v>34</v>
      </c>
      <c r="S96" s="114" t="s">
        <v>34</v>
      </c>
      <c r="T96" s="110">
        <v>55.453611610154098</v>
      </c>
      <c r="U96" s="114">
        <v>25.661654805734187</v>
      </c>
      <c r="V96" s="110">
        <v>-1.1964866362179407</v>
      </c>
      <c r="W96" s="117">
        <v>25.675198148445332</v>
      </c>
      <c r="X96" s="124"/>
      <c r="Y96" s="124"/>
      <c r="Z96" s="124"/>
      <c r="AA96" s="124"/>
      <c r="AB96" s="124"/>
      <c r="AC96" s="124"/>
      <c r="AD96" s="124"/>
      <c r="AE96" s="124"/>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3">
    <mergeCell ref="R13:S13"/>
    <mergeCell ref="T13:U13"/>
    <mergeCell ref="B12:E12"/>
    <mergeCell ref="F12:O12"/>
    <mergeCell ref="P12:W12"/>
    <mergeCell ref="D13:E13"/>
    <mergeCell ref="F13:G13"/>
    <mergeCell ref="V13:W13"/>
    <mergeCell ref="N13:O13"/>
    <mergeCell ref="P13:Q13"/>
    <mergeCell ref="H13:I13"/>
    <mergeCell ref="J13:K13"/>
    <mergeCell ref="L13:M13"/>
  </mergeCells>
  <conditionalFormatting sqref="N16:N96 V16:V96">
    <cfRule type="expression" dxfId="20" priority="2">
      <formula>ABS(N16/O16)&gt;1.96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88</v>
      </c>
      <c r="B6" s="51"/>
    </row>
    <row r="7" spans="1:31" x14ac:dyDescent="0.25">
      <c r="A7" s="51" t="s">
        <v>89</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91</v>
      </c>
      <c r="G11" s="202"/>
      <c r="H11" s="202"/>
      <c r="I11" s="202"/>
      <c r="J11" s="202"/>
      <c r="K11" s="202"/>
      <c r="L11" s="202"/>
      <c r="M11" s="202"/>
      <c r="N11" s="202"/>
      <c r="O11" s="202"/>
      <c r="P11" s="201" t="s">
        <v>92</v>
      </c>
      <c r="Q11" s="202"/>
      <c r="R11" s="202"/>
      <c r="S11" s="202"/>
      <c r="T11" s="202"/>
      <c r="U11" s="202"/>
      <c r="V11" s="202"/>
      <c r="W11" s="203"/>
    </row>
    <row r="12" spans="1:31" ht="70.5" customHeight="1" x14ac:dyDescent="0.25">
      <c r="A12" s="31"/>
      <c r="B12" s="215" t="s">
        <v>10</v>
      </c>
      <c r="C12" s="217" t="s">
        <v>11</v>
      </c>
      <c r="D12" s="218" t="s">
        <v>93</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692</v>
      </c>
      <c r="C16" s="96">
        <v>90.986129760742188</v>
      </c>
      <c r="D16" s="97">
        <v>19.451357148839211</v>
      </c>
      <c r="E16" s="98">
        <v>1.3347566634440986</v>
      </c>
      <c r="F16" s="99">
        <v>28.177671526667019</v>
      </c>
      <c r="G16" s="98">
        <v>3.6811688580568265</v>
      </c>
      <c r="H16" s="100">
        <v>24.83914420616599</v>
      </c>
      <c r="I16" s="101">
        <v>3.7508388214769486</v>
      </c>
      <c r="J16" s="97">
        <v>20.703675540362401</v>
      </c>
      <c r="K16" s="98">
        <v>3.8452725046403171</v>
      </c>
      <c r="L16" s="100">
        <v>5.170356925457793</v>
      </c>
      <c r="M16" s="101">
        <v>2.0303784073179538</v>
      </c>
      <c r="N16" s="97">
        <v>-23.007314601209231</v>
      </c>
      <c r="O16" s="102">
        <v>4.2807303181725711</v>
      </c>
      <c r="P16" s="99">
        <v>22.945749608554092</v>
      </c>
      <c r="Q16" s="98">
        <v>1.7763803722152813</v>
      </c>
      <c r="R16" s="100">
        <v>19.43160277432543</v>
      </c>
      <c r="S16" s="101">
        <v>3.0609034633988492</v>
      </c>
      <c r="T16" s="97">
        <v>6.8441451567248066</v>
      </c>
      <c r="U16" s="101">
        <v>2.7928821036911167</v>
      </c>
      <c r="V16" s="97">
        <v>-8.3678879180387824</v>
      </c>
      <c r="W16" s="104">
        <v>2.9754625237040915</v>
      </c>
      <c r="X16" s="124"/>
      <c r="Y16" s="124"/>
      <c r="Z16" s="124"/>
      <c r="AA16" s="124"/>
      <c r="AB16" s="124"/>
      <c r="AC16" s="124"/>
      <c r="AD16" s="124"/>
      <c r="AE16" s="124"/>
    </row>
    <row r="17" spans="1:31" s="105" customFormat="1" x14ac:dyDescent="0.25">
      <c r="A17" s="118" t="s">
        <v>203</v>
      </c>
      <c r="B17" s="95">
        <v>291</v>
      </c>
      <c r="C17" s="96" t="s">
        <v>34</v>
      </c>
      <c r="D17" s="97">
        <v>17.61323392693501</v>
      </c>
      <c r="E17" s="98">
        <v>2.6640235829252732</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255</v>
      </c>
      <c r="C18" s="96">
        <v>91.979881286621094</v>
      </c>
      <c r="D18" s="97">
        <v>42.419734310030478</v>
      </c>
      <c r="E18" s="98">
        <v>2.9400621399828406</v>
      </c>
      <c r="F18" s="99">
        <v>64.980425517698805</v>
      </c>
      <c r="G18" s="98">
        <v>5.7794958330413717</v>
      </c>
      <c r="H18" s="100">
        <v>33.169146501713897</v>
      </c>
      <c r="I18" s="101">
        <v>7.0316954607233288</v>
      </c>
      <c r="J18" s="97">
        <v>35.93112204568439</v>
      </c>
      <c r="K18" s="98">
        <v>5.8466808596222188</v>
      </c>
      <c r="L18" s="100">
        <v>35.048657682251658</v>
      </c>
      <c r="M18" s="101">
        <v>5.8334982629349366</v>
      </c>
      <c r="N18" s="97">
        <v>-29.93176783544715</v>
      </c>
      <c r="O18" s="102">
        <v>8.4836396506647009</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772</v>
      </c>
      <c r="C19" s="96">
        <v>96.671943664550781</v>
      </c>
      <c r="D19" s="97">
        <v>19.3711514269284</v>
      </c>
      <c r="E19" s="98">
        <v>2.127681900219129</v>
      </c>
      <c r="F19" s="99">
        <v>19.60563886907034</v>
      </c>
      <c r="G19" s="98">
        <v>4.2326965565406249</v>
      </c>
      <c r="H19" s="100">
        <v>21.59595132902766</v>
      </c>
      <c r="I19" s="101">
        <v>5.3181643580524449</v>
      </c>
      <c r="J19" s="97">
        <v>17.658402614971649</v>
      </c>
      <c r="K19" s="98">
        <v>5.2643547027496744</v>
      </c>
      <c r="L19" s="100">
        <v>19.081109576878092</v>
      </c>
      <c r="M19" s="101">
        <v>5.7727963217606266</v>
      </c>
      <c r="N19" s="97">
        <v>-0.52452929219224842</v>
      </c>
      <c r="O19" s="102">
        <v>6.3698230891762382</v>
      </c>
      <c r="P19" s="99">
        <v>20.35340823555423</v>
      </c>
      <c r="Q19" s="98">
        <v>2.2257003726003401</v>
      </c>
      <c r="R19" s="100">
        <v>9.5542177940652557</v>
      </c>
      <c r="S19" s="101">
        <v>6.4970754133017721</v>
      </c>
      <c r="T19" s="97">
        <v>7.8271678396486823</v>
      </c>
      <c r="U19" s="101">
        <v>4.9441967856777422</v>
      </c>
      <c r="V19" s="97">
        <v>-11.841382825146709</v>
      </c>
      <c r="W19" s="104">
        <v>4.5209688979227316</v>
      </c>
      <c r="X19" s="124"/>
      <c r="Y19" s="124"/>
      <c r="Z19" s="124"/>
      <c r="AA19" s="124"/>
      <c r="AB19" s="124"/>
      <c r="AC19" s="124"/>
      <c r="AD19" s="124"/>
      <c r="AE19" s="124"/>
    </row>
    <row r="20" spans="1:31" s="105" customFormat="1" x14ac:dyDescent="0.25">
      <c r="A20" s="118" t="s">
        <v>206</v>
      </c>
      <c r="B20" s="95">
        <v>200</v>
      </c>
      <c r="C20" s="96">
        <v>84.198402404785156</v>
      </c>
      <c r="D20" s="97">
        <v>34.902008629036068</v>
      </c>
      <c r="E20" s="98">
        <v>3.9963232949000536</v>
      </c>
      <c r="F20" s="99">
        <v>41.608594393109513</v>
      </c>
      <c r="G20" s="98">
        <v>9.0551084499816419</v>
      </c>
      <c r="H20" s="100">
        <v>49.995517963774283</v>
      </c>
      <c r="I20" s="101">
        <v>9.4333188823446843</v>
      </c>
      <c r="J20" s="97">
        <v>22.082233685115821</v>
      </c>
      <c r="K20" s="98">
        <v>7.739159659107421</v>
      </c>
      <c r="L20" s="100">
        <v>25.907092305777478</v>
      </c>
      <c r="M20" s="101">
        <v>6.3974812961764078</v>
      </c>
      <c r="N20" s="97">
        <v>-15.701502087332029</v>
      </c>
      <c r="O20" s="102">
        <v>10.738961841804402</v>
      </c>
      <c r="P20" s="99">
        <v>54.712896396467258</v>
      </c>
      <c r="Q20" s="98">
        <v>8.3544868035712394</v>
      </c>
      <c r="R20" s="100">
        <v>26.11534371812688</v>
      </c>
      <c r="S20" s="101">
        <v>5.2896532765984352</v>
      </c>
      <c r="T20" s="97">
        <v>20.953469132742949</v>
      </c>
      <c r="U20" s="101">
        <v>6.2684572628473854</v>
      </c>
      <c r="V20" s="97">
        <v>-29.705778554751628</v>
      </c>
      <c r="W20" s="104">
        <v>9.5835698426941622</v>
      </c>
      <c r="X20" s="124"/>
      <c r="Y20" s="124"/>
      <c r="Z20" s="124"/>
      <c r="AA20" s="124"/>
      <c r="AB20" s="124"/>
      <c r="AC20" s="124"/>
      <c r="AD20" s="124"/>
      <c r="AE20" s="124"/>
    </row>
    <row r="21" spans="1:31" s="105" customFormat="1" x14ac:dyDescent="0.25">
      <c r="A21" s="118" t="s">
        <v>207</v>
      </c>
      <c r="B21" s="95">
        <v>245</v>
      </c>
      <c r="C21" s="96">
        <v>98.989761352539063</v>
      </c>
      <c r="D21" s="97">
        <v>31.806089062762631</v>
      </c>
      <c r="E21" s="98">
        <v>3.2921173347257087</v>
      </c>
      <c r="F21" s="99">
        <v>50.256176377401772</v>
      </c>
      <c r="G21" s="98">
        <v>9.9034704207409288</v>
      </c>
      <c r="H21" s="100">
        <v>30.357686148600148</v>
      </c>
      <c r="I21" s="101">
        <v>8.0049072689074059</v>
      </c>
      <c r="J21" s="97">
        <v>29.042963967040912</v>
      </c>
      <c r="K21" s="98">
        <v>8.5093445500281284</v>
      </c>
      <c r="L21" s="100">
        <v>18.408053990813631</v>
      </c>
      <c r="M21" s="101">
        <v>7.0398826356790982</v>
      </c>
      <c r="N21" s="97">
        <v>-31.848122386588141</v>
      </c>
      <c r="O21" s="102">
        <v>12.427057506623697</v>
      </c>
      <c r="P21" s="99">
        <v>36.978817398746948</v>
      </c>
      <c r="Q21" s="98">
        <v>3.7842424846901737</v>
      </c>
      <c r="R21" s="100" t="s">
        <v>34</v>
      </c>
      <c r="S21" s="101" t="s">
        <v>34</v>
      </c>
      <c r="T21" s="97">
        <v>10.005260764254571</v>
      </c>
      <c r="U21" s="101">
        <v>3.8546777856005239</v>
      </c>
      <c r="V21" s="97">
        <v>-26.973556634492375</v>
      </c>
      <c r="W21" s="104">
        <v>5.2789615883417103</v>
      </c>
      <c r="X21" s="124"/>
      <c r="Y21" s="124"/>
      <c r="Z21" s="124"/>
      <c r="AA21" s="124"/>
      <c r="AB21" s="124"/>
      <c r="AC21" s="124"/>
      <c r="AD21" s="124"/>
      <c r="AE21" s="124"/>
    </row>
    <row r="22" spans="1:31" s="105" customFormat="1" x14ac:dyDescent="0.25">
      <c r="A22" s="118" t="s">
        <v>208</v>
      </c>
      <c r="B22" s="95">
        <v>325</v>
      </c>
      <c r="C22" s="96">
        <v>97.529975891113281</v>
      </c>
      <c r="D22" s="97">
        <v>12.05553204770232</v>
      </c>
      <c r="E22" s="98">
        <v>1.5804262645528147</v>
      </c>
      <c r="F22" s="99">
        <v>11.916133489270109</v>
      </c>
      <c r="G22" s="98">
        <v>3.664169835635541</v>
      </c>
      <c r="H22" s="100">
        <v>8.190506250095984</v>
      </c>
      <c r="I22" s="101">
        <v>4.6075317702018106</v>
      </c>
      <c r="J22" s="97">
        <v>14.490784538134029</v>
      </c>
      <c r="K22" s="98">
        <v>5.6177744530222791</v>
      </c>
      <c r="L22" s="100">
        <v>13.74366378951934</v>
      </c>
      <c r="M22" s="101">
        <v>3.8208819577482291</v>
      </c>
      <c r="N22" s="97">
        <v>1.827530300249224</v>
      </c>
      <c r="O22" s="102">
        <v>5.6538372888935431</v>
      </c>
      <c r="P22" s="99">
        <v>12.430227297831699</v>
      </c>
      <c r="Q22" s="98">
        <v>1.6822100404928184</v>
      </c>
      <c r="R22" s="100">
        <v>8.1354521172831049</v>
      </c>
      <c r="S22" s="101">
        <v>5.8531403061548506</v>
      </c>
      <c r="T22" s="97" t="s">
        <v>34</v>
      </c>
      <c r="U22" s="101" t="s">
        <v>34</v>
      </c>
      <c r="V22" s="97">
        <v>-4.2947751805485943</v>
      </c>
      <c r="W22" s="104">
        <v>6.140028883406611</v>
      </c>
      <c r="X22" s="124"/>
      <c r="Y22" s="124"/>
      <c r="Z22" s="124"/>
      <c r="AA22" s="124"/>
      <c r="AB22" s="124"/>
      <c r="AC22" s="124"/>
      <c r="AD22" s="124"/>
      <c r="AE22" s="124"/>
    </row>
    <row r="23" spans="1:31" s="105" customFormat="1" x14ac:dyDescent="0.25">
      <c r="A23" s="118" t="s">
        <v>209</v>
      </c>
      <c r="B23" s="95">
        <v>256</v>
      </c>
      <c r="C23" s="96">
        <v>76.751579284667969</v>
      </c>
      <c r="D23" s="97">
        <v>17.328188546630141</v>
      </c>
      <c r="E23" s="98">
        <v>2.6766681079736885</v>
      </c>
      <c r="F23" s="99">
        <v>20.292454842365469</v>
      </c>
      <c r="G23" s="98">
        <v>7.072871495880336</v>
      </c>
      <c r="H23" s="100">
        <v>19.36488884618279</v>
      </c>
      <c r="I23" s="101">
        <v>8.6963437428775325</v>
      </c>
      <c r="J23" s="97">
        <v>11.787988755183971</v>
      </c>
      <c r="K23" s="98">
        <v>4.8569898272220993</v>
      </c>
      <c r="L23" s="100">
        <v>18.031413144877341</v>
      </c>
      <c r="M23" s="101">
        <v>5.9378478204472129</v>
      </c>
      <c r="N23" s="97">
        <v>-2.2610416974881282</v>
      </c>
      <c r="O23" s="102">
        <v>9.1158982793812076</v>
      </c>
      <c r="P23" s="99">
        <v>23.187627848270999</v>
      </c>
      <c r="Q23" s="98">
        <v>3.5461767053178943</v>
      </c>
      <c r="R23" s="100">
        <v>3.850183037350233</v>
      </c>
      <c r="S23" s="101">
        <v>2.663211867699788</v>
      </c>
      <c r="T23" s="97">
        <v>0</v>
      </c>
      <c r="U23" s="101" t="s">
        <v>35</v>
      </c>
      <c r="V23" s="97">
        <v>-20.171720981225949</v>
      </c>
      <c r="W23" s="104">
        <v>3.9913021426024833</v>
      </c>
      <c r="X23" s="124"/>
      <c r="Y23" s="124"/>
      <c r="Z23" s="124"/>
      <c r="AA23" s="124"/>
      <c r="AB23" s="124"/>
      <c r="AC23" s="124"/>
      <c r="AD23" s="124"/>
      <c r="AE23" s="124"/>
    </row>
    <row r="24" spans="1:31" s="105" customFormat="1" x14ac:dyDescent="0.25">
      <c r="A24" s="118" t="s">
        <v>210</v>
      </c>
      <c r="B24" s="95">
        <v>224</v>
      </c>
      <c r="C24" s="96">
        <v>99.549774169921875</v>
      </c>
      <c r="D24" s="97">
        <v>19.725968013804881</v>
      </c>
      <c r="E24" s="98">
        <v>1.5211040925771171</v>
      </c>
      <c r="F24" s="99">
        <v>19.75145812846479</v>
      </c>
      <c r="G24" s="98">
        <v>4.3208414713630026</v>
      </c>
      <c r="H24" s="100">
        <v>20.613452655535781</v>
      </c>
      <c r="I24" s="101">
        <v>4.2532682779806406</v>
      </c>
      <c r="J24" s="97">
        <v>21.92740919080741</v>
      </c>
      <c r="K24" s="98">
        <v>4.3776126970253815</v>
      </c>
      <c r="L24" s="100">
        <v>16.627220071636351</v>
      </c>
      <c r="M24" s="101">
        <v>0.91693823155938614</v>
      </c>
      <c r="N24" s="97">
        <v>-3.124238056828442</v>
      </c>
      <c r="O24" s="102">
        <v>4.3856440597484196</v>
      </c>
      <c r="P24" s="99">
        <v>20.53847103227384</v>
      </c>
      <c r="Q24" s="98">
        <v>1.5668262106807398</v>
      </c>
      <c r="R24" s="100">
        <v>0</v>
      </c>
      <c r="S24" s="101" t="s">
        <v>35</v>
      </c>
      <c r="T24" s="97">
        <v>0</v>
      </c>
      <c r="U24" s="101" t="s">
        <v>35</v>
      </c>
      <c r="V24" s="97">
        <v>-20.53847103227384</v>
      </c>
      <c r="W24" s="104">
        <v>1.5668262106807398</v>
      </c>
      <c r="X24" s="124"/>
      <c r="Y24" s="124"/>
      <c r="Z24" s="124"/>
      <c r="AA24" s="124"/>
      <c r="AB24" s="124"/>
      <c r="AC24" s="124"/>
      <c r="AD24" s="124"/>
      <c r="AE24" s="124"/>
    </row>
    <row r="25" spans="1:31" s="105" customFormat="1" x14ac:dyDescent="0.25">
      <c r="A25" s="118" t="s">
        <v>211</v>
      </c>
      <c r="B25" s="95">
        <v>210</v>
      </c>
      <c r="C25" s="96">
        <v>99.331733703613281</v>
      </c>
      <c r="D25" s="97">
        <v>12.77450503938646</v>
      </c>
      <c r="E25" s="98">
        <v>2.331255792615206</v>
      </c>
      <c r="F25" s="99">
        <v>12.236207461465961</v>
      </c>
      <c r="G25" s="98">
        <v>4.095014334969358</v>
      </c>
      <c r="H25" s="100">
        <v>13.20162155322239</v>
      </c>
      <c r="I25" s="101">
        <v>4.6591216398808974</v>
      </c>
      <c r="J25" s="97">
        <v>14.814116641815501</v>
      </c>
      <c r="K25" s="98">
        <v>5.1859137320570197</v>
      </c>
      <c r="L25" s="100">
        <v>10.80544554005561</v>
      </c>
      <c r="M25" s="101">
        <v>4.7198109486995232</v>
      </c>
      <c r="N25" s="97">
        <v>-1.4307619214103491</v>
      </c>
      <c r="O25" s="102">
        <v>5.7834076589647676</v>
      </c>
      <c r="P25" s="99">
        <v>12.764223984054009</v>
      </c>
      <c r="Q25" s="98">
        <v>2.3575271828216091</v>
      </c>
      <c r="R25" s="100">
        <v>13.021139335472331</v>
      </c>
      <c r="S25" s="101">
        <v>13.342511442435466</v>
      </c>
      <c r="T25" s="97" t="s">
        <v>34</v>
      </c>
      <c r="U25" s="101" t="s">
        <v>34</v>
      </c>
      <c r="V25" s="97">
        <v>0.25691535141832134</v>
      </c>
      <c r="W25" s="104">
        <v>13.473275944290759</v>
      </c>
      <c r="X25" s="124"/>
      <c r="Y25" s="124"/>
      <c r="Z25" s="124"/>
      <c r="AA25" s="124"/>
      <c r="AB25" s="124"/>
      <c r="AC25" s="124"/>
      <c r="AD25" s="124"/>
      <c r="AE25" s="124"/>
    </row>
    <row r="26" spans="1:31" s="105" customFormat="1" x14ac:dyDescent="0.25">
      <c r="A26" s="118" t="s">
        <v>212</v>
      </c>
      <c r="B26" s="95">
        <v>164</v>
      </c>
      <c r="C26" s="96">
        <v>76.704635620117188</v>
      </c>
      <c r="D26" s="97">
        <v>12.40805722198583</v>
      </c>
      <c r="E26" s="98">
        <v>2.4520604055241768</v>
      </c>
      <c r="F26" s="99">
        <v>20.624059063586181</v>
      </c>
      <c r="G26" s="98">
        <v>6.9195236304573067</v>
      </c>
      <c r="H26" s="100">
        <v>5.3595416666284681</v>
      </c>
      <c r="I26" s="101">
        <v>4.9259943793703522</v>
      </c>
      <c r="J26" s="97">
        <v>14.73680467122224</v>
      </c>
      <c r="K26" s="98">
        <v>6.3676840518592002</v>
      </c>
      <c r="L26" s="100">
        <v>8.5365990111678993</v>
      </c>
      <c r="M26" s="101">
        <v>2.7408935021865122</v>
      </c>
      <c r="N26" s="97">
        <v>-12.08746005241828</v>
      </c>
      <c r="O26" s="102">
        <v>8.3302257020214636</v>
      </c>
      <c r="P26" s="99">
        <v>13.42960536427773</v>
      </c>
      <c r="Q26" s="98">
        <v>3.1026316946798764</v>
      </c>
      <c r="R26" s="100">
        <v>0.75060917475585021</v>
      </c>
      <c r="S26" s="101">
        <v>0.79135523724650914</v>
      </c>
      <c r="T26" s="97">
        <v>0</v>
      </c>
      <c r="U26" s="101" t="s">
        <v>35</v>
      </c>
      <c r="V26" s="97">
        <v>-13.039791189182266</v>
      </c>
      <c r="W26" s="104">
        <v>3.1272320573187162</v>
      </c>
      <c r="X26" s="124"/>
      <c r="Y26" s="124"/>
      <c r="Z26" s="124"/>
      <c r="AA26" s="124"/>
      <c r="AB26" s="124"/>
      <c r="AC26" s="124"/>
      <c r="AD26" s="124"/>
      <c r="AE26" s="124"/>
    </row>
    <row r="27" spans="1:31" s="105" customFormat="1" x14ac:dyDescent="0.25">
      <c r="A27" s="118" t="s">
        <v>213</v>
      </c>
      <c r="B27" s="95">
        <v>185</v>
      </c>
      <c r="C27" s="96">
        <v>82.18536376953125</v>
      </c>
      <c r="D27" s="97">
        <v>41.759308788050262</v>
      </c>
      <c r="E27" s="98">
        <v>3.5705209257998849</v>
      </c>
      <c r="F27" s="99">
        <v>44.267500449477581</v>
      </c>
      <c r="G27" s="98">
        <v>8.1206988631158534</v>
      </c>
      <c r="H27" s="100">
        <v>64.676337896798884</v>
      </c>
      <c r="I27" s="101">
        <v>8.499302897195717</v>
      </c>
      <c r="J27" s="97">
        <v>27.703061719710711</v>
      </c>
      <c r="K27" s="98">
        <v>8.741214314777034</v>
      </c>
      <c r="L27" s="100">
        <v>30.382119328539371</v>
      </c>
      <c r="M27" s="101">
        <v>7.2230385051876844</v>
      </c>
      <c r="N27" s="97">
        <v>-13.885381120938209</v>
      </c>
      <c r="O27" s="102">
        <v>10.369491451288527</v>
      </c>
      <c r="P27" s="99">
        <v>42.153215429320348</v>
      </c>
      <c r="Q27" s="98">
        <v>3.628757948002002</v>
      </c>
      <c r="R27" s="100">
        <v>29.799167135979161</v>
      </c>
      <c r="S27" s="101">
        <v>18.805784591565782</v>
      </c>
      <c r="T27" s="97" t="s">
        <v>34</v>
      </c>
      <c r="U27" s="101" t="s">
        <v>34</v>
      </c>
      <c r="V27" s="97">
        <v>-12.354048293341187</v>
      </c>
      <c r="W27" s="104">
        <v>19.082920404274898</v>
      </c>
      <c r="X27" s="124"/>
      <c r="Y27" s="124"/>
      <c r="Z27" s="124"/>
      <c r="AA27" s="124"/>
      <c r="AB27" s="124"/>
      <c r="AC27" s="124"/>
      <c r="AD27" s="124"/>
      <c r="AE27" s="124"/>
    </row>
    <row r="28" spans="1:31" s="105" customFormat="1" x14ac:dyDescent="0.25">
      <c r="A28" s="118" t="s">
        <v>214</v>
      </c>
      <c r="B28" s="95">
        <v>205</v>
      </c>
      <c r="C28" s="96">
        <v>95.011642456054688</v>
      </c>
      <c r="D28" s="97">
        <v>14.028849105626559</v>
      </c>
      <c r="E28" s="98">
        <v>2.6211263565755529</v>
      </c>
      <c r="F28" s="99">
        <v>8.0487017993915018</v>
      </c>
      <c r="G28" s="98">
        <v>4.1382404991261756</v>
      </c>
      <c r="H28" s="100">
        <v>20.191580876760831</v>
      </c>
      <c r="I28" s="101">
        <v>6.6266500343405559</v>
      </c>
      <c r="J28" s="97">
        <v>13.60146422642581</v>
      </c>
      <c r="K28" s="98">
        <v>7.2092101978593117</v>
      </c>
      <c r="L28" s="100">
        <v>14.485162109576599</v>
      </c>
      <c r="M28" s="101">
        <v>4.6003962931200073</v>
      </c>
      <c r="N28" s="97">
        <v>6.436460310185101</v>
      </c>
      <c r="O28" s="102">
        <v>6.2765180996699037</v>
      </c>
      <c r="P28" s="99">
        <v>14.332285157323181</v>
      </c>
      <c r="Q28" s="98">
        <v>2.7251320378694857</v>
      </c>
      <c r="R28" s="100" t="s">
        <v>34</v>
      </c>
      <c r="S28" s="101" t="s">
        <v>34</v>
      </c>
      <c r="T28" s="97">
        <v>9.6941538729472772</v>
      </c>
      <c r="U28" s="101">
        <v>9.9871811957462722</v>
      </c>
      <c r="V28" s="97">
        <v>-4.6381312843759037</v>
      </c>
      <c r="W28" s="104">
        <v>10.424019752828029</v>
      </c>
      <c r="X28" s="124"/>
      <c r="Y28" s="124"/>
      <c r="Z28" s="124"/>
      <c r="AA28" s="124"/>
      <c r="AB28" s="124"/>
      <c r="AC28" s="124"/>
      <c r="AD28" s="124"/>
      <c r="AE28" s="124"/>
    </row>
    <row r="29" spans="1:31" s="105" customFormat="1" x14ac:dyDescent="0.25">
      <c r="A29" s="118" t="s">
        <v>215</v>
      </c>
      <c r="B29" s="95">
        <v>160</v>
      </c>
      <c r="C29" s="96">
        <v>88.938301086425781</v>
      </c>
      <c r="D29" s="97">
        <v>5.1626906753209436</v>
      </c>
      <c r="E29" s="98">
        <v>1.7577031039250084</v>
      </c>
      <c r="F29" s="99">
        <v>7.5649665371350956</v>
      </c>
      <c r="G29" s="98">
        <v>4.4564336962412945</v>
      </c>
      <c r="H29" s="100">
        <v>3.793962466696263</v>
      </c>
      <c r="I29" s="101">
        <v>3.1296185677059563</v>
      </c>
      <c r="J29" s="97">
        <v>6.5263844446955428</v>
      </c>
      <c r="K29" s="98">
        <v>3.9353379610889374</v>
      </c>
      <c r="L29" s="100">
        <v>2.7082045694371031</v>
      </c>
      <c r="M29" s="101">
        <v>2.7440962365188559</v>
      </c>
      <c r="N29" s="97">
        <v>-4.8567619676979934</v>
      </c>
      <c r="O29" s="102">
        <v>5.1592701442221447</v>
      </c>
      <c r="P29" s="99">
        <v>6.1512889282550738</v>
      </c>
      <c r="Q29" s="98">
        <v>2.1918211158759684</v>
      </c>
      <c r="R29" s="100">
        <v>1.788916467527649</v>
      </c>
      <c r="S29" s="101">
        <v>1.8715950333264417</v>
      </c>
      <c r="T29" s="97" t="s">
        <v>34</v>
      </c>
      <c r="U29" s="101" t="s">
        <v>34</v>
      </c>
      <c r="V29" s="97">
        <v>-4.3623724607274248</v>
      </c>
      <c r="W29" s="104">
        <v>2.8553236732546856</v>
      </c>
      <c r="X29" s="124"/>
      <c r="Y29" s="124"/>
      <c r="Z29" s="124"/>
      <c r="AA29" s="124"/>
      <c r="AB29" s="124"/>
      <c r="AC29" s="124"/>
      <c r="AD29" s="124"/>
      <c r="AE29" s="124"/>
    </row>
    <row r="30" spans="1:31" s="105" customFormat="1" x14ac:dyDescent="0.25">
      <c r="A30" s="118" t="s">
        <v>216</v>
      </c>
      <c r="B30" s="95">
        <v>127</v>
      </c>
      <c r="C30" s="96">
        <v>98.697540283203125</v>
      </c>
      <c r="D30" s="97">
        <v>29.172388021569219</v>
      </c>
      <c r="E30" s="98">
        <v>0.23219536456246548</v>
      </c>
      <c r="F30" s="99">
        <v>19.7626070865355</v>
      </c>
      <c r="G30" s="98">
        <v>0.4980049917326137</v>
      </c>
      <c r="H30" s="100">
        <v>29.243431922754709</v>
      </c>
      <c r="I30" s="101">
        <v>0.37690082114392492</v>
      </c>
      <c r="J30" s="97">
        <v>39.321320741136972</v>
      </c>
      <c r="K30" s="98">
        <v>0.45511685787182765</v>
      </c>
      <c r="L30" s="100">
        <v>28.55467815251345</v>
      </c>
      <c r="M30" s="101">
        <v>0.25385644121682238</v>
      </c>
      <c r="N30" s="97">
        <v>8.7920710659779431</v>
      </c>
      <c r="O30" s="102">
        <v>0.57090910434197528</v>
      </c>
      <c r="P30" s="99">
        <v>29.81259535969933</v>
      </c>
      <c r="Q30" s="98">
        <v>0.23044439897319269</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19.600021922919371</v>
      </c>
      <c r="E31" s="98">
        <v>3.2455191290690051</v>
      </c>
      <c r="F31" s="99">
        <v>30.429073814654551</v>
      </c>
      <c r="G31" s="98">
        <v>6.9565766908787907</v>
      </c>
      <c r="H31" s="100">
        <v>15.795183994315391</v>
      </c>
      <c r="I31" s="101">
        <v>6.7906283884915233</v>
      </c>
      <c r="J31" s="97">
        <v>19.021972417162999</v>
      </c>
      <c r="K31" s="98">
        <v>6.5884281709781485</v>
      </c>
      <c r="L31" s="100">
        <v>13.463459855421201</v>
      </c>
      <c r="M31" s="101">
        <v>5.6425632716558756</v>
      </c>
      <c r="N31" s="97">
        <v>-16.965613959233352</v>
      </c>
      <c r="O31" s="102">
        <v>8.8373552213361215</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161</v>
      </c>
      <c r="C32" s="96">
        <v>93.866836547851563</v>
      </c>
      <c r="D32" s="97">
        <v>46.320045054794349</v>
      </c>
      <c r="E32" s="98">
        <v>4.3739677406631934</v>
      </c>
      <c r="F32" s="99">
        <v>46.559697855598813</v>
      </c>
      <c r="G32" s="98">
        <v>8.9443509950602955</v>
      </c>
      <c r="H32" s="100">
        <v>43.137630525598482</v>
      </c>
      <c r="I32" s="101">
        <v>8.3102818758316346</v>
      </c>
      <c r="J32" s="97">
        <v>59.520822761569377</v>
      </c>
      <c r="K32" s="98">
        <v>10.71928872053728</v>
      </c>
      <c r="L32" s="100">
        <v>35.986552013555837</v>
      </c>
      <c r="M32" s="101">
        <v>7.8426757772303546</v>
      </c>
      <c r="N32" s="97">
        <v>-10.57314584204298</v>
      </c>
      <c r="O32" s="102">
        <v>11.692513637230858</v>
      </c>
      <c r="P32" s="99">
        <v>46.320045054794349</v>
      </c>
      <c r="Q32" s="98">
        <v>4.3739677406631934</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490</v>
      </c>
      <c r="C33" s="96">
        <v>94.678024291992188</v>
      </c>
      <c r="D33" s="97">
        <v>11.42866711414983</v>
      </c>
      <c r="E33" s="98">
        <v>2.0568945953070723</v>
      </c>
      <c r="F33" s="99">
        <v>16.980318425753001</v>
      </c>
      <c r="G33" s="98">
        <v>5.3542070082162772</v>
      </c>
      <c r="H33" s="100">
        <v>6.9395064942472331</v>
      </c>
      <c r="I33" s="101">
        <v>5.0549796112684522</v>
      </c>
      <c r="J33" s="97">
        <v>15.124428896158831</v>
      </c>
      <c r="K33" s="98">
        <v>5.5284915095544935</v>
      </c>
      <c r="L33" s="100">
        <v>6.4882210443420263</v>
      </c>
      <c r="M33" s="101">
        <v>3.3966889377222231</v>
      </c>
      <c r="N33" s="97">
        <v>-10.49209738141097</v>
      </c>
      <c r="O33" s="102">
        <v>6.2071054229940277</v>
      </c>
      <c r="P33" s="99">
        <v>11.849634585065351</v>
      </c>
      <c r="Q33" s="98">
        <v>2.1276105625747554</v>
      </c>
      <c r="R33" s="100">
        <v>1.479823947915482</v>
      </c>
      <c r="S33" s="101">
        <v>0.75702320564704262</v>
      </c>
      <c r="T33" s="97">
        <v>0</v>
      </c>
      <c r="U33" s="101" t="s">
        <v>35</v>
      </c>
      <c r="V33" s="97">
        <v>-11.24119577168049</v>
      </c>
      <c r="W33" s="104">
        <v>2.1205010385983649</v>
      </c>
      <c r="X33" s="124"/>
      <c r="Y33" s="124"/>
      <c r="Z33" s="124"/>
      <c r="AA33" s="124"/>
      <c r="AB33" s="124"/>
      <c r="AC33" s="124"/>
      <c r="AD33" s="124"/>
      <c r="AE33" s="124"/>
    </row>
    <row r="34" spans="1:31" s="105" customFormat="1" x14ac:dyDescent="0.25">
      <c r="A34" s="118" t="s">
        <v>220</v>
      </c>
      <c r="B34" s="95">
        <v>183</v>
      </c>
      <c r="C34" s="96">
        <v>100</v>
      </c>
      <c r="D34" s="97">
        <v>6.357272542382197</v>
      </c>
      <c r="E34" s="98">
        <v>1.822651730240975</v>
      </c>
      <c r="F34" s="99">
        <v>6.7187862656700714</v>
      </c>
      <c r="G34" s="98">
        <v>3.2666131142505259</v>
      </c>
      <c r="H34" s="100">
        <v>8.880378932469231</v>
      </c>
      <c r="I34" s="101">
        <v>4.5137952198874682</v>
      </c>
      <c r="J34" s="97">
        <v>3.2225478417675402</v>
      </c>
      <c r="K34" s="98">
        <v>3.7591349734475661</v>
      </c>
      <c r="L34" s="100">
        <v>6.6938868920508678</v>
      </c>
      <c r="M34" s="101">
        <v>3.8336233158408621</v>
      </c>
      <c r="N34" s="97">
        <v>-2.4899373619202698E-2</v>
      </c>
      <c r="O34" s="102">
        <v>5.1236569336508486</v>
      </c>
      <c r="P34" s="99">
        <v>1.470534950927687</v>
      </c>
      <c r="Q34" s="98">
        <v>1.0419307075785891</v>
      </c>
      <c r="R34" s="100">
        <v>26.53259846069102</v>
      </c>
      <c r="S34" s="101">
        <v>15.784937253932902</v>
      </c>
      <c r="T34" s="97">
        <v>14.694531392779711</v>
      </c>
      <c r="U34" s="101">
        <v>5.096449773522636</v>
      </c>
      <c r="V34" s="97">
        <v>14.497294778354792</v>
      </c>
      <c r="W34" s="104">
        <v>5.1283860103096792</v>
      </c>
      <c r="X34" s="124"/>
      <c r="Y34" s="124"/>
      <c r="Z34" s="124"/>
      <c r="AA34" s="124"/>
      <c r="AB34" s="124"/>
      <c r="AC34" s="124"/>
      <c r="AD34" s="124"/>
      <c r="AE34" s="124"/>
    </row>
    <row r="35" spans="1:31" s="105" customFormat="1" x14ac:dyDescent="0.25">
      <c r="A35" s="118" t="s">
        <v>221</v>
      </c>
      <c r="B35" s="95">
        <v>153</v>
      </c>
      <c r="C35" s="96">
        <v>83.323898315429688</v>
      </c>
      <c r="D35" s="97">
        <v>4.8783589002427528</v>
      </c>
      <c r="E35" s="98">
        <v>1.7307766405241081</v>
      </c>
      <c r="F35" s="99">
        <v>3.616673549250002</v>
      </c>
      <c r="G35" s="98">
        <v>2.4119174663465413</v>
      </c>
      <c r="H35" s="100">
        <v>10.3107769954782</v>
      </c>
      <c r="I35" s="101">
        <v>5.4908487174433827</v>
      </c>
      <c r="J35" s="97">
        <v>2.933344767170817</v>
      </c>
      <c r="K35" s="98">
        <v>4.7917648677498272</v>
      </c>
      <c r="L35" s="100">
        <v>2.5915750611567492</v>
      </c>
      <c r="M35" s="101">
        <v>3.9692156815159163</v>
      </c>
      <c r="N35" s="97">
        <v>-1.025098488093253</v>
      </c>
      <c r="O35" s="102">
        <v>4.7366493227589821</v>
      </c>
      <c r="P35" s="99">
        <v>5.184072799207514</v>
      </c>
      <c r="Q35" s="98">
        <v>2.2591616474061351</v>
      </c>
      <c r="R35" s="100">
        <v>5.231518956519924</v>
      </c>
      <c r="S35" s="101">
        <v>2.9904759023849277</v>
      </c>
      <c r="T35" s="97">
        <v>0</v>
      </c>
      <c r="U35" s="101" t="s">
        <v>35</v>
      </c>
      <c r="V35" s="97">
        <v>-0.71731892723899371</v>
      </c>
      <c r="W35" s="104">
        <v>3.2969294193446599</v>
      </c>
      <c r="X35" s="124"/>
      <c r="Y35" s="124"/>
      <c r="Z35" s="124"/>
      <c r="AA35" s="124"/>
      <c r="AB35" s="124"/>
      <c r="AC35" s="124"/>
      <c r="AD35" s="124"/>
      <c r="AE35" s="124"/>
    </row>
    <row r="36" spans="1:31" s="105" customFormat="1" x14ac:dyDescent="0.25">
      <c r="A36" s="118" t="s">
        <v>222</v>
      </c>
      <c r="B36" s="95">
        <v>292</v>
      </c>
      <c r="C36" s="96">
        <v>95.217674255371094</v>
      </c>
      <c r="D36" s="97">
        <v>8.5453407924365727</v>
      </c>
      <c r="E36" s="98">
        <v>1.3515143336746136</v>
      </c>
      <c r="F36" s="99">
        <v>4.5538975332536946</v>
      </c>
      <c r="G36" s="98">
        <v>2.419636504406967</v>
      </c>
      <c r="H36" s="100">
        <v>5.9168846443378653</v>
      </c>
      <c r="I36" s="101">
        <v>2.1059037539582741</v>
      </c>
      <c r="J36" s="97">
        <v>8.0053666303786812</v>
      </c>
      <c r="K36" s="98">
        <v>3.2399356171736775</v>
      </c>
      <c r="L36" s="100">
        <v>15.83758060720373</v>
      </c>
      <c r="M36" s="101">
        <v>2.6119871469684655</v>
      </c>
      <c r="N36" s="97">
        <v>11.28368307395003</v>
      </c>
      <c r="O36" s="102">
        <v>3.0552384964062473</v>
      </c>
      <c r="P36" s="99">
        <v>8.6645589086405561</v>
      </c>
      <c r="Q36" s="98">
        <v>1.3697083998143267</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360</v>
      </c>
      <c r="C37" s="96">
        <v>99.716499328613281</v>
      </c>
      <c r="D37" s="97">
        <v>1.29886742780711</v>
      </c>
      <c r="E37" s="98">
        <v>0.26176751087808653</v>
      </c>
      <c r="F37" s="99">
        <v>0.67805850358573949</v>
      </c>
      <c r="G37" s="98">
        <v>0.71526984862862875</v>
      </c>
      <c r="H37" s="100">
        <v>0.2286014783671832</v>
      </c>
      <c r="I37" s="101">
        <v>4.6927805782630637E-2</v>
      </c>
      <c r="J37" s="97">
        <v>1.1754341776544051</v>
      </c>
      <c r="K37" s="98">
        <v>0.12186509805988802</v>
      </c>
      <c r="L37" s="100">
        <v>3.1277478888128649</v>
      </c>
      <c r="M37" s="101">
        <v>0.73748469423064467</v>
      </c>
      <c r="N37" s="97">
        <v>2.449689385227126</v>
      </c>
      <c r="O37" s="102">
        <v>1.0206224356746982</v>
      </c>
      <c r="P37" s="99">
        <v>1.35542264560259</v>
      </c>
      <c r="Q37" s="98">
        <v>0.27236674117133225</v>
      </c>
      <c r="R37" s="100">
        <v>0</v>
      </c>
      <c r="S37" s="101" t="s">
        <v>35</v>
      </c>
      <c r="T37" s="97" t="s">
        <v>34</v>
      </c>
      <c r="U37" s="101" t="s">
        <v>34</v>
      </c>
      <c r="V37" s="97">
        <v>-1.35542264560259</v>
      </c>
      <c r="W37" s="104">
        <v>0.27236674117133225</v>
      </c>
      <c r="X37" s="124"/>
      <c r="Y37" s="124"/>
      <c r="Z37" s="124"/>
      <c r="AA37" s="124"/>
      <c r="AB37" s="124"/>
      <c r="AC37" s="124"/>
      <c r="AD37" s="124"/>
      <c r="AE37" s="124"/>
    </row>
    <row r="38" spans="1:31" s="105" customFormat="1" x14ac:dyDescent="0.25">
      <c r="A38" s="118" t="s">
        <v>224</v>
      </c>
      <c r="B38" s="95">
        <v>42</v>
      </c>
      <c r="C38" s="96">
        <v>95.988121032714844</v>
      </c>
      <c r="D38" s="97">
        <v>4.7734611954307589</v>
      </c>
      <c r="E38" s="98">
        <v>4.5182867983404304E-2</v>
      </c>
      <c r="F38" s="99">
        <v>9.4158014781501702</v>
      </c>
      <c r="G38" s="98">
        <v>0.58480731445455814</v>
      </c>
      <c r="H38" s="100">
        <v>9.4658495748396465</v>
      </c>
      <c r="I38" s="101">
        <v>0.58725407044721423</v>
      </c>
      <c r="J38" s="97">
        <v>0</v>
      </c>
      <c r="K38" s="98" t="s">
        <v>35</v>
      </c>
      <c r="L38" s="100">
        <v>0</v>
      </c>
      <c r="M38" s="101" t="s">
        <v>35</v>
      </c>
      <c r="N38" s="97">
        <v>-9.4158014781501702</v>
      </c>
      <c r="O38" s="102">
        <v>0.58480731445455814</v>
      </c>
      <c r="P38" s="99">
        <v>5.8515526141221761</v>
      </c>
      <c r="Q38" s="98">
        <v>5.4115889766455524E-2</v>
      </c>
      <c r="R38" s="100">
        <v>0</v>
      </c>
      <c r="S38" s="101" t="s">
        <v>35</v>
      </c>
      <c r="T38" s="97" t="s">
        <v>34</v>
      </c>
      <c r="U38" s="101" t="s">
        <v>34</v>
      </c>
      <c r="V38" s="97">
        <v>-5.8515526141221761</v>
      </c>
      <c r="W38" s="104">
        <v>5.4115889766455524E-2</v>
      </c>
      <c r="X38" s="124"/>
      <c r="Y38" s="124"/>
      <c r="Z38" s="124"/>
      <c r="AA38" s="124"/>
      <c r="AB38" s="124"/>
      <c r="AC38" s="124"/>
      <c r="AD38" s="124"/>
      <c r="AE38" s="124"/>
    </row>
    <row r="39" spans="1:31" s="105" customFormat="1" x14ac:dyDescent="0.25">
      <c r="A39" s="118" t="s">
        <v>225</v>
      </c>
      <c r="B39" s="95">
        <v>209</v>
      </c>
      <c r="C39" s="96">
        <v>78.535499572753906</v>
      </c>
      <c r="D39" s="97">
        <v>15.204890935598</v>
      </c>
      <c r="E39" s="98">
        <v>2.7302396952706265</v>
      </c>
      <c r="F39" s="99">
        <v>8.1258476860985844</v>
      </c>
      <c r="G39" s="98">
        <v>4.667645392449165</v>
      </c>
      <c r="H39" s="100">
        <v>19.262724558235131</v>
      </c>
      <c r="I39" s="101">
        <v>6.4690748664204589</v>
      </c>
      <c r="J39" s="97">
        <v>26.562657553105769</v>
      </c>
      <c r="K39" s="98">
        <v>7.4488057463204136</v>
      </c>
      <c r="L39" s="100">
        <v>6.2301741456781361</v>
      </c>
      <c r="M39" s="101">
        <v>4.1234909941900115</v>
      </c>
      <c r="N39" s="97">
        <v>-1.8956735404204481</v>
      </c>
      <c r="O39" s="102">
        <v>6.5615382075129274</v>
      </c>
      <c r="P39" s="99">
        <v>17.43984619150519</v>
      </c>
      <c r="Q39" s="98">
        <v>3.1304257382529914</v>
      </c>
      <c r="R39" s="100" t="s">
        <v>34</v>
      </c>
      <c r="S39" s="101" t="s">
        <v>34</v>
      </c>
      <c r="T39" s="97">
        <v>0</v>
      </c>
      <c r="U39" s="101" t="s">
        <v>35</v>
      </c>
      <c r="V39" s="97">
        <v>-17.43984619150519</v>
      </c>
      <c r="W39" s="104">
        <v>3.1304257382529914</v>
      </c>
      <c r="X39" s="124"/>
      <c r="Y39" s="124"/>
      <c r="Z39" s="124"/>
      <c r="AA39" s="124"/>
      <c r="AB39" s="124"/>
      <c r="AC39" s="124"/>
      <c r="AD39" s="124"/>
      <c r="AE39" s="124"/>
    </row>
    <row r="40" spans="1:31" s="105" customFormat="1" x14ac:dyDescent="0.25">
      <c r="A40" s="118" t="s">
        <v>300</v>
      </c>
      <c r="B40" s="95">
        <v>145</v>
      </c>
      <c r="C40" s="96">
        <v>93.125473022460938</v>
      </c>
      <c r="D40" s="97">
        <v>46.939420331890616</v>
      </c>
      <c r="E40" s="98">
        <v>4.8731647399703837</v>
      </c>
      <c r="F40" s="99">
        <v>34.036418733463009</v>
      </c>
      <c r="G40" s="98">
        <v>8.3688078221092574</v>
      </c>
      <c r="H40" s="100">
        <v>52.810926271403247</v>
      </c>
      <c r="I40" s="101">
        <v>11.734735057348965</v>
      </c>
      <c r="J40" s="97">
        <v>47.812511629258687</v>
      </c>
      <c r="K40" s="98">
        <v>12.637847690884625</v>
      </c>
      <c r="L40" s="100">
        <v>53.646540687862867</v>
      </c>
      <c r="M40" s="101">
        <v>11.034731332520193</v>
      </c>
      <c r="N40" s="97">
        <v>19.610121954399869</v>
      </c>
      <c r="O40" s="102">
        <v>13.113976304140735</v>
      </c>
      <c r="P40" s="99">
        <v>51.832978632011233</v>
      </c>
      <c r="Q40" s="98">
        <v>7.5499013527918928</v>
      </c>
      <c r="R40" s="100">
        <v>44.583699892106729</v>
      </c>
      <c r="S40" s="101">
        <v>5.757197753370586</v>
      </c>
      <c r="T40" s="97" t="s">
        <v>34</v>
      </c>
      <c r="U40" s="101" t="s">
        <v>34</v>
      </c>
      <c r="V40" s="97">
        <v>-7.2492787399045042</v>
      </c>
      <c r="W40" s="104">
        <v>8.8919995200602209</v>
      </c>
      <c r="X40" s="124"/>
      <c r="Y40" s="124"/>
      <c r="Z40" s="124"/>
      <c r="AA40" s="124"/>
      <c r="AB40" s="124"/>
      <c r="AC40" s="124"/>
      <c r="AD40" s="124"/>
      <c r="AE40" s="124"/>
    </row>
    <row r="41" spans="1:31" s="105" customFormat="1" x14ac:dyDescent="0.25">
      <c r="A41" s="118" t="s">
        <v>226</v>
      </c>
      <c r="B41" s="95">
        <v>183</v>
      </c>
      <c r="C41" s="96">
        <v>95.555328369140625</v>
      </c>
      <c r="D41" s="97">
        <v>9.7734210481489967</v>
      </c>
      <c r="E41" s="98">
        <v>1.9872043151295451</v>
      </c>
      <c r="F41" s="99">
        <v>20.23724157546728</v>
      </c>
      <c r="G41" s="98">
        <v>5.9150585810186183</v>
      </c>
      <c r="H41" s="100">
        <v>7.0770085489357619</v>
      </c>
      <c r="I41" s="101">
        <v>5.2402919245179662</v>
      </c>
      <c r="J41" s="97">
        <v>4.7762500804216481</v>
      </c>
      <c r="K41" s="98">
        <v>3.2148476986335051</v>
      </c>
      <c r="L41" s="100">
        <v>6.8190827214637677</v>
      </c>
      <c r="M41" s="101">
        <v>4.3846944456413866</v>
      </c>
      <c r="N41" s="97">
        <v>-13.41815885400351</v>
      </c>
      <c r="O41" s="102">
        <v>7.2662055605956404</v>
      </c>
      <c r="P41" s="99">
        <v>10.404825983449021</v>
      </c>
      <c r="Q41" s="98">
        <v>2.1111713635326415</v>
      </c>
      <c r="R41" s="100" t="s">
        <v>34</v>
      </c>
      <c r="S41" s="101" t="s">
        <v>34</v>
      </c>
      <c r="T41" s="97">
        <v>0</v>
      </c>
      <c r="U41" s="101" t="s">
        <v>35</v>
      </c>
      <c r="V41" s="97">
        <v>-10.404825983449021</v>
      </c>
      <c r="W41" s="104">
        <v>2.1111713635326415</v>
      </c>
      <c r="X41" s="124"/>
      <c r="Y41" s="124"/>
      <c r="Z41" s="124"/>
      <c r="AA41" s="124"/>
      <c r="AB41" s="124"/>
      <c r="AC41" s="124"/>
      <c r="AD41" s="124"/>
      <c r="AE41" s="124"/>
    </row>
    <row r="42" spans="1:31" s="105" customFormat="1" x14ac:dyDescent="0.25">
      <c r="A42" s="118" t="s">
        <v>227</v>
      </c>
      <c r="B42" s="95">
        <v>243</v>
      </c>
      <c r="C42" s="96">
        <v>97.620384216308594</v>
      </c>
      <c r="D42" s="97">
        <v>30.728619372664681</v>
      </c>
      <c r="E42" s="98">
        <v>3.0624615705350666</v>
      </c>
      <c r="F42" s="99">
        <v>42.899414060189422</v>
      </c>
      <c r="G42" s="98">
        <v>7.7670772422418057</v>
      </c>
      <c r="H42" s="100">
        <v>22.12892593583523</v>
      </c>
      <c r="I42" s="101">
        <v>10.134048883186317</v>
      </c>
      <c r="J42" s="97">
        <v>29.033406330079689</v>
      </c>
      <c r="K42" s="98">
        <v>9.7946609774870623</v>
      </c>
      <c r="L42" s="100">
        <v>29.05110293073362</v>
      </c>
      <c r="M42" s="101">
        <v>6.8153268003999141</v>
      </c>
      <c r="N42" s="97">
        <v>-13.8483111294558</v>
      </c>
      <c r="O42" s="102">
        <v>10.890250988128022</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9.3153307559750544</v>
      </c>
      <c r="E43" s="98">
        <v>1.8992227839858231</v>
      </c>
      <c r="F43" s="99">
        <v>7.4335191299915842</v>
      </c>
      <c r="G43" s="98">
        <v>3.8136773536135782</v>
      </c>
      <c r="H43" s="100">
        <v>11.80789329375453</v>
      </c>
      <c r="I43" s="101">
        <v>4.9587434091794877</v>
      </c>
      <c r="J43" s="97">
        <v>11.88099164670537</v>
      </c>
      <c r="K43" s="98">
        <v>5.9004360392354016</v>
      </c>
      <c r="L43" s="100">
        <v>6.1563808867660121</v>
      </c>
      <c r="M43" s="101">
        <v>3.588546774934203</v>
      </c>
      <c r="N43" s="97">
        <v>-1.277138243225572</v>
      </c>
      <c r="O43" s="102">
        <v>5.2223979841742265</v>
      </c>
      <c r="P43" s="99">
        <v>9.759593863490112</v>
      </c>
      <c r="Q43" s="98">
        <v>1.9954622583983348</v>
      </c>
      <c r="R43" s="100">
        <v>0</v>
      </c>
      <c r="S43" s="101" t="s">
        <v>35</v>
      </c>
      <c r="T43" s="97" t="s">
        <v>34</v>
      </c>
      <c r="U43" s="101" t="s">
        <v>34</v>
      </c>
      <c r="V43" s="97">
        <v>-9.759593863490112</v>
      </c>
      <c r="W43" s="104">
        <v>1.9954622583983348</v>
      </c>
      <c r="X43" s="124"/>
      <c r="Y43" s="124"/>
      <c r="Z43" s="124"/>
      <c r="AA43" s="124"/>
      <c r="AB43" s="124"/>
      <c r="AC43" s="124"/>
      <c r="AD43" s="124"/>
      <c r="AE43" s="124"/>
    </row>
    <row r="44" spans="1:31" s="105" customFormat="1" x14ac:dyDescent="0.25">
      <c r="A44" s="118" t="s">
        <v>301</v>
      </c>
      <c r="B44" s="95">
        <v>231</v>
      </c>
      <c r="C44" s="96">
        <v>87.48223876953125</v>
      </c>
      <c r="D44" s="97">
        <v>12.935513364326541</v>
      </c>
      <c r="E44" s="98">
        <v>2.7055800557740395</v>
      </c>
      <c r="F44" s="99">
        <v>5.7055802157815858</v>
      </c>
      <c r="G44" s="98">
        <v>2.5984577176620816</v>
      </c>
      <c r="H44" s="100">
        <v>17.789456734060739</v>
      </c>
      <c r="I44" s="101">
        <v>7.5124594539174234</v>
      </c>
      <c r="J44" s="97">
        <v>14.63206944557977</v>
      </c>
      <c r="K44" s="98">
        <v>7.4102011718574099</v>
      </c>
      <c r="L44" s="100">
        <v>13.729115793088409</v>
      </c>
      <c r="M44" s="101">
        <v>5.8913373827975768</v>
      </c>
      <c r="N44" s="97">
        <v>8.0235355773068235</v>
      </c>
      <c r="O44" s="102">
        <v>6.4241434170653688</v>
      </c>
      <c r="P44" s="99">
        <v>14.57564021063485</v>
      </c>
      <c r="Q44" s="98">
        <v>3.0605447079204029</v>
      </c>
      <c r="R44" s="100">
        <v>8.2199610953514117</v>
      </c>
      <c r="S44" s="101">
        <v>5.5224676633005076</v>
      </c>
      <c r="T44" s="97">
        <v>0</v>
      </c>
      <c r="U44" s="101" t="s">
        <v>35</v>
      </c>
      <c r="V44" s="97">
        <v>-10.550594971045271</v>
      </c>
      <c r="W44" s="104">
        <v>3.9417950005929052</v>
      </c>
      <c r="X44" s="124"/>
      <c r="Y44" s="124"/>
      <c r="Z44" s="124"/>
      <c r="AA44" s="124"/>
      <c r="AB44" s="124"/>
      <c r="AC44" s="124"/>
      <c r="AD44" s="124"/>
      <c r="AE44" s="124"/>
    </row>
    <row r="45" spans="1:31" s="105" customFormat="1" x14ac:dyDescent="0.25">
      <c r="A45" s="118" t="s">
        <v>229</v>
      </c>
      <c r="B45" s="95">
        <v>355</v>
      </c>
      <c r="C45" s="96">
        <v>94.661209106445313</v>
      </c>
      <c r="D45" s="97">
        <v>6.8806021346870256</v>
      </c>
      <c r="E45" s="98">
        <v>1.4825842825019711</v>
      </c>
      <c r="F45" s="99">
        <v>4.8042440144523368</v>
      </c>
      <c r="G45" s="98">
        <v>2.2426413937962941</v>
      </c>
      <c r="H45" s="100">
        <v>4.2280344937034036</v>
      </c>
      <c r="I45" s="101">
        <v>3.5945975127779612</v>
      </c>
      <c r="J45" s="97">
        <v>3.6759073347476048</v>
      </c>
      <c r="K45" s="98">
        <v>2.9717546303362328</v>
      </c>
      <c r="L45" s="100">
        <v>14.81361941186432</v>
      </c>
      <c r="M45" s="101">
        <v>4.4613708584212448</v>
      </c>
      <c r="N45" s="97">
        <v>10.009375397411979</v>
      </c>
      <c r="O45" s="102">
        <v>5.4448181089921173</v>
      </c>
      <c r="P45" s="99">
        <v>6.8008918860962861</v>
      </c>
      <c r="Q45" s="98">
        <v>1.6918439352968093</v>
      </c>
      <c r="R45" s="100">
        <v>8.0398088992546182</v>
      </c>
      <c r="S45" s="101">
        <v>4.9682100454813005</v>
      </c>
      <c r="T45" s="97" t="s">
        <v>34</v>
      </c>
      <c r="U45" s="101" t="s">
        <v>34</v>
      </c>
      <c r="V45" s="97">
        <v>1.238917013158332</v>
      </c>
      <c r="W45" s="104">
        <v>5.5869630543181215</v>
      </c>
      <c r="X45" s="124"/>
      <c r="Y45" s="124"/>
      <c r="Z45" s="124"/>
      <c r="AA45" s="124"/>
      <c r="AB45" s="124"/>
      <c r="AC45" s="124"/>
      <c r="AD45" s="124"/>
      <c r="AE45" s="124"/>
    </row>
    <row r="46" spans="1:31" s="105" customFormat="1" x14ac:dyDescent="0.25">
      <c r="A46" s="118" t="s">
        <v>230</v>
      </c>
      <c r="B46" s="95">
        <v>276</v>
      </c>
      <c r="C46" s="96">
        <v>87.400062561035156</v>
      </c>
      <c r="D46" s="97">
        <v>22.83649358340281</v>
      </c>
      <c r="E46" s="98">
        <v>0.15449961849917204</v>
      </c>
      <c r="F46" s="99">
        <v>31.069084170436749</v>
      </c>
      <c r="G46" s="98">
        <v>0.34847867814914008</v>
      </c>
      <c r="H46" s="100">
        <v>32.377639235871833</v>
      </c>
      <c r="I46" s="101">
        <v>0.31880580000185188</v>
      </c>
      <c r="J46" s="97">
        <v>11.97759895746008</v>
      </c>
      <c r="K46" s="98">
        <v>0.17713657985396147</v>
      </c>
      <c r="L46" s="100">
        <v>16.000663672168681</v>
      </c>
      <c r="M46" s="101">
        <v>0.32835926370376411</v>
      </c>
      <c r="N46" s="97">
        <v>-15.068420498268081</v>
      </c>
      <c r="O46" s="102">
        <v>0.47437529347637358</v>
      </c>
      <c r="P46" s="99">
        <v>21.95485186866761</v>
      </c>
      <c r="Q46" s="98">
        <v>0.14885082183147516</v>
      </c>
      <c r="R46" s="100">
        <v>55.120417973978483</v>
      </c>
      <c r="S46" s="101">
        <v>1.1716619724222288</v>
      </c>
      <c r="T46" s="97" t="s">
        <v>34</v>
      </c>
      <c r="U46" s="101" t="s">
        <v>34</v>
      </c>
      <c r="V46" s="97">
        <v>33.165566105310873</v>
      </c>
      <c r="W46" s="104">
        <v>1.1843146631245167</v>
      </c>
      <c r="X46" s="124"/>
      <c r="Y46" s="124"/>
      <c r="Z46" s="124"/>
      <c r="AA46" s="124"/>
      <c r="AB46" s="124"/>
      <c r="AC46" s="124"/>
      <c r="AD46" s="124"/>
      <c r="AE46" s="124"/>
    </row>
    <row r="47" spans="1:31" s="105" customFormat="1" x14ac:dyDescent="0.25">
      <c r="A47" s="118" t="s">
        <v>231</v>
      </c>
      <c r="B47" s="95">
        <v>1053</v>
      </c>
      <c r="C47" s="96">
        <v>97.360328674316406</v>
      </c>
      <c r="D47" s="97">
        <v>7.3234015155863874</v>
      </c>
      <c r="E47" s="98">
        <v>1.1739833639293864</v>
      </c>
      <c r="F47" s="99">
        <v>13.555632107767901</v>
      </c>
      <c r="G47" s="98">
        <v>3.3491022416117597</v>
      </c>
      <c r="H47" s="100">
        <v>6.7766489061076136</v>
      </c>
      <c r="I47" s="101">
        <v>2.0354344195786425</v>
      </c>
      <c r="J47" s="97">
        <v>4.0672528767449911</v>
      </c>
      <c r="K47" s="98">
        <v>1.6981443877672027</v>
      </c>
      <c r="L47" s="100">
        <v>4.8970512988326647</v>
      </c>
      <c r="M47" s="101">
        <v>2.4985773298648644</v>
      </c>
      <c r="N47" s="97">
        <v>-8.6585808089352305</v>
      </c>
      <c r="O47" s="102">
        <v>4.0802122409946753</v>
      </c>
      <c r="P47" s="99">
        <v>10.151337531081531</v>
      </c>
      <c r="Q47" s="98">
        <v>1.6167409857052104</v>
      </c>
      <c r="R47" s="100">
        <v>1.0269960550613859</v>
      </c>
      <c r="S47" s="101">
        <v>0.80982983992081148</v>
      </c>
      <c r="T47" s="97">
        <v>2.5618635183636052</v>
      </c>
      <c r="U47" s="101">
        <v>1.5081868982609492</v>
      </c>
      <c r="V47" s="97">
        <v>-8.818466660479892</v>
      </c>
      <c r="W47" s="104">
        <v>1.5556246457552534</v>
      </c>
      <c r="X47" s="124"/>
      <c r="Y47" s="124"/>
      <c r="Z47" s="124"/>
      <c r="AA47" s="124"/>
      <c r="AB47" s="124"/>
      <c r="AC47" s="124"/>
      <c r="AD47" s="124"/>
      <c r="AE47" s="124"/>
    </row>
    <row r="48" spans="1:31" s="105" customFormat="1" x14ac:dyDescent="0.25">
      <c r="A48" s="118" t="s">
        <v>232</v>
      </c>
      <c r="B48" s="95">
        <v>201</v>
      </c>
      <c r="C48" s="96">
        <v>96.093132019042969</v>
      </c>
      <c r="D48" s="97">
        <v>20.754745470492889</v>
      </c>
      <c r="E48" s="98">
        <v>2.9209071000910498</v>
      </c>
      <c r="F48" s="99">
        <v>40.970258999736529</v>
      </c>
      <c r="G48" s="98">
        <v>7.6217043822434158</v>
      </c>
      <c r="H48" s="100">
        <v>24.815068097220831</v>
      </c>
      <c r="I48" s="101">
        <v>7.4448740216633729</v>
      </c>
      <c r="J48" s="97">
        <v>10.537007152370951</v>
      </c>
      <c r="K48" s="98">
        <v>5.4743655299568719</v>
      </c>
      <c r="L48" s="100">
        <v>6.6809439827039121</v>
      </c>
      <c r="M48" s="101">
        <v>3.7244294049663664</v>
      </c>
      <c r="N48" s="97">
        <v>-34.289315017032621</v>
      </c>
      <c r="O48" s="102">
        <v>8.5222531812891571</v>
      </c>
      <c r="P48" s="99">
        <v>21.683924953890759</v>
      </c>
      <c r="Q48" s="98">
        <v>3.3324438593467733</v>
      </c>
      <c r="R48" s="100">
        <v>16.832472135819341</v>
      </c>
      <c r="S48" s="101">
        <v>6.1089727089144139</v>
      </c>
      <c r="T48" s="97" t="s">
        <v>34</v>
      </c>
      <c r="U48" s="101" t="s">
        <v>34</v>
      </c>
      <c r="V48" s="97">
        <v>-4.8514528180714187</v>
      </c>
      <c r="W48" s="104">
        <v>6.961195971952705</v>
      </c>
      <c r="X48" s="124"/>
      <c r="Y48" s="124"/>
      <c r="Z48" s="124"/>
      <c r="AA48" s="124"/>
      <c r="AB48" s="124"/>
      <c r="AC48" s="124"/>
      <c r="AD48" s="124"/>
      <c r="AE48" s="124"/>
    </row>
    <row r="49" spans="1:31" s="105" customFormat="1" x14ac:dyDescent="0.25">
      <c r="A49" s="118" t="s">
        <v>233</v>
      </c>
      <c r="B49" s="95">
        <v>156</v>
      </c>
      <c r="C49" s="96">
        <v>73.879913330078125</v>
      </c>
      <c r="D49" s="97">
        <v>6.1899215070680746</v>
      </c>
      <c r="E49" s="98">
        <v>2.1971757671564034</v>
      </c>
      <c r="F49" s="99">
        <v>2.3493035103227031</v>
      </c>
      <c r="G49" s="98">
        <v>3.2131856650367756</v>
      </c>
      <c r="H49" s="100">
        <v>8.4633520974046483</v>
      </c>
      <c r="I49" s="101">
        <v>5.3678481590615732</v>
      </c>
      <c r="J49" s="97">
        <v>3.3272631889069388</v>
      </c>
      <c r="K49" s="98">
        <v>3.4909515467513832</v>
      </c>
      <c r="L49" s="100">
        <v>10.551601893509771</v>
      </c>
      <c r="M49" s="101">
        <v>6.0284846533508185</v>
      </c>
      <c r="N49" s="97">
        <v>8.2022983831870704</v>
      </c>
      <c r="O49" s="102">
        <v>6.4172949551228715</v>
      </c>
      <c r="P49" s="99">
        <v>6.4309637917004512</v>
      </c>
      <c r="Q49" s="98">
        <v>2.3182427152385303</v>
      </c>
      <c r="R49" s="100" t="s">
        <v>34</v>
      </c>
      <c r="S49" s="101" t="s">
        <v>34</v>
      </c>
      <c r="T49" s="97">
        <v>2.1809925819549552</v>
      </c>
      <c r="U49" s="101">
        <v>2.1158771723283474</v>
      </c>
      <c r="V49" s="97">
        <v>-4.249971209745496</v>
      </c>
      <c r="W49" s="104">
        <v>3.1239341654521184</v>
      </c>
      <c r="X49" s="124"/>
      <c r="Y49" s="124"/>
      <c r="Z49" s="124"/>
      <c r="AA49" s="124"/>
      <c r="AB49" s="124"/>
      <c r="AC49" s="124"/>
      <c r="AD49" s="124"/>
      <c r="AE49" s="124"/>
    </row>
    <row r="50" spans="1:31" s="105" customFormat="1" x14ac:dyDescent="0.25">
      <c r="A50" s="118" t="s">
        <v>234</v>
      </c>
      <c r="B50" s="95">
        <v>179</v>
      </c>
      <c r="C50" s="96">
        <v>99.083198547363281</v>
      </c>
      <c r="D50" s="97">
        <v>6.9231319134716376</v>
      </c>
      <c r="E50" s="98">
        <v>2.0079597356304011</v>
      </c>
      <c r="F50" s="99">
        <v>4.3454028242305496</v>
      </c>
      <c r="G50" s="98">
        <v>3.5396827470243579</v>
      </c>
      <c r="H50" s="100">
        <v>6.4183774348484786</v>
      </c>
      <c r="I50" s="101">
        <v>4.7629085687430051</v>
      </c>
      <c r="J50" s="97">
        <v>13.832246582903871</v>
      </c>
      <c r="K50" s="98">
        <v>6.1999169289144573</v>
      </c>
      <c r="L50" s="100">
        <v>2.8371948885797962</v>
      </c>
      <c r="M50" s="101">
        <v>4.200989344017902</v>
      </c>
      <c r="N50" s="97">
        <v>-1.5082079356507541</v>
      </c>
      <c r="O50" s="102">
        <v>5.5420604554417539</v>
      </c>
      <c r="P50" s="99">
        <v>7.8497947062162332</v>
      </c>
      <c r="Q50" s="98">
        <v>2.277735892121068</v>
      </c>
      <c r="R50" s="100" t="s">
        <v>34</v>
      </c>
      <c r="S50" s="101" t="s">
        <v>34</v>
      </c>
      <c r="T50" s="97">
        <v>0</v>
      </c>
      <c r="U50" s="101" t="s">
        <v>35</v>
      </c>
      <c r="V50" s="97">
        <v>-7.8497947062162332</v>
      </c>
      <c r="W50" s="104">
        <v>2.277735892121068</v>
      </c>
      <c r="X50" s="124"/>
      <c r="Y50" s="124"/>
      <c r="Z50" s="124"/>
      <c r="AA50" s="124"/>
      <c r="AB50" s="124"/>
      <c r="AC50" s="124"/>
      <c r="AD50" s="124"/>
      <c r="AE50" s="124"/>
    </row>
    <row r="51" spans="1:31" s="105" customFormat="1" x14ac:dyDescent="0.25">
      <c r="A51" s="118" t="s">
        <v>235</v>
      </c>
      <c r="B51" s="95">
        <v>389</v>
      </c>
      <c r="C51" s="96">
        <v>78.887107849121094</v>
      </c>
      <c r="D51" s="97">
        <v>20.50212322297735</v>
      </c>
      <c r="E51" s="98">
        <v>2.9458042753754299</v>
      </c>
      <c r="F51" s="99">
        <v>21.76991481551752</v>
      </c>
      <c r="G51" s="98">
        <v>6.0989472076514302</v>
      </c>
      <c r="H51" s="100">
        <v>29.01367246737923</v>
      </c>
      <c r="I51" s="101">
        <v>8.7238361171537502</v>
      </c>
      <c r="J51" s="97">
        <v>11.529719460007771</v>
      </c>
      <c r="K51" s="98">
        <v>6.7462263513033403</v>
      </c>
      <c r="L51" s="100">
        <v>21.082896073400221</v>
      </c>
      <c r="M51" s="101">
        <v>7.4644998546248074</v>
      </c>
      <c r="N51" s="97">
        <v>-0.68701874211729574</v>
      </c>
      <c r="O51" s="102">
        <v>9.6456177280164095</v>
      </c>
      <c r="P51" s="99">
        <v>25.5425967593088</v>
      </c>
      <c r="Q51" s="98">
        <v>4.5237658772601073</v>
      </c>
      <c r="R51" s="100">
        <v>14.642947521128701</v>
      </c>
      <c r="S51" s="101">
        <v>3.7759423803399255</v>
      </c>
      <c r="T51" s="97">
        <v>21.517329626037949</v>
      </c>
      <c r="U51" s="101">
        <v>12.500040319276398</v>
      </c>
      <c r="V51" s="97">
        <v>-9.8779695500602109</v>
      </c>
      <c r="W51" s="104">
        <v>5.8840185774468132</v>
      </c>
      <c r="X51" s="124"/>
      <c r="Y51" s="124"/>
      <c r="Z51" s="124"/>
      <c r="AA51" s="124"/>
      <c r="AB51" s="124"/>
      <c r="AC51" s="124"/>
      <c r="AD51" s="124"/>
      <c r="AE51" s="124"/>
    </row>
    <row r="52" spans="1:31" s="105" customFormat="1" x14ac:dyDescent="0.25">
      <c r="A52" s="118" t="s">
        <v>302</v>
      </c>
      <c r="B52" s="95">
        <v>146</v>
      </c>
      <c r="C52" s="96">
        <v>88.792434692382813</v>
      </c>
      <c r="D52" s="97">
        <v>14.120238285012221</v>
      </c>
      <c r="E52" s="98">
        <v>2.8406275730157673</v>
      </c>
      <c r="F52" s="99">
        <v>25.356596612986831</v>
      </c>
      <c r="G52" s="98">
        <v>8.2453165314602028</v>
      </c>
      <c r="H52" s="100">
        <v>19.323718356105381</v>
      </c>
      <c r="I52" s="101">
        <v>7.3750997429372056</v>
      </c>
      <c r="J52" s="97">
        <v>9.6164935015332258</v>
      </c>
      <c r="K52" s="98">
        <v>5.1901193184226377</v>
      </c>
      <c r="L52" s="100">
        <v>2.5290833061800191</v>
      </c>
      <c r="M52" s="101">
        <v>3.2060477618457379</v>
      </c>
      <c r="N52" s="97">
        <v>-22.827513306806811</v>
      </c>
      <c r="O52" s="102">
        <v>9.1422249498597594</v>
      </c>
      <c r="P52" s="99">
        <v>14.5177817712039</v>
      </c>
      <c r="Q52" s="98">
        <v>3.0203985253165038</v>
      </c>
      <c r="R52" s="100" t="s">
        <v>34</v>
      </c>
      <c r="S52" s="101" t="s">
        <v>34</v>
      </c>
      <c r="T52" s="97">
        <v>11.583860412884111</v>
      </c>
      <c r="U52" s="101">
        <v>8.3673763057976007</v>
      </c>
      <c r="V52" s="97">
        <v>-2.9339213583197896</v>
      </c>
      <c r="W52" s="104">
        <v>8.8804865130186545</v>
      </c>
      <c r="X52" s="124"/>
      <c r="Y52" s="124"/>
      <c r="Z52" s="124"/>
      <c r="AA52" s="124"/>
      <c r="AB52" s="124"/>
      <c r="AC52" s="124"/>
      <c r="AD52" s="124"/>
      <c r="AE52" s="124"/>
    </row>
    <row r="53" spans="1:31" s="105" customFormat="1" x14ac:dyDescent="0.25">
      <c r="A53" s="118" t="s">
        <v>236</v>
      </c>
      <c r="B53" s="95" t="s">
        <v>34</v>
      </c>
      <c r="C53" s="96" t="s">
        <v>34</v>
      </c>
      <c r="D53" s="97">
        <v>17.935377036650639</v>
      </c>
      <c r="E53" s="98">
        <v>0.41019662749230718</v>
      </c>
      <c r="F53" s="99">
        <v>20.852871150666619</v>
      </c>
      <c r="G53" s="98">
        <v>0.91543712869744498</v>
      </c>
      <c r="H53" s="100">
        <v>19.654473037624371</v>
      </c>
      <c r="I53" s="101">
        <v>1.0293634794202291</v>
      </c>
      <c r="J53" s="97">
        <v>16.73869516705545</v>
      </c>
      <c r="K53" s="98">
        <v>1.0043431959573159</v>
      </c>
      <c r="L53" s="100">
        <v>14.63067364594103</v>
      </c>
      <c r="M53" s="101">
        <v>0.82319124323056858</v>
      </c>
      <c r="N53" s="97">
        <v>-6.2221975047255853</v>
      </c>
      <c r="O53" s="102">
        <v>1.225693291730972</v>
      </c>
      <c r="P53" s="99">
        <v>18.46761399237106</v>
      </c>
      <c r="Q53" s="98">
        <v>0.54535650008507475</v>
      </c>
      <c r="R53" s="100">
        <v>12.789429412726649</v>
      </c>
      <c r="S53" s="101">
        <v>1.4137690583412741</v>
      </c>
      <c r="T53" s="97">
        <v>5.6769881209651896</v>
      </c>
      <c r="U53" s="101">
        <v>1.110427178881835</v>
      </c>
      <c r="V53" s="97">
        <v>-7.3426809705597913</v>
      </c>
      <c r="W53" s="104">
        <v>1.175624726976521</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324</v>
      </c>
      <c r="C55" s="96">
        <v>99.528152465820313</v>
      </c>
      <c r="D55" s="97">
        <v>4.7606028602352684</v>
      </c>
      <c r="E55" s="98">
        <v>1.2833614955905059</v>
      </c>
      <c r="F55" s="99">
        <v>7.6005249328416333</v>
      </c>
      <c r="G55" s="98">
        <v>3.522970914875426</v>
      </c>
      <c r="H55" s="100">
        <v>2.5943799679081718</v>
      </c>
      <c r="I55" s="101">
        <v>1.6867560104910673</v>
      </c>
      <c r="J55" s="97">
        <v>5.4154886786764784</v>
      </c>
      <c r="K55" s="98">
        <v>3.3056670047834364</v>
      </c>
      <c r="L55" s="100">
        <v>3.3085200113294451</v>
      </c>
      <c r="M55" s="101">
        <v>3.0272616917278183</v>
      </c>
      <c r="N55" s="97">
        <v>-4.2920049215121887</v>
      </c>
      <c r="O55" s="102">
        <v>4.4600822691451034</v>
      </c>
      <c r="P55" s="99">
        <v>5.35619162412788</v>
      </c>
      <c r="Q55" s="98">
        <v>1.4482815481089726</v>
      </c>
      <c r="R55" s="100" t="s">
        <v>34</v>
      </c>
      <c r="S55" s="101" t="s">
        <v>34</v>
      </c>
      <c r="T55" s="97">
        <v>0</v>
      </c>
      <c r="U55" s="101" t="s">
        <v>35</v>
      </c>
      <c r="V55" s="97">
        <v>-5.35619162412788</v>
      </c>
      <c r="W55" s="104">
        <v>1.4482815481089726</v>
      </c>
      <c r="X55" s="124"/>
      <c r="Y55" s="124"/>
      <c r="Z55" s="124"/>
      <c r="AA55" s="124"/>
      <c r="AB55" s="124"/>
      <c r="AC55" s="124"/>
      <c r="AD55" s="124"/>
      <c r="AE55" s="124"/>
    </row>
    <row r="56" spans="1:31" s="105" customFormat="1" x14ac:dyDescent="0.25">
      <c r="A56" s="118" t="s">
        <v>238</v>
      </c>
      <c r="B56" s="95">
        <v>440</v>
      </c>
      <c r="C56" s="96">
        <v>96.695182800292969</v>
      </c>
      <c r="D56" s="97">
        <v>53.711855984646441</v>
      </c>
      <c r="E56" s="98">
        <v>3.164776747116592</v>
      </c>
      <c r="F56" s="99">
        <v>57.658500314119721</v>
      </c>
      <c r="G56" s="98">
        <v>7.1158938990397731</v>
      </c>
      <c r="H56" s="100">
        <v>67.793634831082969</v>
      </c>
      <c r="I56" s="101">
        <v>6.1481938172134001</v>
      </c>
      <c r="J56" s="97">
        <v>60.933307046867611</v>
      </c>
      <c r="K56" s="98">
        <v>6.3015473306455165</v>
      </c>
      <c r="L56" s="100">
        <v>28.327060624017161</v>
      </c>
      <c r="M56" s="101">
        <v>6.168616976158293</v>
      </c>
      <c r="N56" s="97">
        <v>-29.33143969010256</v>
      </c>
      <c r="O56" s="102">
        <v>9.1729341683286947</v>
      </c>
      <c r="P56" s="99">
        <v>64.975701591975849</v>
      </c>
      <c r="Q56" s="98">
        <v>3.5801591878644854</v>
      </c>
      <c r="R56" s="100">
        <v>32.68763821965964</v>
      </c>
      <c r="S56" s="101">
        <v>6.4649384390972449</v>
      </c>
      <c r="T56" s="97">
        <v>20.065378581144781</v>
      </c>
      <c r="U56" s="101">
        <v>10.607052634927649</v>
      </c>
      <c r="V56" s="97">
        <v>-35.733663179063889</v>
      </c>
      <c r="W56" s="104">
        <v>6.7327631625320929</v>
      </c>
      <c r="X56" s="124"/>
      <c r="Y56" s="124"/>
      <c r="Z56" s="124"/>
      <c r="AA56" s="124"/>
      <c r="AB56" s="124"/>
      <c r="AC56" s="124"/>
      <c r="AD56" s="124"/>
      <c r="AE56" s="124"/>
    </row>
    <row r="57" spans="1:31" s="105" customFormat="1" x14ac:dyDescent="0.25">
      <c r="A57" s="118" t="s">
        <v>239</v>
      </c>
      <c r="B57" s="95">
        <v>112</v>
      </c>
      <c r="C57" s="96">
        <v>53.723323822021484</v>
      </c>
      <c r="D57" s="97">
        <v>24.11872431035734</v>
      </c>
      <c r="E57" s="98">
        <v>3.9505428499239406</v>
      </c>
      <c r="F57" s="99">
        <v>30.116024399687749</v>
      </c>
      <c r="G57" s="98">
        <v>7.9431529825734142</v>
      </c>
      <c r="H57" s="100">
        <v>14.83160687339856</v>
      </c>
      <c r="I57" s="101">
        <v>8.4866702595778261</v>
      </c>
      <c r="J57" s="97">
        <v>33.58726064838558</v>
      </c>
      <c r="K57" s="98">
        <v>10.64432166425066</v>
      </c>
      <c r="L57" s="100">
        <v>18.06276453327132</v>
      </c>
      <c r="M57" s="101">
        <v>8.8970456507934141</v>
      </c>
      <c r="N57" s="97">
        <v>-12.05325986641642</v>
      </c>
      <c r="O57" s="102">
        <v>11.731810957630461</v>
      </c>
      <c r="P57" s="99">
        <v>24.178659389055809</v>
      </c>
      <c r="Q57" s="98">
        <v>3.9793977831410099</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4.4908819483479379</v>
      </c>
      <c r="E58" s="98">
        <v>1.3352911845948785</v>
      </c>
      <c r="F58" s="99">
        <v>3.288094276678017</v>
      </c>
      <c r="G58" s="98">
        <v>2.8458717673433118</v>
      </c>
      <c r="H58" s="100">
        <v>5.5214615453990943</v>
      </c>
      <c r="I58" s="101">
        <v>3.6705652632481494</v>
      </c>
      <c r="J58" s="97">
        <v>4.8603436283061843</v>
      </c>
      <c r="K58" s="98">
        <v>3.8435803343642352</v>
      </c>
      <c r="L58" s="100">
        <v>4.27110146248231</v>
      </c>
      <c r="M58" s="101">
        <v>3.1861589642976984</v>
      </c>
      <c r="N58" s="97">
        <v>0.98300718580429347</v>
      </c>
      <c r="O58" s="102">
        <v>5.0277955766073914</v>
      </c>
      <c r="P58" s="99">
        <v>4.5084609065627674</v>
      </c>
      <c r="Q58" s="98">
        <v>1.3402790329575867</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20.047981459759558</v>
      </c>
      <c r="E59" s="98">
        <v>2.9724381429796147</v>
      </c>
      <c r="F59" s="99">
        <v>12.91623709783576</v>
      </c>
      <c r="G59" s="98">
        <v>5.3918505720291741</v>
      </c>
      <c r="H59" s="100">
        <v>17.859757584954529</v>
      </c>
      <c r="I59" s="101">
        <v>6.1855181428212678</v>
      </c>
      <c r="J59" s="97">
        <v>19.86682715228903</v>
      </c>
      <c r="K59" s="98">
        <v>7.0190078699260052</v>
      </c>
      <c r="L59" s="100">
        <v>29.692117658665421</v>
      </c>
      <c r="M59" s="101">
        <v>9.2003251838886868</v>
      </c>
      <c r="N59" s="97">
        <v>16.775880560829659</v>
      </c>
      <c r="O59" s="102">
        <v>10.854812458365851</v>
      </c>
      <c r="P59" s="99">
        <v>20.28472361032901</v>
      </c>
      <c r="Q59" s="98">
        <v>3.0178569823494343</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421</v>
      </c>
      <c r="C60" s="96">
        <v>77.938301086425781</v>
      </c>
      <c r="D60" s="97">
        <v>38.185807172067477</v>
      </c>
      <c r="E60" s="98">
        <v>2.3727882012047186</v>
      </c>
      <c r="F60" s="99">
        <v>36.452415264124923</v>
      </c>
      <c r="G60" s="98">
        <v>4.9169679654497402</v>
      </c>
      <c r="H60" s="100">
        <v>51.515972379181697</v>
      </c>
      <c r="I60" s="101">
        <v>6.1788851779811305</v>
      </c>
      <c r="J60" s="97">
        <v>44.795432381984519</v>
      </c>
      <c r="K60" s="98">
        <v>6.4567423144917733</v>
      </c>
      <c r="L60" s="100">
        <v>19.84701420117975</v>
      </c>
      <c r="M60" s="101">
        <v>4.6797514516516445</v>
      </c>
      <c r="N60" s="97">
        <v>-16.60540106294517</v>
      </c>
      <c r="O60" s="102">
        <v>7.1818955425560649</v>
      </c>
      <c r="P60" s="99">
        <v>44.081225655895587</v>
      </c>
      <c r="Q60" s="98">
        <v>2.6697354733213152</v>
      </c>
      <c r="R60" s="100" t="s">
        <v>34</v>
      </c>
      <c r="S60" s="101" t="s">
        <v>34</v>
      </c>
      <c r="T60" s="97">
        <v>11.661959178049949</v>
      </c>
      <c r="U60" s="101">
        <v>4.7633152832273078</v>
      </c>
      <c r="V60" s="97">
        <v>-32.419266477845639</v>
      </c>
      <c r="W60" s="104">
        <v>5.5636190494879871</v>
      </c>
      <c r="X60" s="124"/>
      <c r="Y60" s="124"/>
      <c r="Z60" s="124"/>
      <c r="AA60" s="124"/>
      <c r="AB60" s="124"/>
      <c r="AC60" s="124"/>
      <c r="AD60" s="124"/>
      <c r="AE60" s="124"/>
    </row>
    <row r="61" spans="1:31" s="105" customFormat="1" x14ac:dyDescent="0.25">
      <c r="A61" s="118" t="s">
        <v>243</v>
      </c>
      <c r="B61" s="95">
        <v>55</v>
      </c>
      <c r="C61" s="96">
        <v>100</v>
      </c>
      <c r="D61" s="97">
        <v>15.813887982425101</v>
      </c>
      <c r="E61" s="98">
        <v>6.9340437819477851E-2</v>
      </c>
      <c r="F61" s="99">
        <v>37.636451801243012</v>
      </c>
      <c r="G61" s="98">
        <v>0.19100582967114271</v>
      </c>
      <c r="H61" s="100">
        <v>0</v>
      </c>
      <c r="I61" s="101" t="s">
        <v>35</v>
      </c>
      <c r="J61" s="97">
        <v>23.75893186294816</v>
      </c>
      <c r="K61" s="98">
        <v>8.8251292502977766E-2</v>
      </c>
      <c r="L61" s="100">
        <v>0</v>
      </c>
      <c r="M61" s="101" t="s">
        <v>35</v>
      </c>
      <c r="N61" s="97">
        <v>-37.636451801243012</v>
      </c>
      <c r="O61" s="102">
        <v>0.19100582967114271</v>
      </c>
      <c r="P61" s="99">
        <v>18.748927758356981</v>
      </c>
      <c r="Q61" s="98">
        <v>8.1519183558007399E-2</v>
      </c>
      <c r="R61" s="100" t="s">
        <v>34</v>
      </c>
      <c r="S61" s="101" t="s">
        <v>34</v>
      </c>
      <c r="T61" s="97">
        <v>0</v>
      </c>
      <c r="U61" s="101" t="s">
        <v>35</v>
      </c>
      <c r="V61" s="97">
        <v>-18.748927758356981</v>
      </c>
      <c r="W61" s="104">
        <v>8.1519183558007399E-2</v>
      </c>
      <c r="X61" s="124"/>
      <c r="Y61" s="124"/>
      <c r="Z61" s="124"/>
      <c r="AA61" s="124"/>
      <c r="AB61" s="124"/>
      <c r="AC61" s="124"/>
      <c r="AD61" s="124"/>
      <c r="AE61" s="124"/>
    </row>
    <row r="62" spans="1:31" s="105" customFormat="1" x14ac:dyDescent="0.25">
      <c r="A62" s="118" t="s">
        <v>244</v>
      </c>
      <c r="B62" s="95">
        <v>361</v>
      </c>
      <c r="C62" s="96">
        <v>100</v>
      </c>
      <c r="D62" s="97">
        <v>31.828635573324888</v>
      </c>
      <c r="E62" s="98">
        <v>3.2985281096956065</v>
      </c>
      <c r="F62" s="99">
        <v>32.937277685124599</v>
      </c>
      <c r="G62" s="98">
        <v>5.7711191846232071</v>
      </c>
      <c r="H62" s="100">
        <v>41.066276581932378</v>
      </c>
      <c r="I62" s="101">
        <v>10.711780359056657</v>
      </c>
      <c r="J62" s="97">
        <v>27.309000172381872</v>
      </c>
      <c r="K62" s="98">
        <v>9.198657060527422</v>
      </c>
      <c r="L62" s="100">
        <v>25.89913282395058</v>
      </c>
      <c r="M62" s="101">
        <v>4.75278930654361</v>
      </c>
      <c r="N62" s="97">
        <v>-7.0381448611740218</v>
      </c>
      <c r="O62" s="102">
        <v>7.0840300918607406</v>
      </c>
      <c r="P62" s="99">
        <v>31.860503831703699</v>
      </c>
      <c r="Q62" s="98">
        <v>3.5267160075910793</v>
      </c>
      <c r="R62" s="100" t="s">
        <v>34</v>
      </c>
      <c r="S62" s="101" t="s">
        <v>34</v>
      </c>
      <c r="T62" s="97">
        <v>30.802881868061789</v>
      </c>
      <c r="U62" s="101">
        <v>8.5094984013281003</v>
      </c>
      <c r="V62" s="97">
        <v>-1.0576219636419104</v>
      </c>
      <c r="W62" s="104">
        <v>9.1418510590001016</v>
      </c>
      <c r="X62" s="124"/>
      <c r="Y62" s="124"/>
      <c r="Z62" s="124"/>
      <c r="AA62" s="124"/>
      <c r="AB62" s="124"/>
      <c r="AC62" s="124"/>
      <c r="AD62" s="124"/>
      <c r="AE62" s="124"/>
    </row>
    <row r="63" spans="1:31" s="105" customFormat="1" x14ac:dyDescent="0.25">
      <c r="A63" s="118" t="s">
        <v>245</v>
      </c>
      <c r="B63" s="95">
        <v>185</v>
      </c>
      <c r="C63" s="96">
        <v>93.855499267578125</v>
      </c>
      <c r="D63" s="97">
        <v>20.214001772902431</v>
      </c>
      <c r="E63" s="98">
        <v>3.2503554453936565</v>
      </c>
      <c r="F63" s="99">
        <v>15.304222243327681</v>
      </c>
      <c r="G63" s="98">
        <v>8.3576852364583267</v>
      </c>
      <c r="H63" s="100">
        <v>24.129182404396801</v>
      </c>
      <c r="I63" s="101">
        <v>8.2500200861480852</v>
      </c>
      <c r="J63" s="97">
        <v>17.67188282997645</v>
      </c>
      <c r="K63" s="98">
        <v>7.1617937045022542</v>
      </c>
      <c r="L63" s="100">
        <v>23.952456322917929</v>
      </c>
      <c r="M63" s="101">
        <v>8.4098619505512335</v>
      </c>
      <c r="N63" s="97">
        <v>8.6482340795902548</v>
      </c>
      <c r="O63" s="102">
        <v>13.494386101713255</v>
      </c>
      <c r="P63" s="99">
        <v>20.578428753429471</v>
      </c>
      <c r="Q63" s="98">
        <v>3.2934602560418909</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31.50214959147872</v>
      </c>
      <c r="E64" s="98">
        <v>3.3384490364865695</v>
      </c>
      <c r="F64" s="99">
        <v>48.502503379563862</v>
      </c>
      <c r="G64" s="98">
        <v>9.3203121903888402</v>
      </c>
      <c r="H64" s="100">
        <v>38.504966144510682</v>
      </c>
      <c r="I64" s="101">
        <v>7.332409938662134</v>
      </c>
      <c r="J64" s="97">
        <v>24.11812474450365</v>
      </c>
      <c r="K64" s="98">
        <v>8.3854007770744605</v>
      </c>
      <c r="L64" s="100">
        <v>14.607205990964459</v>
      </c>
      <c r="M64" s="101">
        <v>7.0301112747648817</v>
      </c>
      <c r="N64" s="97">
        <v>-33.895297388599403</v>
      </c>
      <c r="O64" s="102">
        <v>10.684373554650211</v>
      </c>
      <c r="P64" s="99">
        <v>35.231824129099031</v>
      </c>
      <c r="Q64" s="98">
        <v>3.7033722391420176</v>
      </c>
      <c r="R64" s="100" t="s">
        <v>34</v>
      </c>
      <c r="S64" s="101" t="s">
        <v>34</v>
      </c>
      <c r="T64" s="97">
        <v>8.6061639358213355</v>
      </c>
      <c r="U64" s="101">
        <v>5.2345543058817308</v>
      </c>
      <c r="V64" s="97">
        <v>-26.625660193277696</v>
      </c>
      <c r="W64" s="104">
        <v>6.1376169108247742</v>
      </c>
      <c r="X64" s="124"/>
      <c r="Y64" s="124"/>
      <c r="Z64" s="124"/>
      <c r="AA64" s="124"/>
      <c r="AB64" s="124"/>
      <c r="AC64" s="124"/>
      <c r="AD64" s="124"/>
      <c r="AE64" s="124"/>
    </row>
    <row r="65" spans="1:31" s="105" customFormat="1" x14ac:dyDescent="0.25">
      <c r="A65" s="118" t="s">
        <v>247</v>
      </c>
      <c r="B65" s="95">
        <v>178</v>
      </c>
      <c r="C65" s="96">
        <v>99.149665832519531</v>
      </c>
      <c r="D65" s="97">
        <v>15.43931622246147</v>
      </c>
      <c r="E65" s="98">
        <v>2.4619041596036215</v>
      </c>
      <c r="F65" s="99">
        <v>13.78734170125092</v>
      </c>
      <c r="G65" s="98">
        <v>7.8769290631792588</v>
      </c>
      <c r="H65" s="100">
        <v>18.742007576849559</v>
      </c>
      <c r="I65" s="101">
        <v>8.8478189068230737</v>
      </c>
      <c r="J65" s="97">
        <v>23.135417789067159</v>
      </c>
      <c r="K65" s="98">
        <v>7.0912267005564296</v>
      </c>
      <c r="L65" s="100">
        <v>6.5664378789208246</v>
      </c>
      <c r="M65" s="101">
        <v>2.8323001352733703</v>
      </c>
      <c r="N65" s="97">
        <v>-7.220903822330099</v>
      </c>
      <c r="O65" s="102">
        <v>8.3395863444285592</v>
      </c>
      <c r="P65" s="99">
        <v>15.342281800544709</v>
      </c>
      <c r="Q65" s="98">
        <v>2.689682151665183</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10.601735578786631</v>
      </c>
      <c r="E66" s="98">
        <v>4.8288955056670961E-2</v>
      </c>
      <c r="F66" s="99">
        <v>18.587260500580491</v>
      </c>
      <c r="G66" s="98">
        <v>0.1824522615292937</v>
      </c>
      <c r="H66" s="100">
        <v>14.42309687181168</v>
      </c>
      <c r="I66" s="101">
        <v>5.0360829960400921E-2</v>
      </c>
      <c r="J66" s="97">
        <v>0</v>
      </c>
      <c r="K66" s="98" t="s">
        <v>35</v>
      </c>
      <c r="L66" s="100">
        <v>8.9384519242405887</v>
      </c>
      <c r="M66" s="101">
        <v>7.917477336733432E-2</v>
      </c>
      <c r="N66" s="97">
        <v>-9.6488085763399063</v>
      </c>
      <c r="O66" s="102">
        <v>0.19110988022184033</v>
      </c>
      <c r="P66" s="99">
        <v>12.835912244720969</v>
      </c>
      <c r="Q66" s="98">
        <v>6.0569931065561973E-2</v>
      </c>
      <c r="R66" s="100" t="s">
        <v>34</v>
      </c>
      <c r="S66" s="101" t="s">
        <v>34</v>
      </c>
      <c r="T66" s="97">
        <v>0</v>
      </c>
      <c r="U66" s="101" t="s">
        <v>35</v>
      </c>
      <c r="V66" s="97">
        <v>-12.835912244720969</v>
      </c>
      <c r="W66" s="104">
        <v>6.0569931065561973E-2</v>
      </c>
      <c r="X66" s="124"/>
      <c r="Y66" s="124"/>
      <c r="Z66" s="124"/>
      <c r="AA66" s="124"/>
      <c r="AB66" s="124"/>
      <c r="AC66" s="124"/>
      <c r="AD66" s="124"/>
      <c r="AE66" s="124"/>
    </row>
    <row r="67" spans="1:31" s="105" customFormat="1" x14ac:dyDescent="0.25">
      <c r="A67" s="118" t="s">
        <v>249</v>
      </c>
      <c r="B67" s="95">
        <v>215</v>
      </c>
      <c r="C67" s="96">
        <v>91.624969482421875</v>
      </c>
      <c r="D67" s="97">
        <v>6.0041800936794187</v>
      </c>
      <c r="E67" s="98">
        <v>1.7972865408573406</v>
      </c>
      <c r="F67" s="99">
        <v>4.4080790649060431</v>
      </c>
      <c r="G67" s="98">
        <v>3.1348651784741755</v>
      </c>
      <c r="H67" s="100">
        <v>7.9173577812966283</v>
      </c>
      <c r="I67" s="101">
        <v>3.9217743822439117</v>
      </c>
      <c r="J67" s="97">
        <v>7.291764636899182</v>
      </c>
      <c r="K67" s="98">
        <v>3.8520516071572031</v>
      </c>
      <c r="L67" s="100">
        <v>4.4226370599137139</v>
      </c>
      <c r="M67" s="101">
        <v>3.1109379900642966</v>
      </c>
      <c r="N67" s="97">
        <v>1.4557995007670899E-2</v>
      </c>
      <c r="O67" s="102">
        <v>5.0721701427779919</v>
      </c>
      <c r="P67" s="99">
        <v>5.7369159869048074</v>
      </c>
      <c r="Q67" s="98">
        <v>1.6417474580117606</v>
      </c>
      <c r="R67" s="100">
        <v>0</v>
      </c>
      <c r="S67" s="101" t="s">
        <v>35</v>
      </c>
      <c r="T67" s="97">
        <v>8.3952759045279759</v>
      </c>
      <c r="U67" s="101">
        <v>5.580675021118167</v>
      </c>
      <c r="V67" s="97">
        <v>1.8124002307841716</v>
      </c>
      <c r="W67" s="104">
        <v>4.8343527924987084</v>
      </c>
      <c r="X67" s="124"/>
      <c r="Y67" s="124"/>
      <c r="Z67" s="124"/>
      <c r="AA67" s="124"/>
      <c r="AB67" s="124"/>
      <c r="AC67" s="124"/>
      <c r="AD67" s="124"/>
      <c r="AE67" s="124"/>
    </row>
    <row r="68" spans="1:31" s="105" customFormat="1" x14ac:dyDescent="0.25">
      <c r="A68" s="118" t="s">
        <v>250</v>
      </c>
      <c r="B68" s="95">
        <v>309</v>
      </c>
      <c r="C68" s="96">
        <v>98.329208374023438</v>
      </c>
      <c r="D68" s="97">
        <v>11.032087153905801</v>
      </c>
      <c r="E68" s="98">
        <v>1.8807941775325578</v>
      </c>
      <c r="F68" s="99">
        <v>12.53746208231167</v>
      </c>
      <c r="G68" s="98">
        <v>3.4621086649687105</v>
      </c>
      <c r="H68" s="100">
        <v>9.5546479564044802</v>
      </c>
      <c r="I68" s="101">
        <v>4.887319621792015</v>
      </c>
      <c r="J68" s="97">
        <v>11.56121936170892</v>
      </c>
      <c r="K68" s="98">
        <v>4.9836711989299616</v>
      </c>
      <c r="L68" s="100">
        <v>10.41873493929265</v>
      </c>
      <c r="M68" s="101">
        <v>4.5769124444915175</v>
      </c>
      <c r="N68" s="97">
        <v>-2.1187271430190191</v>
      </c>
      <c r="O68" s="102">
        <v>5.3005744112981157</v>
      </c>
      <c r="P68" s="99">
        <v>11.535612017396749</v>
      </c>
      <c r="Q68" s="98">
        <v>2.0700909669163563</v>
      </c>
      <c r="R68" s="100" t="s">
        <v>34</v>
      </c>
      <c r="S68" s="101" t="s">
        <v>34</v>
      </c>
      <c r="T68" s="97">
        <v>7.6704936108261217</v>
      </c>
      <c r="U68" s="101">
        <v>3.3305499395602021</v>
      </c>
      <c r="V68" s="97">
        <v>-3.8651184065706277</v>
      </c>
      <c r="W68" s="104">
        <v>3.9165983720501694</v>
      </c>
      <c r="X68" s="124"/>
      <c r="Y68" s="124"/>
      <c r="Z68" s="124"/>
      <c r="AA68" s="124"/>
      <c r="AB68" s="124"/>
      <c r="AC68" s="124"/>
      <c r="AD68" s="124"/>
      <c r="AE68" s="124"/>
    </row>
    <row r="69" spans="1:31" s="105" customFormat="1" x14ac:dyDescent="0.25">
      <c r="A69" s="118" t="s">
        <v>303</v>
      </c>
      <c r="B69" s="95">
        <v>112</v>
      </c>
      <c r="C69" s="96">
        <v>75.546546936035156</v>
      </c>
      <c r="D69" s="97">
        <v>13.253095996952741</v>
      </c>
      <c r="E69" s="98">
        <v>3.2914513089478201</v>
      </c>
      <c r="F69" s="99">
        <v>27.14492279220746</v>
      </c>
      <c r="G69" s="98">
        <v>10.210257080908967</v>
      </c>
      <c r="H69" s="100">
        <v>12.07641996972014</v>
      </c>
      <c r="I69" s="101">
        <v>7.8377783191615356</v>
      </c>
      <c r="J69" s="97">
        <v>13.710754373247539</v>
      </c>
      <c r="K69" s="98">
        <v>6.6574319342047046</v>
      </c>
      <c r="L69" s="100">
        <v>0</v>
      </c>
      <c r="M69" s="101" t="s">
        <v>35</v>
      </c>
      <c r="N69" s="97">
        <v>-27.14492279220746</v>
      </c>
      <c r="O69" s="102">
        <v>10.210257080908967</v>
      </c>
      <c r="P69" s="99">
        <v>9.6977083262510551</v>
      </c>
      <c r="Q69" s="98">
        <v>9.2329519587752262</v>
      </c>
      <c r="R69" s="100">
        <v>14.10545923780986</v>
      </c>
      <c r="S69" s="101">
        <v>3.6538924211636132</v>
      </c>
      <c r="T69" s="97" t="s">
        <v>34</v>
      </c>
      <c r="U69" s="101" t="s">
        <v>34</v>
      </c>
      <c r="V69" s="97">
        <v>4.4077509115588054</v>
      </c>
      <c r="W69" s="104">
        <v>10.05576458802069</v>
      </c>
      <c r="X69" s="124"/>
      <c r="Y69" s="124"/>
      <c r="Z69" s="124"/>
      <c r="AA69" s="124"/>
      <c r="AB69" s="124"/>
      <c r="AC69" s="124"/>
      <c r="AD69" s="124"/>
      <c r="AE69" s="124"/>
    </row>
    <row r="70" spans="1:31" s="105" customFormat="1" x14ac:dyDescent="0.25">
      <c r="A70" s="118" t="s">
        <v>251</v>
      </c>
      <c r="B70" s="95">
        <v>336</v>
      </c>
      <c r="C70" s="96">
        <v>88.927406311035156</v>
      </c>
      <c r="D70" s="97">
        <v>8.953981415695468</v>
      </c>
      <c r="E70" s="98">
        <v>3.1142715771691432</v>
      </c>
      <c r="F70" s="99">
        <v>13.375183701513089</v>
      </c>
      <c r="G70" s="98">
        <v>6.6437280097206566</v>
      </c>
      <c r="H70" s="100">
        <v>7.0357561550638623</v>
      </c>
      <c r="I70" s="101">
        <v>6.4364572609489441</v>
      </c>
      <c r="J70" s="97">
        <v>5.5329733620411856</v>
      </c>
      <c r="K70" s="98">
        <v>3.7206907280646475</v>
      </c>
      <c r="L70" s="100">
        <v>9.9000530219100895</v>
      </c>
      <c r="M70" s="101">
        <v>8.2428464977709055</v>
      </c>
      <c r="N70" s="97">
        <v>-3.4751306796030002</v>
      </c>
      <c r="O70" s="102">
        <v>10.77506837997937</v>
      </c>
      <c r="P70" s="99">
        <v>5.7490137787264137</v>
      </c>
      <c r="Q70" s="98">
        <v>3.0580664608199597</v>
      </c>
      <c r="R70" s="100">
        <v>8.8775235318025967</v>
      </c>
      <c r="S70" s="101">
        <v>4.3755692319884281</v>
      </c>
      <c r="T70" s="97">
        <v>12.81390587679971</v>
      </c>
      <c r="U70" s="101">
        <v>10.473573234346599</v>
      </c>
      <c r="V70" s="97">
        <v>4.8394693716699857</v>
      </c>
      <c r="W70" s="104">
        <v>6.002289698673744</v>
      </c>
      <c r="X70" s="124"/>
      <c r="Y70" s="124"/>
      <c r="Z70" s="124"/>
      <c r="AA70" s="124"/>
      <c r="AB70" s="124"/>
      <c r="AC70" s="124"/>
      <c r="AD70" s="124"/>
      <c r="AE70" s="124"/>
    </row>
    <row r="71" spans="1:31" s="105" customFormat="1" x14ac:dyDescent="0.25">
      <c r="A71" s="118" t="s">
        <v>252</v>
      </c>
      <c r="B71" s="95">
        <v>311</v>
      </c>
      <c r="C71" s="96">
        <v>99.1246337890625</v>
      </c>
      <c r="D71" s="97">
        <v>41.539838973055552</v>
      </c>
      <c r="E71" s="98">
        <v>3.6433874006195204</v>
      </c>
      <c r="F71" s="99">
        <v>34.869635140534058</v>
      </c>
      <c r="G71" s="98">
        <v>7.492587362052201</v>
      </c>
      <c r="H71" s="100">
        <v>41.360427740902722</v>
      </c>
      <c r="I71" s="101">
        <v>6.6825924065336526</v>
      </c>
      <c r="J71" s="97">
        <v>54.347516220530729</v>
      </c>
      <c r="K71" s="98">
        <v>8.1084243516396608</v>
      </c>
      <c r="L71" s="100">
        <v>35.648925807178458</v>
      </c>
      <c r="M71" s="101">
        <v>7.3197947406821218</v>
      </c>
      <c r="N71" s="97">
        <v>0.77929066664439262</v>
      </c>
      <c r="O71" s="102">
        <v>10.58548232268797</v>
      </c>
      <c r="P71" s="99">
        <v>42.013366599703438</v>
      </c>
      <c r="Q71" s="98">
        <v>4.4554894780073546</v>
      </c>
      <c r="R71" s="100" t="s">
        <v>34</v>
      </c>
      <c r="S71" s="101" t="s">
        <v>34</v>
      </c>
      <c r="T71" s="97">
        <v>40.007930267580697</v>
      </c>
      <c r="U71" s="101">
        <v>7.7385164036724357</v>
      </c>
      <c r="V71" s="97">
        <v>-2.0054363321227413</v>
      </c>
      <c r="W71" s="104">
        <v>9.4775060245085765</v>
      </c>
      <c r="X71" s="124"/>
      <c r="Y71" s="124"/>
      <c r="Z71" s="124"/>
      <c r="AA71" s="124"/>
      <c r="AB71" s="124"/>
      <c r="AC71" s="124"/>
      <c r="AD71" s="124"/>
      <c r="AE71" s="124"/>
    </row>
    <row r="72" spans="1:31" s="105" customFormat="1" x14ac:dyDescent="0.25">
      <c r="A72" s="118" t="s">
        <v>253</v>
      </c>
      <c r="B72" s="95">
        <v>516</v>
      </c>
      <c r="C72" s="96">
        <v>80.3912353515625</v>
      </c>
      <c r="D72" s="97">
        <v>59.641621047515812</v>
      </c>
      <c r="E72" s="98">
        <v>2.5008720186351847</v>
      </c>
      <c r="F72" s="99">
        <v>57.613590587922992</v>
      </c>
      <c r="G72" s="98">
        <v>5.1163755802745996</v>
      </c>
      <c r="H72" s="100">
        <v>64.429815818093417</v>
      </c>
      <c r="I72" s="101">
        <v>5.5876308763678884</v>
      </c>
      <c r="J72" s="97">
        <v>50.536440627602232</v>
      </c>
      <c r="K72" s="98">
        <v>6.9497623347713136</v>
      </c>
      <c r="L72" s="100">
        <v>65.867887334538551</v>
      </c>
      <c r="M72" s="101">
        <v>5.5161049664190216</v>
      </c>
      <c r="N72" s="97">
        <v>8.2542967466155588</v>
      </c>
      <c r="O72" s="102">
        <v>7.7043743637473865</v>
      </c>
      <c r="P72" s="99">
        <v>59.412809054488029</v>
      </c>
      <c r="Q72" s="98">
        <v>2.5076040003852649</v>
      </c>
      <c r="R72" s="100">
        <v>80.81844354172533</v>
      </c>
      <c r="S72" s="101">
        <v>16.044714268683666</v>
      </c>
      <c r="T72" s="97" t="s">
        <v>34</v>
      </c>
      <c r="U72" s="101" t="s">
        <v>34</v>
      </c>
      <c r="V72" s="97">
        <v>21.4056344872373</v>
      </c>
      <c r="W72" s="104">
        <v>16.269311284093391</v>
      </c>
      <c r="X72" s="124"/>
      <c r="Y72" s="124"/>
      <c r="Z72" s="124"/>
      <c r="AA72" s="124"/>
      <c r="AB72" s="124"/>
      <c r="AC72" s="124"/>
      <c r="AD72" s="124"/>
      <c r="AE72" s="124"/>
    </row>
    <row r="73" spans="1:31" s="105" customFormat="1" x14ac:dyDescent="0.25">
      <c r="A73" s="118" t="s">
        <v>254</v>
      </c>
      <c r="B73" s="95">
        <v>90</v>
      </c>
      <c r="C73" s="96">
        <v>74.572647094726563</v>
      </c>
      <c r="D73" s="97">
        <v>18.614230044515331</v>
      </c>
      <c r="E73" s="98">
        <v>1.2972515549722357</v>
      </c>
      <c r="F73" s="99">
        <v>17.039012237070541</v>
      </c>
      <c r="G73" s="98">
        <v>2.0509580082960697</v>
      </c>
      <c r="H73" s="100">
        <v>38.320158570012048</v>
      </c>
      <c r="I73" s="101">
        <v>6.0053999168931362</v>
      </c>
      <c r="J73" s="97">
        <v>12.066086188979691</v>
      </c>
      <c r="K73" s="98">
        <v>5.8719792031209286</v>
      </c>
      <c r="L73" s="100">
        <v>5.9336679131332888</v>
      </c>
      <c r="M73" s="101">
        <v>2.1562972689143796</v>
      </c>
      <c r="N73" s="97">
        <v>-11.10534432393726</v>
      </c>
      <c r="O73" s="102">
        <v>3.0363750613735805</v>
      </c>
      <c r="P73" s="99">
        <v>17.990887870693491</v>
      </c>
      <c r="Q73" s="98">
        <v>1.0807149578963879</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207</v>
      </c>
      <c r="C74" s="96">
        <v>76.864646911621094</v>
      </c>
      <c r="D74" s="97">
        <v>22.97960624739396</v>
      </c>
      <c r="E74" s="98">
        <v>2.6912442250892639</v>
      </c>
      <c r="F74" s="99">
        <v>11.61147979810857</v>
      </c>
      <c r="G74" s="98">
        <v>5.3252109500999714</v>
      </c>
      <c r="H74" s="100">
        <v>33.742416637108462</v>
      </c>
      <c r="I74" s="101">
        <v>6.7337720299760031</v>
      </c>
      <c r="J74" s="97">
        <v>29.245220406864249</v>
      </c>
      <c r="K74" s="98">
        <v>6.410758909806753</v>
      </c>
      <c r="L74" s="100">
        <v>17.143659609234732</v>
      </c>
      <c r="M74" s="101">
        <v>5.3346840846041088</v>
      </c>
      <c r="N74" s="97">
        <v>5.5321798111261584</v>
      </c>
      <c r="O74" s="102">
        <v>6.6433979511297165</v>
      </c>
      <c r="P74" s="99">
        <v>18.710476919091668</v>
      </c>
      <c r="Q74" s="98">
        <v>3.6639983984642766</v>
      </c>
      <c r="R74" s="100" t="s">
        <v>34</v>
      </c>
      <c r="S74" s="101" t="s">
        <v>34</v>
      </c>
      <c r="T74" s="97">
        <v>25.61351630293548</v>
      </c>
      <c r="U74" s="101">
        <v>5.6647959592048505</v>
      </c>
      <c r="V74" s="97">
        <v>6.9030393838438115</v>
      </c>
      <c r="W74" s="104">
        <v>6.8767576645813708</v>
      </c>
      <c r="X74" s="124"/>
      <c r="Y74" s="124"/>
      <c r="Z74" s="124"/>
      <c r="AA74" s="124"/>
      <c r="AB74" s="124"/>
      <c r="AC74" s="124"/>
      <c r="AD74" s="124"/>
      <c r="AE74" s="124"/>
    </row>
    <row r="75" spans="1:31" s="105" customFormat="1" x14ac:dyDescent="0.25">
      <c r="A75" s="118" t="s">
        <v>256</v>
      </c>
      <c r="B75" s="95">
        <v>45</v>
      </c>
      <c r="C75" s="96">
        <v>100</v>
      </c>
      <c r="D75" s="97">
        <v>14.250717406560019</v>
      </c>
      <c r="E75" s="98">
        <v>3.5513267438457556E-2</v>
      </c>
      <c r="F75" s="99">
        <v>4.3180046886424952</v>
      </c>
      <c r="G75" s="98">
        <v>5.7652741364967147E-2</v>
      </c>
      <c r="H75" s="100">
        <v>28.665708963596959</v>
      </c>
      <c r="I75" s="101">
        <v>5.4447351813557636E-2</v>
      </c>
      <c r="J75" s="97">
        <v>22.814932544191851</v>
      </c>
      <c r="K75" s="98">
        <v>9.4456395430449508E-2</v>
      </c>
      <c r="L75" s="100">
        <v>3.7288150684670658</v>
      </c>
      <c r="M75" s="101">
        <v>6.9848737193665952E-2</v>
      </c>
      <c r="N75" s="97">
        <v>-0.58918962017542897</v>
      </c>
      <c r="O75" s="102">
        <v>8.9095752108417081E-2</v>
      </c>
      <c r="P75" s="99">
        <v>0</v>
      </c>
      <c r="Q75" s="98" t="s">
        <v>35</v>
      </c>
      <c r="R75" s="100">
        <v>15.692498424143739</v>
      </c>
      <c r="S75" s="101">
        <v>3.6304550172384403E-2</v>
      </c>
      <c r="T75" s="97" t="s">
        <v>34</v>
      </c>
      <c r="U75" s="101" t="s">
        <v>34</v>
      </c>
      <c r="V75" s="97">
        <v>15.692498424143739</v>
      </c>
      <c r="W75" s="104">
        <v>3.6304550172384403E-2</v>
      </c>
      <c r="X75" s="124"/>
      <c r="Y75" s="124"/>
      <c r="Z75" s="124"/>
      <c r="AA75" s="124"/>
      <c r="AB75" s="124"/>
      <c r="AC75" s="124"/>
      <c r="AD75" s="124"/>
      <c r="AE75" s="124"/>
    </row>
    <row r="76" spans="1:31" s="105" customFormat="1" x14ac:dyDescent="0.25">
      <c r="A76" s="118" t="s">
        <v>257</v>
      </c>
      <c r="B76" s="95">
        <v>191</v>
      </c>
      <c r="C76" s="96">
        <v>100</v>
      </c>
      <c r="D76" s="97">
        <v>24.35522709455385</v>
      </c>
      <c r="E76" s="98">
        <v>3.2735277180401545</v>
      </c>
      <c r="F76" s="99">
        <v>27.986718571640282</v>
      </c>
      <c r="G76" s="98">
        <v>6.2076905524869366</v>
      </c>
      <c r="H76" s="100">
        <v>24.47549208671758</v>
      </c>
      <c r="I76" s="101">
        <v>6.5736126374872246</v>
      </c>
      <c r="J76" s="97">
        <v>26.974909574213228</v>
      </c>
      <c r="K76" s="98">
        <v>8.6084685713172018</v>
      </c>
      <c r="L76" s="100">
        <v>17.99786553895904</v>
      </c>
      <c r="M76" s="101">
        <v>7.1657632544705123</v>
      </c>
      <c r="N76" s="97">
        <v>-9.988853032681245</v>
      </c>
      <c r="O76" s="102">
        <v>9.3164130342453664</v>
      </c>
      <c r="P76" s="99">
        <v>24.873162390619179</v>
      </c>
      <c r="Q76" s="98">
        <v>3.4373738432750431</v>
      </c>
      <c r="R76" s="100" t="s">
        <v>34</v>
      </c>
      <c r="S76" s="101" t="s">
        <v>34</v>
      </c>
      <c r="T76" s="97">
        <v>9.1587478147064516</v>
      </c>
      <c r="U76" s="101">
        <v>6.0682098612218738</v>
      </c>
      <c r="V76" s="97">
        <v>-15.714414575912727</v>
      </c>
      <c r="W76" s="104">
        <v>7.5364224793136865</v>
      </c>
      <c r="X76" s="124"/>
      <c r="Y76" s="124"/>
      <c r="Z76" s="124"/>
      <c r="AA76" s="124"/>
      <c r="AB76" s="124"/>
      <c r="AC76" s="124"/>
      <c r="AD76" s="124"/>
      <c r="AE76" s="124"/>
    </row>
    <row r="77" spans="1:31" s="105" customFormat="1" x14ac:dyDescent="0.25">
      <c r="A77" s="118" t="s">
        <v>258</v>
      </c>
      <c r="B77" s="95">
        <v>49</v>
      </c>
      <c r="C77" s="96">
        <v>99.911201477050781</v>
      </c>
      <c r="D77" s="97">
        <v>22.32790297069419</v>
      </c>
      <c r="E77" s="98">
        <v>0.12734565579776919</v>
      </c>
      <c r="F77" s="99">
        <v>29.660297899214289</v>
      </c>
      <c r="G77" s="98">
        <v>0.34332810911496031</v>
      </c>
      <c r="H77" s="100">
        <v>44.312398878034543</v>
      </c>
      <c r="I77" s="101">
        <v>0.35735084339902112</v>
      </c>
      <c r="J77" s="97">
        <v>13.56735012938552</v>
      </c>
      <c r="K77" s="98">
        <v>0.2347184271504206</v>
      </c>
      <c r="L77" s="100">
        <v>0</v>
      </c>
      <c r="M77" s="101" t="s">
        <v>35</v>
      </c>
      <c r="N77" s="97">
        <v>-29.660297899214289</v>
      </c>
      <c r="O77" s="102">
        <v>0.34332810911496031</v>
      </c>
      <c r="P77" s="99">
        <v>35.032213830577952</v>
      </c>
      <c r="Q77" s="98">
        <v>0.19957585835827737</v>
      </c>
      <c r="R77" s="100">
        <v>9.8494122082725433</v>
      </c>
      <c r="S77" s="101">
        <v>0.16570735690726771</v>
      </c>
      <c r="T77" s="97">
        <v>0</v>
      </c>
      <c r="U77" s="101" t="s">
        <v>35</v>
      </c>
      <c r="V77" s="97">
        <v>-28.189565236816325</v>
      </c>
      <c r="W77" s="104">
        <v>0.23017187937480846</v>
      </c>
      <c r="X77" s="124"/>
      <c r="Y77" s="124"/>
      <c r="Z77" s="124"/>
      <c r="AA77" s="124"/>
      <c r="AB77" s="124"/>
      <c r="AC77" s="124"/>
      <c r="AD77" s="124"/>
      <c r="AE77" s="124"/>
    </row>
    <row r="78" spans="1:31" s="105" customFormat="1" x14ac:dyDescent="0.25">
      <c r="A78" s="118" t="s">
        <v>259</v>
      </c>
      <c r="B78" s="95">
        <v>210</v>
      </c>
      <c r="C78" s="96">
        <v>91.418663024902344</v>
      </c>
      <c r="D78" s="97">
        <v>19.63281483878766</v>
      </c>
      <c r="E78" s="98">
        <v>2.9069688042992499</v>
      </c>
      <c r="F78" s="99">
        <v>10.45955854147603</v>
      </c>
      <c r="G78" s="98">
        <v>3.8420191735132856</v>
      </c>
      <c r="H78" s="100">
        <v>8.6286062036485092</v>
      </c>
      <c r="I78" s="101">
        <v>4.6869145941176935</v>
      </c>
      <c r="J78" s="97">
        <v>25.419967939873629</v>
      </c>
      <c r="K78" s="98">
        <v>6.899746133573939</v>
      </c>
      <c r="L78" s="100">
        <v>34.332637887720502</v>
      </c>
      <c r="M78" s="101">
        <v>7.6368930510478661</v>
      </c>
      <c r="N78" s="97">
        <v>23.87307934624447</v>
      </c>
      <c r="O78" s="102">
        <v>8.3235467300003307</v>
      </c>
      <c r="P78" s="99">
        <v>19.029733995226341</v>
      </c>
      <c r="Q78" s="98">
        <v>2.7441547249059464</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5.346992617027098</v>
      </c>
      <c r="E79" s="98">
        <v>4.1181314793155913E-2</v>
      </c>
      <c r="F79" s="99">
        <v>11.695107327914821</v>
      </c>
      <c r="G79" s="98">
        <v>0.14033582840477868</v>
      </c>
      <c r="H79" s="100">
        <v>9.887917176990916</v>
      </c>
      <c r="I79" s="101">
        <v>3.0380147300281126E-2</v>
      </c>
      <c r="J79" s="97">
        <v>0</v>
      </c>
      <c r="K79" s="98" t="s">
        <v>35</v>
      </c>
      <c r="L79" s="100">
        <v>0</v>
      </c>
      <c r="M79" s="101" t="s">
        <v>35</v>
      </c>
      <c r="N79" s="97">
        <v>-11.695107327914821</v>
      </c>
      <c r="O79" s="102">
        <v>0.14033582840477868</v>
      </c>
      <c r="P79" s="99">
        <v>5.3571594919498358</v>
      </c>
      <c r="Q79" s="98">
        <v>4.1251858238037828E-2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173</v>
      </c>
      <c r="C80" s="96">
        <v>96.578025817871094</v>
      </c>
      <c r="D80" s="97">
        <v>34.940554386521143</v>
      </c>
      <c r="E80" s="98">
        <v>3.7408798346357228</v>
      </c>
      <c r="F80" s="99">
        <v>35.459459657164857</v>
      </c>
      <c r="G80" s="98">
        <v>8.0377557635273238</v>
      </c>
      <c r="H80" s="100">
        <v>37.638126772624162</v>
      </c>
      <c r="I80" s="101">
        <v>8.9985248354192908</v>
      </c>
      <c r="J80" s="97">
        <v>31.52044851786421</v>
      </c>
      <c r="K80" s="98">
        <v>7.1918953068554767</v>
      </c>
      <c r="L80" s="100">
        <v>35.154729120726188</v>
      </c>
      <c r="M80" s="101">
        <v>8.1529715764453581</v>
      </c>
      <c r="N80" s="97">
        <v>-0.30473053643866882</v>
      </c>
      <c r="O80" s="102">
        <v>12.557671983235322</v>
      </c>
      <c r="P80" s="99">
        <v>34.040840842923153</v>
      </c>
      <c r="Q80" s="98">
        <v>4.053237293904715</v>
      </c>
      <c r="R80" s="100" t="s">
        <v>34</v>
      </c>
      <c r="S80" s="101" t="s">
        <v>34</v>
      </c>
      <c r="T80" s="97">
        <v>46.432517233183603</v>
      </c>
      <c r="U80" s="101">
        <v>16.763930839038807</v>
      </c>
      <c r="V80" s="97">
        <v>12.39167639026045</v>
      </c>
      <c r="W80" s="104">
        <v>17.696536350253282</v>
      </c>
      <c r="X80" s="124"/>
      <c r="Y80" s="124"/>
      <c r="Z80" s="124"/>
      <c r="AA80" s="124"/>
      <c r="AB80" s="124"/>
      <c r="AC80" s="124"/>
      <c r="AD80" s="124"/>
      <c r="AE80" s="124"/>
    </row>
    <row r="81" spans="1:31" s="105" customFormat="1" x14ac:dyDescent="0.25">
      <c r="A81" s="118" t="s">
        <v>262</v>
      </c>
      <c r="B81" s="95">
        <v>96</v>
      </c>
      <c r="C81" s="96">
        <v>88.9697265625</v>
      </c>
      <c r="D81" s="97">
        <v>10.99541069553095</v>
      </c>
      <c r="E81" s="98">
        <v>5.2741304080774355E-2</v>
      </c>
      <c r="F81" s="99">
        <v>9.6789029213663991</v>
      </c>
      <c r="G81" s="98">
        <v>0.24188084578431715</v>
      </c>
      <c r="H81" s="100">
        <v>15.86931556795447</v>
      </c>
      <c r="I81" s="101">
        <v>0.25642461708731545</v>
      </c>
      <c r="J81" s="97">
        <v>10.931716609456259</v>
      </c>
      <c r="K81" s="98">
        <v>0.12724288781633691</v>
      </c>
      <c r="L81" s="100">
        <v>7.5259261159195994</v>
      </c>
      <c r="M81" s="101">
        <v>8.3821432690894163E-2</v>
      </c>
      <c r="N81" s="97">
        <v>-2.1529768054468001</v>
      </c>
      <c r="O81" s="102">
        <v>0.27708968983743532</v>
      </c>
      <c r="P81" s="99">
        <v>11.29958743472104</v>
      </c>
      <c r="Q81" s="98">
        <v>5.4216327083231326E-2</v>
      </c>
      <c r="R81" s="100" t="s">
        <v>34</v>
      </c>
      <c r="S81" s="101" t="s">
        <v>34</v>
      </c>
      <c r="T81" s="97">
        <v>0</v>
      </c>
      <c r="U81" s="101" t="s">
        <v>35</v>
      </c>
      <c r="V81" s="97">
        <v>-11.29958743472104</v>
      </c>
      <c r="W81" s="104">
        <v>5.4216327083231326E-2</v>
      </c>
      <c r="X81" s="124"/>
      <c r="Y81" s="124"/>
      <c r="Z81" s="124"/>
      <c r="AA81" s="124"/>
      <c r="AB81" s="124"/>
      <c r="AC81" s="124"/>
      <c r="AD81" s="124"/>
      <c r="AE81" s="124"/>
    </row>
    <row r="82" spans="1:31" s="105" customFormat="1" x14ac:dyDescent="0.25">
      <c r="A82" s="118" t="s">
        <v>263</v>
      </c>
      <c r="B82" s="95">
        <v>140</v>
      </c>
      <c r="C82" s="96">
        <v>69.389259338378906</v>
      </c>
      <c r="D82" s="97">
        <v>28.164986873237559</v>
      </c>
      <c r="E82" s="98">
        <v>2.6424884474282146</v>
      </c>
      <c r="F82" s="99">
        <v>40.185587543923013</v>
      </c>
      <c r="G82" s="98">
        <v>9.387315324333068</v>
      </c>
      <c r="H82" s="100">
        <v>32.525992500690727</v>
      </c>
      <c r="I82" s="101">
        <v>6.6651701480966379</v>
      </c>
      <c r="J82" s="97">
        <v>30.873422217123242</v>
      </c>
      <c r="K82" s="98">
        <v>5.7454591847132024</v>
      </c>
      <c r="L82" s="100">
        <v>8.1552380782977281</v>
      </c>
      <c r="M82" s="101">
        <v>7.6067662247847379</v>
      </c>
      <c r="N82" s="97">
        <v>-32.030349465625292</v>
      </c>
      <c r="O82" s="102">
        <v>13.47859466234878</v>
      </c>
      <c r="P82" s="99">
        <v>33.830149015536939</v>
      </c>
      <c r="Q82" s="98">
        <v>3.0516420263206889</v>
      </c>
      <c r="R82" s="100" t="s">
        <v>34</v>
      </c>
      <c r="S82" s="101" t="s">
        <v>34</v>
      </c>
      <c r="T82" s="97">
        <v>6.6372495372348084</v>
      </c>
      <c r="U82" s="101">
        <v>4.0504413790131775</v>
      </c>
      <c r="V82" s="97">
        <v>-27.192899478302131</v>
      </c>
      <c r="W82" s="104">
        <v>5.0728412864336665</v>
      </c>
      <c r="X82" s="124"/>
      <c r="Y82" s="124"/>
      <c r="Z82" s="124"/>
      <c r="AA82" s="124"/>
      <c r="AB82" s="124"/>
      <c r="AC82" s="124"/>
      <c r="AD82" s="124"/>
      <c r="AE82" s="124"/>
    </row>
    <row r="83" spans="1:31" s="105" customFormat="1" x14ac:dyDescent="0.25">
      <c r="A83" s="118" t="s">
        <v>264</v>
      </c>
      <c r="B83" s="95">
        <v>323</v>
      </c>
      <c r="C83" s="96">
        <v>97.6805419921875</v>
      </c>
      <c r="D83" s="97">
        <v>17.53173808952528</v>
      </c>
      <c r="E83" s="98">
        <v>2.1819816369062428</v>
      </c>
      <c r="F83" s="99">
        <v>23.71061320420505</v>
      </c>
      <c r="G83" s="98">
        <v>5.5235080087294959</v>
      </c>
      <c r="H83" s="100">
        <v>20.51004676949864</v>
      </c>
      <c r="I83" s="101">
        <v>5.0858888145518515</v>
      </c>
      <c r="J83" s="97">
        <v>15.618338842042879</v>
      </c>
      <c r="K83" s="98">
        <v>4.1945639426843773</v>
      </c>
      <c r="L83" s="100">
        <v>10.23782829762645</v>
      </c>
      <c r="M83" s="101">
        <v>3.9207463064146544</v>
      </c>
      <c r="N83" s="97">
        <v>-13.4727849065786</v>
      </c>
      <c r="O83" s="102">
        <v>6.4706032732514283</v>
      </c>
      <c r="P83" s="99">
        <v>19.52891896837713</v>
      </c>
      <c r="Q83" s="98">
        <v>2.5757254910473533</v>
      </c>
      <c r="R83" s="100" t="s">
        <v>34</v>
      </c>
      <c r="S83" s="101" t="s">
        <v>34</v>
      </c>
      <c r="T83" s="97">
        <v>10.243818756474241</v>
      </c>
      <c r="U83" s="101">
        <v>3.4416177299825019</v>
      </c>
      <c r="V83" s="97">
        <v>-9.2851002119028898</v>
      </c>
      <c r="W83" s="104">
        <v>4.1612084088874077</v>
      </c>
      <c r="X83" s="124"/>
      <c r="Y83" s="124"/>
      <c r="Z83" s="124"/>
      <c r="AA83" s="124"/>
      <c r="AB83" s="124"/>
      <c r="AC83" s="124"/>
      <c r="AD83" s="124"/>
      <c r="AE83" s="124"/>
    </row>
    <row r="84" spans="1:31" s="105" customFormat="1" x14ac:dyDescent="0.25">
      <c r="A84" s="118" t="s">
        <v>265</v>
      </c>
      <c r="B84" s="95">
        <v>186</v>
      </c>
      <c r="C84" s="96">
        <v>99.705375671386719</v>
      </c>
      <c r="D84" s="97">
        <v>13.019307183322651</v>
      </c>
      <c r="E84" s="98">
        <v>2.7571815699020528</v>
      </c>
      <c r="F84" s="99">
        <v>8.0584103702640597</v>
      </c>
      <c r="G84" s="98">
        <v>4.8003304541395391</v>
      </c>
      <c r="H84" s="100">
        <v>10.845792751565011</v>
      </c>
      <c r="I84" s="101">
        <v>5.8261324227209554</v>
      </c>
      <c r="J84" s="97">
        <v>21.939112097468069</v>
      </c>
      <c r="K84" s="98">
        <v>6.6976640450743865</v>
      </c>
      <c r="L84" s="100">
        <v>11.235595295424361</v>
      </c>
      <c r="M84" s="101">
        <v>5.9277637875080753</v>
      </c>
      <c r="N84" s="97">
        <v>3.1771849251602968</v>
      </c>
      <c r="O84" s="102">
        <v>7.5356150688199524</v>
      </c>
      <c r="P84" s="99">
        <v>13.618906030452459</v>
      </c>
      <c r="Q84" s="98">
        <v>2.9861422387657868</v>
      </c>
      <c r="R84" s="100">
        <v>19.494298977528139</v>
      </c>
      <c r="S84" s="101">
        <v>12.211758409475319</v>
      </c>
      <c r="T84" s="97">
        <v>0</v>
      </c>
      <c r="U84" s="101" t="s">
        <v>35</v>
      </c>
      <c r="V84" s="97">
        <v>-3.4347195070329288</v>
      </c>
      <c r="W84" s="104">
        <v>7.1251044949382099</v>
      </c>
      <c r="X84" s="124"/>
      <c r="Y84" s="124"/>
      <c r="Z84" s="124"/>
      <c r="AA84" s="124"/>
      <c r="AB84" s="124"/>
      <c r="AC84" s="124"/>
      <c r="AD84" s="124"/>
      <c r="AE84" s="124"/>
    </row>
    <row r="85" spans="1:31" s="105" customFormat="1" x14ac:dyDescent="0.25">
      <c r="A85" s="118" t="s">
        <v>266</v>
      </c>
      <c r="B85" s="95">
        <v>136</v>
      </c>
      <c r="C85" s="96">
        <v>85.952011108398438</v>
      </c>
      <c r="D85" s="97">
        <v>11.0353443422991</v>
      </c>
      <c r="E85" s="98">
        <v>4.200919361932124E-2</v>
      </c>
      <c r="F85" s="99">
        <v>12.044403728917491</v>
      </c>
      <c r="G85" s="98">
        <v>0.24710049149597063</v>
      </c>
      <c r="H85" s="100">
        <v>8.6727997132742409</v>
      </c>
      <c r="I85" s="101">
        <v>0.17167856915163576</v>
      </c>
      <c r="J85" s="97">
        <v>13.44791977818084</v>
      </c>
      <c r="K85" s="98">
        <v>0.12330095555930559</v>
      </c>
      <c r="L85" s="100">
        <v>9.9902567854678015</v>
      </c>
      <c r="M85" s="101">
        <v>0.10129882150633082</v>
      </c>
      <c r="N85" s="97">
        <v>-2.0541469434496911</v>
      </c>
      <c r="O85" s="102">
        <v>0.25099739731926302</v>
      </c>
      <c r="P85" s="99">
        <v>14.89436028318128</v>
      </c>
      <c r="Q85" s="98">
        <v>5.2015549182285813E-2</v>
      </c>
      <c r="R85" s="100" t="s">
        <v>34</v>
      </c>
      <c r="S85" s="101" t="s">
        <v>34</v>
      </c>
      <c r="T85" s="97">
        <v>7.3329972570124324</v>
      </c>
      <c r="U85" s="101">
        <v>5.9126834429776204E-2</v>
      </c>
      <c r="V85" s="97">
        <v>-7.5613630261688476</v>
      </c>
      <c r="W85" s="104">
        <v>7.2624826088842492E-2</v>
      </c>
      <c r="X85" s="124"/>
      <c r="Y85" s="124"/>
      <c r="Z85" s="124"/>
      <c r="AA85" s="124"/>
      <c r="AB85" s="124"/>
      <c r="AC85" s="124"/>
      <c r="AD85" s="124"/>
      <c r="AE85" s="124"/>
    </row>
    <row r="86" spans="1:31" s="105" customFormat="1" x14ac:dyDescent="0.25">
      <c r="A86" s="118" t="s">
        <v>267</v>
      </c>
      <c r="B86" s="95">
        <v>141</v>
      </c>
      <c r="C86" s="96">
        <v>93.061271667480469</v>
      </c>
      <c r="D86" s="97">
        <v>3.8270304624998221</v>
      </c>
      <c r="E86" s="98">
        <v>1.2909763078480661</v>
      </c>
      <c r="F86" s="99">
        <v>3.5053601234534568</v>
      </c>
      <c r="G86" s="98">
        <v>2.6407396752176906</v>
      </c>
      <c r="H86" s="100">
        <v>8.5340883338129192</v>
      </c>
      <c r="I86" s="101">
        <v>5.3542314189558518</v>
      </c>
      <c r="J86" s="97">
        <v>3.1503928447127278</v>
      </c>
      <c r="K86" s="98">
        <v>3.566602428765544</v>
      </c>
      <c r="L86" s="100">
        <v>0</v>
      </c>
      <c r="M86" s="101">
        <v>1.4337795108011751</v>
      </c>
      <c r="N86" s="97">
        <v>-3.5053601234534568</v>
      </c>
      <c r="O86" s="102">
        <v>3.1692975713638085</v>
      </c>
      <c r="P86" s="99">
        <v>3.9128329554997778</v>
      </c>
      <c r="Q86" s="98">
        <v>1.3197807282213014</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37.559378641017098</v>
      </c>
      <c r="E87" s="98">
        <v>3.3353283861216032</v>
      </c>
      <c r="F87" s="99">
        <v>47.140832747703449</v>
      </c>
      <c r="G87" s="98">
        <v>6.2620288253303569</v>
      </c>
      <c r="H87" s="100">
        <v>36.505524428150963</v>
      </c>
      <c r="I87" s="101">
        <v>6.8700631683421287</v>
      </c>
      <c r="J87" s="97">
        <v>36.148690964397957</v>
      </c>
      <c r="K87" s="98">
        <v>8.6348601287898177</v>
      </c>
      <c r="L87" s="100">
        <v>30.43561163271238</v>
      </c>
      <c r="M87" s="101">
        <v>7.556397340640145</v>
      </c>
      <c r="N87" s="97">
        <v>-16.705221114991069</v>
      </c>
      <c r="O87" s="102">
        <v>10.035285213461817</v>
      </c>
      <c r="P87" s="99">
        <v>37.559378641017098</v>
      </c>
      <c r="Q87" s="98">
        <v>3.3353283861216032</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170</v>
      </c>
      <c r="C88" s="96">
        <v>81.233161926269531</v>
      </c>
      <c r="D88" s="97">
        <v>23.17381526502281</v>
      </c>
      <c r="E88" s="98">
        <v>3.403717278798351</v>
      </c>
      <c r="F88" s="99">
        <v>22.891733109392732</v>
      </c>
      <c r="G88" s="98">
        <v>7.2047958243540506</v>
      </c>
      <c r="H88" s="100">
        <v>25.90091330171342</v>
      </c>
      <c r="I88" s="101">
        <v>8.0515482291678833</v>
      </c>
      <c r="J88" s="97">
        <v>23.598427288190091</v>
      </c>
      <c r="K88" s="98">
        <v>8.3911763880706616</v>
      </c>
      <c r="L88" s="100">
        <v>20.22428291284341</v>
      </c>
      <c r="M88" s="101">
        <v>7.169636580791213</v>
      </c>
      <c r="N88" s="97">
        <v>-2.6674501965493209</v>
      </c>
      <c r="O88" s="102">
        <v>9.9805121491154285</v>
      </c>
      <c r="P88" s="99">
        <v>24.394276484620001</v>
      </c>
      <c r="Q88" s="98">
        <v>3.8377974619682482</v>
      </c>
      <c r="R88" s="100" t="s">
        <v>34</v>
      </c>
      <c r="S88" s="101" t="s">
        <v>34</v>
      </c>
      <c r="T88" s="97">
        <v>14.966031892430721</v>
      </c>
      <c r="U88" s="101">
        <v>9.6684423557101589</v>
      </c>
      <c r="V88" s="97">
        <v>-9.4282445921892801</v>
      </c>
      <c r="W88" s="104">
        <v>10.926380202123671</v>
      </c>
      <c r="X88" s="124"/>
      <c r="Y88" s="124"/>
      <c r="Z88" s="124"/>
      <c r="AA88" s="124"/>
      <c r="AB88" s="124"/>
      <c r="AC88" s="124"/>
      <c r="AD88" s="124"/>
      <c r="AE88" s="124"/>
    </row>
    <row r="89" spans="1:31" s="105" customFormat="1" x14ac:dyDescent="0.25">
      <c r="A89" s="118" t="s">
        <v>270</v>
      </c>
      <c r="B89" s="95">
        <v>177</v>
      </c>
      <c r="C89" s="96">
        <v>98.513496398925781</v>
      </c>
      <c r="D89" s="97">
        <v>5.057204333300942</v>
      </c>
      <c r="E89" s="98">
        <v>1.8221231914153084</v>
      </c>
      <c r="F89" s="99">
        <v>1.677134974000233</v>
      </c>
      <c r="G89" s="98">
        <v>1.1868124043017985</v>
      </c>
      <c r="H89" s="100">
        <v>6.5566244353833598</v>
      </c>
      <c r="I89" s="101">
        <v>4.9669148117092758</v>
      </c>
      <c r="J89" s="97">
        <v>4.3753205359481582</v>
      </c>
      <c r="K89" s="98">
        <v>4.5454482018993252</v>
      </c>
      <c r="L89" s="100">
        <v>7.5991152303074934</v>
      </c>
      <c r="M89" s="101">
        <v>3.9804491391347478</v>
      </c>
      <c r="N89" s="97">
        <v>5.9219802563072603</v>
      </c>
      <c r="O89" s="102">
        <v>4.1465212466354116</v>
      </c>
      <c r="P89" s="99">
        <v>4.1324635759156196</v>
      </c>
      <c r="Q89" s="98">
        <v>1.5132731171107108</v>
      </c>
      <c r="R89" s="100" t="s">
        <v>34</v>
      </c>
      <c r="S89" s="101" t="s">
        <v>34</v>
      </c>
      <c r="T89" s="97">
        <v>32.741648719466241</v>
      </c>
      <c r="U89" s="101">
        <v>27.70379852295088</v>
      </c>
      <c r="V89" s="97">
        <v>28.609185143550622</v>
      </c>
      <c r="W89" s="104">
        <v>27.769145194491443</v>
      </c>
      <c r="X89" s="124"/>
      <c r="Y89" s="124"/>
      <c r="Z89" s="124"/>
      <c r="AA89" s="124"/>
      <c r="AB89" s="124"/>
      <c r="AC89" s="124"/>
      <c r="AD89" s="124"/>
      <c r="AE89" s="124"/>
    </row>
    <row r="90" spans="1:31" s="105" customFormat="1" x14ac:dyDescent="0.25">
      <c r="A90" s="118" t="s">
        <v>271</v>
      </c>
      <c r="B90" s="95">
        <v>166</v>
      </c>
      <c r="C90" s="96">
        <v>100</v>
      </c>
      <c r="D90" s="97">
        <v>4.3201417446831778</v>
      </c>
      <c r="E90" s="98">
        <v>0.37484896299374293</v>
      </c>
      <c r="F90" s="99">
        <v>7.0272486482380838</v>
      </c>
      <c r="G90" s="98">
        <v>0.16871950988872481</v>
      </c>
      <c r="H90" s="100">
        <v>2.589599126343348</v>
      </c>
      <c r="I90" s="101">
        <v>0.11557900057741617</v>
      </c>
      <c r="J90" s="97">
        <v>6.5549219291925462</v>
      </c>
      <c r="K90" s="98">
        <v>0.20263866921983983</v>
      </c>
      <c r="L90" s="100">
        <v>1.0837444138179899</v>
      </c>
      <c r="M90" s="101">
        <v>1.5023007293978803</v>
      </c>
      <c r="N90" s="97">
        <v>-5.9435042344200939</v>
      </c>
      <c r="O90" s="102">
        <v>1.5296660503132999</v>
      </c>
      <c r="P90" s="99">
        <v>4.478743538477894</v>
      </c>
      <c r="Q90" s="98">
        <v>4.268460027471517E-2</v>
      </c>
      <c r="R90" s="100" t="s">
        <v>34</v>
      </c>
      <c r="S90" s="101" t="s">
        <v>34</v>
      </c>
      <c r="T90" s="97">
        <v>3.560179493413957</v>
      </c>
      <c r="U90" s="101">
        <v>5.0232937172126233</v>
      </c>
      <c r="V90" s="97">
        <v>-0.91856404506393696</v>
      </c>
      <c r="W90" s="104">
        <v>5.0275235001823964</v>
      </c>
      <c r="X90" s="124"/>
      <c r="Y90" s="124"/>
      <c r="Z90" s="124"/>
      <c r="AA90" s="124"/>
      <c r="AB90" s="124"/>
      <c r="AC90" s="124"/>
      <c r="AD90" s="124"/>
      <c r="AE90" s="124"/>
    </row>
    <row r="91" spans="1:31" s="105" customFormat="1" x14ac:dyDescent="0.25">
      <c r="A91" s="118" t="s">
        <v>272</v>
      </c>
      <c r="B91" s="95">
        <v>186</v>
      </c>
      <c r="C91" s="96">
        <v>96.7005615234375</v>
      </c>
      <c r="D91" s="97">
        <v>7.2452969051023004</v>
      </c>
      <c r="E91" s="98">
        <v>1.9802609573500105</v>
      </c>
      <c r="F91" s="99">
        <v>3.0309343300486509</v>
      </c>
      <c r="G91" s="98">
        <v>2.2675252478758186</v>
      </c>
      <c r="H91" s="100">
        <v>6.8998130351479361</v>
      </c>
      <c r="I91" s="101">
        <v>3.1993455598528251</v>
      </c>
      <c r="J91" s="97">
        <v>8.0974160518656557</v>
      </c>
      <c r="K91" s="98">
        <v>4.9431286473764757</v>
      </c>
      <c r="L91" s="100">
        <v>11.12183719994092</v>
      </c>
      <c r="M91" s="101">
        <v>5.9674055874236691</v>
      </c>
      <c r="N91" s="97">
        <v>8.0909028698922647</v>
      </c>
      <c r="O91" s="102">
        <v>6.2120309309717374</v>
      </c>
      <c r="P91" s="99">
        <v>7.0588760574030598</v>
      </c>
      <c r="Q91" s="98">
        <v>2.4691416842943141</v>
      </c>
      <c r="R91" s="100">
        <v>12.533963494685191</v>
      </c>
      <c r="S91" s="101">
        <v>6.9231878600438925</v>
      </c>
      <c r="T91" s="97">
        <v>3.830197255962013</v>
      </c>
      <c r="U91" s="101">
        <v>2.7220768087468783</v>
      </c>
      <c r="V91" s="97">
        <v>-4.4854853911805215E-2</v>
      </c>
      <c r="W91" s="104">
        <v>4.1516590732725343</v>
      </c>
      <c r="X91" s="124"/>
      <c r="Y91" s="124"/>
      <c r="Z91" s="124"/>
      <c r="AA91" s="124"/>
      <c r="AB91" s="124"/>
      <c r="AC91" s="124"/>
      <c r="AD91" s="124"/>
      <c r="AE91" s="124"/>
    </row>
    <row r="92" spans="1:31" s="105" customFormat="1" x14ac:dyDescent="0.25">
      <c r="A92" s="118" t="s">
        <v>273</v>
      </c>
      <c r="B92" s="95">
        <v>204</v>
      </c>
      <c r="C92" s="96">
        <v>92.950508117675781</v>
      </c>
      <c r="D92" s="97">
        <v>4.0831845701491334</v>
      </c>
      <c r="E92" s="98">
        <v>1.3232877121782023</v>
      </c>
      <c r="F92" s="99">
        <v>0</v>
      </c>
      <c r="G92" s="98" t="s">
        <v>35</v>
      </c>
      <c r="H92" s="100">
        <v>5.8795390346497483</v>
      </c>
      <c r="I92" s="101">
        <v>3.8253448836572579</v>
      </c>
      <c r="J92" s="97">
        <v>10.171602049053019</v>
      </c>
      <c r="K92" s="98">
        <v>7.0956119830714979</v>
      </c>
      <c r="L92" s="100">
        <v>0</v>
      </c>
      <c r="M92" s="101">
        <v>6.0059676882732598</v>
      </c>
      <c r="N92" s="97">
        <v>0</v>
      </c>
      <c r="O92" s="102">
        <v>6.0059676882732598</v>
      </c>
      <c r="P92" s="99">
        <v>4.1693241045154767</v>
      </c>
      <c r="Q92" s="98">
        <v>1.405524150846154</v>
      </c>
      <c r="R92" s="100">
        <v>0</v>
      </c>
      <c r="S92" s="101" t="s">
        <v>35</v>
      </c>
      <c r="T92" s="97">
        <v>7.9786932267808739</v>
      </c>
      <c r="U92" s="101">
        <v>8.3455029115174639</v>
      </c>
      <c r="V92" s="97">
        <v>-0.51485285895180066</v>
      </c>
      <c r="W92" s="104">
        <v>3.9398851566317683</v>
      </c>
      <c r="X92" s="124"/>
      <c r="Y92" s="124"/>
      <c r="Z92" s="124"/>
      <c r="AA92" s="124"/>
      <c r="AB92" s="124"/>
      <c r="AC92" s="124"/>
      <c r="AD92" s="124"/>
      <c r="AE92" s="124"/>
    </row>
    <row r="93" spans="1:31" s="105" customFormat="1" x14ac:dyDescent="0.25">
      <c r="A93" s="118" t="s">
        <v>274</v>
      </c>
      <c r="B93" s="95">
        <v>247</v>
      </c>
      <c r="C93" s="96">
        <v>99.248573303222656</v>
      </c>
      <c r="D93" s="97">
        <v>19.930874573995759</v>
      </c>
      <c r="E93" s="98">
        <v>3.0825261849737395</v>
      </c>
      <c r="F93" s="99">
        <v>21.0107260646711</v>
      </c>
      <c r="G93" s="98">
        <v>4.923564112362917</v>
      </c>
      <c r="H93" s="100">
        <v>19.155200334504169</v>
      </c>
      <c r="I93" s="101">
        <v>6.116647259529949</v>
      </c>
      <c r="J93" s="97">
        <v>26.440632442671571</v>
      </c>
      <c r="K93" s="98">
        <v>7.966741282085235</v>
      </c>
      <c r="L93" s="100">
        <v>12.8717773871131</v>
      </c>
      <c r="M93" s="101">
        <v>8.031018296006101</v>
      </c>
      <c r="N93" s="97">
        <v>-8.1389486775579964</v>
      </c>
      <c r="O93" s="102">
        <v>8.5748918353851611</v>
      </c>
      <c r="P93" s="99">
        <v>20.10012066256991</v>
      </c>
      <c r="Q93" s="98">
        <v>3.1071651219259535</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590</v>
      </c>
      <c r="C94" s="96">
        <v>90.710273742675781</v>
      </c>
      <c r="D94" s="97">
        <v>25.741854632386861</v>
      </c>
      <c r="E94" s="98">
        <v>1.2107036931937296</v>
      </c>
      <c r="F94" s="99">
        <v>38.368706305475683</v>
      </c>
      <c r="G94" s="98">
        <v>0.75674103662292858</v>
      </c>
      <c r="H94" s="100">
        <v>33.627406984166718</v>
      </c>
      <c r="I94" s="101">
        <v>3.0353099042464877</v>
      </c>
      <c r="J94" s="97">
        <v>20.59387893611807</v>
      </c>
      <c r="K94" s="98">
        <v>3.6020096918917153</v>
      </c>
      <c r="L94" s="100">
        <v>10.43141952152855</v>
      </c>
      <c r="M94" s="101">
        <v>2.5057377982520994</v>
      </c>
      <c r="N94" s="97">
        <v>-27.937286783947119</v>
      </c>
      <c r="O94" s="102">
        <v>2.2570862078996159</v>
      </c>
      <c r="P94" s="99">
        <v>41.893211292669413</v>
      </c>
      <c r="Q94" s="98">
        <v>0.53290615688364307</v>
      </c>
      <c r="R94" s="100" t="s">
        <v>34</v>
      </c>
      <c r="S94" s="101" t="s">
        <v>34</v>
      </c>
      <c r="T94" s="97">
        <v>16.37923579848054</v>
      </c>
      <c r="U94" s="101">
        <v>1.8188885102225567</v>
      </c>
      <c r="V94" s="97">
        <v>-25.513975494188873</v>
      </c>
      <c r="W94" s="104">
        <v>1.9262027743356684</v>
      </c>
      <c r="X94" s="124"/>
      <c r="Y94" s="124"/>
      <c r="Z94" s="124"/>
      <c r="AA94" s="124"/>
      <c r="AB94" s="124"/>
      <c r="AC94" s="124"/>
      <c r="AD94" s="124"/>
      <c r="AE94" s="124"/>
    </row>
    <row r="95" spans="1:31" s="105" customFormat="1" x14ac:dyDescent="0.25">
      <c r="A95" s="118" t="s">
        <v>276</v>
      </c>
      <c r="B95" s="95">
        <v>189</v>
      </c>
      <c r="C95" s="96">
        <v>100</v>
      </c>
      <c r="D95" s="97">
        <v>61.418734394877482</v>
      </c>
      <c r="E95" s="98">
        <v>3.5203913302578433</v>
      </c>
      <c r="F95" s="99">
        <v>74.657140333633023</v>
      </c>
      <c r="G95" s="98">
        <v>7.2618632907900995</v>
      </c>
      <c r="H95" s="100">
        <v>58.720628966300062</v>
      </c>
      <c r="I95" s="101">
        <v>6.8235837064252758</v>
      </c>
      <c r="J95" s="97">
        <v>72.106629175467745</v>
      </c>
      <c r="K95" s="98">
        <v>7.8148241803613692</v>
      </c>
      <c r="L95" s="100">
        <v>39.957762912297227</v>
      </c>
      <c r="M95" s="101">
        <v>7.6906043087896041</v>
      </c>
      <c r="N95" s="97">
        <v>-34.699377421335797</v>
      </c>
      <c r="O95" s="102">
        <v>10.940799243030492</v>
      </c>
      <c r="P95" s="99">
        <v>69.052326824348626</v>
      </c>
      <c r="Q95" s="98">
        <v>3.9034326577358609</v>
      </c>
      <c r="R95" s="100" t="s">
        <v>34</v>
      </c>
      <c r="S95" s="101" t="s">
        <v>34</v>
      </c>
      <c r="T95" s="97">
        <v>21.762476263250591</v>
      </c>
      <c r="U95" s="101">
        <v>6.3228271682245323</v>
      </c>
      <c r="V95" s="97">
        <v>-47.289850561098035</v>
      </c>
      <c r="W95" s="104">
        <v>7.3735757636291845</v>
      </c>
      <c r="X95" s="124"/>
      <c r="Y95" s="124"/>
      <c r="Z95" s="124"/>
      <c r="AA95" s="124"/>
      <c r="AB95" s="124"/>
      <c r="AC95" s="124"/>
      <c r="AD95" s="124"/>
      <c r="AE95" s="124"/>
    </row>
    <row r="96" spans="1:31" s="105" customFormat="1" ht="13.8" thickBot="1" x14ac:dyDescent="0.3">
      <c r="A96" s="125" t="s">
        <v>277</v>
      </c>
      <c r="B96" s="108">
        <v>121</v>
      </c>
      <c r="C96" s="109">
        <v>93.476242065429688</v>
      </c>
      <c r="D96" s="110">
        <v>5.7307404917221341</v>
      </c>
      <c r="E96" s="111">
        <v>2.0829290025984362</v>
      </c>
      <c r="F96" s="112">
        <v>5.7443487818280996</v>
      </c>
      <c r="G96" s="111">
        <v>4.1799799839860672</v>
      </c>
      <c r="H96" s="113">
        <v>10.40710178542904</v>
      </c>
      <c r="I96" s="114">
        <v>6.4477309049122136</v>
      </c>
      <c r="J96" s="110">
        <v>3.1707085782390232</v>
      </c>
      <c r="K96" s="111">
        <v>3.9031871225042423</v>
      </c>
      <c r="L96" s="113">
        <v>3.6929404021566978</v>
      </c>
      <c r="M96" s="114">
        <v>2.6172602245223477</v>
      </c>
      <c r="N96" s="110">
        <v>-2.0514083796714031</v>
      </c>
      <c r="O96" s="115">
        <v>4.9738884675519328</v>
      </c>
      <c r="P96" s="112">
        <v>6.0488254541538424</v>
      </c>
      <c r="Q96" s="111">
        <v>2.1966195997883569</v>
      </c>
      <c r="R96" s="113" t="s">
        <v>34</v>
      </c>
      <c r="S96" s="114" t="s">
        <v>34</v>
      </c>
      <c r="T96" s="110">
        <v>0</v>
      </c>
      <c r="U96" s="114" t="s">
        <v>35</v>
      </c>
      <c r="V96" s="110">
        <v>-6.0488254541538424</v>
      </c>
      <c r="W96" s="117">
        <v>2.1966195997883569</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6:N96 V16:V96">
    <cfRule type="expression" dxfId="19" priority="2">
      <formula>ABS(N16/O16)&gt;1.96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F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3" width="13.44140625" style="4" customWidth="1"/>
    <col min="4"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94</v>
      </c>
      <c r="B6" s="2"/>
      <c r="C6" s="3"/>
      <c r="D6" s="2"/>
      <c r="E6" s="3"/>
      <c r="F6" s="3"/>
      <c r="G6" s="3"/>
      <c r="H6" s="3"/>
      <c r="I6" s="3"/>
      <c r="J6" s="3"/>
      <c r="K6" s="3"/>
      <c r="L6" s="3"/>
      <c r="M6" s="3"/>
      <c r="N6" s="3"/>
      <c r="O6" s="2"/>
      <c r="P6" s="3"/>
      <c r="Q6" s="2"/>
      <c r="R6" s="3"/>
      <c r="S6" s="2"/>
      <c r="T6" s="2"/>
      <c r="U6" s="2"/>
    </row>
    <row r="7" spans="1:32" x14ac:dyDescent="0.25">
      <c r="A7" s="5" t="s">
        <v>95</v>
      </c>
    </row>
    <row r="8" spans="1:32" x14ac:dyDescent="0.25">
      <c r="A8" s="6" t="s">
        <v>96</v>
      </c>
    </row>
    <row r="9" spans="1:32" x14ac:dyDescent="0.25">
      <c r="A9" s="6"/>
    </row>
    <row r="10" spans="1:32" ht="13.8" thickBot="1" x14ac:dyDescent="0.3">
      <c r="A10" s="7"/>
      <c r="B10" s="8"/>
      <c r="C10" s="9"/>
      <c r="D10" s="8"/>
      <c r="E10" s="9"/>
      <c r="F10" s="9"/>
      <c r="G10" s="9"/>
      <c r="H10" s="9"/>
      <c r="I10" s="9"/>
      <c r="J10" s="9"/>
      <c r="K10" s="9"/>
      <c r="L10" s="9"/>
      <c r="M10" s="9"/>
    </row>
    <row r="11" spans="1:32" ht="24" customHeight="1" x14ac:dyDescent="0.25">
      <c r="A11" s="28"/>
      <c r="B11" s="211" t="s">
        <v>7</v>
      </c>
      <c r="C11" s="212"/>
      <c r="D11" s="212"/>
      <c r="E11" s="212"/>
      <c r="F11" s="212"/>
      <c r="G11" s="212"/>
      <c r="H11" s="212"/>
      <c r="I11" s="212"/>
      <c r="J11" s="212"/>
      <c r="K11" s="212"/>
      <c r="L11" s="29"/>
      <c r="M11" s="30"/>
      <c r="N11" s="201" t="s">
        <v>97</v>
      </c>
      <c r="O11" s="202"/>
      <c r="P11" s="202"/>
      <c r="Q11" s="202"/>
      <c r="R11" s="202"/>
      <c r="S11" s="202"/>
      <c r="T11" s="202"/>
      <c r="U11" s="202"/>
      <c r="V11" s="202"/>
      <c r="W11" s="213"/>
      <c r="X11" s="201" t="s">
        <v>98</v>
      </c>
      <c r="Y11" s="202"/>
      <c r="Z11" s="202"/>
      <c r="AA11" s="202"/>
      <c r="AB11" s="202"/>
      <c r="AC11" s="202"/>
      <c r="AD11" s="202"/>
      <c r="AE11" s="203"/>
    </row>
    <row r="12" spans="1:32" ht="104.25" customHeight="1" x14ac:dyDescent="0.25">
      <c r="A12" s="31"/>
      <c r="B12" s="218" t="s">
        <v>10</v>
      </c>
      <c r="C12" s="215" t="s">
        <v>11</v>
      </c>
      <c r="D12" s="217" t="s">
        <v>99</v>
      </c>
      <c r="E12" s="219"/>
      <c r="F12" s="218" t="s">
        <v>100</v>
      </c>
      <c r="G12" s="217"/>
      <c r="H12" s="217"/>
      <c r="I12" s="217"/>
      <c r="J12" s="217"/>
      <c r="K12" s="219"/>
      <c r="L12" s="226" t="s">
        <v>101</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04"/>
      <c r="C13" s="216"/>
      <c r="D13" s="205"/>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75" customHeight="1" x14ac:dyDescent="0.25">
      <c r="A14" s="33"/>
      <c r="B14" s="34" t="s">
        <v>25</v>
      </c>
      <c r="C14" s="56" t="s">
        <v>26</v>
      </c>
      <c r="D14" s="36" t="s">
        <v>27</v>
      </c>
      <c r="E14" s="36" t="s">
        <v>28</v>
      </c>
      <c r="F14" s="37" t="s">
        <v>29</v>
      </c>
      <c r="G14" s="36" t="s">
        <v>28</v>
      </c>
      <c r="H14" s="38" t="s">
        <v>30</v>
      </c>
      <c r="I14" s="39" t="s">
        <v>28</v>
      </c>
      <c r="J14" s="40" t="s">
        <v>31</v>
      </c>
      <c r="K14" s="35" t="s">
        <v>28</v>
      </c>
      <c r="L14" s="41" t="s">
        <v>32</v>
      </c>
      <c r="M14" s="42" t="s">
        <v>28</v>
      </c>
      <c r="N14" s="34" t="s">
        <v>102</v>
      </c>
      <c r="O14" s="43" t="s">
        <v>28</v>
      </c>
      <c r="P14" s="44" t="s">
        <v>102</v>
      </c>
      <c r="Q14" s="39" t="s">
        <v>28</v>
      </c>
      <c r="R14" s="36" t="s">
        <v>102</v>
      </c>
      <c r="S14" s="43" t="s">
        <v>28</v>
      </c>
      <c r="T14" s="44" t="s">
        <v>102</v>
      </c>
      <c r="U14" s="39" t="s">
        <v>28</v>
      </c>
      <c r="V14" s="36" t="s">
        <v>33</v>
      </c>
      <c r="W14" s="35" t="s">
        <v>28</v>
      </c>
      <c r="X14" s="34" t="s">
        <v>102</v>
      </c>
      <c r="Y14" s="36" t="s">
        <v>28</v>
      </c>
      <c r="Z14" s="44" t="s">
        <v>102</v>
      </c>
      <c r="AA14" s="39" t="s">
        <v>28</v>
      </c>
      <c r="AB14" s="44" t="s">
        <v>102</v>
      </c>
      <c r="AC14" s="45" t="s">
        <v>28</v>
      </c>
      <c r="AD14" s="36" t="s">
        <v>33</v>
      </c>
      <c r="AE14" s="46" t="s">
        <v>28</v>
      </c>
    </row>
    <row r="15" spans="1:32" s="75" customFormat="1" ht="13.5" customHeight="1" x14ac:dyDescent="0.25">
      <c r="A15" s="179" t="s">
        <v>278</v>
      </c>
      <c r="B15" s="197"/>
      <c r="C15" s="58"/>
      <c r="D15" s="169"/>
      <c r="E15" s="169"/>
      <c r="F15" s="170"/>
      <c r="G15" s="169"/>
      <c r="H15" s="171"/>
      <c r="I15" s="172"/>
      <c r="J15" s="139"/>
      <c r="K15" s="173"/>
      <c r="L15" s="174"/>
      <c r="M15" s="175"/>
      <c r="N15" s="134"/>
      <c r="O15" s="169"/>
      <c r="P15" s="176"/>
      <c r="Q15" s="172"/>
      <c r="R15" s="169"/>
      <c r="S15" s="169"/>
      <c r="T15" s="176"/>
      <c r="U15" s="172"/>
      <c r="V15" s="169"/>
      <c r="W15" s="173"/>
      <c r="X15" s="134"/>
      <c r="Y15" s="169"/>
      <c r="Z15" s="176"/>
      <c r="AA15" s="172"/>
      <c r="AB15" s="176"/>
      <c r="AC15" s="177"/>
      <c r="AD15" s="169"/>
      <c r="AE15" s="178"/>
      <c r="AF15" s="10"/>
    </row>
    <row r="16" spans="1:32" s="105" customFormat="1" x14ac:dyDescent="0.25">
      <c r="A16" s="94" t="s">
        <v>206</v>
      </c>
      <c r="B16" s="132">
        <v>223</v>
      </c>
      <c r="C16" s="165" t="s">
        <v>34</v>
      </c>
      <c r="D16" s="149">
        <v>0.16371540477653401</v>
      </c>
      <c r="E16" s="150">
        <v>3.0059132056846002E-2</v>
      </c>
      <c r="F16" s="151">
        <v>-1.137</v>
      </c>
      <c r="G16" s="150">
        <v>7.2256331902470633E-2</v>
      </c>
      <c r="H16" s="152">
        <v>0.20949999999999999</v>
      </c>
      <c r="I16" s="153">
        <v>4.6192077242748035E-2</v>
      </c>
      <c r="J16" s="149">
        <v>1.625</v>
      </c>
      <c r="K16" s="154" t="s">
        <v>35</v>
      </c>
      <c r="L16" s="149">
        <v>2.762</v>
      </c>
      <c r="M16" s="154">
        <v>7.2256331902470716E-2</v>
      </c>
      <c r="N16" s="151">
        <v>9.3835553515172008E-3</v>
      </c>
      <c r="O16" s="150">
        <v>6.9373797747365004E-2</v>
      </c>
      <c r="P16" s="152">
        <v>8.9213433897090799E-2</v>
      </c>
      <c r="Q16" s="153">
        <v>9.1779245165368339E-2</v>
      </c>
      <c r="R16" s="149">
        <v>0.2548333299220264</v>
      </c>
      <c r="S16" s="150">
        <v>7.2067404079633995E-2</v>
      </c>
      <c r="T16" s="152">
        <v>0.30131608314970149</v>
      </c>
      <c r="U16" s="153">
        <v>4.1928095986388518E-2</v>
      </c>
      <c r="V16" s="149">
        <v>0.29193252779818429</v>
      </c>
      <c r="W16" s="154">
        <v>8.2491450105966271E-2</v>
      </c>
      <c r="X16" s="151">
        <v>0.11011735510628889</v>
      </c>
      <c r="Y16" s="150">
        <v>4.5707627991966336E-2</v>
      </c>
      <c r="Z16" s="152">
        <v>0.1915530385342637</v>
      </c>
      <c r="AA16" s="153">
        <v>4.9424021410294394E-2</v>
      </c>
      <c r="AB16" s="152">
        <v>0.2336054786149474</v>
      </c>
      <c r="AC16" s="155">
        <v>4.7261909043311831E-2</v>
      </c>
      <c r="AD16" s="149">
        <v>9.0600111210269896E-2</v>
      </c>
      <c r="AE16" s="156">
        <v>6.0573505168533541E-2</v>
      </c>
    </row>
    <row r="17" spans="1:31" s="105" customFormat="1" x14ac:dyDescent="0.25">
      <c r="A17" s="94" t="s">
        <v>213</v>
      </c>
      <c r="B17" s="132">
        <v>218</v>
      </c>
      <c r="C17" s="165">
        <v>72.149986267089844</v>
      </c>
      <c r="D17" s="149">
        <v>5.9606148765149303E-2</v>
      </c>
      <c r="E17" s="150">
        <v>2.8632925740055975E-2</v>
      </c>
      <c r="F17" s="151">
        <v>-1.3608</v>
      </c>
      <c r="G17" s="150">
        <v>3.4461790435205183E-2</v>
      </c>
      <c r="H17" s="152">
        <v>0.11360000000000001</v>
      </c>
      <c r="I17" s="153">
        <v>6.5046606368049667E-2</v>
      </c>
      <c r="J17" s="149">
        <v>1.625</v>
      </c>
      <c r="K17" s="154" t="s">
        <v>35</v>
      </c>
      <c r="L17" s="149">
        <v>2.9858000000000002</v>
      </c>
      <c r="M17" s="154">
        <v>3.4461790435205371E-2</v>
      </c>
      <c r="N17" s="151">
        <v>-4.9920998441025197E-2</v>
      </c>
      <c r="O17" s="150">
        <v>6.3996649075057352E-2</v>
      </c>
      <c r="P17" s="152">
        <v>-0.1000758772211852</v>
      </c>
      <c r="Q17" s="153">
        <v>9.3497292639432836E-2</v>
      </c>
      <c r="R17" s="149">
        <v>0.16899574028894901</v>
      </c>
      <c r="S17" s="150">
        <v>7.2329025268192751E-2</v>
      </c>
      <c r="T17" s="152">
        <v>0.21636689922060401</v>
      </c>
      <c r="U17" s="153">
        <v>5.049503724931307E-2</v>
      </c>
      <c r="V17" s="149">
        <v>0.26628789766162919</v>
      </c>
      <c r="W17" s="154">
        <v>7.255115711971441E-2</v>
      </c>
      <c r="X17" s="151">
        <v>6.6806604191625193E-2</v>
      </c>
      <c r="Y17" s="150">
        <v>3.1760361602792629E-2</v>
      </c>
      <c r="Z17" s="152">
        <v>0.46508156177558763</v>
      </c>
      <c r="AA17" s="153">
        <v>8.8405001074068623E-2</v>
      </c>
      <c r="AB17" s="152">
        <v>0.2400642857142857</v>
      </c>
      <c r="AC17" s="155">
        <v>1.1102230246251565E-16</v>
      </c>
      <c r="AD17" s="149">
        <v>0.34814168131463297</v>
      </c>
      <c r="AE17" s="156">
        <v>8.5922058493735673E-2</v>
      </c>
    </row>
    <row r="18" spans="1:31" s="105" customFormat="1" x14ac:dyDescent="0.25">
      <c r="A18" s="94" t="s">
        <v>221</v>
      </c>
      <c r="B18" s="132">
        <v>154</v>
      </c>
      <c r="C18" s="165">
        <v>83.618789672851563</v>
      </c>
      <c r="D18" s="149">
        <v>-0.38312095422659398</v>
      </c>
      <c r="E18" s="150">
        <v>2.842910659721587E-2</v>
      </c>
      <c r="F18" s="151">
        <v>-1.5275000000000001</v>
      </c>
      <c r="G18" s="150">
        <v>7.4684670448493199E-3</v>
      </c>
      <c r="H18" s="152">
        <v>-0.4864</v>
      </c>
      <c r="I18" s="153" t="s">
        <v>35</v>
      </c>
      <c r="J18" s="149">
        <v>1.0646</v>
      </c>
      <c r="K18" s="154">
        <v>0.1739083465507047</v>
      </c>
      <c r="L18" s="149">
        <v>2.5921000000000003</v>
      </c>
      <c r="M18" s="154">
        <v>0.17406863876069109</v>
      </c>
      <c r="N18" s="151">
        <v>-0.42157693674464741</v>
      </c>
      <c r="O18" s="150">
        <v>6.8443125830763285E-2</v>
      </c>
      <c r="P18" s="152">
        <v>-0.33430287118443791</v>
      </c>
      <c r="Q18" s="153">
        <v>6.042675282319919E-2</v>
      </c>
      <c r="R18" s="149">
        <v>-0.39089135669806052</v>
      </c>
      <c r="S18" s="150">
        <v>5.5613135425083685E-2</v>
      </c>
      <c r="T18" s="152">
        <v>-0.38568808820140349</v>
      </c>
      <c r="U18" s="153">
        <v>6.8626385197572928E-2</v>
      </c>
      <c r="V18" s="149">
        <v>3.5888848543243902E-2</v>
      </c>
      <c r="W18" s="154">
        <v>9.8871677056428339E-2</v>
      </c>
      <c r="X18" s="151">
        <v>-0.31022799293386533</v>
      </c>
      <c r="Y18" s="150">
        <v>3.6159738417622905E-2</v>
      </c>
      <c r="Z18" s="152">
        <v>-0.49669445645525911</v>
      </c>
      <c r="AA18" s="153">
        <v>5.0402432490676864E-2</v>
      </c>
      <c r="AB18" s="152">
        <v>-0.34966237445542198</v>
      </c>
      <c r="AC18" s="155">
        <v>9.5561332024308124E-2</v>
      </c>
      <c r="AD18" s="149">
        <v>-0.16441125805442658</v>
      </c>
      <c r="AE18" s="156">
        <v>5.8764267787353427E-2</v>
      </c>
    </row>
    <row r="19" spans="1:31" s="105" customFormat="1" x14ac:dyDescent="0.25">
      <c r="A19" s="94" t="s">
        <v>301</v>
      </c>
      <c r="B19" s="132">
        <v>234</v>
      </c>
      <c r="C19" s="165">
        <v>81.904502868652344</v>
      </c>
      <c r="D19" s="149">
        <v>-4.0008518991207602E-2</v>
      </c>
      <c r="E19" s="150">
        <v>2.2688423223890541E-2</v>
      </c>
      <c r="F19" s="151">
        <v>-1.1852</v>
      </c>
      <c r="G19" s="150">
        <v>4.0001937453078423E-2</v>
      </c>
      <c r="H19" s="152">
        <v>-0.18129999999999999</v>
      </c>
      <c r="I19" s="153">
        <v>0.29848661025245332</v>
      </c>
      <c r="J19" s="149">
        <v>1.0646</v>
      </c>
      <c r="K19" s="154" t="s">
        <v>35</v>
      </c>
      <c r="L19" s="149">
        <v>2.2498</v>
      </c>
      <c r="M19" s="154">
        <v>4.0001937453078416E-2</v>
      </c>
      <c r="N19" s="151">
        <v>-2.9779639632902401E-2</v>
      </c>
      <c r="O19" s="150">
        <v>4.8836509939421603E-2</v>
      </c>
      <c r="P19" s="152">
        <v>-0.15561646200130599</v>
      </c>
      <c r="Q19" s="153">
        <v>3.8447764486680844E-2</v>
      </c>
      <c r="R19" s="149">
        <v>-6.5130501381474096E-2</v>
      </c>
      <c r="S19" s="150">
        <v>4.7279498969435653E-2</v>
      </c>
      <c r="T19" s="152">
        <v>8.9737758970145506E-2</v>
      </c>
      <c r="U19" s="153">
        <v>4.2476404872804435E-2</v>
      </c>
      <c r="V19" s="149">
        <v>0.1195173986030479</v>
      </c>
      <c r="W19" s="154">
        <v>6.121944815603126E-2</v>
      </c>
      <c r="X19" s="151">
        <v>-5.2302902029213297E-2</v>
      </c>
      <c r="Y19" s="150">
        <v>2.4185857146711252E-2</v>
      </c>
      <c r="Z19" s="152">
        <v>-0.1035945818582673</v>
      </c>
      <c r="AA19" s="153">
        <v>6.7253129134512715E-2</v>
      </c>
      <c r="AB19" s="152">
        <v>0.1236172366109425</v>
      </c>
      <c r="AC19" s="155">
        <v>0.14222753005525096</v>
      </c>
      <c r="AD19" s="149">
        <v>7.1888298547422402E-2</v>
      </c>
      <c r="AE19" s="156">
        <v>8.9971218349196164E-2</v>
      </c>
    </row>
    <row r="20" spans="1:31" s="105" customFormat="1" x14ac:dyDescent="0.25">
      <c r="A20" s="94" t="s">
        <v>231</v>
      </c>
      <c r="B20" s="132">
        <v>1079</v>
      </c>
      <c r="C20" s="165">
        <v>86.725761413574219</v>
      </c>
      <c r="D20" s="149">
        <v>0.2653983304177861</v>
      </c>
      <c r="E20" s="150">
        <v>1.6294910081786074E-2</v>
      </c>
      <c r="F20" s="151">
        <v>-1.0266</v>
      </c>
      <c r="G20" s="150" t="s">
        <v>35</v>
      </c>
      <c r="H20" s="152">
        <v>0.27410000000000001</v>
      </c>
      <c r="I20" s="153" t="s">
        <v>35</v>
      </c>
      <c r="J20" s="149">
        <v>1.625</v>
      </c>
      <c r="K20" s="154" t="s">
        <v>35</v>
      </c>
      <c r="L20" s="149">
        <v>2.6516000000000002</v>
      </c>
      <c r="M20" s="154" t="s">
        <v>35</v>
      </c>
      <c r="N20" s="151">
        <v>0.2113426242119478</v>
      </c>
      <c r="O20" s="150">
        <v>3.2217597697745647E-2</v>
      </c>
      <c r="P20" s="152">
        <v>0.26444266214700518</v>
      </c>
      <c r="Q20" s="153">
        <v>3.7962218610529348E-2</v>
      </c>
      <c r="R20" s="149">
        <v>0.25490936088460081</v>
      </c>
      <c r="S20" s="150">
        <v>3.4538704359378537E-2</v>
      </c>
      <c r="T20" s="152">
        <v>0.33091336563700208</v>
      </c>
      <c r="U20" s="153">
        <v>2.854038713927411E-2</v>
      </c>
      <c r="V20" s="149">
        <v>0.1195707414250544</v>
      </c>
      <c r="W20" s="154">
        <v>4.0786844679614805E-2</v>
      </c>
      <c r="X20" s="151">
        <v>0.23191376535437919</v>
      </c>
      <c r="Y20" s="150">
        <v>2.1295501297204467E-2</v>
      </c>
      <c r="Z20" s="152">
        <v>0.35133674741484572</v>
      </c>
      <c r="AA20" s="153">
        <v>2.5172336260688714E-2</v>
      </c>
      <c r="AB20" s="152">
        <v>0.35338074168857991</v>
      </c>
      <c r="AC20" s="155">
        <v>5.52353624925963E-2</v>
      </c>
      <c r="AD20" s="149">
        <v>0.11983510761669802</v>
      </c>
      <c r="AE20" s="156">
        <v>3.0317912131639702E-2</v>
      </c>
    </row>
    <row r="21" spans="1:31" s="105" customFormat="1" x14ac:dyDescent="0.25">
      <c r="A21" s="118" t="s">
        <v>297</v>
      </c>
      <c r="B21" s="132">
        <v>97</v>
      </c>
      <c r="C21" s="165">
        <v>35.640979766845703</v>
      </c>
      <c r="D21" s="149">
        <v>-0.20115119416452379</v>
      </c>
      <c r="E21" s="150">
        <v>5.0496659108478073E-2</v>
      </c>
      <c r="F21" s="151">
        <v>-1.3995</v>
      </c>
      <c r="G21" s="150">
        <v>7.0751180202170555E-2</v>
      </c>
      <c r="H21" s="152">
        <v>-0.4864</v>
      </c>
      <c r="I21" s="153" t="s">
        <v>35</v>
      </c>
      <c r="J21" s="149">
        <v>1.625</v>
      </c>
      <c r="K21" s="154">
        <v>0.36033551309855655</v>
      </c>
      <c r="L21" s="149">
        <v>3.0244999999999997</v>
      </c>
      <c r="M21" s="154">
        <v>0.34811657458385953</v>
      </c>
      <c r="N21" s="151">
        <v>-0.32447174472250218</v>
      </c>
      <c r="O21" s="150">
        <v>9.8267780978037358E-2</v>
      </c>
      <c r="P21" s="152">
        <v>-0.30135146839936799</v>
      </c>
      <c r="Q21" s="153">
        <v>9.0942282829537827E-2</v>
      </c>
      <c r="R21" s="149">
        <v>-0.13409828849433841</v>
      </c>
      <c r="S21" s="150">
        <v>0.11287469648892721</v>
      </c>
      <c r="T21" s="152">
        <v>-4.5003921518318002E-2</v>
      </c>
      <c r="U21" s="153">
        <v>7.6360273217920993E-2</v>
      </c>
      <c r="V21" s="149">
        <v>0.27946782320418412</v>
      </c>
      <c r="W21" s="154">
        <v>0.12464675762016017</v>
      </c>
      <c r="X21" s="151">
        <v>-0.21537099518128139</v>
      </c>
      <c r="Y21" s="150">
        <v>5.1960772285982539E-2</v>
      </c>
      <c r="Z21" s="152" t="s">
        <v>34</v>
      </c>
      <c r="AA21" s="153" t="s">
        <v>34</v>
      </c>
      <c r="AB21" s="152">
        <v>0.23663276177910619</v>
      </c>
      <c r="AC21" s="155">
        <v>0.14597218156323827</v>
      </c>
      <c r="AD21" s="149">
        <v>0.45200375696038758</v>
      </c>
      <c r="AE21" s="156">
        <v>0.15719011564827615</v>
      </c>
    </row>
    <row r="22" spans="1:31" s="105" customFormat="1" x14ac:dyDescent="0.25">
      <c r="A22" s="94" t="s">
        <v>302</v>
      </c>
      <c r="B22" s="132">
        <v>157</v>
      </c>
      <c r="C22" s="165">
        <v>78.22442626953125</v>
      </c>
      <c r="D22" s="149">
        <v>0.14278165147612371</v>
      </c>
      <c r="E22" s="150">
        <v>2.9643562132404273E-2</v>
      </c>
      <c r="F22" s="151">
        <v>-1.0266</v>
      </c>
      <c r="G22" s="150">
        <v>1.4238293437066138E-2</v>
      </c>
      <c r="H22" s="152">
        <v>5.1400000000000001E-2</v>
      </c>
      <c r="I22" s="153">
        <v>6.0625060824711752E-2</v>
      </c>
      <c r="J22" s="149">
        <v>1.625</v>
      </c>
      <c r="K22" s="154" t="s">
        <v>35</v>
      </c>
      <c r="L22" s="149">
        <v>2.6516000000000002</v>
      </c>
      <c r="M22" s="154">
        <v>1.4238293437066028E-2</v>
      </c>
      <c r="N22" s="151">
        <v>-2.2425351444936799E-2</v>
      </c>
      <c r="O22" s="150">
        <v>8.1867598126534408E-2</v>
      </c>
      <c r="P22" s="152">
        <v>0.15285188266195951</v>
      </c>
      <c r="Q22" s="153">
        <v>5.5230276163907445E-2</v>
      </c>
      <c r="R22" s="149">
        <v>0.15964027372262671</v>
      </c>
      <c r="S22" s="150">
        <v>5.9570543732969626E-2</v>
      </c>
      <c r="T22" s="152">
        <v>0.28108506778518833</v>
      </c>
      <c r="U22" s="153">
        <v>5.6750639619736934E-2</v>
      </c>
      <c r="V22" s="149">
        <v>0.30351041923012512</v>
      </c>
      <c r="W22" s="154">
        <v>9.8928985515937221E-2</v>
      </c>
      <c r="X22" s="151">
        <v>0.12532272694312091</v>
      </c>
      <c r="Y22" s="150">
        <v>3.1224756443417295E-2</v>
      </c>
      <c r="Z22" s="152">
        <v>-0.584626888943656</v>
      </c>
      <c r="AA22" s="153">
        <v>0.10438055981470636</v>
      </c>
      <c r="AB22" s="152">
        <v>0.4756234973877706</v>
      </c>
      <c r="AC22" s="155">
        <v>4.7176631067667771E-2</v>
      </c>
      <c r="AD22" s="149">
        <v>0.28694505218126881</v>
      </c>
      <c r="AE22" s="156">
        <v>8.901270305918639E-2</v>
      </c>
    </row>
    <row r="23" spans="1:31" s="105" customFormat="1" x14ac:dyDescent="0.25">
      <c r="A23" s="94" t="s">
        <v>236</v>
      </c>
      <c r="B23" s="132" t="s">
        <v>34</v>
      </c>
      <c r="C23" s="165"/>
      <c r="D23" s="149">
        <v>1.0315525790382E-3</v>
      </c>
      <c r="E23" s="150">
        <v>1.17286949408642E-2</v>
      </c>
      <c r="F23" s="151">
        <v>-1.2376</v>
      </c>
      <c r="G23" s="150">
        <v>1.6458348159273099E-2</v>
      </c>
      <c r="H23" s="152">
        <v>-7.2214285714285703E-2</v>
      </c>
      <c r="I23" s="153">
        <v>4.4979456905609498E-2</v>
      </c>
      <c r="J23" s="149">
        <v>1.4648857142857139</v>
      </c>
      <c r="K23" s="154">
        <v>5.7158176370225501E-2</v>
      </c>
      <c r="L23" s="149">
        <v>2.7024857142857139</v>
      </c>
      <c r="M23" s="154">
        <v>5.7088637429796002E-2</v>
      </c>
      <c r="N23" s="151">
        <v>-8.9635498774649894E-2</v>
      </c>
      <c r="O23" s="150">
        <v>2.6098164324275998E-2</v>
      </c>
      <c r="P23" s="152">
        <v>-5.4976957157177403E-2</v>
      </c>
      <c r="Q23" s="153">
        <v>2.6747805026929101E-2</v>
      </c>
      <c r="R23" s="149">
        <v>3.5465508320618601E-2</v>
      </c>
      <c r="S23" s="150">
        <v>2.60437775941522E-2</v>
      </c>
      <c r="T23" s="152">
        <v>0.1126753092918457</v>
      </c>
      <c r="U23" s="153">
        <v>2.0547416560933601E-2</v>
      </c>
      <c r="V23" s="149">
        <v>0.20231080806649551</v>
      </c>
      <c r="W23" s="154">
        <v>3.2757383902693699E-2</v>
      </c>
      <c r="X23" s="151">
        <v>-6.2487769355636996E-3</v>
      </c>
      <c r="Y23" s="150">
        <v>1.36417695293973E-2</v>
      </c>
      <c r="Z23" s="152">
        <v>-2.94907632554142E-2</v>
      </c>
      <c r="AA23" s="153">
        <v>2.8309065313727799E-2</v>
      </c>
      <c r="AB23" s="152">
        <v>0.1876088039057443</v>
      </c>
      <c r="AC23" s="155">
        <v>3.4457541099149801E-2</v>
      </c>
      <c r="AD23" s="149">
        <v>0.17214324996803609</v>
      </c>
      <c r="AE23" s="156">
        <v>3.3851711106411997E-2</v>
      </c>
    </row>
    <row r="24" spans="1:31" s="105" customFormat="1" x14ac:dyDescent="0.25">
      <c r="A24" s="180" t="s">
        <v>279</v>
      </c>
      <c r="B24" s="132"/>
      <c r="C24" s="165"/>
      <c r="D24" s="149"/>
      <c r="E24" s="150"/>
      <c r="F24" s="151"/>
      <c r="G24" s="150"/>
      <c r="H24" s="152"/>
      <c r="I24" s="153"/>
      <c r="J24" s="149"/>
      <c r="K24" s="154"/>
      <c r="L24" s="149"/>
      <c r="M24" s="154"/>
      <c r="N24" s="151"/>
      <c r="O24" s="150"/>
      <c r="P24" s="152"/>
      <c r="Q24" s="153"/>
      <c r="R24" s="149"/>
      <c r="S24" s="150"/>
      <c r="T24" s="152"/>
      <c r="U24" s="153"/>
      <c r="V24" s="149"/>
      <c r="W24" s="154"/>
      <c r="X24" s="151"/>
      <c r="Y24" s="150"/>
      <c r="Z24" s="152"/>
      <c r="AA24" s="153"/>
      <c r="AB24" s="152"/>
      <c r="AC24" s="155"/>
      <c r="AD24" s="149"/>
      <c r="AE24" s="156"/>
    </row>
    <row r="25" spans="1:31" s="105" customFormat="1" x14ac:dyDescent="0.25">
      <c r="A25" s="94" t="s">
        <v>237</v>
      </c>
      <c r="B25" s="132">
        <v>324</v>
      </c>
      <c r="C25" s="165">
        <v>96.256782531738281</v>
      </c>
      <c r="D25" s="149">
        <v>0.75835663516938101</v>
      </c>
      <c r="E25" s="150">
        <v>2.5005091351956311E-2</v>
      </c>
      <c r="F25" s="151">
        <v>-0.4864</v>
      </c>
      <c r="G25" s="150" t="s">
        <v>35</v>
      </c>
      <c r="H25" s="152">
        <v>0.90349999999999997</v>
      </c>
      <c r="I25" s="153" t="s">
        <v>35</v>
      </c>
      <c r="J25" s="149">
        <v>1.625</v>
      </c>
      <c r="K25" s="154" t="s">
        <v>35</v>
      </c>
      <c r="L25" s="149">
        <v>2.1114000000000002</v>
      </c>
      <c r="M25" s="154" t="s">
        <v>35</v>
      </c>
      <c r="N25" s="151">
        <v>0.75662845107227239</v>
      </c>
      <c r="O25" s="150">
        <v>5.5882312516344221E-2</v>
      </c>
      <c r="P25" s="152">
        <v>0.74035548187113298</v>
      </c>
      <c r="Q25" s="153">
        <v>6.9981236832932919E-2</v>
      </c>
      <c r="R25" s="149">
        <v>0.68156840009877306</v>
      </c>
      <c r="S25" s="150">
        <v>5.2072128393593028E-2</v>
      </c>
      <c r="T25" s="152">
        <v>0.85495568488777196</v>
      </c>
      <c r="U25" s="153">
        <v>6.6391214707212112E-2</v>
      </c>
      <c r="V25" s="149">
        <v>9.8327233815499598E-2</v>
      </c>
      <c r="W25" s="154">
        <v>8.1887974354314871E-2</v>
      </c>
      <c r="X25" s="151">
        <v>0.74502793371362674</v>
      </c>
      <c r="Y25" s="150">
        <v>2.724425988330343E-2</v>
      </c>
      <c r="Z25" s="152" t="s">
        <v>34</v>
      </c>
      <c r="AA25" s="153" t="s">
        <v>34</v>
      </c>
      <c r="AB25" s="152">
        <v>0.90332297520960492</v>
      </c>
      <c r="AC25" s="155">
        <v>6.8798393677858408E-2</v>
      </c>
      <c r="AD25" s="149">
        <v>0.15829504149597817</v>
      </c>
      <c r="AE25" s="156">
        <v>7.6040083181329682E-2</v>
      </c>
    </row>
    <row r="26" spans="1:31" s="105" customFormat="1" x14ac:dyDescent="0.25">
      <c r="A26" s="94" t="s">
        <v>239</v>
      </c>
      <c r="B26" s="132">
        <v>153</v>
      </c>
      <c r="C26" s="165">
        <v>48.127971649169922</v>
      </c>
      <c r="D26" s="149">
        <v>0.34586465910655639</v>
      </c>
      <c r="E26" s="150">
        <v>3.382475222648694E-2</v>
      </c>
      <c r="F26" s="151">
        <v>-0.90590000000000004</v>
      </c>
      <c r="G26" s="150">
        <v>9.5410536629871284E-2</v>
      </c>
      <c r="H26" s="152">
        <v>0.4224</v>
      </c>
      <c r="I26" s="153">
        <v>5.7773826253763046E-2</v>
      </c>
      <c r="J26" s="149">
        <v>1.625</v>
      </c>
      <c r="K26" s="154" t="s">
        <v>35</v>
      </c>
      <c r="L26" s="149">
        <v>2.5308999999999999</v>
      </c>
      <c r="M26" s="154">
        <v>9.5410536629871256E-2</v>
      </c>
      <c r="N26" s="151">
        <v>0.27535734435454229</v>
      </c>
      <c r="O26" s="150">
        <v>6.8406620770216905E-2</v>
      </c>
      <c r="P26" s="152">
        <v>0.34526703214970478</v>
      </c>
      <c r="Q26" s="153">
        <v>7.1052438398190768E-2</v>
      </c>
      <c r="R26" s="149">
        <v>0.41891090991072261</v>
      </c>
      <c r="S26" s="150">
        <v>8.7063334109949569E-2</v>
      </c>
      <c r="T26" s="152">
        <v>0.34405540582604882</v>
      </c>
      <c r="U26" s="153">
        <v>7.2455127867367894E-2</v>
      </c>
      <c r="V26" s="149">
        <v>6.8698061471506505E-2</v>
      </c>
      <c r="W26" s="154">
        <v>9.9575752610490481E-2</v>
      </c>
      <c r="X26" s="151">
        <v>0.34686968973314253</v>
      </c>
      <c r="Y26" s="150">
        <v>3.40218441470614E-2</v>
      </c>
      <c r="Z26" s="152" t="s">
        <v>34</v>
      </c>
      <c r="AA26" s="153" t="s">
        <v>34</v>
      </c>
      <c r="AB26" s="152">
        <v>0.115534153340193</v>
      </c>
      <c r="AC26" s="155">
        <v>0.13031712472030491</v>
      </c>
      <c r="AD26" s="149">
        <v>-0.23133553639294951</v>
      </c>
      <c r="AE26" s="156">
        <v>0.1378653497692191</v>
      </c>
    </row>
    <row r="27" spans="1:31" s="105" customFormat="1" x14ac:dyDescent="0.25">
      <c r="A27" s="94" t="s">
        <v>242</v>
      </c>
      <c r="B27" s="132">
        <v>435</v>
      </c>
      <c r="C27" s="165">
        <v>71.99102783203125</v>
      </c>
      <c r="D27" s="149">
        <v>8.6422665353522707E-2</v>
      </c>
      <c r="E27" s="150">
        <v>2.1711460774364297E-2</v>
      </c>
      <c r="F27" s="151">
        <v>-1.0759000000000001</v>
      </c>
      <c r="G27" s="150">
        <v>5.5876314302215742E-2</v>
      </c>
      <c r="H27" s="152">
        <v>0.20949999999999999</v>
      </c>
      <c r="I27" s="153">
        <v>5.0060308628693054E-2</v>
      </c>
      <c r="J27" s="149">
        <v>1.625</v>
      </c>
      <c r="K27" s="154" t="s">
        <v>35</v>
      </c>
      <c r="L27" s="149">
        <v>2.7008999999999999</v>
      </c>
      <c r="M27" s="154">
        <v>5.5876314302215672E-2</v>
      </c>
      <c r="N27" s="151">
        <v>0.10468470670353321</v>
      </c>
      <c r="O27" s="150">
        <v>4.2088631213715769E-2</v>
      </c>
      <c r="P27" s="152">
        <v>4.5388764072087001E-2</v>
      </c>
      <c r="Q27" s="153">
        <v>5.3077479969931368E-2</v>
      </c>
      <c r="R27" s="149">
        <v>-2.4983878812263698E-2</v>
      </c>
      <c r="S27" s="150">
        <v>4.0949801409401784E-2</v>
      </c>
      <c r="T27" s="152">
        <v>0.22066402781979441</v>
      </c>
      <c r="U27" s="153">
        <v>5.0199423557815571E-2</v>
      </c>
      <c r="V27" s="149">
        <v>0.11597932111626121</v>
      </c>
      <c r="W27" s="154">
        <v>6.6106010387301878E-2</v>
      </c>
      <c r="X27" s="151">
        <v>3.31845720063908E-2</v>
      </c>
      <c r="Y27" s="150">
        <v>2.2893692803011036E-2</v>
      </c>
      <c r="Z27" s="152" t="s">
        <v>34</v>
      </c>
      <c r="AA27" s="153" t="s">
        <v>34</v>
      </c>
      <c r="AB27" s="152">
        <v>0.34859450354012661</v>
      </c>
      <c r="AC27" s="155">
        <v>5.8096712567855736E-2</v>
      </c>
      <c r="AD27" s="149">
        <v>0.31540993153373581</v>
      </c>
      <c r="AE27" s="156">
        <v>6.1196105888340686E-2</v>
      </c>
    </row>
    <row r="28" spans="1:31" s="105" customFormat="1" x14ac:dyDescent="0.25">
      <c r="A28" s="94" t="s">
        <v>249</v>
      </c>
      <c r="B28" s="132">
        <v>222</v>
      </c>
      <c r="C28" s="165">
        <v>85.811027526855469</v>
      </c>
      <c r="D28" s="149">
        <v>0.76855966937736275</v>
      </c>
      <c r="E28" s="150">
        <v>4.0962829078194214E-2</v>
      </c>
      <c r="F28" s="151">
        <v>-0.79559999999999997</v>
      </c>
      <c r="G28" s="150">
        <v>0.22696804510767585</v>
      </c>
      <c r="H28" s="152">
        <v>1.625</v>
      </c>
      <c r="I28" s="153">
        <v>0.68350093086988573</v>
      </c>
      <c r="J28" s="149">
        <v>1.625</v>
      </c>
      <c r="K28" s="154" t="s">
        <v>35</v>
      </c>
      <c r="L28" s="149">
        <v>2.4205999999999999</v>
      </c>
      <c r="M28" s="154">
        <v>0.22696804510767593</v>
      </c>
      <c r="N28" s="151">
        <v>0.82673714027877931</v>
      </c>
      <c r="O28" s="150">
        <v>7.8920376254435626E-2</v>
      </c>
      <c r="P28" s="152">
        <v>0.73983205039299804</v>
      </c>
      <c r="Q28" s="153">
        <v>8.2427972064744767E-2</v>
      </c>
      <c r="R28" s="149">
        <v>0.68750581884647222</v>
      </c>
      <c r="S28" s="150">
        <v>0.1271067475147554</v>
      </c>
      <c r="T28" s="152">
        <v>0.82028707397782974</v>
      </c>
      <c r="U28" s="153">
        <v>0.10377008367735946</v>
      </c>
      <c r="V28" s="149">
        <v>-6.4500663009496003E-3</v>
      </c>
      <c r="W28" s="154">
        <v>0.12894960716932183</v>
      </c>
      <c r="X28" s="151">
        <v>0.78062428010254914</v>
      </c>
      <c r="Y28" s="150">
        <v>4.6884346184528795E-2</v>
      </c>
      <c r="Z28" s="152">
        <v>0.66862420684047574</v>
      </c>
      <c r="AA28" s="153">
        <v>0.10067253897327656</v>
      </c>
      <c r="AB28" s="152">
        <v>0.65743888733027434</v>
      </c>
      <c r="AC28" s="155">
        <v>0.11412190977183928</v>
      </c>
      <c r="AD28" s="149">
        <v>-0.12130981101212723</v>
      </c>
      <c r="AE28" s="156">
        <v>0.11436443339869706</v>
      </c>
    </row>
    <row r="29" spans="1:31" s="105" customFormat="1" x14ac:dyDescent="0.25">
      <c r="A29" s="94" t="s">
        <v>303</v>
      </c>
      <c r="B29" s="132">
        <v>147</v>
      </c>
      <c r="C29" s="165">
        <v>85.482498168945313</v>
      </c>
      <c r="D29" s="149">
        <v>-0.58571103575138284</v>
      </c>
      <c r="E29" s="150">
        <v>2.6049362821486295E-2</v>
      </c>
      <c r="F29" s="151">
        <v>-1.5275000000000001</v>
      </c>
      <c r="G29" s="150">
        <v>4.0716722608775922E-2</v>
      </c>
      <c r="H29" s="152">
        <v>-0.4864</v>
      </c>
      <c r="I29" s="153" t="s">
        <v>35</v>
      </c>
      <c r="J29" s="149">
        <v>0.4224</v>
      </c>
      <c r="K29" s="154">
        <v>8.4804593035990708E-2</v>
      </c>
      <c r="L29" s="149">
        <v>1.9499</v>
      </c>
      <c r="M29" s="154">
        <v>8.4950682751817969E-2</v>
      </c>
      <c r="N29" s="151">
        <v>-0.72023975728114364</v>
      </c>
      <c r="O29" s="150">
        <v>5.1632804389530454E-2</v>
      </c>
      <c r="P29" s="152">
        <v>-0.68170254063522306</v>
      </c>
      <c r="Q29" s="153">
        <v>4.074539761037043E-2</v>
      </c>
      <c r="R29" s="149">
        <v>-0.54734204808728038</v>
      </c>
      <c r="S29" s="150">
        <v>5.1439756393760749E-2</v>
      </c>
      <c r="T29" s="152">
        <v>-0.39353252293834678</v>
      </c>
      <c r="U29" s="153">
        <v>6.3329249923379946E-2</v>
      </c>
      <c r="V29" s="149">
        <v>0.3267072343427968</v>
      </c>
      <c r="W29" s="154">
        <v>8.2347464256993047E-2</v>
      </c>
      <c r="X29" s="151">
        <v>-0.72525654079929136</v>
      </c>
      <c r="Y29" s="150">
        <v>7.696776564031732E-2</v>
      </c>
      <c r="Z29" s="152">
        <v>-0.60893678332491596</v>
      </c>
      <c r="AA29" s="153">
        <v>2.8727904649449954E-2</v>
      </c>
      <c r="AB29" s="152">
        <v>0.27906470014882911</v>
      </c>
      <c r="AC29" s="155">
        <v>0.27688891696378704</v>
      </c>
      <c r="AD29" s="149">
        <v>0.14553473688940888</v>
      </c>
      <c r="AE29" s="156">
        <v>8.6522607026669418E-2</v>
      </c>
    </row>
    <row r="30" spans="1:31" s="105" customFormat="1" x14ac:dyDescent="0.25">
      <c r="A30" s="94" t="s">
        <v>256</v>
      </c>
      <c r="B30" s="132">
        <v>45</v>
      </c>
      <c r="C30" s="165">
        <v>98.93603515625</v>
      </c>
      <c r="D30" s="149">
        <v>-0.46732859329111759</v>
      </c>
      <c r="E30" s="150">
        <v>2.345250099775322E-4</v>
      </c>
      <c r="F30" s="151">
        <v>-1.3608</v>
      </c>
      <c r="G30" s="150" t="s">
        <v>35</v>
      </c>
      <c r="H30" s="152">
        <v>-0.4864</v>
      </c>
      <c r="I30" s="153" t="s">
        <v>35</v>
      </c>
      <c r="J30" s="149">
        <v>0.68589999999999995</v>
      </c>
      <c r="K30" s="154" t="s">
        <v>35</v>
      </c>
      <c r="L30" s="149">
        <v>2.0467</v>
      </c>
      <c r="M30" s="154" t="s">
        <v>35</v>
      </c>
      <c r="N30" s="151">
        <v>-0.37035653689395392</v>
      </c>
      <c r="O30" s="150">
        <v>1.1431756389763152E-3</v>
      </c>
      <c r="P30" s="152">
        <v>-0.51713550837747468</v>
      </c>
      <c r="Q30" s="153">
        <v>1.6000091181937303E-3</v>
      </c>
      <c r="R30" s="149">
        <v>-0.54597727891419812</v>
      </c>
      <c r="S30" s="150">
        <v>1.0366261218339695E-3</v>
      </c>
      <c r="T30" s="152">
        <v>-0.43600438486709192</v>
      </c>
      <c r="U30" s="153">
        <v>3.4413899505676037E-4</v>
      </c>
      <c r="V30" s="149">
        <v>-6.5647847973137899E-2</v>
      </c>
      <c r="W30" s="154">
        <v>1.3035498738351845E-3</v>
      </c>
      <c r="X30" s="151">
        <v>-0.35636849236060969</v>
      </c>
      <c r="Y30" s="150">
        <v>1.172100083047671E-4</v>
      </c>
      <c r="Z30" s="152">
        <v>-0.4901952881426721</v>
      </c>
      <c r="AA30" s="153">
        <v>2.6416305532148864E-4</v>
      </c>
      <c r="AB30" s="152">
        <v>-0.2890331568162583</v>
      </c>
      <c r="AC30" s="155">
        <v>4.681030523029392E-4</v>
      </c>
      <c r="AD30" s="149">
        <v>-0.1162495228396036</v>
      </c>
      <c r="AE30" s="156">
        <v>2.7743488819198812E-4</v>
      </c>
    </row>
    <row r="31" spans="1:31" s="105" customFormat="1" x14ac:dyDescent="0.25">
      <c r="A31" s="94" t="s">
        <v>257</v>
      </c>
      <c r="B31" s="134">
        <v>191</v>
      </c>
      <c r="C31" s="166">
        <v>97.909133911132813</v>
      </c>
      <c r="D31" s="149">
        <v>3.2355024202008399E-2</v>
      </c>
      <c r="E31" s="150">
        <v>2.1744949810030369E-2</v>
      </c>
      <c r="F31" s="151">
        <v>-1.0266</v>
      </c>
      <c r="G31" s="150" t="s">
        <v>35</v>
      </c>
      <c r="H31" s="152">
        <v>5.1400000000000001E-2</v>
      </c>
      <c r="I31" s="153">
        <v>7.5381171389147295E-2</v>
      </c>
      <c r="J31" s="149">
        <v>1.625</v>
      </c>
      <c r="K31" s="154" t="s">
        <v>35</v>
      </c>
      <c r="L31" s="149">
        <v>2.6516000000000002</v>
      </c>
      <c r="M31" s="154" t="s">
        <v>35</v>
      </c>
      <c r="N31" s="151">
        <v>8.8693304954404903E-2</v>
      </c>
      <c r="O31" s="150">
        <v>4.3030434036180308E-2</v>
      </c>
      <c r="P31" s="152">
        <v>2.0405264349110299E-2</v>
      </c>
      <c r="Q31" s="153">
        <v>6.4253342026337854E-2</v>
      </c>
      <c r="R31" s="149">
        <v>-1.4644956349041199E-2</v>
      </c>
      <c r="S31" s="150">
        <v>5.8346958424999304E-2</v>
      </c>
      <c r="T31" s="152">
        <v>3.4903268579402097E-2</v>
      </c>
      <c r="U31" s="153">
        <v>3.951913757819929E-2</v>
      </c>
      <c r="V31" s="149">
        <v>-5.3790036375002799E-2</v>
      </c>
      <c r="W31" s="154">
        <v>5.8084717585073393E-2</v>
      </c>
      <c r="X31" s="151">
        <v>4.2911010961955799E-2</v>
      </c>
      <c r="Y31" s="150">
        <v>2.2235169632413666E-2</v>
      </c>
      <c r="Z31" s="152">
        <v>0.41278333333333328</v>
      </c>
      <c r="AA31" s="153">
        <v>1.5700924586837752E-16</v>
      </c>
      <c r="AB31" s="152">
        <v>-0.17793214773775881</v>
      </c>
      <c r="AC31" s="155">
        <v>8.7653512602130446E-2</v>
      </c>
      <c r="AD31" s="149">
        <v>-0.18365787419246848</v>
      </c>
      <c r="AE31" s="156">
        <v>9.3009224074397615E-2</v>
      </c>
    </row>
    <row r="32" spans="1:31" s="105" customFormat="1" x14ac:dyDescent="0.25">
      <c r="A32" s="94" t="s">
        <v>261</v>
      </c>
      <c r="B32" s="134">
        <v>177</v>
      </c>
      <c r="C32" s="166">
        <v>86.381423950195313</v>
      </c>
      <c r="D32" s="149">
        <v>0.1005327112494062</v>
      </c>
      <c r="E32" s="150">
        <v>2.9793150979981833E-2</v>
      </c>
      <c r="F32" s="151">
        <v>-1.3243</v>
      </c>
      <c r="G32" s="150">
        <v>4.1430948577120486E-2</v>
      </c>
      <c r="H32" s="152">
        <v>0.11360000000000001</v>
      </c>
      <c r="I32" s="153" t="s">
        <v>35</v>
      </c>
      <c r="J32" s="149">
        <v>1.625</v>
      </c>
      <c r="K32" s="154" t="s">
        <v>35</v>
      </c>
      <c r="L32" s="149">
        <v>2.9493</v>
      </c>
      <c r="M32" s="154">
        <v>4.1430948577120624E-2</v>
      </c>
      <c r="N32" s="151">
        <v>6.4123497132340002E-2</v>
      </c>
      <c r="O32" s="150">
        <v>5.2051159115047881E-2</v>
      </c>
      <c r="P32" s="152">
        <v>-1.40800174813248E-2</v>
      </c>
      <c r="Q32" s="153">
        <v>8.0253208875215795E-2</v>
      </c>
      <c r="R32" s="149">
        <v>0.1691192593670704</v>
      </c>
      <c r="S32" s="150">
        <v>6.3870619467157969E-2</v>
      </c>
      <c r="T32" s="152">
        <v>0.18294957067897419</v>
      </c>
      <c r="U32" s="153">
        <v>6.1682308796604267E-2</v>
      </c>
      <c r="V32" s="149">
        <v>0.1188260735466342</v>
      </c>
      <c r="W32" s="154">
        <v>7.0881766467407875E-2</v>
      </c>
      <c r="X32" s="151">
        <v>8.0892259155518606E-2</v>
      </c>
      <c r="Y32" s="150">
        <v>2.9647257107885516E-2</v>
      </c>
      <c r="Z32" s="152">
        <v>-0.16954666666666671</v>
      </c>
      <c r="AA32" s="153" t="s">
        <v>35</v>
      </c>
      <c r="AB32" s="152">
        <v>0.51279936767615508</v>
      </c>
      <c r="AC32" s="155">
        <v>0.13323980985956124</v>
      </c>
      <c r="AD32" s="149">
        <v>0.3607176436616284</v>
      </c>
      <c r="AE32" s="156">
        <v>0.14831579127374772</v>
      </c>
    </row>
    <row r="33" spans="1:31" s="105" customFormat="1" x14ac:dyDescent="0.25">
      <c r="A33" s="94" t="s">
        <v>263</v>
      </c>
      <c r="B33" s="132">
        <v>157</v>
      </c>
      <c r="C33" s="165">
        <v>72.12493896484375</v>
      </c>
      <c r="D33" s="149">
        <v>0.50816252865107836</v>
      </c>
      <c r="E33" s="150">
        <v>1.87557837466353E-2</v>
      </c>
      <c r="F33" s="151">
        <v>-0.97419999999999995</v>
      </c>
      <c r="G33" s="150">
        <v>7.7683930127150469E-2</v>
      </c>
      <c r="H33" s="152">
        <v>0.60560000000000003</v>
      </c>
      <c r="I33" s="153">
        <v>6.352507378980371E-2</v>
      </c>
      <c r="J33" s="149">
        <v>1.625</v>
      </c>
      <c r="K33" s="154" t="s">
        <v>35</v>
      </c>
      <c r="L33" s="149">
        <v>2.5991999999999997</v>
      </c>
      <c r="M33" s="154">
        <v>7.7683930127150996E-2</v>
      </c>
      <c r="N33" s="151">
        <v>0.39716723912640511</v>
      </c>
      <c r="O33" s="150">
        <v>6.0020068200844448E-2</v>
      </c>
      <c r="P33" s="152">
        <v>0.39863287105117201</v>
      </c>
      <c r="Q33" s="153">
        <v>7.1803170245327397E-2</v>
      </c>
      <c r="R33" s="149">
        <v>0.76242710093916621</v>
      </c>
      <c r="S33" s="150">
        <v>4.588482778047677E-2</v>
      </c>
      <c r="T33" s="152">
        <v>0.47415777335376158</v>
      </c>
      <c r="U33" s="153">
        <v>4.1350294338802669E-2</v>
      </c>
      <c r="V33" s="149">
        <v>7.6990534227356494E-2</v>
      </c>
      <c r="W33" s="154">
        <v>7.0909010810669582E-2</v>
      </c>
      <c r="X33" s="151">
        <v>0.53823718435067824</v>
      </c>
      <c r="Y33" s="150">
        <v>1.8679382762907662E-2</v>
      </c>
      <c r="Z33" s="152">
        <v>0.44128750000000011</v>
      </c>
      <c r="AA33" s="153">
        <v>3.0404709722440588E-16</v>
      </c>
      <c r="AB33" s="152">
        <v>0.31814287700766991</v>
      </c>
      <c r="AC33" s="155">
        <v>6.0799524987313863E-2</v>
      </c>
      <c r="AD33" s="149">
        <v>-0.21615479904432217</v>
      </c>
      <c r="AE33" s="156">
        <v>6.1675855784853656E-2</v>
      </c>
    </row>
    <row r="34" spans="1:31" s="105" customFormat="1" x14ac:dyDescent="0.25">
      <c r="A34" s="94" t="s">
        <v>264</v>
      </c>
      <c r="B34" s="132">
        <v>324</v>
      </c>
      <c r="C34" s="165">
        <v>95.945106506347656</v>
      </c>
      <c r="D34" s="149">
        <v>0.16296967439808521</v>
      </c>
      <c r="E34" s="150">
        <v>1.6840693422535226E-2</v>
      </c>
      <c r="F34" s="151">
        <v>-1.0266</v>
      </c>
      <c r="G34" s="150">
        <v>2.6245513902379641E-2</v>
      </c>
      <c r="H34" s="152">
        <v>0.11360000000000001</v>
      </c>
      <c r="I34" s="153">
        <v>0.13223021591149278</v>
      </c>
      <c r="J34" s="149">
        <v>1.625</v>
      </c>
      <c r="K34" s="154" t="s">
        <v>35</v>
      </c>
      <c r="L34" s="149">
        <v>2.6516000000000002</v>
      </c>
      <c r="M34" s="154">
        <v>2.6245513902379416E-2</v>
      </c>
      <c r="N34" s="151">
        <v>0.15387332194155759</v>
      </c>
      <c r="O34" s="150">
        <v>4.4199427300785091E-2</v>
      </c>
      <c r="P34" s="152">
        <v>0.1403544627042275</v>
      </c>
      <c r="Q34" s="153">
        <v>4.756249167779119E-2</v>
      </c>
      <c r="R34" s="149">
        <v>9.9421350982750595E-2</v>
      </c>
      <c r="S34" s="150">
        <v>4.3269961856166696E-2</v>
      </c>
      <c r="T34" s="152">
        <v>0.2582550225786549</v>
      </c>
      <c r="U34" s="153">
        <v>3.1424304681898912E-2</v>
      </c>
      <c r="V34" s="149">
        <v>0.1043817006370973</v>
      </c>
      <c r="W34" s="154">
        <v>5.3928319978004846E-2</v>
      </c>
      <c r="X34" s="151">
        <v>0.1460054434585463</v>
      </c>
      <c r="Y34" s="150">
        <v>2.0204243215131087E-2</v>
      </c>
      <c r="Z34" s="152">
        <v>-0.47709090909090912</v>
      </c>
      <c r="AA34" s="153" t="s">
        <v>35</v>
      </c>
      <c r="AB34" s="152">
        <v>0.23140370125809939</v>
      </c>
      <c r="AC34" s="155">
        <v>3.5311556474214183E-2</v>
      </c>
      <c r="AD34" s="149">
        <v>7.9642717455242595E-2</v>
      </c>
      <c r="AE34" s="156">
        <v>4.1481733636006393E-2</v>
      </c>
    </row>
    <row r="35" spans="1:31" s="105" customFormat="1" x14ac:dyDescent="0.25">
      <c r="A35" s="94" t="s">
        <v>272</v>
      </c>
      <c r="B35" s="132">
        <v>192</v>
      </c>
      <c r="C35" s="165">
        <v>88.033180236816406</v>
      </c>
      <c r="D35" s="149">
        <v>-0.36078654203104749</v>
      </c>
      <c r="E35" s="150">
        <v>2.1197280370065755E-2</v>
      </c>
      <c r="F35" s="151">
        <v>-1.3608</v>
      </c>
      <c r="G35" s="150" t="s">
        <v>35</v>
      </c>
      <c r="H35" s="152">
        <v>-0.4864</v>
      </c>
      <c r="I35" s="153" t="s">
        <v>35</v>
      </c>
      <c r="J35" s="149">
        <v>1.0646</v>
      </c>
      <c r="K35" s="154">
        <v>0.14770025558542546</v>
      </c>
      <c r="L35" s="149">
        <v>2.4253999999999998</v>
      </c>
      <c r="M35" s="154">
        <v>0.14770025558542504</v>
      </c>
      <c r="N35" s="151">
        <v>-0.46930676110574671</v>
      </c>
      <c r="O35" s="150">
        <v>3.8931039911988215E-2</v>
      </c>
      <c r="P35" s="152">
        <v>-0.39788214743398059</v>
      </c>
      <c r="Q35" s="153">
        <v>4.1753916829957903E-2</v>
      </c>
      <c r="R35" s="149">
        <v>-0.37040600980599769</v>
      </c>
      <c r="S35" s="150">
        <v>4.2925138891295331E-2</v>
      </c>
      <c r="T35" s="152">
        <v>-0.20554037441064779</v>
      </c>
      <c r="U35" s="153">
        <v>3.9066852321837056E-2</v>
      </c>
      <c r="V35" s="149">
        <v>0.26376638669509889</v>
      </c>
      <c r="W35" s="154">
        <v>5.3942753549447504E-2</v>
      </c>
      <c r="X35" s="151">
        <v>-0.30299832990723469</v>
      </c>
      <c r="Y35" s="150">
        <v>2.6267293069817531E-2</v>
      </c>
      <c r="Z35" s="152">
        <v>-0.5585886933976818</v>
      </c>
      <c r="AA35" s="153">
        <v>4.9533773223691263E-2</v>
      </c>
      <c r="AB35" s="152">
        <v>-0.43019525804063419</v>
      </c>
      <c r="AC35" s="155">
        <v>4.6091163864098852E-2</v>
      </c>
      <c r="AD35" s="149">
        <v>-0.1725094786857051</v>
      </c>
      <c r="AE35" s="156">
        <v>4.2190882591937755E-2</v>
      </c>
    </row>
    <row r="36" spans="1:31" s="105" customFormat="1" x14ac:dyDescent="0.25">
      <c r="A36" s="94" t="s">
        <v>275</v>
      </c>
      <c r="B36" s="132">
        <v>619</v>
      </c>
      <c r="C36" s="165">
        <v>86.628646850585938</v>
      </c>
      <c r="D36" s="149">
        <v>0.17969321855860329</v>
      </c>
      <c r="E36" s="150">
        <v>1.0976771507047156E-2</v>
      </c>
      <c r="F36" s="151">
        <v>-1.0759000000000001</v>
      </c>
      <c r="G36" s="150" t="s">
        <v>35</v>
      </c>
      <c r="H36" s="152">
        <v>0.11360000000000001</v>
      </c>
      <c r="I36" s="153">
        <v>1.3908342820048695E-2</v>
      </c>
      <c r="J36" s="149">
        <v>1.625</v>
      </c>
      <c r="K36" s="154" t="s">
        <v>35</v>
      </c>
      <c r="L36" s="149">
        <v>2.7008999999999999</v>
      </c>
      <c r="M36" s="154" t="s">
        <v>35</v>
      </c>
      <c r="N36" s="151">
        <v>0.2282583393618042</v>
      </c>
      <c r="O36" s="150">
        <v>1.1703046686582024E-2</v>
      </c>
      <c r="P36" s="152">
        <v>0.2337248005598567</v>
      </c>
      <c r="Q36" s="153">
        <v>1.5190005446092072E-2</v>
      </c>
      <c r="R36" s="149">
        <v>0.25103483261809623</v>
      </c>
      <c r="S36" s="150">
        <v>4.8009786026027353E-2</v>
      </c>
      <c r="T36" s="152">
        <v>1.0545162799530401E-2</v>
      </c>
      <c r="U36" s="153">
        <v>2.9203555489635529E-2</v>
      </c>
      <c r="V36" s="149">
        <v>-0.21771317656227379</v>
      </c>
      <c r="W36" s="154">
        <v>3.3657143779199088E-2</v>
      </c>
      <c r="X36" s="151">
        <v>0.16075715267190299</v>
      </c>
      <c r="Y36" s="150">
        <v>3.8795968420826396E-3</v>
      </c>
      <c r="Z36" s="152">
        <v>0.21304666666666661</v>
      </c>
      <c r="AA36" s="153">
        <v>1.5353625799562712E-16</v>
      </c>
      <c r="AB36" s="152">
        <v>0.18511549117640111</v>
      </c>
      <c r="AC36" s="155">
        <v>1.8351525044181183E-2</v>
      </c>
      <c r="AD36" s="149">
        <v>2.4406423782734721E-2</v>
      </c>
      <c r="AE36" s="156">
        <v>1.8977136032526144E-2</v>
      </c>
    </row>
    <row r="37" spans="1:31" s="105" customFormat="1" ht="13.8" thickBot="1" x14ac:dyDescent="0.3">
      <c r="A37" s="125"/>
      <c r="B37" s="143"/>
      <c r="C37" s="108"/>
      <c r="D37" s="110"/>
      <c r="E37" s="111"/>
      <c r="F37" s="143"/>
      <c r="G37" s="111"/>
      <c r="H37" s="146"/>
      <c r="I37" s="114"/>
      <c r="J37" s="145"/>
      <c r="K37" s="115"/>
      <c r="L37" s="145"/>
      <c r="M37" s="115"/>
      <c r="N37" s="112"/>
      <c r="O37" s="111"/>
      <c r="P37" s="113"/>
      <c r="Q37" s="114"/>
      <c r="R37" s="110"/>
      <c r="S37" s="111"/>
      <c r="T37" s="113"/>
      <c r="U37" s="114"/>
      <c r="V37" s="110"/>
      <c r="W37" s="115"/>
      <c r="X37" s="110"/>
      <c r="Y37" s="111"/>
      <c r="Z37" s="113"/>
      <c r="AA37" s="114"/>
      <c r="AB37" s="113"/>
      <c r="AC37" s="116"/>
      <c r="AD37" s="110"/>
      <c r="AE37" s="117"/>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40</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41</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05" t="s">
        <v>43</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31" t="s">
        <v>42</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8">
    <mergeCell ref="V13:W13"/>
    <mergeCell ref="Z13:AA13"/>
    <mergeCell ref="B11:K11"/>
    <mergeCell ref="N11:W12"/>
    <mergeCell ref="X11:AE12"/>
    <mergeCell ref="C12:C13"/>
    <mergeCell ref="D12:E13"/>
    <mergeCell ref="F12:K13"/>
    <mergeCell ref="L12:M12"/>
    <mergeCell ref="L13:M13"/>
    <mergeCell ref="AD13:AE13"/>
    <mergeCell ref="AB13:AC13"/>
    <mergeCell ref="N13:O13"/>
    <mergeCell ref="P13:Q13"/>
    <mergeCell ref="R13:S13"/>
    <mergeCell ref="T13:U13"/>
    <mergeCell ref="B12:B13"/>
    <mergeCell ref="X13:Y13"/>
  </mergeCells>
  <conditionalFormatting sqref="V16:V37 AD16:AD37">
    <cfRule type="expression" dxfId="18" priority="2">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AG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3" width="13.44140625" style="4" customWidth="1"/>
    <col min="4" max="16384" width="9.109375" style="4"/>
  </cols>
  <sheetData>
    <row r="1" spans="1:33" s="240" customFormat="1" x14ac:dyDescent="0.25">
      <c r="A1" s="241" t="s">
        <v>305</v>
      </c>
    </row>
    <row r="2" spans="1:33" s="240" customFormat="1" x14ac:dyDescent="0.25">
      <c r="A2" s="240" t="s">
        <v>306</v>
      </c>
      <c r="B2" s="240" t="s">
        <v>307</v>
      </c>
    </row>
    <row r="3" spans="1:33" s="240" customFormat="1" x14ac:dyDescent="0.25">
      <c r="A3" s="240" t="s">
        <v>308</v>
      </c>
    </row>
    <row r="4" spans="1:33" s="240" customFormat="1" x14ac:dyDescent="0.25">
      <c r="A4" s="241" t="s">
        <v>309</v>
      </c>
    </row>
    <row r="5" spans="1:33" s="240" customFormat="1" x14ac:dyDescent="0.25"/>
    <row r="6" spans="1:33" x14ac:dyDescent="0.25">
      <c r="A6" s="1" t="s">
        <v>103</v>
      </c>
      <c r="B6" s="2"/>
      <c r="C6" s="3"/>
      <c r="D6" s="2"/>
      <c r="E6" s="3"/>
      <c r="F6" s="3"/>
      <c r="G6" s="3"/>
      <c r="H6" s="3"/>
      <c r="I6" s="3"/>
      <c r="J6" s="3"/>
      <c r="K6" s="3"/>
      <c r="L6" s="3"/>
      <c r="M6" s="3"/>
      <c r="N6" s="3"/>
      <c r="O6" s="2"/>
      <c r="P6" s="3"/>
      <c r="Q6" s="2"/>
      <c r="R6" s="3"/>
      <c r="S6" s="2"/>
      <c r="T6" s="2"/>
      <c r="U6" s="2"/>
    </row>
    <row r="7" spans="1:33" x14ac:dyDescent="0.25">
      <c r="A7" s="5" t="s">
        <v>104</v>
      </c>
    </row>
    <row r="8" spans="1:33" x14ac:dyDescent="0.25">
      <c r="A8" s="6" t="s">
        <v>96</v>
      </c>
    </row>
    <row r="9" spans="1:33" x14ac:dyDescent="0.25">
      <c r="A9" s="59"/>
    </row>
    <row r="10" spans="1:33" ht="13.8" thickBot="1" x14ac:dyDescent="0.3">
      <c r="A10" s="7"/>
      <c r="B10" s="8"/>
      <c r="C10" s="9"/>
      <c r="D10" s="8"/>
      <c r="E10" s="9"/>
      <c r="F10" s="9"/>
      <c r="G10" s="9"/>
      <c r="H10" s="9"/>
      <c r="I10" s="9"/>
      <c r="J10" s="9"/>
      <c r="K10" s="9"/>
      <c r="L10" s="9"/>
      <c r="M10" s="9"/>
    </row>
    <row r="11" spans="1:33" ht="24" customHeight="1" x14ac:dyDescent="0.25">
      <c r="A11" s="28"/>
      <c r="B11" s="211" t="s">
        <v>7</v>
      </c>
      <c r="C11" s="212"/>
      <c r="D11" s="212"/>
      <c r="E11" s="212"/>
      <c r="F11" s="212"/>
      <c r="G11" s="212"/>
      <c r="H11" s="212"/>
      <c r="I11" s="212"/>
      <c r="J11" s="212"/>
      <c r="K11" s="212"/>
      <c r="L11" s="29"/>
      <c r="M11" s="30"/>
      <c r="N11" s="201" t="s">
        <v>105</v>
      </c>
      <c r="O11" s="202"/>
      <c r="P11" s="202"/>
      <c r="Q11" s="202"/>
      <c r="R11" s="202"/>
      <c r="S11" s="202"/>
      <c r="T11" s="202"/>
      <c r="U11" s="202"/>
      <c r="V11" s="202"/>
      <c r="W11" s="213"/>
      <c r="X11" s="201" t="s">
        <v>106</v>
      </c>
      <c r="Y11" s="202"/>
      <c r="Z11" s="202"/>
      <c r="AA11" s="202"/>
      <c r="AB11" s="202"/>
      <c r="AC11" s="202"/>
      <c r="AD11" s="202"/>
      <c r="AE11" s="203"/>
    </row>
    <row r="12" spans="1:33" ht="104.25" customHeight="1" x14ac:dyDescent="0.25">
      <c r="A12" s="31"/>
      <c r="B12" s="218" t="s">
        <v>10</v>
      </c>
      <c r="C12" s="218" t="s">
        <v>11</v>
      </c>
      <c r="D12" s="218" t="s">
        <v>107</v>
      </c>
      <c r="E12" s="219"/>
      <c r="F12" s="218" t="s">
        <v>108</v>
      </c>
      <c r="G12" s="217"/>
      <c r="H12" s="217"/>
      <c r="I12" s="217"/>
      <c r="J12" s="217"/>
      <c r="K12" s="219"/>
      <c r="L12" s="226" t="s">
        <v>109</v>
      </c>
      <c r="M12" s="227"/>
      <c r="N12" s="204"/>
      <c r="O12" s="205"/>
      <c r="P12" s="205"/>
      <c r="Q12" s="205"/>
      <c r="R12" s="205"/>
      <c r="S12" s="205"/>
      <c r="T12" s="205"/>
      <c r="U12" s="205"/>
      <c r="V12" s="205"/>
      <c r="W12" s="214"/>
      <c r="X12" s="204"/>
      <c r="Y12" s="205"/>
      <c r="Z12" s="205"/>
      <c r="AA12" s="205"/>
      <c r="AB12" s="205"/>
      <c r="AC12" s="205"/>
      <c r="AD12" s="205"/>
      <c r="AE12" s="206"/>
    </row>
    <row r="13" spans="1:33" ht="51" customHeight="1" x14ac:dyDescent="0.25">
      <c r="A13" s="32"/>
      <c r="B13" s="204"/>
      <c r="C13" s="204"/>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3" ht="27.75" customHeight="1" x14ac:dyDescent="0.25">
      <c r="A14" s="33"/>
      <c r="B14" s="34" t="s">
        <v>25</v>
      </c>
      <c r="C14" s="56" t="s">
        <v>26</v>
      </c>
      <c r="D14" s="36" t="s">
        <v>27</v>
      </c>
      <c r="E14" s="36" t="s">
        <v>28</v>
      </c>
      <c r="F14" s="37" t="s">
        <v>29</v>
      </c>
      <c r="G14" s="36" t="s">
        <v>28</v>
      </c>
      <c r="H14" s="38" t="s">
        <v>30</v>
      </c>
      <c r="I14" s="39" t="s">
        <v>28</v>
      </c>
      <c r="J14" s="40" t="s">
        <v>31</v>
      </c>
      <c r="K14" s="35" t="s">
        <v>28</v>
      </c>
      <c r="L14" s="41" t="s">
        <v>32</v>
      </c>
      <c r="M14" s="42" t="s">
        <v>28</v>
      </c>
      <c r="N14" s="34" t="s">
        <v>102</v>
      </c>
      <c r="O14" s="43" t="s">
        <v>28</v>
      </c>
      <c r="P14" s="44" t="s">
        <v>102</v>
      </c>
      <c r="Q14" s="39" t="s">
        <v>28</v>
      </c>
      <c r="R14" s="36" t="s">
        <v>102</v>
      </c>
      <c r="S14" s="43" t="s">
        <v>28</v>
      </c>
      <c r="T14" s="44" t="s">
        <v>102</v>
      </c>
      <c r="U14" s="39" t="s">
        <v>28</v>
      </c>
      <c r="V14" s="36" t="s">
        <v>33</v>
      </c>
      <c r="W14" s="35" t="s">
        <v>28</v>
      </c>
      <c r="X14" s="34" t="s">
        <v>102</v>
      </c>
      <c r="Y14" s="36" t="s">
        <v>28</v>
      </c>
      <c r="Z14" s="44" t="s">
        <v>102</v>
      </c>
      <c r="AA14" s="39" t="s">
        <v>28</v>
      </c>
      <c r="AB14" s="44" t="s">
        <v>102</v>
      </c>
      <c r="AC14" s="45" t="s">
        <v>28</v>
      </c>
      <c r="AD14" s="36" t="s">
        <v>33</v>
      </c>
      <c r="AE14" s="46" t="s">
        <v>28</v>
      </c>
    </row>
    <row r="15" spans="1:33" s="75" customFormat="1" ht="13.5" customHeight="1" x14ac:dyDescent="0.25">
      <c r="A15" s="179" t="s">
        <v>278</v>
      </c>
      <c r="B15" s="198"/>
      <c r="C15" s="199"/>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c r="AG15" s="10"/>
    </row>
    <row r="16" spans="1:33" s="105" customFormat="1" x14ac:dyDescent="0.25">
      <c r="A16" s="94" t="s">
        <v>206</v>
      </c>
      <c r="B16" s="132">
        <v>223</v>
      </c>
      <c r="C16" s="165">
        <v>82.39166259765625</v>
      </c>
      <c r="D16" s="149">
        <v>9.2383526294962701E-2</v>
      </c>
      <c r="E16" s="150">
        <v>2.5012511504834856E-2</v>
      </c>
      <c r="F16" s="151">
        <v>-1.1788000000000001</v>
      </c>
      <c r="G16" s="150" t="s">
        <v>35</v>
      </c>
      <c r="H16" s="152">
        <v>5.6500000000000002E-2</v>
      </c>
      <c r="I16" s="153" t="s">
        <v>35</v>
      </c>
      <c r="J16" s="149">
        <v>1.5794999999999999</v>
      </c>
      <c r="K16" s="154" t="s">
        <v>35</v>
      </c>
      <c r="L16" s="149">
        <v>2.7583000000000002</v>
      </c>
      <c r="M16" s="154" t="s">
        <v>35</v>
      </c>
      <c r="N16" s="151">
        <v>4.8305200606798798E-2</v>
      </c>
      <c r="O16" s="150">
        <v>4.9687674033084737E-2</v>
      </c>
      <c r="P16" s="152">
        <v>9.3980723757667403E-2</v>
      </c>
      <c r="Q16" s="153">
        <v>5.2816723072979029E-2</v>
      </c>
      <c r="R16" s="149">
        <v>8.8323172508227202E-2</v>
      </c>
      <c r="S16" s="150">
        <v>6.117174224578642E-2</v>
      </c>
      <c r="T16" s="152">
        <v>0.13898110667988531</v>
      </c>
      <c r="U16" s="153">
        <v>4.765965262491334E-2</v>
      </c>
      <c r="V16" s="149">
        <v>9.0675906073086399E-2</v>
      </c>
      <c r="W16" s="154">
        <v>7.106209837213788E-2</v>
      </c>
      <c r="X16" s="151">
        <v>0.13219165835981631</v>
      </c>
      <c r="Y16" s="150">
        <v>4.0834670738614923E-2</v>
      </c>
      <c r="Z16" s="152">
        <v>5.6527845663566799E-2</v>
      </c>
      <c r="AA16" s="153">
        <v>3.530024311271647E-2</v>
      </c>
      <c r="AB16" s="152">
        <v>0.13266672358126541</v>
      </c>
      <c r="AC16" s="155">
        <v>6.8230400646819012E-2</v>
      </c>
      <c r="AD16" s="149">
        <v>-5.9077656608596402E-2</v>
      </c>
      <c r="AE16" s="156">
        <v>5.1958006703434839E-2</v>
      </c>
    </row>
    <row r="17" spans="1:31" s="105" customFormat="1" x14ac:dyDescent="0.25">
      <c r="A17" s="94" t="s">
        <v>213</v>
      </c>
      <c r="B17" s="132">
        <v>218</v>
      </c>
      <c r="C17" s="165">
        <v>72.124519348144531</v>
      </c>
      <c r="D17" s="149">
        <v>0.40233445272319968</v>
      </c>
      <c r="E17" s="150">
        <v>1.9632187729474719E-2</v>
      </c>
      <c r="F17" s="151">
        <v>-0.96589999999999998</v>
      </c>
      <c r="G17" s="150">
        <v>4.3202598301491098E-2</v>
      </c>
      <c r="H17" s="152">
        <v>0.35339999999999999</v>
      </c>
      <c r="I17" s="153" t="s">
        <v>35</v>
      </c>
      <c r="J17" s="149">
        <v>1.5794999999999999</v>
      </c>
      <c r="K17" s="154" t="s">
        <v>35</v>
      </c>
      <c r="L17" s="149">
        <v>2.5453999999999999</v>
      </c>
      <c r="M17" s="154">
        <v>4.3202598301491112E-2</v>
      </c>
      <c r="N17" s="151">
        <v>0.39035322395985622</v>
      </c>
      <c r="O17" s="150">
        <v>3.5618117243749713E-2</v>
      </c>
      <c r="P17" s="152">
        <v>0.3172542963106747</v>
      </c>
      <c r="Q17" s="153">
        <v>5.0348229398398628E-2</v>
      </c>
      <c r="R17" s="149">
        <v>0.44911391654210309</v>
      </c>
      <c r="S17" s="150">
        <v>4.559568901685123E-2</v>
      </c>
      <c r="T17" s="152">
        <v>0.45229830219242179</v>
      </c>
      <c r="U17" s="153">
        <v>3.4163108814249658E-2</v>
      </c>
      <c r="V17" s="149">
        <v>6.1945078232565599E-2</v>
      </c>
      <c r="W17" s="154">
        <v>4.8706867728419354E-2</v>
      </c>
      <c r="X17" s="151">
        <v>0.40488783919254501</v>
      </c>
      <c r="Y17" s="150">
        <v>1.9412024669828866E-2</v>
      </c>
      <c r="Z17" s="152">
        <v>0.56117986077177495</v>
      </c>
      <c r="AA17" s="153">
        <v>6.4715116293580718E-2</v>
      </c>
      <c r="AB17" s="152">
        <v>0.35753928571428573</v>
      </c>
      <c r="AC17" s="155" t="s">
        <v>35</v>
      </c>
      <c r="AD17" s="149">
        <v>0.11092141987387061</v>
      </c>
      <c r="AE17" s="156">
        <v>6.7304040681406177E-2</v>
      </c>
    </row>
    <row r="18" spans="1:31" s="105" customFormat="1" x14ac:dyDescent="0.25">
      <c r="A18" s="94" t="s">
        <v>221</v>
      </c>
      <c r="B18" s="132">
        <v>154</v>
      </c>
      <c r="C18" s="165">
        <v>83.595809936523438</v>
      </c>
      <c r="D18" s="149">
        <v>-0.35559275718530869</v>
      </c>
      <c r="E18" s="150">
        <v>1.6744604376896562E-2</v>
      </c>
      <c r="F18" s="151">
        <v>-1.2806999999999999</v>
      </c>
      <c r="G18" s="150">
        <v>6.2071245355639591E-2</v>
      </c>
      <c r="H18" s="152">
        <v>-0.47870000000000001</v>
      </c>
      <c r="I18" s="153">
        <v>6.1253403987043847E-2</v>
      </c>
      <c r="J18" s="149">
        <v>0.78200000000000003</v>
      </c>
      <c r="K18" s="154" t="s">
        <v>35</v>
      </c>
      <c r="L18" s="149">
        <v>2.0627</v>
      </c>
      <c r="M18" s="154">
        <v>6.2071245355639793E-2</v>
      </c>
      <c r="N18" s="151">
        <v>-0.31868052084860787</v>
      </c>
      <c r="O18" s="150">
        <v>2.690371530333081E-2</v>
      </c>
      <c r="P18" s="152">
        <v>-0.34074897145672561</v>
      </c>
      <c r="Q18" s="153">
        <v>4.2199181188645192E-2</v>
      </c>
      <c r="R18" s="149">
        <v>-0.37672091594454482</v>
      </c>
      <c r="S18" s="150">
        <v>3.9283435770899502E-2</v>
      </c>
      <c r="T18" s="152">
        <v>-0.38626017303336879</v>
      </c>
      <c r="U18" s="153">
        <v>4.9129037974594156E-2</v>
      </c>
      <c r="V18" s="149">
        <v>-6.7579652184760905E-2</v>
      </c>
      <c r="W18" s="154">
        <v>5.9634131294094513E-2</v>
      </c>
      <c r="X18" s="151">
        <v>-0.39210353844965501</v>
      </c>
      <c r="Y18" s="150">
        <v>2.028313805548736E-2</v>
      </c>
      <c r="Z18" s="152">
        <v>-0.31720640017829838</v>
      </c>
      <c r="AA18" s="153">
        <v>2.8268696138850608E-2</v>
      </c>
      <c r="AB18" s="152">
        <v>-0.27317177744859678</v>
      </c>
      <c r="AC18" s="155">
        <v>7.0396283719792146E-2</v>
      </c>
      <c r="AD18" s="149">
        <v>8.150244943035273E-2</v>
      </c>
      <c r="AE18" s="156">
        <v>3.1868012265330897E-2</v>
      </c>
    </row>
    <row r="19" spans="1:31" s="105" customFormat="1" x14ac:dyDescent="0.25">
      <c r="A19" s="94" t="s">
        <v>301</v>
      </c>
      <c r="B19" s="132">
        <v>234</v>
      </c>
      <c r="C19" s="165">
        <v>81.858360290527344</v>
      </c>
      <c r="D19" s="149">
        <v>-0.33429231911007767</v>
      </c>
      <c r="E19" s="150">
        <v>1.7392646105879275E-2</v>
      </c>
      <c r="F19" s="151">
        <v>-1.4469000000000001</v>
      </c>
      <c r="G19" s="150">
        <v>2.775107205136406E-2</v>
      </c>
      <c r="H19" s="152">
        <v>-0.34799999999999998</v>
      </c>
      <c r="I19" s="153" t="s">
        <v>35</v>
      </c>
      <c r="J19" s="149">
        <v>0.93730000000000002</v>
      </c>
      <c r="K19" s="154">
        <v>0.70259919584354769</v>
      </c>
      <c r="L19" s="149">
        <v>2.3841999999999999</v>
      </c>
      <c r="M19" s="154">
        <v>0.6906010671871281</v>
      </c>
      <c r="N19" s="151">
        <v>-0.30681519749836261</v>
      </c>
      <c r="O19" s="150">
        <v>4.8514370502587022E-2</v>
      </c>
      <c r="P19" s="152">
        <v>-0.43634419638020733</v>
      </c>
      <c r="Q19" s="153">
        <v>4.0389493656717297E-2</v>
      </c>
      <c r="R19" s="149">
        <v>-0.30030365156032912</v>
      </c>
      <c r="S19" s="150">
        <v>3.6223374980444735E-2</v>
      </c>
      <c r="T19" s="152">
        <v>-0.29392604587993543</v>
      </c>
      <c r="U19" s="153">
        <v>4.5768638482280861E-2</v>
      </c>
      <c r="V19" s="149">
        <v>1.28891516184272E-2</v>
      </c>
      <c r="W19" s="154">
        <v>6.6821481217107043E-2</v>
      </c>
      <c r="X19" s="151">
        <v>-0.35856396211487551</v>
      </c>
      <c r="Y19" s="150">
        <v>1.8084172689267861E-2</v>
      </c>
      <c r="Z19" s="152">
        <v>-0.24229679345918781</v>
      </c>
      <c r="AA19" s="153">
        <v>6.4594421233148291E-2</v>
      </c>
      <c r="AB19" s="152">
        <v>-0.1108430758120742</v>
      </c>
      <c r="AC19" s="155">
        <v>0.13439078838792123</v>
      </c>
      <c r="AD19" s="149">
        <v>0.18753311866820072</v>
      </c>
      <c r="AE19" s="156">
        <v>8.3287467203830845E-2</v>
      </c>
    </row>
    <row r="20" spans="1:31" s="105" customFormat="1" x14ac:dyDescent="0.25">
      <c r="A20" s="94" t="s">
        <v>231</v>
      </c>
      <c r="B20" s="132">
        <v>1079</v>
      </c>
      <c r="C20" s="165">
        <v>86.718971252441406</v>
      </c>
      <c r="D20" s="149">
        <v>0.44154489881380959</v>
      </c>
      <c r="E20" s="150">
        <v>1.2055658380250743E-2</v>
      </c>
      <c r="F20" s="151">
        <v>-0.79059999999999997</v>
      </c>
      <c r="G20" s="150">
        <v>3.0604313421476993E-2</v>
      </c>
      <c r="H20" s="152">
        <v>0.50619999999999998</v>
      </c>
      <c r="I20" s="153">
        <v>8.9338577893315493E-2</v>
      </c>
      <c r="J20" s="149">
        <v>1.5794999999999999</v>
      </c>
      <c r="K20" s="154" t="s">
        <v>35</v>
      </c>
      <c r="L20" s="149">
        <v>2.3700999999999999</v>
      </c>
      <c r="M20" s="154">
        <v>3.0604313421476986E-2</v>
      </c>
      <c r="N20" s="151">
        <v>0.43401698597647498</v>
      </c>
      <c r="O20" s="150">
        <v>1.991804175230022E-2</v>
      </c>
      <c r="P20" s="152">
        <v>0.47085338518366721</v>
      </c>
      <c r="Q20" s="153">
        <v>3.3808259109327478E-2</v>
      </c>
      <c r="R20" s="149">
        <v>0.39698174061243208</v>
      </c>
      <c r="S20" s="150">
        <v>2.9897897706766128E-2</v>
      </c>
      <c r="T20" s="152">
        <v>0.46432622061016832</v>
      </c>
      <c r="U20" s="153">
        <v>2.083818042474533E-2</v>
      </c>
      <c r="V20" s="149">
        <v>3.03092346336933E-2</v>
      </c>
      <c r="W20" s="154">
        <v>2.8520091237774953E-2</v>
      </c>
      <c r="X20" s="151">
        <v>0.41645706442627689</v>
      </c>
      <c r="Y20" s="150">
        <v>1.4758153478540805E-2</v>
      </c>
      <c r="Z20" s="152">
        <v>0.50073796229820045</v>
      </c>
      <c r="AA20" s="153">
        <v>2.3904639993138337E-2</v>
      </c>
      <c r="AB20" s="152">
        <v>0.53137589385859629</v>
      </c>
      <c r="AC20" s="155">
        <v>3.5564079663886701E-2</v>
      </c>
      <c r="AD20" s="149">
        <v>9.0457577074023077E-2</v>
      </c>
      <c r="AE20" s="156">
        <v>2.3596702764774598E-2</v>
      </c>
    </row>
    <row r="21" spans="1:31" s="105" customFormat="1" x14ac:dyDescent="0.25">
      <c r="A21" s="118" t="s">
        <v>297</v>
      </c>
      <c r="B21" s="132">
        <v>97</v>
      </c>
      <c r="C21" s="165">
        <v>35.61932373046875</v>
      </c>
      <c r="D21" s="149">
        <v>-0.18145556548425429</v>
      </c>
      <c r="E21" s="150">
        <v>3.0849521831981606E-2</v>
      </c>
      <c r="F21" s="151">
        <v>-1.3022</v>
      </c>
      <c r="G21" s="150">
        <v>1.6094222565877499E-2</v>
      </c>
      <c r="H21" s="152">
        <v>-0.34799999999999998</v>
      </c>
      <c r="I21" s="153" t="s">
        <v>35</v>
      </c>
      <c r="J21" s="149">
        <v>1.5794999999999999</v>
      </c>
      <c r="K21" s="154" t="s">
        <v>35</v>
      </c>
      <c r="L21" s="149">
        <v>2.8816999999999999</v>
      </c>
      <c r="M21" s="154">
        <v>1.6094222565877458E-2</v>
      </c>
      <c r="N21" s="151">
        <v>-0.22900794886505471</v>
      </c>
      <c r="O21" s="150">
        <v>7.570048181979469E-2</v>
      </c>
      <c r="P21" s="152">
        <v>-0.25954797566154209</v>
      </c>
      <c r="Q21" s="153">
        <v>8.2912340863867964E-2</v>
      </c>
      <c r="R21" s="149">
        <v>-7.0636778245938101E-2</v>
      </c>
      <c r="S21" s="150">
        <v>6.6559883624958377E-2</v>
      </c>
      <c r="T21" s="152">
        <v>-0.1666088301004936</v>
      </c>
      <c r="U21" s="153">
        <v>6.3485375163108426E-2</v>
      </c>
      <c r="V21" s="149">
        <v>6.2399118764561001E-2</v>
      </c>
      <c r="W21" s="154">
        <v>0.10343165293693764</v>
      </c>
      <c r="X21" s="151">
        <v>-0.19358470850184209</v>
      </c>
      <c r="Y21" s="150">
        <v>3.202871252866072E-2</v>
      </c>
      <c r="Z21" s="152" t="s">
        <v>34</v>
      </c>
      <c r="AA21" s="153" t="s">
        <v>34</v>
      </c>
      <c r="AB21" s="152">
        <v>0.1646433651017718</v>
      </c>
      <c r="AC21" s="155">
        <v>9.9607219035767053E-2</v>
      </c>
      <c r="AD21" s="149">
        <v>0.35822807360361386</v>
      </c>
      <c r="AE21" s="156">
        <v>0.10695417757473612</v>
      </c>
    </row>
    <row r="22" spans="1:31" s="105" customFormat="1" x14ac:dyDescent="0.25">
      <c r="A22" s="94" t="s">
        <v>302</v>
      </c>
      <c r="B22" s="132">
        <v>157</v>
      </c>
      <c r="C22" s="165">
        <v>78.261444091796875</v>
      </c>
      <c r="D22" s="149">
        <v>-2.8109092000679799E-2</v>
      </c>
      <c r="E22" s="150">
        <v>2.7314486877998357E-2</v>
      </c>
      <c r="F22" s="151">
        <v>-1.2367999999999999</v>
      </c>
      <c r="G22" s="150">
        <v>5.0252547199121977E-2</v>
      </c>
      <c r="H22" s="152">
        <v>-0.20599999999999999</v>
      </c>
      <c r="I22" s="153">
        <v>7.3527318052544199E-2</v>
      </c>
      <c r="J22" s="149">
        <v>1.5794999999999999</v>
      </c>
      <c r="K22" s="154" t="s">
        <v>35</v>
      </c>
      <c r="L22" s="149">
        <v>2.8163</v>
      </c>
      <c r="M22" s="154">
        <v>5.0252547199122088E-2</v>
      </c>
      <c r="N22" s="151">
        <v>-8.2064837529177995E-2</v>
      </c>
      <c r="O22" s="150">
        <v>5.2765425719939203E-2</v>
      </c>
      <c r="P22" s="152">
        <v>-5.2173909310736996E-3</v>
      </c>
      <c r="Q22" s="153">
        <v>5.4624953914863814E-2</v>
      </c>
      <c r="R22" s="149">
        <v>-5.9041603221840301E-2</v>
      </c>
      <c r="S22" s="150">
        <v>5.2035033625101125E-2</v>
      </c>
      <c r="T22" s="152">
        <v>3.38856021269935E-2</v>
      </c>
      <c r="U22" s="153">
        <v>6.1681357437138755E-2</v>
      </c>
      <c r="V22" s="149">
        <v>0.11595043965617149</v>
      </c>
      <c r="W22" s="154">
        <v>7.6928930248515909E-2</v>
      </c>
      <c r="X22" s="151">
        <v>-4.7736560555653999E-2</v>
      </c>
      <c r="Y22" s="150">
        <v>2.7880414093768888E-2</v>
      </c>
      <c r="Z22" s="152">
        <v>-0.19271569809992051</v>
      </c>
      <c r="AA22" s="153">
        <v>2.676923441030217E-3</v>
      </c>
      <c r="AB22" s="152">
        <v>0.26908131587174289</v>
      </c>
      <c r="AC22" s="155">
        <v>9.6601700664695492E-2</v>
      </c>
      <c r="AD22" s="149">
        <v>0.2892229970581065</v>
      </c>
      <c r="AE22" s="156">
        <v>0.10242345935356119</v>
      </c>
    </row>
    <row r="23" spans="1:31" s="105" customFormat="1" x14ac:dyDescent="0.25">
      <c r="A23" s="94" t="s">
        <v>236</v>
      </c>
      <c r="B23" s="132" t="s">
        <v>34</v>
      </c>
      <c r="C23" s="165" t="s">
        <v>34</v>
      </c>
      <c r="D23" s="149">
        <v>5.2590205788074001E-3</v>
      </c>
      <c r="E23" s="150">
        <v>8.3751910858075006E-3</v>
      </c>
      <c r="F23" s="151">
        <v>-1.1717</v>
      </c>
      <c r="G23" s="150">
        <v>1.44352124051469E-2</v>
      </c>
      <c r="H23" s="152">
        <v>-6.6371428571428595E-2</v>
      </c>
      <c r="I23" s="153">
        <v>1.8702628520598299E-2</v>
      </c>
      <c r="J23" s="149">
        <v>1.373828571428571</v>
      </c>
      <c r="K23" s="154">
        <v>0.1003713145283666</v>
      </c>
      <c r="L23" s="149">
        <v>2.545528571428572</v>
      </c>
      <c r="M23" s="154">
        <v>9.9628914942687996E-2</v>
      </c>
      <c r="N23" s="151">
        <v>-9.1275848854389992E-3</v>
      </c>
      <c r="O23" s="150">
        <v>1.7915020930738101E-2</v>
      </c>
      <c r="P23" s="152">
        <v>-2.28243041682199E-2</v>
      </c>
      <c r="Q23" s="153">
        <v>2.0070270638819901E-2</v>
      </c>
      <c r="R23" s="149">
        <v>1.8245125812872898E-2</v>
      </c>
      <c r="S23" s="150">
        <v>1.84656424579899E-2</v>
      </c>
      <c r="T23" s="152">
        <v>3.4670883227953003E-2</v>
      </c>
      <c r="U23" s="153">
        <v>1.8191836922131398E-2</v>
      </c>
      <c r="V23" s="149">
        <v>4.3798468113391997E-2</v>
      </c>
      <c r="W23" s="154">
        <v>2.5901337023607699E-2</v>
      </c>
      <c r="X23" s="151">
        <v>-5.4931725204841004E-3</v>
      </c>
      <c r="Y23" s="150">
        <v>9.9012461062319007E-3</v>
      </c>
      <c r="Z23" s="152">
        <v>6.1037796166022597E-2</v>
      </c>
      <c r="AA23" s="153">
        <v>1.7467676204939501E-2</v>
      </c>
      <c r="AB23" s="152">
        <v>0.1530416758381416</v>
      </c>
      <c r="AC23" s="155">
        <v>3.1360380114665902E-2</v>
      </c>
      <c r="AD23" s="149">
        <v>0.151255425585653</v>
      </c>
      <c r="AE23" s="156">
        <v>2.7726214461522E-2</v>
      </c>
    </row>
    <row r="24" spans="1:31" s="105" customFormat="1" x14ac:dyDescent="0.25">
      <c r="A24" s="180" t="s">
        <v>279</v>
      </c>
      <c r="B24" s="132"/>
      <c r="C24" s="165"/>
      <c r="D24" s="149"/>
      <c r="E24" s="150"/>
      <c r="F24" s="151"/>
      <c r="G24" s="150"/>
      <c r="H24" s="152"/>
      <c r="I24" s="153"/>
      <c r="J24" s="149"/>
      <c r="K24" s="154"/>
      <c r="L24" s="149"/>
      <c r="M24" s="154"/>
      <c r="N24" s="151"/>
      <c r="O24" s="150"/>
      <c r="P24" s="152"/>
      <c r="Q24" s="153"/>
      <c r="R24" s="149"/>
      <c r="S24" s="150"/>
      <c r="T24" s="152"/>
      <c r="U24" s="153"/>
      <c r="V24" s="149"/>
      <c r="W24" s="154"/>
      <c r="X24" s="151"/>
      <c r="Y24" s="150"/>
      <c r="Z24" s="152"/>
      <c r="AA24" s="153"/>
      <c r="AB24" s="152"/>
      <c r="AC24" s="155"/>
      <c r="AD24" s="149"/>
      <c r="AE24" s="156"/>
    </row>
    <row r="25" spans="1:31" s="105" customFormat="1" x14ac:dyDescent="0.25">
      <c r="A25" s="94" t="s">
        <v>237</v>
      </c>
      <c r="B25" s="132">
        <v>324</v>
      </c>
      <c r="C25" s="165">
        <v>96.219642639160156</v>
      </c>
      <c r="D25" s="149">
        <v>0.33023657995192751</v>
      </c>
      <c r="E25" s="150">
        <v>2.2339713137079442E-2</v>
      </c>
      <c r="F25" s="151">
        <v>-0.8528</v>
      </c>
      <c r="G25" s="150">
        <v>6.0180815049316196E-2</v>
      </c>
      <c r="H25" s="152">
        <v>0.29620000000000002</v>
      </c>
      <c r="I25" s="153">
        <v>5.8450076988828675E-2</v>
      </c>
      <c r="J25" s="149">
        <v>1.5794999999999999</v>
      </c>
      <c r="K25" s="154" t="s">
        <v>35</v>
      </c>
      <c r="L25" s="149">
        <v>2.4322999999999997</v>
      </c>
      <c r="M25" s="154">
        <v>6.0180815049316286E-2</v>
      </c>
      <c r="N25" s="151">
        <v>0.49037494093546069</v>
      </c>
      <c r="O25" s="150">
        <v>6.0220609748897196E-2</v>
      </c>
      <c r="P25" s="152">
        <v>0.33836450803944662</v>
      </c>
      <c r="Q25" s="153">
        <v>5.4665522046656687E-2</v>
      </c>
      <c r="R25" s="149">
        <v>0.2329755293652645</v>
      </c>
      <c r="S25" s="150">
        <v>5.5371053126955755E-2</v>
      </c>
      <c r="T25" s="152">
        <v>0.25936706540724652</v>
      </c>
      <c r="U25" s="153">
        <v>4.3043445255892369E-2</v>
      </c>
      <c r="V25" s="149">
        <v>-0.23100787552821431</v>
      </c>
      <c r="W25" s="154">
        <v>7.7801653122306372E-2</v>
      </c>
      <c r="X25" s="151">
        <v>0.34300305647850943</v>
      </c>
      <c r="Y25" s="150">
        <v>2.314005730080779E-2</v>
      </c>
      <c r="Z25" s="152" t="s">
        <v>34</v>
      </c>
      <c r="AA25" s="153" t="s">
        <v>34</v>
      </c>
      <c r="AB25" s="152">
        <v>0.19235434351028299</v>
      </c>
      <c r="AC25" s="155">
        <v>8.7303119535438858E-2</v>
      </c>
      <c r="AD25" s="149">
        <v>-0.15064871296822643</v>
      </c>
      <c r="AE25" s="156">
        <v>9.1521062442822015E-2</v>
      </c>
    </row>
    <row r="26" spans="1:31" s="105" customFormat="1" x14ac:dyDescent="0.25">
      <c r="A26" s="94" t="s">
        <v>239</v>
      </c>
      <c r="B26" s="132">
        <v>153</v>
      </c>
      <c r="C26" s="165">
        <v>47.462257385253906</v>
      </c>
      <c r="D26" s="149">
        <v>0.1180727135536242</v>
      </c>
      <c r="E26" s="150">
        <v>2.8901749054716416E-2</v>
      </c>
      <c r="F26" s="151">
        <v>-1.0341</v>
      </c>
      <c r="G26" s="150">
        <v>2.526753846341195E-2</v>
      </c>
      <c r="H26" s="152">
        <v>8.9700000000000002E-2</v>
      </c>
      <c r="I26" s="153">
        <v>1.7177863662283507E-2</v>
      </c>
      <c r="J26" s="149">
        <v>1.5794999999999999</v>
      </c>
      <c r="K26" s="154" t="s">
        <v>35</v>
      </c>
      <c r="L26" s="149">
        <v>2.6135999999999999</v>
      </c>
      <c r="M26" s="154">
        <v>2.5267538463412006E-2</v>
      </c>
      <c r="N26" s="151">
        <v>0.14494438591531281</v>
      </c>
      <c r="O26" s="150">
        <v>3.7913501085649857E-2</v>
      </c>
      <c r="P26" s="152">
        <v>0.2318159100969765</v>
      </c>
      <c r="Q26" s="153">
        <v>6.0693014768531395E-2</v>
      </c>
      <c r="R26" s="149">
        <v>3.8427176700627501E-2</v>
      </c>
      <c r="S26" s="150">
        <v>8.543410994536442E-2</v>
      </c>
      <c r="T26" s="152">
        <v>5.6944936177463698E-2</v>
      </c>
      <c r="U26" s="153">
        <v>5.3059910758862065E-2</v>
      </c>
      <c r="V26" s="149">
        <v>-8.7999449737849095E-2</v>
      </c>
      <c r="W26" s="154">
        <v>6.2113586977251008E-2</v>
      </c>
      <c r="X26" s="151">
        <v>0.1195318420457761</v>
      </c>
      <c r="Y26" s="150">
        <v>2.9045018778593376E-2</v>
      </c>
      <c r="Z26" s="152" t="s">
        <v>34</v>
      </c>
      <c r="AA26" s="153" t="s">
        <v>34</v>
      </c>
      <c r="AB26" s="152">
        <v>-0.21168119812708769</v>
      </c>
      <c r="AC26" s="155">
        <v>7.0834636937577106E-2</v>
      </c>
      <c r="AD26" s="149">
        <v>-0.33121304017286379</v>
      </c>
      <c r="AE26" s="156">
        <v>7.8032983913663409E-2</v>
      </c>
    </row>
    <row r="27" spans="1:31" s="105" customFormat="1" x14ac:dyDescent="0.25">
      <c r="A27" s="94" t="s">
        <v>242</v>
      </c>
      <c r="B27" s="132">
        <v>435</v>
      </c>
      <c r="C27" s="165">
        <v>71.991493225097656</v>
      </c>
      <c r="D27" s="149">
        <v>-0.24141200640872779</v>
      </c>
      <c r="E27" s="150">
        <v>1.8396649870195358E-2</v>
      </c>
      <c r="F27" s="151">
        <v>-1.3440000000000001</v>
      </c>
      <c r="G27" s="150">
        <v>3.6035170320119318E-2</v>
      </c>
      <c r="H27" s="152">
        <v>-0.34799999999999998</v>
      </c>
      <c r="I27" s="153" t="s">
        <v>35</v>
      </c>
      <c r="J27" s="149">
        <v>0.93730000000000002</v>
      </c>
      <c r="K27" s="154" t="s">
        <v>35</v>
      </c>
      <c r="L27" s="149">
        <v>2.2812999999999999</v>
      </c>
      <c r="M27" s="154">
        <v>3.6035170320118971E-2</v>
      </c>
      <c r="N27" s="151">
        <v>-0.24998265918377099</v>
      </c>
      <c r="O27" s="150">
        <v>3.2202764653951846E-2</v>
      </c>
      <c r="P27" s="152">
        <v>-0.25601816652375309</v>
      </c>
      <c r="Q27" s="153">
        <v>3.805126889980337E-2</v>
      </c>
      <c r="R27" s="149">
        <v>-0.30746454218622882</v>
      </c>
      <c r="S27" s="150">
        <v>3.3400379341636935E-2</v>
      </c>
      <c r="T27" s="152">
        <v>-0.1520869140776801</v>
      </c>
      <c r="U27" s="153">
        <v>4.8290235308658808E-2</v>
      </c>
      <c r="V27" s="149">
        <v>9.7895745106091003E-2</v>
      </c>
      <c r="W27" s="154">
        <v>5.6584871558860023E-2</v>
      </c>
      <c r="X27" s="151">
        <v>-0.28289686230124739</v>
      </c>
      <c r="Y27" s="150">
        <v>1.9858752230487751E-2</v>
      </c>
      <c r="Z27" s="152" t="s">
        <v>34</v>
      </c>
      <c r="AA27" s="153" t="s">
        <v>34</v>
      </c>
      <c r="AB27" s="152">
        <v>-3.6068143562186003E-2</v>
      </c>
      <c r="AC27" s="155">
        <v>4.6725861447886083E-2</v>
      </c>
      <c r="AD27" s="149">
        <v>0.24682871873906137</v>
      </c>
      <c r="AE27" s="156">
        <v>5.0788543139614992E-2</v>
      </c>
    </row>
    <row r="28" spans="1:31" s="105" customFormat="1" x14ac:dyDescent="0.25">
      <c r="A28" s="94" t="s">
        <v>249</v>
      </c>
      <c r="B28" s="132">
        <v>222</v>
      </c>
      <c r="C28" s="165">
        <v>85.606910705566406</v>
      </c>
      <c r="D28" s="149">
        <v>0.73012651804216133</v>
      </c>
      <c r="E28" s="150">
        <v>2.3099404209356751E-2</v>
      </c>
      <c r="F28" s="151">
        <v>-0.51500000000000001</v>
      </c>
      <c r="G28" s="150">
        <v>9.6981023917052975E-2</v>
      </c>
      <c r="H28" s="152">
        <v>0.93730000000000002</v>
      </c>
      <c r="I28" s="153" t="s">
        <v>35</v>
      </c>
      <c r="J28" s="149">
        <v>1.5794999999999999</v>
      </c>
      <c r="K28" s="154" t="s">
        <v>35</v>
      </c>
      <c r="L28" s="149">
        <v>2.0945</v>
      </c>
      <c r="M28" s="154">
        <v>9.6981023917053086E-2</v>
      </c>
      <c r="N28" s="151">
        <v>0.80256383278365762</v>
      </c>
      <c r="O28" s="150">
        <v>4.5167994108214968E-2</v>
      </c>
      <c r="P28" s="152">
        <v>0.77175031460389387</v>
      </c>
      <c r="Q28" s="153">
        <v>4.9025598535690114E-2</v>
      </c>
      <c r="R28" s="149">
        <v>0.73455930198381636</v>
      </c>
      <c r="S28" s="150">
        <v>5.1471600094269092E-2</v>
      </c>
      <c r="T28" s="152">
        <v>0.61141810891292969</v>
      </c>
      <c r="U28" s="153">
        <v>5.537334664024867E-2</v>
      </c>
      <c r="V28" s="149">
        <v>-0.1911457238707279</v>
      </c>
      <c r="W28" s="154">
        <v>6.9013826502592704E-2</v>
      </c>
      <c r="X28" s="151">
        <v>0.75732533851992978</v>
      </c>
      <c r="Y28" s="150">
        <v>2.5420730848257845E-2</v>
      </c>
      <c r="Z28" s="152">
        <v>0.32022217124296859</v>
      </c>
      <c r="AA28" s="153">
        <v>0.15730077088776054</v>
      </c>
      <c r="AB28" s="152">
        <v>0.56082828706149868</v>
      </c>
      <c r="AC28" s="155">
        <v>8.3288995261168161E-2</v>
      </c>
      <c r="AD28" s="149">
        <v>-0.23696999141049691</v>
      </c>
      <c r="AE28" s="156">
        <v>8.38533548936575E-2</v>
      </c>
    </row>
    <row r="29" spans="1:31" s="105" customFormat="1" x14ac:dyDescent="0.25">
      <c r="A29" s="94" t="s">
        <v>303</v>
      </c>
      <c r="B29" s="132">
        <v>147</v>
      </c>
      <c r="C29" s="165">
        <v>85.573211669921875</v>
      </c>
      <c r="D29" s="149">
        <v>-0.31891815396039569</v>
      </c>
      <c r="E29" s="150">
        <v>1.7530079685266969E-2</v>
      </c>
      <c r="F29" s="151">
        <v>-1.0838000000000001</v>
      </c>
      <c r="G29" s="150">
        <v>6.4491425786688969E-2</v>
      </c>
      <c r="H29" s="152">
        <v>-0.34799999999999998</v>
      </c>
      <c r="I29" s="153">
        <v>6.5546151679560891E-2</v>
      </c>
      <c r="J29" s="149">
        <v>0.78200000000000003</v>
      </c>
      <c r="K29" s="154">
        <v>0.10987037134732915</v>
      </c>
      <c r="L29" s="149">
        <v>1.8658000000000001</v>
      </c>
      <c r="M29" s="154">
        <v>0.12808271350966927</v>
      </c>
      <c r="N29" s="151">
        <v>-0.40302692449145022</v>
      </c>
      <c r="O29" s="150">
        <v>3.5221862465584564E-2</v>
      </c>
      <c r="P29" s="152">
        <v>-0.34700538425302718</v>
      </c>
      <c r="Q29" s="153">
        <v>3.4527352174382298E-2</v>
      </c>
      <c r="R29" s="149">
        <v>-0.27920152406122423</v>
      </c>
      <c r="S29" s="150">
        <v>4.1227464225712038E-2</v>
      </c>
      <c r="T29" s="152">
        <v>-0.24643786159448219</v>
      </c>
      <c r="U29" s="153">
        <v>4.52095022832356E-2</v>
      </c>
      <c r="V29" s="149">
        <v>0.15658906289696789</v>
      </c>
      <c r="W29" s="154">
        <v>5.3871285455552247E-2</v>
      </c>
      <c r="X29" s="151">
        <v>-0.54731950367123994</v>
      </c>
      <c r="Y29" s="150">
        <v>8.4509830884888518E-2</v>
      </c>
      <c r="Z29" s="152">
        <v>-0.32895143653742193</v>
      </c>
      <c r="AA29" s="153">
        <v>2.0726673412444149E-2</v>
      </c>
      <c r="AB29" s="152">
        <v>0.38633095987466792</v>
      </c>
      <c r="AC29" s="155">
        <v>6.5549662493430957E-2</v>
      </c>
      <c r="AD29" s="149">
        <v>0.24186587448376612</v>
      </c>
      <c r="AE29" s="156">
        <v>9.0308785390551038E-2</v>
      </c>
    </row>
    <row r="30" spans="1:31" s="105" customFormat="1" x14ac:dyDescent="0.25">
      <c r="A30" s="94" t="s">
        <v>256</v>
      </c>
      <c r="B30" s="132">
        <v>45</v>
      </c>
      <c r="C30" s="165">
        <v>98.815162658691406</v>
      </c>
      <c r="D30" s="149">
        <v>-0.1808667300187472</v>
      </c>
      <c r="E30" s="150">
        <v>1.6157786905114345E-4</v>
      </c>
      <c r="F30" s="151">
        <v>-1.0341</v>
      </c>
      <c r="G30" s="150" t="s">
        <v>35</v>
      </c>
      <c r="H30" s="152">
        <v>-0.34799999999999998</v>
      </c>
      <c r="I30" s="153" t="s">
        <v>35</v>
      </c>
      <c r="J30" s="149">
        <v>0.93730000000000002</v>
      </c>
      <c r="K30" s="154" t="s">
        <v>35</v>
      </c>
      <c r="L30" s="149">
        <v>1.9714</v>
      </c>
      <c r="M30" s="154" t="s">
        <v>35</v>
      </c>
      <c r="N30" s="151">
        <v>-0.1782488587077177</v>
      </c>
      <c r="O30" s="150">
        <v>1.6623625913124594E-3</v>
      </c>
      <c r="P30" s="152">
        <v>-0.1600387566393961</v>
      </c>
      <c r="Q30" s="153">
        <v>1.6433078280388852E-3</v>
      </c>
      <c r="R30" s="149">
        <v>-0.2584464775647547</v>
      </c>
      <c r="S30" s="150">
        <v>2.3631988716226143E-3</v>
      </c>
      <c r="T30" s="152">
        <v>-0.12678458802024639</v>
      </c>
      <c r="U30" s="153">
        <v>2.3928632887725027E-3</v>
      </c>
      <c r="V30" s="149">
        <v>5.1464270687471302E-2</v>
      </c>
      <c r="W30" s="154">
        <v>2.9928914526558205E-3</v>
      </c>
      <c r="X30" s="151">
        <v>-3.2586366770002699E-2</v>
      </c>
      <c r="Y30" s="150">
        <v>2.5764033965911785E-5</v>
      </c>
      <c r="Z30" s="152">
        <v>-0.20239277908307801</v>
      </c>
      <c r="AA30" s="153">
        <v>1.4029011129355811E-4</v>
      </c>
      <c r="AB30" s="152">
        <v>-3.7249061669018799E-2</v>
      </c>
      <c r="AC30" s="155">
        <v>1.3808577224395657E-3</v>
      </c>
      <c r="AD30" s="149">
        <v>-0.1553578855885708</v>
      </c>
      <c r="AE30" s="156">
        <v>1.6973307960419426E-4</v>
      </c>
    </row>
    <row r="31" spans="1:31" s="105" customFormat="1" x14ac:dyDescent="0.25">
      <c r="A31" s="94" t="s">
        <v>257</v>
      </c>
      <c r="B31" s="134">
        <v>191</v>
      </c>
      <c r="C31" s="166">
        <v>97.909133911132813</v>
      </c>
      <c r="D31" s="149">
        <v>0.28250420738522442</v>
      </c>
      <c r="E31" s="150">
        <v>2.0584396277063158E-2</v>
      </c>
      <c r="F31" s="151">
        <v>-0.79059999999999997</v>
      </c>
      <c r="G31" s="150">
        <v>2.2217661893187607E-2</v>
      </c>
      <c r="H31" s="152">
        <v>0.26129999999999998</v>
      </c>
      <c r="I31" s="153">
        <v>8.5362172535614372E-2</v>
      </c>
      <c r="J31" s="149">
        <v>1.5794999999999999</v>
      </c>
      <c r="K31" s="154" t="s">
        <v>35</v>
      </c>
      <c r="L31" s="149">
        <v>2.3700999999999999</v>
      </c>
      <c r="M31" s="154">
        <v>2.2217661893187586E-2</v>
      </c>
      <c r="N31" s="151">
        <v>0.30229404675250848</v>
      </c>
      <c r="O31" s="150">
        <v>4.0773454642373683E-2</v>
      </c>
      <c r="P31" s="152">
        <v>0.26805810257934121</v>
      </c>
      <c r="Q31" s="153">
        <v>4.4958662643769819E-2</v>
      </c>
      <c r="R31" s="149">
        <v>0.28616969270017711</v>
      </c>
      <c r="S31" s="150">
        <v>5.4489481564422182E-2</v>
      </c>
      <c r="T31" s="152">
        <v>0.27348002628384699</v>
      </c>
      <c r="U31" s="153">
        <v>4.2103938719803453E-2</v>
      </c>
      <c r="V31" s="149">
        <v>-2.8814020468661501E-2</v>
      </c>
      <c r="W31" s="154">
        <v>5.6906255083650568E-2</v>
      </c>
      <c r="X31" s="151">
        <v>0.29168953003692638</v>
      </c>
      <c r="Y31" s="150">
        <v>2.1254642654685147E-2</v>
      </c>
      <c r="Z31" s="152">
        <v>0.43188888888888882</v>
      </c>
      <c r="AA31" s="153">
        <v>1.1102230246251565E-16</v>
      </c>
      <c r="AB31" s="152">
        <v>0.11172491124353361</v>
      </c>
      <c r="AC31" s="155">
        <v>8.2912068122720672E-2</v>
      </c>
      <c r="AD31" s="149">
        <v>-0.15981043462316058</v>
      </c>
      <c r="AE31" s="156">
        <v>7.9569381760270314E-2</v>
      </c>
    </row>
    <row r="32" spans="1:31" s="105" customFormat="1" x14ac:dyDescent="0.25">
      <c r="A32" s="94" t="s">
        <v>261</v>
      </c>
      <c r="B32" s="134">
        <v>177</v>
      </c>
      <c r="C32" s="166">
        <v>86.12493896484375</v>
      </c>
      <c r="D32" s="149">
        <v>0.1231388880682614</v>
      </c>
      <c r="E32" s="150">
        <v>2.249866965075125E-2</v>
      </c>
      <c r="F32" s="151">
        <v>-1.1788000000000001</v>
      </c>
      <c r="G32" s="150">
        <v>3.9860600848456738E-2</v>
      </c>
      <c r="H32" s="152">
        <v>8.6999999999999994E-2</v>
      </c>
      <c r="I32" s="153">
        <v>3.9725124291813102E-2</v>
      </c>
      <c r="J32" s="149">
        <v>1.5794999999999999</v>
      </c>
      <c r="K32" s="154" t="s">
        <v>35</v>
      </c>
      <c r="L32" s="149">
        <v>2.7583000000000002</v>
      </c>
      <c r="M32" s="154">
        <v>3.986060084845662E-2</v>
      </c>
      <c r="N32" s="151">
        <v>0.20150044073904069</v>
      </c>
      <c r="O32" s="150">
        <v>5.5460825457120159E-2</v>
      </c>
      <c r="P32" s="152">
        <v>8.2890084397664904E-2</v>
      </c>
      <c r="Q32" s="153">
        <v>7.211720794397547E-2</v>
      </c>
      <c r="R32" s="149">
        <v>4.06188876339404E-2</v>
      </c>
      <c r="S32" s="150">
        <v>5.8139334825493681E-2</v>
      </c>
      <c r="T32" s="152">
        <v>0.16752677681278849</v>
      </c>
      <c r="U32" s="153">
        <v>5.1828413042005833E-2</v>
      </c>
      <c r="V32" s="149">
        <v>-3.3973663926252201E-2</v>
      </c>
      <c r="W32" s="154">
        <v>7.6203398689222934E-2</v>
      </c>
      <c r="X32" s="151">
        <v>0.1122982602399044</v>
      </c>
      <c r="Y32" s="150">
        <v>2.2427031803884234E-2</v>
      </c>
      <c r="Z32" s="152">
        <v>-0.22309999999999999</v>
      </c>
      <c r="AA32" s="153" t="s">
        <v>35</v>
      </c>
      <c r="AB32" s="152">
        <v>0.40123311730041161</v>
      </c>
      <c r="AC32" s="155">
        <v>9.4918027520972545E-2</v>
      </c>
      <c r="AD32" s="149">
        <v>0.2239047862600933</v>
      </c>
      <c r="AE32" s="156">
        <v>0.11086651895760412</v>
      </c>
    </row>
    <row r="33" spans="1:31" s="105" customFormat="1" x14ac:dyDescent="0.25">
      <c r="A33" s="94" t="s">
        <v>263</v>
      </c>
      <c r="B33" s="132">
        <v>157</v>
      </c>
      <c r="C33" s="165">
        <v>72.055435180664063</v>
      </c>
      <c r="D33" s="149">
        <v>0.58483452303596495</v>
      </c>
      <c r="E33" s="150">
        <v>1.5008728585824535E-2</v>
      </c>
      <c r="F33" s="151">
        <v>-0.65790000000000004</v>
      </c>
      <c r="G33" s="150" t="s">
        <v>35</v>
      </c>
      <c r="H33" s="152">
        <v>0.61560000000000004</v>
      </c>
      <c r="I33" s="153">
        <v>1.5901399309494711E-2</v>
      </c>
      <c r="J33" s="149">
        <v>1.5794999999999999</v>
      </c>
      <c r="K33" s="154" t="s">
        <v>35</v>
      </c>
      <c r="L33" s="149">
        <v>2.2374000000000001</v>
      </c>
      <c r="M33" s="154" t="s">
        <v>35</v>
      </c>
      <c r="N33" s="151">
        <v>0.5005880018016351</v>
      </c>
      <c r="O33" s="150">
        <v>4.781934801958234E-2</v>
      </c>
      <c r="P33" s="152">
        <v>0.6086209873669578</v>
      </c>
      <c r="Q33" s="153">
        <v>3.6885931690312339E-2</v>
      </c>
      <c r="R33" s="149">
        <v>0.69355916079871216</v>
      </c>
      <c r="S33" s="150">
        <v>2.527182542456867E-2</v>
      </c>
      <c r="T33" s="152">
        <v>0.53677031073033588</v>
      </c>
      <c r="U33" s="153">
        <v>3.2333501666847078E-2</v>
      </c>
      <c r="V33" s="149">
        <v>3.61823089287008E-2</v>
      </c>
      <c r="W33" s="154">
        <v>5.9057757439542474E-2</v>
      </c>
      <c r="X33" s="151">
        <v>0.61105512169491027</v>
      </c>
      <c r="Y33" s="150">
        <v>1.5285727010625472E-2</v>
      </c>
      <c r="Z33" s="152">
        <v>1.0517375</v>
      </c>
      <c r="AA33" s="153" t="s">
        <v>35</v>
      </c>
      <c r="AB33" s="152">
        <v>0.45770806672031572</v>
      </c>
      <c r="AC33" s="155">
        <v>4.9154523220419598E-2</v>
      </c>
      <c r="AD33" s="149">
        <v>-0.13425139592432195</v>
      </c>
      <c r="AE33" s="156">
        <v>4.7952678970699422E-2</v>
      </c>
    </row>
    <row r="34" spans="1:31" s="105" customFormat="1" x14ac:dyDescent="0.25">
      <c r="A34" s="94" t="s">
        <v>264</v>
      </c>
      <c r="B34" s="132">
        <v>324</v>
      </c>
      <c r="C34" s="165">
        <v>95.92413330078125</v>
      </c>
      <c r="D34" s="149">
        <v>0.202778353654575</v>
      </c>
      <c r="E34" s="150">
        <v>1.1734000183980931E-2</v>
      </c>
      <c r="F34" s="151">
        <v>-0.96589999999999998</v>
      </c>
      <c r="G34" s="150">
        <v>4.1347920141163078E-2</v>
      </c>
      <c r="H34" s="152">
        <v>0.19289999999999999</v>
      </c>
      <c r="I34" s="153">
        <v>6.5452425470718792E-2</v>
      </c>
      <c r="J34" s="149">
        <v>1.5794999999999999</v>
      </c>
      <c r="K34" s="154" t="s">
        <v>35</v>
      </c>
      <c r="L34" s="149">
        <v>2.5453999999999999</v>
      </c>
      <c r="M34" s="154">
        <v>4.1347920141163119E-2</v>
      </c>
      <c r="N34" s="151">
        <v>0.17885645960395311</v>
      </c>
      <c r="O34" s="150">
        <v>2.5684278373345623E-2</v>
      </c>
      <c r="P34" s="152">
        <v>0.17094098839096469</v>
      </c>
      <c r="Q34" s="153">
        <v>3.1736745467952653E-2</v>
      </c>
      <c r="R34" s="149">
        <v>0.12001269274292301</v>
      </c>
      <c r="S34" s="150">
        <v>3.5485343558072882E-2</v>
      </c>
      <c r="T34" s="152">
        <v>0.34151311046151173</v>
      </c>
      <c r="U34" s="153">
        <v>3.42999135724762E-2</v>
      </c>
      <c r="V34" s="149">
        <v>0.16265665085755859</v>
      </c>
      <c r="W34" s="154">
        <v>4.4262066017186616E-2</v>
      </c>
      <c r="X34" s="151">
        <v>0.16867523960880429</v>
      </c>
      <c r="Y34" s="150">
        <v>1.3907742890469725E-2</v>
      </c>
      <c r="Z34" s="152">
        <v>-0.75695454545454532</v>
      </c>
      <c r="AA34" s="153">
        <v>1.5700924586837752E-16</v>
      </c>
      <c r="AB34" s="152">
        <v>0.33781268360554217</v>
      </c>
      <c r="AC34" s="155">
        <v>3.6386664791446005E-2</v>
      </c>
      <c r="AD34" s="149">
        <v>0.1602348350060849</v>
      </c>
      <c r="AE34" s="156">
        <v>4.1744571738315785E-2</v>
      </c>
    </row>
    <row r="35" spans="1:31" s="105" customFormat="1" x14ac:dyDescent="0.25">
      <c r="A35" s="94" t="s">
        <v>272</v>
      </c>
      <c r="B35" s="132">
        <v>192</v>
      </c>
      <c r="C35" s="165">
        <v>88.133514404296875</v>
      </c>
      <c r="D35" s="149">
        <v>-0.25584384486208051</v>
      </c>
      <c r="E35" s="150">
        <v>1.2025950932624591E-2</v>
      </c>
      <c r="F35" s="151">
        <v>-1.1089</v>
      </c>
      <c r="G35" s="150">
        <v>6.4340461608539914E-2</v>
      </c>
      <c r="H35" s="152">
        <v>-0.34799999999999998</v>
      </c>
      <c r="I35" s="153" t="s">
        <v>35</v>
      </c>
      <c r="J35" s="149">
        <v>0.78200000000000003</v>
      </c>
      <c r="K35" s="154" t="s">
        <v>35</v>
      </c>
      <c r="L35" s="149">
        <v>1.8909</v>
      </c>
      <c r="M35" s="154">
        <v>6.4340461608539914E-2</v>
      </c>
      <c r="N35" s="151">
        <v>-0.28675861111995932</v>
      </c>
      <c r="O35" s="150">
        <v>2.4394384636823911E-2</v>
      </c>
      <c r="P35" s="152">
        <v>-0.24294129399245321</v>
      </c>
      <c r="Q35" s="153">
        <v>3.7039249080704086E-2</v>
      </c>
      <c r="R35" s="149">
        <v>-0.2664993592812972</v>
      </c>
      <c r="S35" s="150">
        <v>3.0481973635401526E-2</v>
      </c>
      <c r="T35" s="152">
        <v>-0.22720342882146019</v>
      </c>
      <c r="U35" s="153">
        <v>2.3076537938335626E-2</v>
      </c>
      <c r="V35" s="149">
        <v>5.9555182298499099E-2</v>
      </c>
      <c r="W35" s="154">
        <v>3.4418907595415708E-2</v>
      </c>
      <c r="X35" s="151">
        <v>-0.24030592726395569</v>
      </c>
      <c r="Y35" s="150">
        <v>1.5192993537633863E-2</v>
      </c>
      <c r="Z35" s="152">
        <v>-0.29620901319066728</v>
      </c>
      <c r="AA35" s="153">
        <v>3.3608341740832749E-2</v>
      </c>
      <c r="AB35" s="152">
        <v>-0.27253118940332027</v>
      </c>
      <c r="AC35" s="155">
        <v>2.9094737702291078E-2</v>
      </c>
      <c r="AD35" s="149">
        <v>-4.056202746787721E-2</v>
      </c>
      <c r="AE35" s="156">
        <v>2.4247611236960284E-2</v>
      </c>
    </row>
    <row r="36" spans="1:31" s="105" customFormat="1" x14ac:dyDescent="0.25">
      <c r="A36" s="94" t="s">
        <v>275</v>
      </c>
      <c r="B36" s="132">
        <v>619</v>
      </c>
      <c r="C36" s="165">
        <v>86.549003601074219</v>
      </c>
      <c r="D36" s="149">
        <v>-1.0617866802637099E-2</v>
      </c>
      <c r="E36" s="150">
        <v>6.9278294106234648E-3</v>
      </c>
      <c r="F36" s="151">
        <v>-1.1788000000000001</v>
      </c>
      <c r="G36" s="150" t="s">
        <v>35</v>
      </c>
      <c r="H36" s="152">
        <v>-0.1353</v>
      </c>
      <c r="I36" s="153" t="s">
        <v>35</v>
      </c>
      <c r="J36" s="149">
        <v>1.5794999999999999</v>
      </c>
      <c r="K36" s="154" t="s">
        <v>35</v>
      </c>
      <c r="L36" s="149">
        <v>2.7583000000000002</v>
      </c>
      <c r="M36" s="154" t="s">
        <v>35</v>
      </c>
      <c r="N36" s="151">
        <v>-7.4649764486236794E-2</v>
      </c>
      <c r="O36" s="150">
        <v>1.8219971801392048E-2</v>
      </c>
      <c r="P36" s="152">
        <v>-0.10386012422778861</v>
      </c>
      <c r="Q36" s="153">
        <v>2.2185741516345437E-2</v>
      </c>
      <c r="R36" s="149">
        <v>0.1222398302677031</v>
      </c>
      <c r="S36" s="150">
        <v>2.4720460991535412E-2</v>
      </c>
      <c r="T36" s="152">
        <v>1.8152863537747699E-2</v>
      </c>
      <c r="U36" s="153">
        <v>2.6296387687832358E-2</v>
      </c>
      <c r="V36" s="149">
        <v>9.2802628023984493E-2</v>
      </c>
      <c r="W36" s="154">
        <v>3.8289114990941751E-2</v>
      </c>
      <c r="X36" s="151">
        <v>-0.14366319964435381</v>
      </c>
      <c r="Y36" s="150">
        <v>6.6913073631865517E-3</v>
      </c>
      <c r="Z36" s="152">
        <v>-7.1340000000000001E-2</v>
      </c>
      <c r="AA36" s="153" t="s">
        <v>35</v>
      </c>
      <c r="AB36" s="152">
        <v>7.0050216839173798E-2</v>
      </c>
      <c r="AC36" s="155">
        <v>1.0642419947787701E-2</v>
      </c>
      <c r="AD36" s="149">
        <v>0.21346980448766581</v>
      </c>
      <c r="AE36" s="156">
        <v>1.2913052307202603E-2</v>
      </c>
    </row>
    <row r="37" spans="1:31" s="105" customFormat="1" ht="13.8" thickBot="1" x14ac:dyDescent="0.3">
      <c r="A37" s="125"/>
      <c r="B37" s="143"/>
      <c r="C37" s="108"/>
      <c r="D37" s="110"/>
      <c r="E37" s="111"/>
      <c r="F37" s="143"/>
      <c r="G37" s="111"/>
      <c r="H37" s="146"/>
      <c r="I37" s="114"/>
      <c r="J37" s="145"/>
      <c r="K37" s="115"/>
      <c r="L37" s="145"/>
      <c r="M37" s="115"/>
      <c r="N37" s="112"/>
      <c r="O37" s="111"/>
      <c r="P37" s="113"/>
      <c r="Q37" s="114"/>
      <c r="R37" s="110"/>
      <c r="S37" s="111"/>
      <c r="T37" s="113"/>
      <c r="U37" s="114"/>
      <c r="V37" s="110"/>
      <c r="W37" s="115"/>
      <c r="X37" s="110"/>
      <c r="Y37" s="111"/>
      <c r="Z37" s="113"/>
      <c r="AA37" s="114"/>
      <c r="AB37" s="113"/>
      <c r="AC37" s="116"/>
      <c r="AD37" s="110"/>
      <c r="AE37" s="117"/>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40</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41</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05" t="s">
        <v>43</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31" t="s">
        <v>42</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37 AD16:AD37">
    <cfRule type="expression" dxfId="17" priority="2">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AF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3" width="13.44140625" style="4" customWidth="1"/>
    <col min="4"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110</v>
      </c>
      <c r="B6" s="2"/>
      <c r="C6" s="3"/>
      <c r="D6" s="2"/>
      <c r="E6" s="3"/>
      <c r="F6" s="3"/>
      <c r="G6" s="3"/>
      <c r="H6" s="3"/>
      <c r="I6" s="3"/>
      <c r="J6" s="3"/>
      <c r="K6" s="3"/>
      <c r="L6" s="3"/>
      <c r="M6" s="3"/>
      <c r="N6" s="3"/>
      <c r="O6" s="2"/>
      <c r="P6" s="3"/>
      <c r="Q6" s="2"/>
      <c r="R6" s="3"/>
      <c r="S6" s="2"/>
      <c r="T6" s="2"/>
      <c r="U6" s="2"/>
    </row>
    <row r="7" spans="1:32" x14ac:dyDescent="0.25">
      <c r="A7" s="5" t="s">
        <v>111</v>
      </c>
    </row>
    <row r="8" spans="1:32" x14ac:dyDescent="0.25">
      <c r="A8" s="6" t="s">
        <v>96</v>
      </c>
    </row>
    <row r="9" spans="1:32" x14ac:dyDescent="0.25">
      <c r="A9" s="6"/>
    </row>
    <row r="10" spans="1:32" ht="13.8" thickBot="1" x14ac:dyDescent="0.3">
      <c r="A10" s="7"/>
      <c r="B10" s="8"/>
      <c r="C10" s="9"/>
      <c r="D10" s="8"/>
      <c r="E10" s="9"/>
      <c r="F10" s="9"/>
      <c r="G10" s="9"/>
      <c r="H10" s="9"/>
      <c r="I10" s="9"/>
      <c r="J10" s="9"/>
      <c r="K10" s="9"/>
      <c r="L10" s="9"/>
      <c r="M10" s="9"/>
    </row>
    <row r="11" spans="1:32" ht="24" customHeight="1" x14ac:dyDescent="0.25">
      <c r="A11" s="28"/>
      <c r="B11" s="211" t="s">
        <v>7</v>
      </c>
      <c r="C11" s="212"/>
      <c r="D11" s="212"/>
      <c r="E11" s="212"/>
      <c r="F11" s="212"/>
      <c r="G11" s="212"/>
      <c r="H11" s="212"/>
      <c r="I11" s="212"/>
      <c r="J11" s="212"/>
      <c r="K11" s="212"/>
      <c r="L11" s="29"/>
      <c r="M11" s="30"/>
      <c r="N11" s="201" t="s">
        <v>112</v>
      </c>
      <c r="O11" s="202"/>
      <c r="P11" s="202"/>
      <c r="Q11" s="202"/>
      <c r="R11" s="202"/>
      <c r="S11" s="202"/>
      <c r="T11" s="202"/>
      <c r="U11" s="202"/>
      <c r="V11" s="202"/>
      <c r="W11" s="213"/>
      <c r="X11" s="201" t="s">
        <v>113</v>
      </c>
      <c r="Y11" s="202"/>
      <c r="Z11" s="202"/>
      <c r="AA11" s="202"/>
      <c r="AB11" s="202"/>
      <c r="AC11" s="202"/>
      <c r="AD11" s="202"/>
      <c r="AE11" s="203"/>
    </row>
    <row r="12" spans="1:32" ht="104.25" customHeight="1" x14ac:dyDescent="0.25">
      <c r="A12" s="31"/>
      <c r="B12" s="218" t="s">
        <v>10</v>
      </c>
      <c r="C12" s="218" t="s">
        <v>11</v>
      </c>
      <c r="D12" s="218" t="s">
        <v>114</v>
      </c>
      <c r="E12" s="219"/>
      <c r="F12" s="218" t="s">
        <v>115</v>
      </c>
      <c r="G12" s="217"/>
      <c r="H12" s="217"/>
      <c r="I12" s="217"/>
      <c r="J12" s="217"/>
      <c r="K12" s="219"/>
      <c r="L12" s="226" t="s">
        <v>116</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04"/>
      <c r="C13" s="204"/>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75" customHeight="1" x14ac:dyDescent="0.25">
      <c r="A14" s="33"/>
      <c r="B14" s="34" t="s">
        <v>25</v>
      </c>
      <c r="C14" s="56" t="s">
        <v>26</v>
      </c>
      <c r="D14" s="36" t="s">
        <v>27</v>
      </c>
      <c r="E14" s="36" t="s">
        <v>28</v>
      </c>
      <c r="F14" s="37" t="s">
        <v>29</v>
      </c>
      <c r="G14" s="36" t="s">
        <v>28</v>
      </c>
      <c r="H14" s="38" t="s">
        <v>30</v>
      </c>
      <c r="I14" s="39" t="s">
        <v>28</v>
      </c>
      <c r="J14" s="40" t="s">
        <v>31</v>
      </c>
      <c r="K14" s="35" t="s">
        <v>28</v>
      </c>
      <c r="L14" s="41" t="s">
        <v>32</v>
      </c>
      <c r="M14" s="42" t="s">
        <v>28</v>
      </c>
      <c r="N14" s="34" t="s">
        <v>102</v>
      </c>
      <c r="O14" s="43" t="s">
        <v>28</v>
      </c>
      <c r="P14" s="44" t="s">
        <v>102</v>
      </c>
      <c r="Q14" s="39" t="s">
        <v>28</v>
      </c>
      <c r="R14" s="36" t="s">
        <v>102</v>
      </c>
      <c r="S14" s="43" t="s">
        <v>28</v>
      </c>
      <c r="T14" s="44" t="s">
        <v>102</v>
      </c>
      <c r="U14" s="39" t="s">
        <v>28</v>
      </c>
      <c r="V14" s="36" t="s">
        <v>33</v>
      </c>
      <c r="W14" s="35" t="s">
        <v>28</v>
      </c>
      <c r="X14" s="34" t="s">
        <v>102</v>
      </c>
      <c r="Y14" s="36" t="s">
        <v>28</v>
      </c>
      <c r="Z14" s="44" t="s">
        <v>102</v>
      </c>
      <c r="AA14" s="39" t="s">
        <v>28</v>
      </c>
      <c r="AB14" s="44" t="s">
        <v>102</v>
      </c>
      <c r="AC14" s="45" t="s">
        <v>28</v>
      </c>
      <c r="AD14" s="36" t="s">
        <v>33</v>
      </c>
      <c r="AE14" s="46" t="s">
        <v>28</v>
      </c>
    </row>
    <row r="15" spans="1:32" s="75" customFormat="1" ht="13.5" customHeight="1" x14ac:dyDescent="0.25">
      <c r="A15" s="179" t="s">
        <v>278</v>
      </c>
      <c r="B15" s="198"/>
      <c r="C15" s="199"/>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206</v>
      </c>
      <c r="B16" s="132">
        <v>222</v>
      </c>
      <c r="C16" s="165">
        <v>62.002277374267578</v>
      </c>
      <c r="D16" s="149">
        <v>0.25832555230183107</v>
      </c>
      <c r="E16" s="150">
        <v>2.165317275376271E-2</v>
      </c>
      <c r="F16" s="151">
        <v>-0.95789999999999997</v>
      </c>
      <c r="G16" s="150" t="s">
        <v>35</v>
      </c>
      <c r="H16" s="152">
        <v>0.19889999999999999</v>
      </c>
      <c r="I16" s="153" t="s">
        <v>35</v>
      </c>
      <c r="J16" s="149">
        <v>1.6488</v>
      </c>
      <c r="K16" s="154" t="s">
        <v>35</v>
      </c>
      <c r="L16" s="149">
        <v>2.6067</v>
      </c>
      <c r="M16" s="154" t="s">
        <v>35</v>
      </c>
      <c r="N16" s="151">
        <v>0.28154634757072472</v>
      </c>
      <c r="O16" s="150">
        <v>5.1200408155035383E-2</v>
      </c>
      <c r="P16" s="152">
        <v>0.17358942238155789</v>
      </c>
      <c r="Q16" s="153">
        <v>6.9001859930108739E-2</v>
      </c>
      <c r="R16" s="149">
        <v>0.23093967870135701</v>
      </c>
      <c r="S16" s="150">
        <v>5.0094427511770512E-2</v>
      </c>
      <c r="T16" s="152">
        <v>0.34713533351463072</v>
      </c>
      <c r="U16" s="153">
        <v>3.7433009728836272E-2</v>
      </c>
      <c r="V16" s="149">
        <v>6.5588985943905997E-2</v>
      </c>
      <c r="W16" s="154">
        <v>6.2030963306048022E-2</v>
      </c>
      <c r="X16" s="151">
        <v>0.3124940458588934</v>
      </c>
      <c r="Y16" s="150">
        <v>2.9761356826079922E-2</v>
      </c>
      <c r="Z16" s="152">
        <v>0.20883201138325869</v>
      </c>
      <c r="AA16" s="153">
        <v>3.3841448903042463E-2</v>
      </c>
      <c r="AB16" s="152">
        <v>0.35879095960720581</v>
      </c>
      <c r="AC16" s="155">
        <v>4.3107806707919437E-2</v>
      </c>
      <c r="AD16" s="149">
        <v>-7.115054939568019E-2</v>
      </c>
      <c r="AE16" s="156">
        <v>4.0559367777765608E-2</v>
      </c>
    </row>
    <row r="17" spans="1:31" s="105" customFormat="1" x14ac:dyDescent="0.25">
      <c r="A17" s="94" t="s">
        <v>213</v>
      </c>
      <c r="B17" s="132">
        <v>214</v>
      </c>
      <c r="C17" s="165">
        <v>42.009723663330078</v>
      </c>
      <c r="D17" s="149">
        <v>-0.56585384803955385</v>
      </c>
      <c r="E17" s="150">
        <v>2.4395246955709247E-2</v>
      </c>
      <c r="F17" s="151">
        <v>-1.5583</v>
      </c>
      <c r="G17" s="150" t="s">
        <v>35</v>
      </c>
      <c r="H17" s="152">
        <v>-0.7641</v>
      </c>
      <c r="I17" s="153">
        <v>0.18313280427056211</v>
      </c>
      <c r="J17" s="149">
        <v>0.67600000000000005</v>
      </c>
      <c r="K17" s="154">
        <v>4.934845488969241E-2</v>
      </c>
      <c r="L17" s="149">
        <v>2.2343000000000002</v>
      </c>
      <c r="M17" s="154">
        <v>4.9348454889692653E-2</v>
      </c>
      <c r="N17" s="151">
        <v>-0.76126591016453748</v>
      </c>
      <c r="O17" s="150">
        <v>4.9363064368244697E-2</v>
      </c>
      <c r="P17" s="152">
        <v>-0.64896640384447313</v>
      </c>
      <c r="Q17" s="153">
        <v>5.1124803133476872E-2</v>
      </c>
      <c r="R17" s="149">
        <v>-0.50626587262294886</v>
      </c>
      <c r="S17" s="150">
        <v>5.4670919839872892E-2</v>
      </c>
      <c r="T17" s="152">
        <v>-0.33773798594695698</v>
      </c>
      <c r="U17" s="153">
        <v>4.2408203957835566E-2</v>
      </c>
      <c r="V17" s="149">
        <v>0.42352792421758051</v>
      </c>
      <c r="W17" s="154">
        <v>6.5821865731831908E-2</v>
      </c>
      <c r="X17" s="151">
        <v>-0.5750280638371722</v>
      </c>
      <c r="Y17" s="150">
        <v>2.7066331365541669E-2</v>
      </c>
      <c r="Z17" s="152">
        <v>-0.32817849595190618</v>
      </c>
      <c r="AA17" s="153">
        <v>0.10298375620903399</v>
      </c>
      <c r="AB17" s="152">
        <v>0.20864705882352941</v>
      </c>
      <c r="AC17" s="155" t="s">
        <v>35</v>
      </c>
      <c r="AD17" s="149">
        <v>0.36689128266908611</v>
      </c>
      <c r="AE17" s="156">
        <v>0.1304979836233254</v>
      </c>
    </row>
    <row r="18" spans="1:31" s="105" customFormat="1" x14ac:dyDescent="0.25">
      <c r="A18" s="94" t="s">
        <v>221</v>
      </c>
      <c r="B18" s="132">
        <v>154</v>
      </c>
      <c r="C18" s="165">
        <v>54.847274780273438</v>
      </c>
      <c r="D18" s="149">
        <v>0.16441546649062011</v>
      </c>
      <c r="E18" s="150">
        <v>2.3687983615830275E-2</v>
      </c>
      <c r="F18" s="151">
        <v>-0.95789999999999997</v>
      </c>
      <c r="G18" s="150">
        <v>0.14856380447471046</v>
      </c>
      <c r="H18" s="152">
        <v>0.19889999999999999</v>
      </c>
      <c r="I18" s="153" t="s">
        <v>35</v>
      </c>
      <c r="J18" s="149">
        <v>1.1904999999999999</v>
      </c>
      <c r="K18" s="154">
        <v>0.28985437033103373</v>
      </c>
      <c r="L18" s="149">
        <v>2.1483999999999996</v>
      </c>
      <c r="M18" s="154">
        <v>0.2907848448595628</v>
      </c>
      <c r="N18" s="151">
        <v>0.1717090196024865</v>
      </c>
      <c r="O18" s="150">
        <v>4.7372071106455783E-2</v>
      </c>
      <c r="P18" s="152">
        <v>0.12000563756616039</v>
      </c>
      <c r="Q18" s="153">
        <v>6.5390917872208534E-2</v>
      </c>
      <c r="R18" s="149">
        <v>0.1478307746120732</v>
      </c>
      <c r="S18" s="150">
        <v>6.0873179740712775E-2</v>
      </c>
      <c r="T18" s="152">
        <v>0.21815778250997861</v>
      </c>
      <c r="U18" s="153">
        <v>5.3936382570136006E-2</v>
      </c>
      <c r="V18" s="149">
        <v>4.64487629074921E-2</v>
      </c>
      <c r="W18" s="154">
        <v>7.7250348766021187E-2</v>
      </c>
      <c r="X18" s="151">
        <v>9.2846183325189902E-2</v>
      </c>
      <c r="Y18" s="150">
        <v>3.201595678129663E-2</v>
      </c>
      <c r="Z18" s="152">
        <v>0.22224162467741509</v>
      </c>
      <c r="AA18" s="153">
        <v>3.70037404092168E-2</v>
      </c>
      <c r="AB18" s="152">
        <v>0.43655452572260522</v>
      </c>
      <c r="AC18" s="155">
        <v>5.1293057871077241E-2</v>
      </c>
      <c r="AD18" s="149">
        <v>0.16088431793305952</v>
      </c>
      <c r="AE18" s="156">
        <v>4.7251002753126652E-2</v>
      </c>
    </row>
    <row r="19" spans="1:31" s="105" customFormat="1" x14ac:dyDescent="0.25">
      <c r="A19" s="94" t="s">
        <v>301</v>
      </c>
      <c r="B19" s="132">
        <v>233</v>
      </c>
      <c r="C19" s="165">
        <v>50.516376495361328</v>
      </c>
      <c r="D19" s="149">
        <v>-0.1950971804136436</v>
      </c>
      <c r="E19" s="150">
        <v>2.1957813771903197E-2</v>
      </c>
      <c r="F19" s="151">
        <v>-1.5583</v>
      </c>
      <c r="G19" s="150" t="s">
        <v>35</v>
      </c>
      <c r="H19" s="152">
        <v>-0.44</v>
      </c>
      <c r="I19" s="153" t="s">
        <v>35</v>
      </c>
      <c r="J19" s="149">
        <v>1.1904999999999999</v>
      </c>
      <c r="K19" s="154" t="s">
        <v>35</v>
      </c>
      <c r="L19" s="149">
        <v>2.7488000000000001</v>
      </c>
      <c r="M19" s="154" t="s">
        <v>35</v>
      </c>
      <c r="N19" s="151">
        <v>-0.22541787914385689</v>
      </c>
      <c r="O19" s="150">
        <v>5.1599438294699242E-2</v>
      </c>
      <c r="P19" s="152">
        <v>-0.20150410445229339</v>
      </c>
      <c r="Q19" s="153">
        <v>4.5887606658405737E-2</v>
      </c>
      <c r="R19" s="149">
        <v>-0.2146776762723768</v>
      </c>
      <c r="S19" s="150">
        <v>3.9711660152548241E-2</v>
      </c>
      <c r="T19" s="152">
        <v>-0.1389070533047109</v>
      </c>
      <c r="U19" s="153">
        <v>4.2954864532381787E-2</v>
      </c>
      <c r="V19" s="149">
        <v>8.6510825839146099E-2</v>
      </c>
      <c r="W19" s="154">
        <v>6.4684548070015738E-2</v>
      </c>
      <c r="X19" s="151">
        <v>-0.19720167953697779</v>
      </c>
      <c r="Y19" s="150">
        <v>2.1897046832295E-2</v>
      </c>
      <c r="Z19" s="152">
        <v>-0.24740546396935439</v>
      </c>
      <c r="AA19" s="153">
        <v>5.3545116168161933E-2</v>
      </c>
      <c r="AB19" s="152">
        <v>-0.1432780309598557</v>
      </c>
      <c r="AC19" s="155">
        <v>0.15438953826518531</v>
      </c>
      <c r="AD19" s="149">
        <v>4.4897307546391818E-3</v>
      </c>
      <c r="AE19" s="156">
        <v>8.6936277985598095E-2</v>
      </c>
    </row>
    <row r="20" spans="1:31" s="105" customFormat="1" x14ac:dyDescent="0.25">
      <c r="A20" s="94" t="s">
        <v>231</v>
      </c>
      <c r="B20" s="132">
        <v>1074</v>
      </c>
      <c r="C20" s="165">
        <v>61.027748107910156</v>
      </c>
      <c r="D20" s="149">
        <v>1.8712211625739199E-2</v>
      </c>
      <c r="E20" s="150">
        <v>1.3178622537530238E-2</v>
      </c>
      <c r="F20" s="151">
        <v>-1.5583</v>
      </c>
      <c r="G20" s="150">
        <v>0.4721009214140553</v>
      </c>
      <c r="H20" s="152">
        <v>0.19889999999999999</v>
      </c>
      <c r="I20" s="153" t="s">
        <v>35</v>
      </c>
      <c r="J20" s="149">
        <v>1.1904999999999999</v>
      </c>
      <c r="K20" s="154" t="s">
        <v>35</v>
      </c>
      <c r="L20" s="149">
        <v>2.7488000000000001</v>
      </c>
      <c r="M20" s="154">
        <v>0.47210092141405574</v>
      </c>
      <c r="N20" s="151">
        <v>-0.10983633346124951</v>
      </c>
      <c r="O20" s="150">
        <v>3.7407507894917112E-2</v>
      </c>
      <c r="P20" s="152">
        <v>-3.3424937057157801E-2</v>
      </c>
      <c r="Q20" s="153">
        <v>2.6013405903078796E-2</v>
      </c>
      <c r="R20" s="149">
        <v>4.7546107586582301E-2</v>
      </c>
      <c r="S20" s="150">
        <v>3.0663470445132377E-2</v>
      </c>
      <c r="T20" s="152">
        <v>0.170645012414742</v>
      </c>
      <c r="U20" s="153">
        <v>2.3366529951682622E-2</v>
      </c>
      <c r="V20" s="149">
        <v>0.28048134587599149</v>
      </c>
      <c r="W20" s="154">
        <v>4.3264300043185794E-2</v>
      </c>
      <c r="X20" s="151">
        <v>-5.72048096558588E-2</v>
      </c>
      <c r="Y20" s="150">
        <v>1.8358685296037638E-2</v>
      </c>
      <c r="Z20" s="152">
        <v>0.1665869106880698</v>
      </c>
      <c r="AA20" s="153">
        <v>2.5407773926451088E-2</v>
      </c>
      <c r="AB20" s="152">
        <v>0.28960525527447678</v>
      </c>
      <c r="AC20" s="155">
        <v>3.3576005575203453E-2</v>
      </c>
      <c r="AD20" s="149">
        <v>0.24931647919884642</v>
      </c>
      <c r="AE20" s="156">
        <v>3.0175124429268653E-2</v>
      </c>
    </row>
    <row r="21" spans="1:31" s="105" customFormat="1" x14ac:dyDescent="0.25">
      <c r="A21" s="118" t="s">
        <v>297</v>
      </c>
      <c r="B21" s="132">
        <v>97</v>
      </c>
      <c r="C21" s="165">
        <v>25.2100830078125</v>
      </c>
      <c r="D21" s="149">
        <v>0.1780930300435026</v>
      </c>
      <c r="E21" s="150">
        <v>3.7235248150507841E-2</v>
      </c>
      <c r="F21" s="151">
        <v>-1.5583</v>
      </c>
      <c r="G21" s="150" t="s">
        <v>35</v>
      </c>
      <c r="H21" s="152">
        <v>0.19889999999999999</v>
      </c>
      <c r="I21" s="153" t="s">
        <v>35</v>
      </c>
      <c r="J21" s="149">
        <v>1.6488</v>
      </c>
      <c r="K21" s="154" t="s">
        <v>35</v>
      </c>
      <c r="L21" s="149">
        <v>3.2071000000000001</v>
      </c>
      <c r="M21" s="154" t="s">
        <v>35</v>
      </c>
      <c r="N21" s="151">
        <v>7.7783667073614601E-2</v>
      </c>
      <c r="O21" s="150">
        <v>9.1677856843694547E-2</v>
      </c>
      <c r="P21" s="152">
        <v>7.3233877977459894E-2</v>
      </c>
      <c r="Q21" s="153">
        <v>8.6327942003348507E-2</v>
      </c>
      <c r="R21" s="149">
        <v>0.1712598717454446</v>
      </c>
      <c r="S21" s="150">
        <v>6.6579560513489178E-2</v>
      </c>
      <c r="T21" s="152">
        <v>0.3900400233414959</v>
      </c>
      <c r="U21" s="153">
        <v>8.027149732396914E-2</v>
      </c>
      <c r="V21" s="149">
        <v>0.31225635626788129</v>
      </c>
      <c r="W21" s="154">
        <v>0.11503526779644627</v>
      </c>
      <c r="X21" s="151">
        <v>0.16017733842296689</v>
      </c>
      <c r="Y21" s="150">
        <v>3.8658306703691997E-2</v>
      </c>
      <c r="Z21" s="152" t="s">
        <v>34</v>
      </c>
      <c r="AA21" s="153" t="s">
        <v>34</v>
      </c>
      <c r="AB21" s="152">
        <v>0.55843175406441181</v>
      </c>
      <c r="AC21" s="155">
        <v>2.5029500304531425E-3</v>
      </c>
      <c r="AD21" s="149">
        <v>0.39825441564144493</v>
      </c>
      <c r="AE21" s="156">
        <v>3.8825343983955048E-2</v>
      </c>
    </row>
    <row r="22" spans="1:31" s="105" customFormat="1" x14ac:dyDescent="0.25">
      <c r="A22" s="94" t="s">
        <v>302</v>
      </c>
      <c r="B22" s="132">
        <v>157</v>
      </c>
      <c r="C22" s="165">
        <v>49.037628173828125</v>
      </c>
      <c r="D22" s="149">
        <v>-1.8026612562302102E-2</v>
      </c>
      <c r="E22" s="150">
        <v>3.1161867551163167E-2</v>
      </c>
      <c r="F22" s="151">
        <v>-1.5583</v>
      </c>
      <c r="G22" s="150" t="s">
        <v>35</v>
      </c>
      <c r="H22" s="152">
        <v>0.19889999999999999</v>
      </c>
      <c r="I22" s="153" t="s">
        <v>35</v>
      </c>
      <c r="J22" s="149">
        <v>1.6488</v>
      </c>
      <c r="K22" s="154" t="s">
        <v>35</v>
      </c>
      <c r="L22" s="149">
        <v>3.2071000000000001</v>
      </c>
      <c r="M22" s="154" t="s">
        <v>35</v>
      </c>
      <c r="N22" s="151">
        <v>-6.57553184873515E-2</v>
      </c>
      <c r="O22" s="150">
        <v>6.2965160112305976E-2</v>
      </c>
      <c r="P22" s="152">
        <v>3.4878623375710001E-4</v>
      </c>
      <c r="Q22" s="153">
        <v>5.8487889061042832E-2</v>
      </c>
      <c r="R22" s="149">
        <v>-0.1157858325377451</v>
      </c>
      <c r="S22" s="150">
        <v>6.9458645764621962E-2</v>
      </c>
      <c r="T22" s="152">
        <v>0.1093703211872173</v>
      </c>
      <c r="U22" s="153">
        <v>7.1131799846521571E-2</v>
      </c>
      <c r="V22" s="149">
        <v>0.17512563967456879</v>
      </c>
      <c r="W22" s="154">
        <v>9.7910636228194931E-2</v>
      </c>
      <c r="X22" s="151">
        <v>-1.4871224990185899E-2</v>
      </c>
      <c r="Y22" s="150">
        <v>3.3175759226399072E-2</v>
      </c>
      <c r="Z22" s="152">
        <v>-1.103871157505586</v>
      </c>
      <c r="AA22" s="153">
        <v>9.2980470601369339E-3</v>
      </c>
      <c r="AB22" s="152">
        <v>4.3404281259367898E-2</v>
      </c>
      <c r="AC22" s="155">
        <v>5.85575332363346E-2</v>
      </c>
      <c r="AD22" s="149">
        <v>-1.9371992632470698E-2</v>
      </c>
      <c r="AE22" s="156">
        <v>9.9232661838815614E-2</v>
      </c>
    </row>
    <row r="23" spans="1:31" s="105" customFormat="1" x14ac:dyDescent="0.25">
      <c r="A23" s="94" t="s">
        <v>236</v>
      </c>
      <c r="B23" s="132" t="s">
        <v>34</v>
      </c>
      <c r="C23" s="165" t="s">
        <v>34</v>
      </c>
      <c r="D23" s="149">
        <v>-2.2775911507686701E-2</v>
      </c>
      <c r="E23" s="150">
        <v>9.7294586595408992E-3</v>
      </c>
      <c r="F23" s="151">
        <v>-1.386757142857143</v>
      </c>
      <c r="G23" s="150">
        <v>7.0703531490546298E-2</v>
      </c>
      <c r="H23" s="152">
        <v>-2.9942857142857101E-2</v>
      </c>
      <c r="I23" s="153">
        <v>2.6161828612518701E-2</v>
      </c>
      <c r="J23" s="149">
        <v>1.3134142857142861</v>
      </c>
      <c r="K23" s="154">
        <v>4.20036018081891E-2</v>
      </c>
      <c r="L23" s="149">
        <v>2.7001714285714291</v>
      </c>
      <c r="M23" s="154">
        <v>7.9522859344659996E-2</v>
      </c>
      <c r="N23" s="151">
        <v>-9.0176629572881403E-2</v>
      </c>
      <c r="O23" s="150">
        <v>2.2008148547061401E-2</v>
      </c>
      <c r="P23" s="152">
        <v>-7.3816817313569899E-2</v>
      </c>
      <c r="Q23" s="153">
        <v>2.27258239602352E-2</v>
      </c>
      <c r="R23" s="149">
        <v>-3.4164706969659099E-2</v>
      </c>
      <c r="S23" s="150">
        <v>2.06913718934549E-2</v>
      </c>
      <c r="T23" s="152">
        <v>0.1083862048166281</v>
      </c>
      <c r="U23" s="153">
        <v>2.0204657273597899E-2</v>
      </c>
      <c r="V23" s="149">
        <v>0.19856283438950939</v>
      </c>
      <c r="W23" s="154">
        <v>2.9631571393253401E-2</v>
      </c>
      <c r="X23" s="151">
        <v>-3.9826887201877798E-2</v>
      </c>
      <c r="Y23" s="150">
        <v>1.11162354682859E-2</v>
      </c>
      <c r="Z23" s="152">
        <v>-0.18029909511301709</v>
      </c>
      <c r="AA23" s="153">
        <v>2.155049780259E-2</v>
      </c>
      <c r="AB23" s="152">
        <v>0.25030797197024868</v>
      </c>
      <c r="AC23" s="155">
        <v>2.59072083217705E-2</v>
      </c>
      <c r="AD23" s="149">
        <v>0.15561624059556081</v>
      </c>
      <c r="AE23" s="156">
        <v>2.8831114843048702E-2</v>
      </c>
    </row>
    <row r="24" spans="1:31" s="105" customFormat="1" x14ac:dyDescent="0.25">
      <c r="A24" s="180" t="s">
        <v>279</v>
      </c>
      <c r="B24" s="132"/>
      <c r="C24" s="165"/>
      <c r="D24" s="149"/>
      <c r="E24" s="150"/>
      <c r="F24" s="151"/>
      <c r="G24" s="150"/>
      <c r="H24" s="152"/>
      <c r="I24" s="153"/>
      <c r="J24" s="149"/>
      <c r="K24" s="154"/>
      <c r="L24" s="149"/>
      <c r="M24" s="154"/>
      <c r="N24" s="151"/>
      <c r="O24" s="150"/>
      <c r="P24" s="152"/>
      <c r="Q24" s="153"/>
      <c r="R24" s="149"/>
      <c r="S24" s="150"/>
      <c r="T24" s="152"/>
      <c r="U24" s="153"/>
      <c r="V24" s="149"/>
      <c r="W24" s="154"/>
      <c r="X24" s="151"/>
      <c r="Y24" s="150"/>
      <c r="Z24" s="152"/>
      <c r="AA24" s="153"/>
      <c r="AB24" s="152"/>
      <c r="AC24" s="155"/>
      <c r="AD24" s="149"/>
      <c r="AE24" s="156"/>
    </row>
    <row r="25" spans="1:31" s="105" customFormat="1" x14ac:dyDescent="0.25">
      <c r="A25" s="94" t="s">
        <v>237</v>
      </c>
      <c r="B25" s="132">
        <v>0</v>
      </c>
      <c r="C25" s="165">
        <v>0</v>
      </c>
      <c r="D25" s="149" t="s">
        <v>34</v>
      </c>
      <c r="E25" s="150" t="s">
        <v>34</v>
      </c>
      <c r="F25" s="151" t="s">
        <v>34</v>
      </c>
      <c r="G25" s="150" t="s">
        <v>34</v>
      </c>
      <c r="H25" s="152" t="s">
        <v>34</v>
      </c>
      <c r="I25" s="153" t="s">
        <v>34</v>
      </c>
      <c r="J25" s="149" t="s">
        <v>34</v>
      </c>
      <c r="K25" s="154" t="s">
        <v>34</v>
      </c>
      <c r="L25" s="149" t="s">
        <v>34</v>
      </c>
      <c r="M25" s="154" t="s">
        <v>34</v>
      </c>
      <c r="N25" s="151" t="s">
        <v>34</v>
      </c>
      <c r="O25" s="150" t="s">
        <v>34</v>
      </c>
      <c r="P25" s="152" t="s">
        <v>34</v>
      </c>
      <c r="Q25" s="153" t="s">
        <v>34</v>
      </c>
      <c r="R25" s="149" t="s">
        <v>34</v>
      </c>
      <c r="S25" s="150" t="s">
        <v>34</v>
      </c>
      <c r="T25" s="152" t="s">
        <v>34</v>
      </c>
      <c r="U25" s="153" t="s">
        <v>34</v>
      </c>
      <c r="V25" s="149" t="s">
        <v>34</v>
      </c>
      <c r="W25" s="154" t="s">
        <v>34</v>
      </c>
      <c r="X25" s="151" t="s">
        <v>34</v>
      </c>
      <c r="Y25" s="150" t="s">
        <v>34</v>
      </c>
      <c r="Z25" s="152" t="s">
        <v>34</v>
      </c>
      <c r="AA25" s="153" t="s">
        <v>34</v>
      </c>
      <c r="AB25" s="152" t="s">
        <v>34</v>
      </c>
      <c r="AC25" s="155" t="s">
        <v>34</v>
      </c>
      <c r="AD25" s="149" t="s">
        <v>34</v>
      </c>
      <c r="AE25" s="156" t="s">
        <v>34</v>
      </c>
    </row>
    <row r="26" spans="1:31" s="105" customFormat="1" x14ac:dyDescent="0.25">
      <c r="A26" s="94" t="s">
        <v>239</v>
      </c>
      <c r="B26" s="132">
        <v>152</v>
      </c>
      <c r="C26" s="165">
        <v>30.893310546875</v>
      </c>
      <c r="D26" s="149">
        <v>0.96193052824946768</v>
      </c>
      <c r="E26" s="150">
        <v>4.3412656072823214E-2</v>
      </c>
      <c r="F26" s="151">
        <v>-0.89529999999999998</v>
      </c>
      <c r="G26" s="150">
        <v>3.6089776945833291E-2</v>
      </c>
      <c r="H26" s="152">
        <v>1.6488</v>
      </c>
      <c r="I26" s="153" t="s">
        <v>35</v>
      </c>
      <c r="J26" s="149">
        <v>1.6488</v>
      </c>
      <c r="K26" s="154" t="s">
        <v>35</v>
      </c>
      <c r="L26" s="149">
        <v>2.5441000000000003</v>
      </c>
      <c r="M26" s="154">
        <v>3.6089776945833367E-2</v>
      </c>
      <c r="N26" s="151">
        <v>0.95961908125976336</v>
      </c>
      <c r="O26" s="150">
        <v>6.2544970512980427E-2</v>
      </c>
      <c r="P26" s="152">
        <v>1.1066005341729821</v>
      </c>
      <c r="Q26" s="153">
        <v>9.5879478858900899E-2</v>
      </c>
      <c r="R26" s="149">
        <v>0.88921262232808052</v>
      </c>
      <c r="S26" s="150">
        <v>0.15903266466044136</v>
      </c>
      <c r="T26" s="152">
        <v>0.89208724551762875</v>
      </c>
      <c r="U26" s="153">
        <v>8.8420796826717746E-2</v>
      </c>
      <c r="V26" s="149">
        <v>-6.7531835742134602E-2</v>
      </c>
      <c r="W26" s="154">
        <v>0.10614817634902701</v>
      </c>
      <c r="X26" s="151">
        <v>0.96204519623507367</v>
      </c>
      <c r="Y26" s="150">
        <v>4.3649789962484351E-2</v>
      </c>
      <c r="Z26" s="152" t="s">
        <v>34</v>
      </c>
      <c r="AA26" s="153" t="s">
        <v>34</v>
      </c>
      <c r="AB26" s="152">
        <v>0.93923643731890327</v>
      </c>
      <c r="AC26" s="155">
        <v>4.1264992737578075E-2</v>
      </c>
      <c r="AD26" s="149">
        <v>-2.2808758916170402E-2</v>
      </c>
      <c r="AE26" s="156">
        <v>6.0685404917229645E-2</v>
      </c>
    </row>
    <row r="27" spans="1:31" s="105" customFormat="1" x14ac:dyDescent="0.25">
      <c r="A27" s="94" t="s">
        <v>242</v>
      </c>
      <c r="B27" s="132">
        <v>433</v>
      </c>
      <c r="C27" s="165">
        <v>54.125625610351563</v>
      </c>
      <c r="D27" s="149">
        <v>0.41662747314235871</v>
      </c>
      <c r="E27" s="150">
        <v>2.3013240769035839E-2</v>
      </c>
      <c r="F27" s="151">
        <v>-1.5583</v>
      </c>
      <c r="G27" s="150">
        <v>0.36096060726899271</v>
      </c>
      <c r="H27" s="152">
        <v>0.63729999999999998</v>
      </c>
      <c r="I27" s="153">
        <v>5.0458626616268584E-2</v>
      </c>
      <c r="J27" s="149">
        <v>1.6488</v>
      </c>
      <c r="K27" s="154" t="s">
        <v>35</v>
      </c>
      <c r="L27" s="149">
        <v>3.2071000000000001</v>
      </c>
      <c r="M27" s="154">
        <v>0.36096060726899276</v>
      </c>
      <c r="N27" s="151">
        <v>0.45736183298392208</v>
      </c>
      <c r="O27" s="150">
        <v>5.2013617241319407E-2</v>
      </c>
      <c r="P27" s="152">
        <v>0.39004031326443173</v>
      </c>
      <c r="Q27" s="153">
        <v>5.8456971214793381E-2</v>
      </c>
      <c r="R27" s="149">
        <v>0.31223446467747468</v>
      </c>
      <c r="S27" s="150">
        <v>5.1609429033517749E-2</v>
      </c>
      <c r="T27" s="152">
        <v>0.50694291387836876</v>
      </c>
      <c r="U27" s="153">
        <v>5.804956366119108E-2</v>
      </c>
      <c r="V27" s="149">
        <v>4.9581080894446697E-2</v>
      </c>
      <c r="W27" s="154">
        <v>7.6223039107433943E-2</v>
      </c>
      <c r="X27" s="151">
        <v>0.37282204328817331</v>
      </c>
      <c r="Y27" s="150">
        <v>2.5646089774577819E-2</v>
      </c>
      <c r="Z27" s="152" t="s">
        <v>34</v>
      </c>
      <c r="AA27" s="153" t="s">
        <v>34</v>
      </c>
      <c r="AB27" s="152">
        <v>0.60539910475697545</v>
      </c>
      <c r="AC27" s="155">
        <v>5.0094061956033102E-2</v>
      </c>
      <c r="AD27" s="149">
        <v>0.23257706146880214</v>
      </c>
      <c r="AE27" s="156">
        <v>5.4171569368873421E-2</v>
      </c>
    </row>
    <row r="28" spans="1:31" s="105" customFormat="1" x14ac:dyDescent="0.25">
      <c r="A28" s="94" t="s">
        <v>249</v>
      </c>
      <c r="B28" s="132">
        <v>220</v>
      </c>
      <c r="C28" s="165">
        <v>71.620361328125</v>
      </c>
      <c r="D28" s="149">
        <v>0.96562911035453536</v>
      </c>
      <c r="E28" s="150">
        <v>2.4254536396001874E-2</v>
      </c>
      <c r="F28" s="151">
        <v>0.19889999999999999</v>
      </c>
      <c r="G28" s="150">
        <v>0.21459749882046622</v>
      </c>
      <c r="H28" s="152">
        <v>1.1904999999999999</v>
      </c>
      <c r="I28" s="153">
        <v>0.17296852892939785</v>
      </c>
      <c r="J28" s="149">
        <v>1.6488</v>
      </c>
      <c r="K28" s="154" t="s">
        <v>35</v>
      </c>
      <c r="L28" s="149">
        <v>1.4499</v>
      </c>
      <c r="M28" s="154">
        <v>0.2145974988204663</v>
      </c>
      <c r="N28" s="151">
        <v>0.96353440513051603</v>
      </c>
      <c r="O28" s="150">
        <v>4.2099059376540099E-2</v>
      </c>
      <c r="P28" s="152">
        <v>0.93400385351884085</v>
      </c>
      <c r="Q28" s="153">
        <v>4.7658019286976751E-2</v>
      </c>
      <c r="R28" s="149">
        <v>1.0415384481395249</v>
      </c>
      <c r="S28" s="150">
        <v>6.7044662055382453E-2</v>
      </c>
      <c r="T28" s="152">
        <v>0.92344093258890614</v>
      </c>
      <c r="U28" s="153">
        <v>5.6860285285177344E-2</v>
      </c>
      <c r="V28" s="149">
        <v>-4.0093472541609901E-2</v>
      </c>
      <c r="W28" s="154">
        <v>6.7382676940206457E-2</v>
      </c>
      <c r="X28" s="151">
        <v>0.97577354334971855</v>
      </c>
      <c r="Y28" s="150">
        <v>2.4555332676470427E-2</v>
      </c>
      <c r="Z28" s="152">
        <v>0.79692104661828578</v>
      </c>
      <c r="AA28" s="153">
        <v>0.2132331791347169</v>
      </c>
      <c r="AB28" s="152">
        <v>0.91476128212238828</v>
      </c>
      <c r="AC28" s="155">
        <v>8.4860878022937222E-2</v>
      </c>
      <c r="AD28" s="149">
        <v>-8.2305545108855682E-2</v>
      </c>
      <c r="AE28" s="156">
        <v>8.3328787555822584E-2</v>
      </c>
    </row>
    <row r="29" spans="1:31" s="105" customFormat="1" x14ac:dyDescent="0.25">
      <c r="A29" s="94" t="s">
        <v>303</v>
      </c>
      <c r="B29" s="132">
        <v>146</v>
      </c>
      <c r="C29" s="165">
        <v>51.335269927978516</v>
      </c>
      <c r="D29" s="149">
        <v>-0.25570766818286722</v>
      </c>
      <c r="E29" s="150">
        <v>2.4482422251930536E-2</v>
      </c>
      <c r="F29" s="151">
        <v>-1.5583</v>
      </c>
      <c r="G29" s="150" t="s">
        <v>35</v>
      </c>
      <c r="H29" s="152">
        <v>-0.44</v>
      </c>
      <c r="I29" s="153" t="s">
        <v>35</v>
      </c>
      <c r="J29" s="149">
        <v>1.1904999999999999</v>
      </c>
      <c r="K29" s="154">
        <v>0.23823189542964207</v>
      </c>
      <c r="L29" s="149">
        <v>2.7488000000000001</v>
      </c>
      <c r="M29" s="154">
        <v>0.23823189542964229</v>
      </c>
      <c r="N29" s="151">
        <v>-0.41447716895622921</v>
      </c>
      <c r="O29" s="150">
        <v>5.0406520046226339E-2</v>
      </c>
      <c r="P29" s="152">
        <v>-0.28502853472617218</v>
      </c>
      <c r="Q29" s="153">
        <v>5.5629300436775102E-2</v>
      </c>
      <c r="R29" s="149">
        <v>-0.25362295071130259</v>
      </c>
      <c r="S29" s="150">
        <v>4.7914749835685735E-2</v>
      </c>
      <c r="T29" s="152">
        <v>-6.9443661611155005E-2</v>
      </c>
      <c r="U29" s="153">
        <v>5.9380972515547192E-2</v>
      </c>
      <c r="V29" s="149">
        <v>0.34503350734507421</v>
      </c>
      <c r="W29" s="154">
        <v>7.7174254410837015E-2</v>
      </c>
      <c r="X29" s="151">
        <v>-0.20154097048683731</v>
      </c>
      <c r="Y29" s="150">
        <v>5.0251525407325887E-2</v>
      </c>
      <c r="Z29" s="152">
        <v>-0.29195141094433491</v>
      </c>
      <c r="AA29" s="153">
        <v>2.9208022285679192E-2</v>
      </c>
      <c r="AB29" s="152">
        <v>0.56614562195887397</v>
      </c>
      <c r="AC29" s="155">
        <v>6.9115395796948878E-2</v>
      </c>
      <c r="AD29" s="149">
        <v>-6.0922636992173013E-2</v>
      </c>
      <c r="AE29" s="156">
        <v>6.2652863180885962E-2</v>
      </c>
    </row>
    <row r="30" spans="1:31" s="105" customFormat="1" x14ac:dyDescent="0.25">
      <c r="A30" s="94" t="s">
        <v>256</v>
      </c>
      <c r="B30" s="132">
        <v>45</v>
      </c>
      <c r="C30" s="165">
        <v>58.796497344970703</v>
      </c>
      <c r="D30" s="149">
        <v>-0.27088926036492011</v>
      </c>
      <c r="E30" s="150">
        <v>2.1912438816645084E-4</v>
      </c>
      <c r="F30" s="151">
        <v>-1.5583</v>
      </c>
      <c r="G30" s="150" t="s">
        <v>35</v>
      </c>
      <c r="H30" s="152">
        <v>-0.44</v>
      </c>
      <c r="I30" s="153" t="s">
        <v>35</v>
      </c>
      <c r="J30" s="149">
        <v>0.82509999999999994</v>
      </c>
      <c r="K30" s="154" t="s">
        <v>35</v>
      </c>
      <c r="L30" s="149">
        <v>2.3834</v>
      </c>
      <c r="M30" s="154" t="s">
        <v>35</v>
      </c>
      <c r="N30" s="151">
        <v>-0.27360963807547439</v>
      </c>
      <c r="O30" s="150">
        <v>4.5200330664883244E-4</v>
      </c>
      <c r="P30" s="152">
        <v>-0.42455848228477278</v>
      </c>
      <c r="Q30" s="153">
        <v>2.0160147604393963E-3</v>
      </c>
      <c r="R30" s="149">
        <v>-0.30819956498735518</v>
      </c>
      <c r="S30" s="150">
        <v>3.1344854655293284E-3</v>
      </c>
      <c r="T30" s="152">
        <v>-7.6571945103170294E-2</v>
      </c>
      <c r="U30" s="153">
        <v>1.196561722236352E-3</v>
      </c>
      <c r="V30" s="149">
        <v>0.19703769297230411</v>
      </c>
      <c r="W30" s="154">
        <v>1.2350115233448766E-3</v>
      </c>
      <c r="X30" s="151">
        <v>-0.32815137441413122</v>
      </c>
      <c r="Y30" s="150">
        <v>2.7728051475988991E-4</v>
      </c>
      <c r="Z30" s="152">
        <v>-0.2922964062190993</v>
      </c>
      <c r="AA30" s="153">
        <v>2.6442543750623484E-4</v>
      </c>
      <c r="AB30" s="152">
        <v>-2.4318728310490301E-2</v>
      </c>
      <c r="AC30" s="155">
        <v>3.9764624512649899E-4</v>
      </c>
      <c r="AD30" s="149">
        <v>6.033409627402353E-2</v>
      </c>
      <c r="AE30" s="156">
        <v>3.7321637182124588E-4</v>
      </c>
    </row>
    <row r="31" spans="1:31" s="105" customFormat="1" x14ac:dyDescent="0.25">
      <c r="A31" s="94" t="s">
        <v>257</v>
      </c>
      <c r="B31" s="134">
        <v>191</v>
      </c>
      <c r="C31" s="166">
        <v>59.319355010986328</v>
      </c>
      <c r="D31" s="149">
        <v>0.74278471201990481</v>
      </c>
      <c r="E31" s="150">
        <v>1.3265070655781305E-2</v>
      </c>
      <c r="F31" s="151">
        <v>-0.33660000000000001</v>
      </c>
      <c r="G31" s="150">
        <v>0.23819037658981951</v>
      </c>
      <c r="H31" s="152">
        <v>0.82509999999999994</v>
      </c>
      <c r="I31" s="153">
        <v>4.0192549060740101E-2</v>
      </c>
      <c r="J31" s="149">
        <v>1.6488</v>
      </c>
      <c r="K31" s="154" t="s">
        <v>35</v>
      </c>
      <c r="L31" s="149">
        <v>1.9854000000000001</v>
      </c>
      <c r="M31" s="154">
        <v>0.23819037658981934</v>
      </c>
      <c r="N31" s="151">
        <v>0.7245424797830311</v>
      </c>
      <c r="O31" s="150">
        <v>3.0448765469355526E-2</v>
      </c>
      <c r="P31" s="152">
        <v>0.74935033300618104</v>
      </c>
      <c r="Q31" s="153">
        <v>2.9175446559956551E-2</v>
      </c>
      <c r="R31" s="149">
        <v>0.71501846003302727</v>
      </c>
      <c r="S31" s="150">
        <v>3.5121069823351676E-2</v>
      </c>
      <c r="T31" s="152">
        <v>0.78213497641613006</v>
      </c>
      <c r="U31" s="153">
        <v>3.4033479994084459E-2</v>
      </c>
      <c r="V31" s="149">
        <v>5.7592496633098997E-2</v>
      </c>
      <c r="W31" s="154">
        <v>5.0770244684473359E-2</v>
      </c>
      <c r="X31" s="151">
        <v>0.76000151256415494</v>
      </c>
      <c r="Y31" s="150">
        <v>1.3779847331916837E-2</v>
      </c>
      <c r="Z31" s="152">
        <v>0.48928125</v>
      </c>
      <c r="AA31" s="153">
        <v>1.5700924586837752E-16</v>
      </c>
      <c r="AB31" s="152">
        <v>0.47608577943166802</v>
      </c>
      <c r="AC31" s="155">
        <v>3.6282034564974211E-2</v>
      </c>
      <c r="AD31" s="149">
        <v>-0.28276531728683374</v>
      </c>
      <c r="AE31" s="156">
        <v>3.7237320995962164E-2</v>
      </c>
    </row>
    <row r="32" spans="1:31" s="105" customFormat="1" x14ac:dyDescent="0.25">
      <c r="A32" s="94" t="s">
        <v>261</v>
      </c>
      <c r="B32" s="134">
        <v>177</v>
      </c>
      <c r="C32" s="166">
        <v>64.240921020507813</v>
      </c>
      <c r="D32" s="149">
        <v>1.1707999774775659</v>
      </c>
      <c r="E32" s="150">
        <v>1.8740641003052113E-2</v>
      </c>
      <c r="F32" s="151">
        <v>0.19889999999999999</v>
      </c>
      <c r="G32" s="150" t="s">
        <v>35</v>
      </c>
      <c r="H32" s="152">
        <v>1.6488</v>
      </c>
      <c r="I32" s="153" t="s">
        <v>35</v>
      </c>
      <c r="J32" s="149">
        <v>1.6488</v>
      </c>
      <c r="K32" s="154" t="s">
        <v>35</v>
      </c>
      <c r="L32" s="149">
        <v>1.4499</v>
      </c>
      <c r="M32" s="154" t="s">
        <v>35</v>
      </c>
      <c r="N32" s="151">
        <v>1.191660317469919</v>
      </c>
      <c r="O32" s="150">
        <v>3.3854302954508336E-2</v>
      </c>
      <c r="P32" s="152">
        <v>1.088128518915207</v>
      </c>
      <c r="Q32" s="153">
        <v>4.3477024773913978E-2</v>
      </c>
      <c r="R32" s="149">
        <v>1.18124389832996</v>
      </c>
      <c r="S32" s="150">
        <v>5.099520955821233E-2</v>
      </c>
      <c r="T32" s="152">
        <v>1.2221649253328419</v>
      </c>
      <c r="U32" s="153">
        <v>4.336467437605878E-2</v>
      </c>
      <c r="V32" s="149">
        <v>3.0504607862923399E-2</v>
      </c>
      <c r="W32" s="154">
        <v>5.5870349882749179E-2</v>
      </c>
      <c r="X32" s="151">
        <v>1.157147359462608</v>
      </c>
      <c r="Y32" s="150">
        <v>1.9119441536204484E-2</v>
      </c>
      <c r="Z32" s="152">
        <v>1.613546153846154</v>
      </c>
      <c r="AA32" s="153" t="s">
        <v>35</v>
      </c>
      <c r="AB32" s="152">
        <v>1.404308393299742</v>
      </c>
      <c r="AC32" s="155">
        <v>4.7247583164008976E-2</v>
      </c>
      <c r="AD32" s="149">
        <v>0.27101184373484899</v>
      </c>
      <c r="AE32" s="156">
        <v>5.0547863412462729E-2</v>
      </c>
    </row>
    <row r="33" spans="1:31" s="105" customFormat="1" x14ac:dyDescent="0.25">
      <c r="A33" s="94" t="s">
        <v>263</v>
      </c>
      <c r="B33" s="132">
        <v>0</v>
      </c>
      <c r="C33" s="165">
        <v>0</v>
      </c>
      <c r="D33" s="149" t="s">
        <v>34</v>
      </c>
      <c r="E33" s="150" t="s">
        <v>34</v>
      </c>
      <c r="F33" s="151" t="s">
        <v>34</v>
      </c>
      <c r="G33" s="150" t="s">
        <v>34</v>
      </c>
      <c r="H33" s="152" t="s">
        <v>34</v>
      </c>
      <c r="I33" s="153" t="s">
        <v>34</v>
      </c>
      <c r="J33" s="149" t="s">
        <v>34</v>
      </c>
      <c r="K33" s="154" t="s">
        <v>34</v>
      </c>
      <c r="L33" s="149" t="s">
        <v>34</v>
      </c>
      <c r="M33" s="154" t="s">
        <v>34</v>
      </c>
      <c r="N33" s="151" t="s">
        <v>34</v>
      </c>
      <c r="O33" s="150" t="s">
        <v>34</v>
      </c>
      <c r="P33" s="152" t="s">
        <v>34</v>
      </c>
      <c r="Q33" s="153" t="s">
        <v>34</v>
      </c>
      <c r="R33" s="149" t="s">
        <v>34</v>
      </c>
      <c r="S33" s="150" t="s">
        <v>34</v>
      </c>
      <c r="T33" s="152" t="s">
        <v>34</v>
      </c>
      <c r="U33" s="153" t="s">
        <v>34</v>
      </c>
      <c r="V33" s="149" t="s">
        <v>34</v>
      </c>
      <c r="W33" s="154" t="s">
        <v>34</v>
      </c>
      <c r="X33" s="151" t="s">
        <v>34</v>
      </c>
      <c r="Y33" s="150" t="s">
        <v>34</v>
      </c>
      <c r="Z33" s="152" t="s">
        <v>34</v>
      </c>
      <c r="AA33" s="153" t="s">
        <v>34</v>
      </c>
      <c r="AB33" s="152" t="s">
        <v>34</v>
      </c>
      <c r="AC33" s="155" t="s">
        <v>34</v>
      </c>
      <c r="AD33" s="149" t="s">
        <v>34</v>
      </c>
      <c r="AE33" s="156" t="s">
        <v>34</v>
      </c>
    </row>
    <row r="34" spans="1:31" s="105" customFormat="1" x14ac:dyDescent="0.25">
      <c r="A34" s="94" t="s">
        <v>264</v>
      </c>
      <c r="B34" s="132">
        <v>0</v>
      </c>
      <c r="C34" s="165">
        <v>0</v>
      </c>
      <c r="D34" s="149" t="s">
        <v>34</v>
      </c>
      <c r="E34" s="150" t="s">
        <v>34</v>
      </c>
      <c r="F34" s="151" t="s">
        <v>34</v>
      </c>
      <c r="G34" s="150" t="s">
        <v>34</v>
      </c>
      <c r="H34" s="152" t="s">
        <v>34</v>
      </c>
      <c r="I34" s="153" t="s">
        <v>34</v>
      </c>
      <c r="J34" s="149" t="s">
        <v>34</v>
      </c>
      <c r="K34" s="154" t="s">
        <v>34</v>
      </c>
      <c r="L34" s="149" t="s">
        <v>34</v>
      </c>
      <c r="M34" s="154" t="s">
        <v>34</v>
      </c>
      <c r="N34" s="151" t="s">
        <v>34</v>
      </c>
      <c r="O34" s="150" t="s">
        <v>34</v>
      </c>
      <c r="P34" s="152" t="s">
        <v>34</v>
      </c>
      <c r="Q34" s="153" t="s">
        <v>34</v>
      </c>
      <c r="R34" s="149" t="s">
        <v>34</v>
      </c>
      <c r="S34" s="150" t="s">
        <v>34</v>
      </c>
      <c r="T34" s="152" t="s">
        <v>34</v>
      </c>
      <c r="U34" s="153" t="s">
        <v>34</v>
      </c>
      <c r="V34" s="149" t="s">
        <v>34</v>
      </c>
      <c r="W34" s="154" t="s">
        <v>34</v>
      </c>
      <c r="X34" s="151" t="s">
        <v>34</v>
      </c>
      <c r="Y34" s="150" t="s">
        <v>34</v>
      </c>
      <c r="Z34" s="152" t="s">
        <v>34</v>
      </c>
      <c r="AA34" s="153" t="s">
        <v>34</v>
      </c>
      <c r="AB34" s="152" t="s">
        <v>34</v>
      </c>
      <c r="AC34" s="155" t="s">
        <v>34</v>
      </c>
      <c r="AD34" s="149" t="s">
        <v>34</v>
      </c>
      <c r="AE34" s="156" t="s">
        <v>34</v>
      </c>
    </row>
    <row r="35" spans="1:31" s="105" customFormat="1" x14ac:dyDescent="0.25">
      <c r="A35" s="94" t="s">
        <v>272</v>
      </c>
      <c r="B35" s="132">
        <v>192</v>
      </c>
      <c r="C35" s="165">
        <v>53.20660400390625</v>
      </c>
      <c r="D35" s="149">
        <v>-0.15110933747888289</v>
      </c>
      <c r="E35" s="150">
        <v>1.9675919157240377E-2</v>
      </c>
      <c r="F35" s="151">
        <v>-1.5583</v>
      </c>
      <c r="G35" s="150" t="s">
        <v>35</v>
      </c>
      <c r="H35" s="152">
        <v>0.19889999999999999</v>
      </c>
      <c r="I35" s="153" t="s">
        <v>35</v>
      </c>
      <c r="J35" s="149">
        <v>1.1904999999999999</v>
      </c>
      <c r="K35" s="154">
        <v>5.3379246903642194E-2</v>
      </c>
      <c r="L35" s="149">
        <v>2.7488000000000001</v>
      </c>
      <c r="M35" s="154">
        <v>5.3379246903642263E-2</v>
      </c>
      <c r="N35" s="151">
        <v>-0.1796031824556332</v>
      </c>
      <c r="O35" s="150">
        <v>4.9497150784008119E-2</v>
      </c>
      <c r="P35" s="152">
        <v>-0.18661768277394311</v>
      </c>
      <c r="Q35" s="153">
        <v>5.3873153748849892E-2</v>
      </c>
      <c r="R35" s="149">
        <v>-0.1189569081331122</v>
      </c>
      <c r="S35" s="150">
        <v>4.6659148242369552E-2</v>
      </c>
      <c r="T35" s="152">
        <v>-0.1192293881158905</v>
      </c>
      <c r="U35" s="153">
        <v>3.9995672272843036E-2</v>
      </c>
      <c r="V35" s="149">
        <v>6.0373794339742701E-2</v>
      </c>
      <c r="W35" s="154">
        <v>6.4040770895446325E-2</v>
      </c>
      <c r="X35" s="151">
        <v>-0.18737627006235971</v>
      </c>
      <c r="Y35" s="150">
        <v>2.4819712263642366E-2</v>
      </c>
      <c r="Z35" s="152">
        <v>-2.21444315865084E-2</v>
      </c>
      <c r="AA35" s="153">
        <v>6.1016162982379683E-2</v>
      </c>
      <c r="AB35" s="152">
        <v>-9.8292271191941102E-2</v>
      </c>
      <c r="AC35" s="155">
        <v>3.6388221041378052E-2</v>
      </c>
      <c r="AD35" s="149">
        <v>0.11602590508136981</v>
      </c>
      <c r="AE35" s="156">
        <v>4.3776196648290064E-2</v>
      </c>
    </row>
    <row r="36" spans="1:31" s="105" customFormat="1" x14ac:dyDescent="0.25">
      <c r="A36" s="94" t="s">
        <v>275</v>
      </c>
      <c r="B36" s="132">
        <v>618</v>
      </c>
      <c r="C36" s="165">
        <v>58.978317260742188</v>
      </c>
      <c r="D36" s="149">
        <v>1.1833425311534831</v>
      </c>
      <c r="E36" s="150">
        <v>6.3116552330246484E-3</v>
      </c>
      <c r="F36" s="151">
        <v>0.19889999999999999</v>
      </c>
      <c r="G36" s="150" t="s">
        <v>35</v>
      </c>
      <c r="H36" s="152">
        <v>1.6488</v>
      </c>
      <c r="I36" s="153" t="s">
        <v>35</v>
      </c>
      <c r="J36" s="149">
        <v>1.6488</v>
      </c>
      <c r="K36" s="154" t="s">
        <v>35</v>
      </c>
      <c r="L36" s="149">
        <v>1.4499</v>
      </c>
      <c r="M36" s="154" t="s">
        <v>35</v>
      </c>
      <c r="N36" s="151">
        <v>1.1631177287414931</v>
      </c>
      <c r="O36" s="150">
        <v>1.0300557245722685E-2</v>
      </c>
      <c r="P36" s="152">
        <v>1.232563621899359</v>
      </c>
      <c r="Q36" s="153">
        <v>1.4688881400629884E-2</v>
      </c>
      <c r="R36" s="149">
        <v>1.278790039691944</v>
      </c>
      <c r="S36" s="150">
        <v>2.1234322011798982E-2</v>
      </c>
      <c r="T36" s="152">
        <v>1.068954720791387</v>
      </c>
      <c r="U36" s="153">
        <v>1.6259750634503359E-2</v>
      </c>
      <c r="V36" s="149">
        <v>-9.4163007950106098E-2</v>
      </c>
      <c r="W36" s="154">
        <v>1.7019051894278246E-2</v>
      </c>
      <c r="X36" s="151">
        <v>1.137842110007411</v>
      </c>
      <c r="Y36" s="150">
        <v>2.9702512126107482E-3</v>
      </c>
      <c r="Z36" s="152">
        <v>1.4833499999999999</v>
      </c>
      <c r="AA36" s="153" t="s">
        <v>35</v>
      </c>
      <c r="AB36" s="152">
        <v>1.2101292778448101</v>
      </c>
      <c r="AC36" s="155">
        <v>1.0707529586793411E-2</v>
      </c>
      <c r="AD36" s="149">
        <v>7.2846570650394016E-2</v>
      </c>
      <c r="AE36" s="156">
        <v>1.1082297310860195E-2</v>
      </c>
    </row>
    <row r="37" spans="1:31" s="105" customFormat="1" ht="13.8" thickBot="1" x14ac:dyDescent="0.3">
      <c r="A37" s="125"/>
      <c r="B37" s="143"/>
      <c r="C37" s="108"/>
      <c r="D37" s="110"/>
      <c r="E37" s="111"/>
      <c r="F37" s="143"/>
      <c r="G37" s="111"/>
      <c r="H37" s="146"/>
      <c r="I37" s="114"/>
      <c r="J37" s="145"/>
      <c r="K37" s="115"/>
      <c r="L37" s="145"/>
      <c r="M37" s="115"/>
      <c r="N37" s="112"/>
      <c r="O37" s="111"/>
      <c r="P37" s="113"/>
      <c r="Q37" s="114"/>
      <c r="R37" s="110"/>
      <c r="S37" s="111"/>
      <c r="T37" s="113"/>
      <c r="U37" s="114"/>
      <c r="V37" s="110"/>
      <c r="W37" s="115"/>
      <c r="X37" s="110"/>
      <c r="Y37" s="111"/>
      <c r="Z37" s="113"/>
      <c r="AA37" s="114"/>
      <c r="AB37" s="113"/>
      <c r="AC37" s="116"/>
      <c r="AD37" s="110"/>
      <c r="AE37" s="117"/>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40</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41</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05" t="s">
        <v>43</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31" t="s">
        <v>42</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37 AD16:AD37">
    <cfRule type="expression" dxfId="16" priority="2">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AF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3" width="13.44140625" style="4" customWidth="1"/>
    <col min="4"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117</v>
      </c>
      <c r="B6" s="2"/>
      <c r="C6" s="3"/>
      <c r="D6" s="2"/>
      <c r="E6" s="3"/>
      <c r="F6" s="3"/>
      <c r="G6" s="3"/>
      <c r="H6" s="3"/>
      <c r="I6" s="3"/>
      <c r="J6" s="3"/>
      <c r="K6" s="3"/>
      <c r="L6" s="3"/>
      <c r="M6" s="3"/>
      <c r="N6" s="3"/>
      <c r="O6" s="2"/>
      <c r="P6" s="3"/>
      <c r="Q6" s="2"/>
      <c r="R6" s="3"/>
      <c r="S6" s="2"/>
      <c r="T6" s="2"/>
      <c r="U6" s="2"/>
    </row>
    <row r="7" spans="1:32" x14ac:dyDescent="0.25">
      <c r="A7" s="5" t="s">
        <v>118</v>
      </c>
    </row>
    <row r="8" spans="1:32" x14ac:dyDescent="0.25">
      <c r="A8" s="6" t="s">
        <v>96</v>
      </c>
    </row>
    <row r="9" spans="1:32" x14ac:dyDescent="0.25">
      <c r="A9" s="6"/>
    </row>
    <row r="10" spans="1:32" ht="13.8" thickBot="1" x14ac:dyDescent="0.3">
      <c r="A10" s="7"/>
      <c r="B10" s="8"/>
      <c r="C10" s="9"/>
      <c r="D10" s="8"/>
      <c r="E10" s="9"/>
      <c r="F10" s="9"/>
      <c r="G10" s="9"/>
      <c r="H10" s="9"/>
      <c r="I10" s="9"/>
      <c r="J10" s="9"/>
      <c r="K10" s="9"/>
      <c r="L10" s="9"/>
      <c r="M10" s="9"/>
    </row>
    <row r="11" spans="1:32" ht="24" customHeight="1" x14ac:dyDescent="0.25">
      <c r="A11" s="28"/>
      <c r="B11" s="211" t="s">
        <v>7</v>
      </c>
      <c r="C11" s="212"/>
      <c r="D11" s="212"/>
      <c r="E11" s="212"/>
      <c r="F11" s="212"/>
      <c r="G11" s="212"/>
      <c r="H11" s="212"/>
      <c r="I11" s="212"/>
      <c r="J11" s="212"/>
      <c r="K11" s="212"/>
      <c r="L11" s="29"/>
      <c r="M11" s="30"/>
      <c r="N11" s="201" t="s">
        <v>119</v>
      </c>
      <c r="O11" s="202"/>
      <c r="P11" s="202"/>
      <c r="Q11" s="202"/>
      <c r="R11" s="202"/>
      <c r="S11" s="202"/>
      <c r="T11" s="202"/>
      <c r="U11" s="202"/>
      <c r="V11" s="202"/>
      <c r="W11" s="213"/>
      <c r="X11" s="201" t="s">
        <v>120</v>
      </c>
      <c r="Y11" s="202"/>
      <c r="Z11" s="202"/>
      <c r="AA11" s="202"/>
      <c r="AB11" s="202"/>
      <c r="AC11" s="202"/>
      <c r="AD11" s="202"/>
      <c r="AE11" s="203"/>
    </row>
    <row r="12" spans="1:32" ht="104.25" customHeight="1" x14ac:dyDescent="0.25">
      <c r="A12" s="31"/>
      <c r="B12" s="218" t="s">
        <v>10</v>
      </c>
      <c r="C12" s="218" t="s">
        <v>11</v>
      </c>
      <c r="D12" s="218" t="s">
        <v>121</v>
      </c>
      <c r="E12" s="219"/>
      <c r="F12" s="218" t="s">
        <v>122</v>
      </c>
      <c r="G12" s="217"/>
      <c r="H12" s="217"/>
      <c r="I12" s="217"/>
      <c r="J12" s="217"/>
      <c r="K12" s="219"/>
      <c r="L12" s="226" t="s">
        <v>123</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04"/>
      <c r="C13" s="204"/>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75" customHeight="1" x14ac:dyDescent="0.25">
      <c r="A14" s="33"/>
      <c r="B14" s="34" t="s">
        <v>25</v>
      </c>
      <c r="C14" s="56" t="s">
        <v>26</v>
      </c>
      <c r="D14" s="36" t="s">
        <v>27</v>
      </c>
      <c r="E14" s="36" t="s">
        <v>28</v>
      </c>
      <c r="F14" s="37" t="s">
        <v>29</v>
      </c>
      <c r="G14" s="36" t="s">
        <v>28</v>
      </c>
      <c r="H14" s="38" t="s">
        <v>30</v>
      </c>
      <c r="I14" s="39" t="s">
        <v>28</v>
      </c>
      <c r="J14" s="40" t="s">
        <v>31</v>
      </c>
      <c r="K14" s="35" t="s">
        <v>28</v>
      </c>
      <c r="L14" s="41" t="s">
        <v>32</v>
      </c>
      <c r="M14" s="42" t="s">
        <v>28</v>
      </c>
      <c r="N14" s="34" t="s">
        <v>102</v>
      </c>
      <c r="O14" s="43" t="s">
        <v>28</v>
      </c>
      <c r="P14" s="44" t="s">
        <v>102</v>
      </c>
      <c r="Q14" s="39" t="s">
        <v>28</v>
      </c>
      <c r="R14" s="36" t="s">
        <v>102</v>
      </c>
      <c r="S14" s="43" t="s">
        <v>28</v>
      </c>
      <c r="T14" s="44" t="s">
        <v>102</v>
      </c>
      <c r="U14" s="39" t="s">
        <v>28</v>
      </c>
      <c r="V14" s="36" t="s">
        <v>33</v>
      </c>
      <c r="W14" s="35" t="s">
        <v>28</v>
      </c>
      <c r="X14" s="34" t="s">
        <v>102</v>
      </c>
      <c r="Y14" s="36" t="s">
        <v>28</v>
      </c>
      <c r="Z14" s="44" t="s">
        <v>102</v>
      </c>
      <c r="AA14" s="39" t="s">
        <v>28</v>
      </c>
      <c r="AB14" s="44" t="s">
        <v>102</v>
      </c>
      <c r="AC14" s="45" t="s">
        <v>28</v>
      </c>
      <c r="AD14" s="36" t="s">
        <v>33</v>
      </c>
      <c r="AE14" s="46" t="s">
        <v>28</v>
      </c>
    </row>
    <row r="15" spans="1:32" s="75" customFormat="1" ht="13.5" customHeight="1" x14ac:dyDescent="0.25">
      <c r="A15" s="179" t="s">
        <v>278</v>
      </c>
      <c r="B15" s="198"/>
      <c r="C15" s="199"/>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206</v>
      </c>
      <c r="B16" s="132">
        <v>222</v>
      </c>
      <c r="C16" s="165">
        <v>62.172756195068359</v>
      </c>
      <c r="D16" s="149">
        <v>0.15413009078053869</v>
      </c>
      <c r="E16" s="150">
        <v>2.4735482660819839E-2</v>
      </c>
      <c r="F16" s="151">
        <v>-1.169</v>
      </c>
      <c r="G16" s="150">
        <v>1.3968249711399133E-2</v>
      </c>
      <c r="H16" s="152">
        <v>-0.12</v>
      </c>
      <c r="I16" s="153" t="s">
        <v>35</v>
      </c>
      <c r="J16" s="149">
        <v>1.468</v>
      </c>
      <c r="K16" s="154" t="s">
        <v>35</v>
      </c>
      <c r="L16" s="149">
        <v>2.637</v>
      </c>
      <c r="M16" s="154">
        <v>1.3968249711399133E-2</v>
      </c>
      <c r="N16" s="151">
        <v>0.15549280272005381</v>
      </c>
      <c r="O16" s="150">
        <v>5.3703663071388012E-2</v>
      </c>
      <c r="P16" s="152">
        <v>6.3732708043387098E-2</v>
      </c>
      <c r="Q16" s="153">
        <v>6.4939570202331653E-2</v>
      </c>
      <c r="R16" s="149">
        <v>0.19106716838757509</v>
      </c>
      <c r="S16" s="150">
        <v>6.297668796403838E-2</v>
      </c>
      <c r="T16" s="152">
        <v>0.20614297088334721</v>
      </c>
      <c r="U16" s="153">
        <v>4.7389946434483791E-2</v>
      </c>
      <c r="V16" s="149">
        <v>5.0650168163293402E-2</v>
      </c>
      <c r="W16" s="154">
        <v>6.7713157232617727E-2</v>
      </c>
      <c r="X16" s="151">
        <v>0.1398371337544338</v>
      </c>
      <c r="Y16" s="150">
        <v>3.6162237801518275E-2</v>
      </c>
      <c r="Z16" s="152">
        <v>0.16043469494590731</v>
      </c>
      <c r="AA16" s="153">
        <v>4.1047456435437411E-2</v>
      </c>
      <c r="AB16" s="152">
        <v>0.23330144343047171</v>
      </c>
      <c r="AC16" s="155">
        <v>3.0135375873945665E-2</v>
      </c>
      <c r="AD16" s="149">
        <v>3.6427456679078013E-2</v>
      </c>
      <c r="AE16" s="156">
        <v>4.8932329643396451E-2</v>
      </c>
    </row>
    <row r="17" spans="1:31" s="105" customFormat="1" x14ac:dyDescent="0.25">
      <c r="A17" s="94" t="s">
        <v>213</v>
      </c>
      <c r="B17" s="132">
        <v>214</v>
      </c>
      <c r="C17" s="165">
        <v>42.031093597412109</v>
      </c>
      <c r="D17" s="149">
        <v>-0.1027170977046888</v>
      </c>
      <c r="E17" s="150">
        <v>2.4666273242341483E-2</v>
      </c>
      <c r="F17" s="151">
        <v>-1.1963999999999999</v>
      </c>
      <c r="G17" s="150">
        <v>0.22803265994150926</v>
      </c>
      <c r="H17" s="152">
        <v>-0.12</v>
      </c>
      <c r="I17" s="153" t="s">
        <v>35</v>
      </c>
      <c r="J17" s="149">
        <v>1.468</v>
      </c>
      <c r="K17" s="154" t="s">
        <v>35</v>
      </c>
      <c r="L17" s="149">
        <v>2.6643999999999997</v>
      </c>
      <c r="M17" s="154">
        <v>0.22803265994150929</v>
      </c>
      <c r="N17" s="151">
        <v>-0.25982900214190219</v>
      </c>
      <c r="O17" s="150">
        <v>3.8326405715333987E-2</v>
      </c>
      <c r="P17" s="152">
        <v>-0.18410643358275511</v>
      </c>
      <c r="Q17" s="153">
        <v>6.1266544098142729E-2</v>
      </c>
      <c r="R17" s="149">
        <v>1.5907781529139201E-2</v>
      </c>
      <c r="S17" s="150">
        <v>5.3938472310230336E-2</v>
      </c>
      <c r="T17" s="152">
        <v>1.1343244131760501E-2</v>
      </c>
      <c r="U17" s="153">
        <v>4.8326068760298477E-2</v>
      </c>
      <c r="V17" s="149">
        <v>0.27117224627366271</v>
      </c>
      <c r="W17" s="154">
        <v>6.1038970468572568E-2</v>
      </c>
      <c r="X17" s="151">
        <v>-8.5269550821119103E-2</v>
      </c>
      <c r="Y17" s="150">
        <v>2.491634602679409E-2</v>
      </c>
      <c r="Z17" s="152">
        <v>-0.16539924747988499</v>
      </c>
      <c r="AA17" s="153">
        <v>6.4966208672912279E-2</v>
      </c>
      <c r="AB17" s="152">
        <v>3.5943749999999997E-2</v>
      </c>
      <c r="AC17" s="155" t="s">
        <v>35</v>
      </c>
      <c r="AD17" s="149">
        <v>-3.7581571340456296E-2</v>
      </c>
      <c r="AE17" s="156">
        <v>6.9416747028642131E-2</v>
      </c>
    </row>
    <row r="18" spans="1:31" s="105" customFormat="1" x14ac:dyDescent="0.25">
      <c r="A18" s="94" t="s">
        <v>221</v>
      </c>
      <c r="B18" s="132">
        <v>154</v>
      </c>
      <c r="C18" s="165">
        <v>54.784141540527344</v>
      </c>
      <c r="D18" s="149">
        <v>-0.11532602846913299</v>
      </c>
      <c r="E18" s="150">
        <v>2.4973926364211838E-2</v>
      </c>
      <c r="F18" s="151">
        <v>-1.1963999999999999</v>
      </c>
      <c r="G18" s="150" t="s">
        <v>35</v>
      </c>
      <c r="H18" s="152">
        <v>-0.12</v>
      </c>
      <c r="I18" s="153" t="s">
        <v>35</v>
      </c>
      <c r="J18" s="149">
        <v>1.468</v>
      </c>
      <c r="K18" s="154" t="s">
        <v>35</v>
      </c>
      <c r="L18" s="149">
        <v>2.6643999999999997</v>
      </c>
      <c r="M18" s="154" t="s">
        <v>35</v>
      </c>
      <c r="N18" s="151">
        <v>-0.1219197528461641</v>
      </c>
      <c r="O18" s="150">
        <v>6.115310741981151E-2</v>
      </c>
      <c r="P18" s="152">
        <v>-0.12601971968073031</v>
      </c>
      <c r="Q18" s="153">
        <v>5.490023644705045E-2</v>
      </c>
      <c r="R18" s="149">
        <v>-0.14380770571934121</v>
      </c>
      <c r="S18" s="150">
        <v>6.6661366019832496E-2</v>
      </c>
      <c r="T18" s="152">
        <v>-6.9420117747163501E-2</v>
      </c>
      <c r="U18" s="153">
        <v>3.6106951834644796E-2</v>
      </c>
      <c r="V18" s="149">
        <v>5.2499635099000602E-2</v>
      </c>
      <c r="W18" s="154">
        <v>7.1011856603420007E-2</v>
      </c>
      <c r="X18" s="151">
        <v>-0.15266939454355061</v>
      </c>
      <c r="Y18" s="150">
        <v>3.7617852859060261E-2</v>
      </c>
      <c r="Z18" s="152">
        <v>-8.8527783820682604E-2</v>
      </c>
      <c r="AA18" s="153">
        <v>3.8694367364306037E-2</v>
      </c>
      <c r="AB18" s="152">
        <v>8.7558959569365002E-3</v>
      </c>
      <c r="AC18" s="155">
        <v>7.5590768245496764E-2</v>
      </c>
      <c r="AD18" s="149">
        <v>7.857013471648501E-2</v>
      </c>
      <c r="AE18" s="156">
        <v>5.2521729111798164E-2</v>
      </c>
    </row>
    <row r="19" spans="1:31" s="105" customFormat="1" x14ac:dyDescent="0.25">
      <c r="A19" s="94" t="s">
        <v>301</v>
      </c>
      <c r="B19" s="132">
        <v>233</v>
      </c>
      <c r="C19" s="165">
        <v>50.530548095703125</v>
      </c>
      <c r="D19" s="149">
        <v>-0.16527181335070201</v>
      </c>
      <c r="E19" s="150">
        <v>2.8478626617245508E-2</v>
      </c>
      <c r="F19" s="151">
        <v>-1.9161999999999999</v>
      </c>
      <c r="G19" s="150" t="s">
        <v>35</v>
      </c>
      <c r="H19" s="152">
        <v>-0.12</v>
      </c>
      <c r="I19" s="153" t="s">
        <v>35</v>
      </c>
      <c r="J19" s="149">
        <v>1.468</v>
      </c>
      <c r="K19" s="154" t="s">
        <v>35</v>
      </c>
      <c r="L19" s="149">
        <v>3.3841999999999999</v>
      </c>
      <c r="M19" s="154" t="s">
        <v>35</v>
      </c>
      <c r="N19" s="151">
        <v>-0.10334838444604071</v>
      </c>
      <c r="O19" s="150">
        <v>4.4881996845574416E-2</v>
      </c>
      <c r="P19" s="152">
        <v>-0.18037183849277519</v>
      </c>
      <c r="Q19" s="153">
        <v>5.2594863109151256E-2</v>
      </c>
      <c r="R19" s="149">
        <v>-0.23995015209713469</v>
      </c>
      <c r="S19" s="150">
        <v>5.3147812391106691E-2</v>
      </c>
      <c r="T19" s="152">
        <v>-0.13723932656632171</v>
      </c>
      <c r="U19" s="153">
        <v>5.6595499517769821E-2</v>
      </c>
      <c r="V19" s="149">
        <v>-3.3890942120281098E-2</v>
      </c>
      <c r="W19" s="154">
        <v>5.6071355328614368E-2</v>
      </c>
      <c r="X19" s="151">
        <v>-0.16406347321028469</v>
      </c>
      <c r="Y19" s="150">
        <v>2.4839450008024715E-2</v>
      </c>
      <c r="Z19" s="152">
        <v>-0.32065037334905411</v>
      </c>
      <c r="AA19" s="153">
        <v>0.11340465127655917</v>
      </c>
      <c r="AB19" s="152">
        <v>-8.3283885523290899E-2</v>
      </c>
      <c r="AC19" s="155">
        <v>0.26121798130279089</v>
      </c>
      <c r="AD19" s="149">
        <v>-3.2026640345560298E-2</v>
      </c>
      <c r="AE19" s="156">
        <v>0.14868513108361336</v>
      </c>
    </row>
    <row r="20" spans="1:31" s="105" customFormat="1" x14ac:dyDescent="0.25">
      <c r="A20" s="94" t="s">
        <v>231</v>
      </c>
      <c r="B20" s="132">
        <v>1074</v>
      </c>
      <c r="C20" s="165">
        <v>61.011661529541016</v>
      </c>
      <c r="D20" s="149">
        <v>-0.13642010916048419</v>
      </c>
      <c r="E20" s="150">
        <v>1.5941574222384586E-2</v>
      </c>
      <c r="F20" s="151">
        <v>-1.9161999999999999</v>
      </c>
      <c r="G20" s="150" t="s">
        <v>35</v>
      </c>
      <c r="H20" s="152">
        <v>-0.12</v>
      </c>
      <c r="I20" s="153" t="s">
        <v>35</v>
      </c>
      <c r="J20" s="149">
        <v>1.468</v>
      </c>
      <c r="K20" s="154" t="s">
        <v>35</v>
      </c>
      <c r="L20" s="149">
        <v>3.3841999999999999</v>
      </c>
      <c r="M20" s="154" t="s">
        <v>35</v>
      </c>
      <c r="N20" s="151">
        <v>-0.22079742919458689</v>
      </c>
      <c r="O20" s="150">
        <v>3.4866679336371713E-2</v>
      </c>
      <c r="P20" s="152">
        <v>-0.16285243518190079</v>
      </c>
      <c r="Q20" s="153">
        <v>3.7576022450112795E-2</v>
      </c>
      <c r="R20" s="149">
        <v>-0.13935187921521619</v>
      </c>
      <c r="S20" s="150">
        <v>3.050445324880896E-2</v>
      </c>
      <c r="T20" s="152">
        <v>-2.2656327724653098E-2</v>
      </c>
      <c r="U20" s="153">
        <v>2.7988631932184659E-2</v>
      </c>
      <c r="V20" s="149">
        <v>0.1981411014699338</v>
      </c>
      <c r="W20" s="154">
        <v>4.0258355468770587E-2</v>
      </c>
      <c r="X20" s="151">
        <v>-0.20271153163905789</v>
      </c>
      <c r="Y20" s="150">
        <v>1.8111072563266155E-2</v>
      </c>
      <c r="Z20" s="152">
        <v>-3.530547734976E-3</v>
      </c>
      <c r="AA20" s="153">
        <v>3.0435257861728397E-2</v>
      </c>
      <c r="AB20" s="152">
        <v>2.38181541681626E-2</v>
      </c>
      <c r="AC20" s="155">
        <v>4.6775350662466193E-2</v>
      </c>
      <c r="AD20" s="149">
        <v>0.204828683403665</v>
      </c>
      <c r="AE20" s="156">
        <v>2.9286495856191665E-2</v>
      </c>
    </row>
    <row r="21" spans="1:31" s="105" customFormat="1" x14ac:dyDescent="0.25">
      <c r="A21" s="118" t="s">
        <v>297</v>
      </c>
      <c r="B21" s="132">
        <v>97</v>
      </c>
      <c r="C21" s="165">
        <v>24.959377288818359</v>
      </c>
      <c r="D21" s="149">
        <v>0.2322720022595787</v>
      </c>
      <c r="E21" s="150">
        <v>4.1449837818276776E-2</v>
      </c>
      <c r="F21" s="151">
        <v>-1.1574</v>
      </c>
      <c r="G21" s="150">
        <v>1.9394999355504004E-2</v>
      </c>
      <c r="H21" s="152">
        <v>0.46600000000000003</v>
      </c>
      <c r="I21" s="153">
        <v>3.5733737559902616E-3</v>
      </c>
      <c r="J21" s="149">
        <v>1.468</v>
      </c>
      <c r="K21" s="154" t="s">
        <v>35</v>
      </c>
      <c r="L21" s="149">
        <v>2.6254</v>
      </c>
      <c r="M21" s="154">
        <v>1.9394999355503935E-2</v>
      </c>
      <c r="N21" s="151">
        <v>7.4802631362158506E-2</v>
      </c>
      <c r="O21" s="150">
        <v>0.11000741258441378</v>
      </c>
      <c r="P21" s="152">
        <v>0.22491178496635231</v>
      </c>
      <c r="Q21" s="153">
        <v>8.215188580601189E-2</v>
      </c>
      <c r="R21" s="149">
        <v>0.27806875856436092</v>
      </c>
      <c r="S21" s="150">
        <v>6.9197279046696356E-2</v>
      </c>
      <c r="T21" s="152">
        <v>0.35144283361656897</v>
      </c>
      <c r="U21" s="153">
        <v>8.5892817316999631E-2</v>
      </c>
      <c r="V21" s="149">
        <v>0.27664020225441049</v>
      </c>
      <c r="W21" s="154">
        <v>0.13754206070949104</v>
      </c>
      <c r="X21" s="151">
        <v>0.21783021328579119</v>
      </c>
      <c r="Y21" s="150">
        <v>4.2415498976600303E-2</v>
      </c>
      <c r="Z21" s="152" t="s">
        <v>34</v>
      </c>
      <c r="AA21" s="153" t="s">
        <v>34</v>
      </c>
      <c r="AB21" s="152">
        <v>0.34997816481684879</v>
      </c>
      <c r="AC21" s="155">
        <v>2.922971877246089E-3</v>
      </c>
      <c r="AD21" s="149">
        <v>0.1321479515310576</v>
      </c>
      <c r="AE21" s="156">
        <v>4.2522926025589221E-2</v>
      </c>
    </row>
    <row r="22" spans="1:31" s="105" customFormat="1" x14ac:dyDescent="0.25">
      <c r="A22" s="94" t="s">
        <v>302</v>
      </c>
      <c r="B22" s="132">
        <v>157</v>
      </c>
      <c r="C22" s="165">
        <v>49.007675170898438</v>
      </c>
      <c r="D22" s="149">
        <v>0.14760732694113821</v>
      </c>
      <c r="E22" s="150">
        <v>2.7586938236568961E-2</v>
      </c>
      <c r="F22" s="151">
        <v>-1.1574</v>
      </c>
      <c r="G22" s="150">
        <v>1.1886462888513192E-2</v>
      </c>
      <c r="H22" s="152">
        <v>-0.12</v>
      </c>
      <c r="I22" s="153">
        <v>1.5242178322011586E-2</v>
      </c>
      <c r="J22" s="149">
        <v>1.468</v>
      </c>
      <c r="K22" s="154" t="s">
        <v>35</v>
      </c>
      <c r="L22" s="149">
        <v>2.6254</v>
      </c>
      <c r="M22" s="154">
        <v>1.1886462888513192E-2</v>
      </c>
      <c r="N22" s="151">
        <v>6.05859961739144E-2</v>
      </c>
      <c r="O22" s="150">
        <v>6.0619090184514134E-2</v>
      </c>
      <c r="P22" s="152">
        <v>0.22641173007893961</v>
      </c>
      <c r="Q22" s="153">
        <v>6.4465272263845005E-2</v>
      </c>
      <c r="R22" s="149">
        <v>0.17651412902892399</v>
      </c>
      <c r="S22" s="150">
        <v>4.5472844583143657E-2</v>
      </c>
      <c r="T22" s="152">
        <v>0.1267844837215639</v>
      </c>
      <c r="U22" s="153">
        <v>4.9315430064907441E-2</v>
      </c>
      <c r="V22" s="149">
        <v>6.6198487547649495E-2</v>
      </c>
      <c r="W22" s="154">
        <v>8.1795881733404088E-2</v>
      </c>
      <c r="X22" s="151">
        <v>0.16427330440345739</v>
      </c>
      <c r="Y22" s="150">
        <v>2.8543665903681754E-2</v>
      </c>
      <c r="Z22" s="152">
        <v>-0.32494324449438883</v>
      </c>
      <c r="AA22" s="153">
        <v>4.906499652840441E-2</v>
      </c>
      <c r="AB22" s="152">
        <v>-9.7661984347027206E-2</v>
      </c>
      <c r="AC22" s="155">
        <v>0.11279605673759287</v>
      </c>
      <c r="AD22" s="149">
        <v>-0.27768940162597489</v>
      </c>
      <c r="AE22" s="156">
        <v>0.1121828487392281</v>
      </c>
    </row>
    <row r="23" spans="1:31" s="105" customFormat="1" x14ac:dyDescent="0.25">
      <c r="A23" s="94" t="s">
        <v>236</v>
      </c>
      <c r="B23" s="132" t="s">
        <v>34</v>
      </c>
      <c r="C23" s="165" t="s">
        <v>34</v>
      </c>
      <c r="D23" s="149">
        <v>2.0391958994638998E-3</v>
      </c>
      <c r="E23" s="150">
        <v>1.0486395862983101E-2</v>
      </c>
      <c r="F23" s="151">
        <v>-1.387</v>
      </c>
      <c r="G23" s="150">
        <v>3.2798538000039797E-2</v>
      </c>
      <c r="H23" s="152">
        <v>-3.6285714285714303E-2</v>
      </c>
      <c r="I23" s="153">
        <v>2.2364923529526E-3</v>
      </c>
      <c r="J23" s="149">
        <v>1.468</v>
      </c>
      <c r="K23" s="154" t="s">
        <v>35</v>
      </c>
      <c r="L23" s="149">
        <v>2.855</v>
      </c>
      <c r="M23" s="154">
        <v>3.2798538000039797E-2</v>
      </c>
      <c r="N23" s="151">
        <v>-5.9287591196080999E-2</v>
      </c>
      <c r="O23" s="150">
        <v>2.3516855900730299E-2</v>
      </c>
      <c r="P23" s="152">
        <v>-1.9756314835640301E-2</v>
      </c>
      <c r="Q23" s="153">
        <v>2.3064972177798501E-2</v>
      </c>
      <c r="R23" s="149">
        <v>1.9778300068329601E-2</v>
      </c>
      <c r="S23" s="150">
        <v>2.1155601521067199E-2</v>
      </c>
      <c r="T23" s="152">
        <v>6.6628251473586003E-2</v>
      </c>
      <c r="U23" s="153">
        <v>2.00412481083404E-2</v>
      </c>
      <c r="V23" s="149">
        <v>0.1259158426696671</v>
      </c>
      <c r="W23" s="154">
        <v>2.9872732555294001E-2</v>
      </c>
      <c r="X23" s="151">
        <v>-1.182475696719E-2</v>
      </c>
      <c r="Y23" s="150">
        <v>1.18687199883683E-2</v>
      </c>
      <c r="Z23" s="152">
        <v>-0.1237694169888465</v>
      </c>
      <c r="AA23" s="153">
        <v>2.5602218582610001E-2</v>
      </c>
      <c r="AB23" s="152">
        <v>6.7264505500300206E-2</v>
      </c>
      <c r="AC23" s="155">
        <v>4.2803863091744498E-2</v>
      </c>
      <c r="AD23" s="149">
        <v>1.49538018597563E-2</v>
      </c>
      <c r="AE23" s="156">
        <v>3.1079144313230101E-2</v>
      </c>
    </row>
    <row r="24" spans="1:31" s="105" customFormat="1" x14ac:dyDescent="0.25">
      <c r="A24" s="180" t="s">
        <v>279</v>
      </c>
      <c r="B24" s="132"/>
      <c r="C24" s="165"/>
      <c r="D24" s="149"/>
      <c r="E24" s="150"/>
      <c r="F24" s="151"/>
      <c r="G24" s="150"/>
      <c r="H24" s="152"/>
      <c r="I24" s="153"/>
      <c r="J24" s="149"/>
      <c r="K24" s="154"/>
      <c r="L24" s="149"/>
      <c r="M24" s="154"/>
      <c r="N24" s="151"/>
      <c r="O24" s="150"/>
      <c r="P24" s="152"/>
      <c r="Q24" s="153"/>
      <c r="R24" s="149"/>
      <c r="S24" s="150"/>
      <c r="T24" s="152"/>
      <c r="U24" s="153"/>
      <c r="V24" s="149"/>
      <c r="W24" s="154"/>
      <c r="X24" s="151"/>
      <c r="Y24" s="150"/>
      <c r="Z24" s="152"/>
      <c r="AA24" s="153"/>
      <c r="AB24" s="152"/>
      <c r="AC24" s="155"/>
      <c r="AD24" s="149"/>
      <c r="AE24" s="156"/>
    </row>
    <row r="25" spans="1:31" s="105" customFormat="1" x14ac:dyDescent="0.25">
      <c r="A25" s="94" t="s">
        <v>237</v>
      </c>
      <c r="B25" s="132">
        <v>0</v>
      </c>
      <c r="C25" s="165">
        <v>0</v>
      </c>
      <c r="D25" s="149" t="s">
        <v>34</v>
      </c>
      <c r="E25" s="150" t="s">
        <v>34</v>
      </c>
      <c r="F25" s="151" t="s">
        <v>34</v>
      </c>
      <c r="G25" s="150" t="s">
        <v>34</v>
      </c>
      <c r="H25" s="152" t="s">
        <v>34</v>
      </c>
      <c r="I25" s="153" t="s">
        <v>34</v>
      </c>
      <c r="J25" s="149" t="s">
        <v>34</v>
      </c>
      <c r="K25" s="154" t="s">
        <v>34</v>
      </c>
      <c r="L25" s="149" t="s">
        <v>34</v>
      </c>
      <c r="M25" s="154" t="s">
        <v>34</v>
      </c>
      <c r="N25" s="151" t="s">
        <v>34</v>
      </c>
      <c r="O25" s="150" t="s">
        <v>34</v>
      </c>
      <c r="P25" s="152" t="s">
        <v>34</v>
      </c>
      <c r="Q25" s="153" t="s">
        <v>34</v>
      </c>
      <c r="R25" s="149" t="s">
        <v>34</v>
      </c>
      <c r="S25" s="150" t="s">
        <v>34</v>
      </c>
      <c r="T25" s="152" t="s">
        <v>34</v>
      </c>
      <c r="U25" s="153" t="s">
        <v>34</v>
      </c>
      <c r="V25" s="149" t="s">
        <v>34</v>
      </c>
      <c r="W25" s="154" t="s">
        <v>34</v>
      </c>
      <c r="X25" s="151" t="s">
        <v>34</v>
      </c>
      <c r="Y25" s="150" t="s">
        <v>34</v>
      </c>
      <c r="Z25" s="152" t="s">
        <v>34</v>
      </c>
      <c r="AA25" s="153" t="s">
        <v>34</v>
      </c>
      <c r="AB25" s="152" t="s">
        <v>34</v>
      </c>
      <c r="AC25" s="155" t="s">
        <v>34</v>
      </c>
      <c r="AD25" s="149" t="s">
        <v>34</v>
      </c>
      <c r="AE25" s="156" t="s">
        <v>34</v>
      </c>
    </row>
    <row r="26" spans="1:31" s="105" customFormat="1" x14ac:dyDescent="0.25">
      <c r="A26" s="94" t="s">
        <v>239</v>
      </c>
      <c r="B26" s="132">
        <v>152</v>
      </c>
      <c r="C26" s="165">
        <v>30.421419143676758</v>
      </c>
      <c r="D26" s="149">
        <v>0.9163238402594025</v>
      </c>
      <c r="E26" s="150">
        <v>2.9708386841513629E-2</v>
      </c>
      <c r="F26" s="151">
        <v>-0.74009999999999998</v>
      </c>
      <c r="G26" s="150">
        <v>2.0231559504892357E-2</v>
      </c>
      <c r="H26" s="152">
        <v>1.468</v>
      </c>
      <c r="I26" s="153" t="s">
        <v>35</v>
      </c>
      <c r="J26" s="149">
        <v>1.468</v>
      </c>
      <c r="K26" s="154" t="s">
        <v>35</v>
      </c>
      <c r="L26" s="149">
        <v>2.2081</v>
      </c>
      <c r="M26" s="154">
        <v>2.0231559504892398E-2</v>
      </c>
      <c r="N26" s="151">
        <v>0.96256046161609488</v>
      </c>
      <c r="O26" s="150">
        <v>5.0448322186747718E-2</v>
      </c>
      <c r="P26" s="152">
        <v>0.95550991003545704</v>
      </c>
      <c r="Q26" s="153">
        <v>7.9213787535570984E-2</v>
      </c>
      <c r="R26" s="149">
        <v>0.94367177080253528</v>
      </c>
      <c r="S26" s="150">
        <v>9.3020870235509354E-2</v>
      </c>
      <c r="T26" s="152">
        <v>0.80341192262774219</v>
      </c>
      <c r="U26" s="153">
        <v>7.712918376206826E-2</v>
      </c>
      <c r="V26" s="149">
        <v>-0.15914853898835271</v>
      </c>
      <c r="W26" s="154">
        <v>9.1112408972142789E-2</v>
      </c>
      <c r="X26" s="151">
        <v>0.91615213724402667</v>
      </c>
      <c r="Y26" s="150">
        <v>2.987475953138934E-2</v>
      </c>
      <c r="Z26" s="152" t="s">
        <v>34</v>
      </c>
      <c r="AA26" s="153" t="s">
        <v>34</v>
      </c>
      <c r="AB26" s="152">
        <v>0.94978411590462597</v>
      </c>
      <c r="AC26" s="155">
        <v>3.2135655935557873E-2</v>
      </c>
      <c r="AD26" s="149">
        <v>3.3631978660599304E-2</v>
      </c>
      <c r="AE26" s="156">
        <v>4.3983985935363894E-2</v>
      </c>
    </row>
    <row r="27" spans="1:31" s="105" customFormat="1" x14ac:dyDescent="0.25">
      <c r="A27" s="94" t="s">
        <v>242</v>
      </c>
      <c r="B27" s="132">
        <v>433</v>
      </c>
      <c r="C27" s="165">
        <v>54.127220153808594</v>
      </c>
      <c r="D27" s="149">
        <v>3.2180141947518802E-2</v>
      </c>
      <c r="E27" s="150">
        <v>2.5146069836329384E-2</v>
      </c>
      <c r="F27" s="151">
        <v>-1.9161999999999999</v>
      </c>
      <c r="G27" s="150">
        <v>0.2299595366580825</v>
      </c>
      <c r="H27" s="152">
        <v>-0.12</v>
      </c>
      <c r="I27" s="153">
        <v>9.3338898643598733E-3</v>
      </c>
      <c r="J27" s="149">
        <v>1.468</v>
      </c>
      <c r="K27" s="154" t="s">
        <v>35</v>
      </c>
      <c r="L27" s="149">
        <v>3.3841999999999999</v>
      </c>
      <c r="M27" s="154">
        <v>0.22995953665808261</v>
      </c>
      <c r="N27" s="151">
        <v>6.4991090317521705E-2</v>
      </c>
      <c r="O27" s="150">
        <v>4.4627442387484818E-2</v>
      </c>
      <c r="P27" s="152">
        <v>2.57787261978677E-2</v>
      </c>
      <c r="Q27" s="153">
        <v>6.4050048177831401E-2</v>
      </c>
      <c r="R27" s="149">
        <v>-6.0351635433123899E-2</v>
      </c>
      <c r="S27" s="150">
        <v>4.9038330484480822E-2</v>
      </c>
      <c r="T27" s="152">
        <v>9.8215341830860795E-2</v>
      </c>
      <c r="U27" s="153">
        <v>5.9671824111931733E-2</v>
      </c>
      <c r="V27" s="149">
        <v>3.3224251513339E-2</v>
      </c>
      <c r="W27" s="154">
        <v>7.0026702938739555E-2</v>
      </c>
      <c r="X27" s="151">
        <v>-1.08502266400983E-2</v>
      </c>
      <c r="Y27" s="150">
        <v>2.9093677025022559E-2</v>
      </c>
      <c r="Z27" s="152" t="s">
        <v>34</v>
      </c>
      <c r="AA27" s="153" t="s">
        <v>34</v>
      </c>
      <c r="AB27" s="152">
        <v>0.21614599121933631</v>
      </c>
      <c r="AC27" s="155">
        <v>4.9682946336982628E-2</v>
      </c>
      <c r="AD27" s="149">
        <v>0.22699621785943461</v>
      </c>
      <c r="AE27" s="156">
        <v>5.8130764934749696E-2</v>
      </c>
    </row>
    <row r="28" spans="1:31" s="105" customFormat="1" x14ac:dyDescent="0.25">
      <c r="A28" s="94" t="s">
        <v>249</v>
      </c>
      <c r="B28" s="132">
        <v>220</v>
      </c>
      <c r="C28" s="165">
        <v>71.403572082519531</v>
      </c>
      <c r="D28" s="149">
        <v>0.60631140339210676</v>
      </c>
      <c r="E28" s="150">
        <v>2.6986830523090966E-2</v>
      </c>
      <c r="F28" s="151">
        <v>-0.72829999999999995</v>
      </c>
      <c r="G28" s="150">
        <v>6.7119296778199505E-3</v>
      </c>
      <c r="H28" s="152">
        <v>0.87819999999999998</v>
      </c>
      <c r="I28" s="153" t="s">
        <v>35</v>
      </c>
      <c r="J28" s="149">
        <v>1.468</v>
      </c>
      <c r="K28" s="154" t="s">
        <v>35</v>
      </c>
      <c r="L28" s="149">
        <v>2.1962999999999999</v>
      </c>
      <c r="M28" s="154">
        <v>6.7119296778199505E-3</v>
      </c>
      <c r="N28" s="151">
        <v>0.67722765341604496</v>
      </c>
      <c r="O28" s="150">
        <v>5.2262471106779215E-2</v>
      </c>
      <c r="P28" s="152">
        <v>0.61235268972262491</v>
      </c>
      <c r="Q28" s="153">
        <v>5.1630885633447476E-2</v>
      </c>
      <c r="R28" s="149">
        <v>0.64164292653495736</v>
      </c>
      <c r="S28" s="150">
        <v>6.5614270293255006E-2</v>
      </c>
      <c r="T28" s="152">
        <v>0.49378515462178152</v>
      </c>
      <c r="U28" s="153">
        <v>6.1703410163915166E-2</v>
      </c>
      <c r="V28" s="149">
        <v>-0.1834424987942635</v>
      </c>
      <c r="W28" s="154">
        <v>8.0011266662667196E-2</v>
      </c>
      <c r="X28" s="151">
        <v>0.62590989103849304</v>
      </c>
      <c r="Y28" s="150">
        <v>2.7799288747571926E-2</v>
      </c>
      <c r="Z28" s="152">
        <v>0.58119184121009726</v>
      </c>
      <c r="AA28" s="153">
        <v>0.22927696333344913</v>
      </c>
      <c r="AB28" s="152">
        <v>0.4097218346347441</v>
      </c>
      <c r="AC28" s="155">
        <v>0.1143815117485823</v>
      </c>
      <c r="AD28" s="149">
        <v>-0.18504462358272705</v>
      </c>
      <c r="AE28" s="156">
        <v>0.1061244739292114</v>
      </c>
    </row>
    <row r="29" spans="1:31" s="105" customFormat="1" x14ac:dyDescent="0.25">
      <c r="A29" s="94" t="s">
        <v>303</v>
      </c>
      <c r="B29" s="132">
        <v>146</v>
      </c>
      <c r="C29" s="165">
        <v>51.231998443603516</v>
      </c>
      <c r="D29" s="149">
        <v>-8.90561537959947E-2</v>
      </c>
      <c r="E29" s="150">
        <v>2.2499493638472746E-2</v>
      </c>
      <c r="F29" s="151">
        <v>-1.9161999999999999</v>
      </c>
      <c r="G29" s="150" t="s">
        <v>35</v>
      </c>
      <c r="H29" s="152">
        <v>-0.12</v>
      </c>
      <c r="I29" s="153" t="s">
        <v>35</v>
      </c>
      <c r="J29" s="149">
        <v>1.468</v>
      </c>
      <c r="K29" s="154" t="s">
        <v>35</v>
      </c>
      <c r="L29" s="149">
        <v>3.3841999999999999</v>
      </c>
      <c r="M29" s="154" t="s">
        <v>35</v>
      </c>
      <c r="N29" s="151">
        <v>-5.4826928713123897E-2</v>
      </c>
      <c r="O29" s="150">
        <v>5.045565880741458E-2</v>
      </c>
      <c r="P29" s="152">
        <v>-3.1629408526759703E-2</v>
      </c>
      <c r="Q29" s="153">
        <v>5.3717486859492333E-2</v>
      </c>
      <c r="R29" s="149">
        <v>-0.1619167552087501</v>
      </c>
      <c r="S29" s="150">
        <v>4.9250677069999353E-2</v>
      </c>
      <c r="T29" s="152">
        <v>-0.10796761995897131</v>
      </c>
      <c r="U29" s="153">
        <v>6.0010104160780425E-2</v>
      </c>
      <c r="V29" s="149">
        <v>-5.3140691245847298E-2</v>
      </c>
      <c r="W29" s="154">
        <v>7.761969056214571E-2</v>
      </c>
      <c r="X29" s="151">
        <v>-7.8848412558334496E-2</v>
      </c>
      <c r="Y29" s="150">
        <v>0.13416680979866427</v>
      </c>
      <c r="Z29" s="152">
        <v>-9.1052620518406194E-2</v>
      </c>
      <c r="AA29" s="153">
        <v>2.5767691369646101E-2</v>
      </c>
      <c r="AB29" s="152">
        <v>0.27701252466481069</v>
      </c>
      <c r="AC29" s="155">
        <v>0.18471393995816063</v>
      </c>
      <c r="AD29" s="149">
        <v>-1.2873516658160056E-4</v>
      </c>
      <c r="AE29" s="156">
        <v>0.14133827183271455</v>
      </c>
    </row>
    <row r="30" spans="1:31" s="105" customFormat="1" x14ac:dyDescent="0.25">
      <c r="A30" s="94" t="s">
        <v>256</v>
      </c>
      <c r="B30" s="132">
        <v>45</v>
      </c>
      <c r="C30" s="165">
        <v>58.591381072998047</v>
      </c>
      <c r="D30" s="149">
        <v>-2.1926510378378498E-2</v>
      </c>
      <c r="E30" s="150">
        <v>1.2791351134730682E-4</v>
      </c>
      <c r="F30" s="151">
        <v>-1.169</v>
      </c>
      <c r="G30" s="150" t="s">
        <v>35</v>
      </c>
      <c r="H30" s="152">
        <v>-0.12</v>
      </c>
      <c r="I30" s="153" t="s">
        <v>35</v>
      </c>
      <c r="J30" s="149">
        <v>1.468</v>
      </c>
      <c r="K30" s="154" t="s">
        <v>35</v>
      </c>
      <c r="L30" s="149">
        <v>2.637</v>
      </c>
      <c r="M30" s="154" t="s">
        <v>35</v>
      </c>
      <c r="N30" s="151">
        <v>-1.3645819085998E-2</v>
      </c>
      <c r="O30" s="150">
        <v>4.3482698507410827E-3</v>
      </c>
      <c r="P30" s="152">
        <v>-5.5663134683732997E-2</v>
      </c>
      <c r="Q30" s="153">
        <v>4.8295219897548135E-3</v>
      </c>
      <c r="R30" s="149">
        <v>-3.1239262655034902E-2</v>
      </c>
      <c r="S30" s="150">
        <v>1.7171292233091526E-3</v>
      </c>
      <c r="T30" s="152">
        <v>1.2954633393941199E-2</v>
      </c>
      <c r="U30" s="153">
        <v>1.8274421886265845E-4</v>
      </c>
      <c r="V30" s="149">
        <v>2.66004524799392E-2</v>
      </c>
      <c r="W30" s="154">
        <v>4.3945311392175864E-3</v>
      </c>
      <c r="X30" s="151">
        <v>5.6926714356138001E-3</v>
      </c>
      <c r="Y30" s="150">
        <v>2.5671198929827582E-5</v>
      </c>
      <c r="Z30" s="152">
        <v>-2.75165788427413E-2</v>
      </c>
      <c r="AA30" s="153">
        <v>1.5133308255612445E-4</v>
      </c>
      <c r="AB30" s="152">
        <v>1.7420052051925702E-2</v>
      </c>
      <c r="AC30" s="155">
        <v>3.1734338176261717E-4</v>
      </c>
      <c r="AD30" s="149">
        <v>-2.91063545092482E-2</v>
      </c>
      <c r="AE30" s="156">
        <v>1.4077822668116121E-4</v>
      </c>
    </row>
    <row r="31" spans="1:31" s="105" customFormat="1" x14ac:dyDescent="0.25">
      <c r="A31" s="94" t="s">
        <v>257</v>
      </c>
      <c r="B31" s="134">
        <v>191</v>
      </c>
      <c r="C31" s="166">
        <v>59.272621154785156</v>
      </c>
      <c r="D31" s="149">
        <v>0.61686804944472229</v>
      </c>
      <c r="E31" s="150">
        <v>1.6757433600777565E-2</v>
      </c>
      <c r="F31" s="151">
        <v>-0.12</v>
      </c>
      <c r="G31" s="150">
        <v>1.2723226791973805E-2</v>
      </c>
      <c r="H31" s="152">
        <v>0.87819999999999998</v>
      </c>
      <c r="I31" s="153">
        <v>8.5205633616563248E-3</v>
      </c>
      <c r="J31" s="149">
        <v>1.468</v>
      </c>
      <c r="K31" s="154" t="s">
        <v>35</v>
      </c>
      <c r="L31" s="149">
        <v>1.5880000000000001</v>
      </c>
      <c r="M31" s="154">
        <v>1.2723226791973793E-2</v>
      </c>
      <c r="N31" s="151">
        <v>0.61947851947528931</v>
      </c>
      <c r="O31" s="150">
        <v>3.9476206146759507E-2</v>
      </c>
      <c r="P31" s="152">
        <v>0.70022472236372835</v>
      </c>
      <c r="Q31" s="153">
        <v>3.7348107462123421E-2</v>
      </c>
      <c r="R31" s="149">
        <v>0.59206891027199582</v>
      </c>
      <c r="S31" s="150">
        <v>4.5971323073654209E-2</v>
      </c>
      <c r="T31" s="152">
        <v>0.55570896520412427</v>
      </c>
      <c r="U31" s="153">
        <v>3.6375501393826858E-2</v>
      </c>
      <c r="V31" s="149">
        <v>-6.3769554271164999E-2</v>
      </c>
      <c r="W31" s="154">
        <v>5.9894929803685583E-2</v>
      </c>
      <c r="X31" s="151">
        <v>0.64472671877923338</v>
      </c>
      <c r="Y31" s="150">
        <v>1.7059309189027809E-2</v>
      </c>
      <c r="Z31" s="152">
        <v>0.48481875000000002</v>
      </c>
      <c r="AA31" s="153" t="s">
        <v>35</v>
      </c>
      <c r="AB31" s="152">
        <v>0.15914920162824431</v>
      </c>
      <c r="AC31" s="155">
        <v>7.4122744554051642E-2</v>
      </c>
      <c r="AD31" s="149">
        <v>-0.45718478898313264</v>
      </c>
      <c r="AE31" s="156">
        <v>7.4592898154847972E-2</v>
      </c>
    </row>
    <row r="32" spans="1:31" s="105" customFormat="1" x14ac:dyDescent="0.25">
      <c r="A32" s="94" t="s">
        <v>261</v>
      </c>
      <c r="B32" s="134">
        <v>177</v>
      </c>
      <c r="C32" s="166">
        <v>64.346061706542969</v>
      </c>
      <c r="D32" s="149">
        <v>0.77161070070981186</v>
      </c>
      <c r="E32" s="150">
        <v>2.0454480041897271E-2</v>
      </c>
      <c r="F32" s="151">
        <v>-0.15290000000000001</v>
      </c>
      <c r="G32" s="150">
        <v>3.3737375416591026E-2</v>
      </c>
      <c r="H32" s="152">
        <v>0.91559999999999997</v>
      </c>
      <c r="I32" s="153">
        <v>1.0224676033987572E-2</v>
      </c>
      <c r="J32" s="149">
        <v>1.468</v>
      </c>
      <c r="K32" s="154" t="s">
        <v>35</v>
      </c>
      <c r="L32" s="149">
        <v>1.6209</v>
      </c>
      <c r="M32" s="154">
        <v>3.3737375416591019E-2</v>
      </c>
      <c r="N32" s="151">
        <v>0.75972154360658162</v>
      </c>
      <c r="O32" s="150">
        <v>4.4074153999536209E-2</v>
      </c>
      <c r="P32" s="152">
        <v>0.7354919070141186</v>
      </c>
      <c r="Q32" s="153">
        <v>4.2789431928473613E-2</v>
      </c>
      <c r="R32" s="149">
        <v>0.79696391595916904</v>
      </c>
      <c r="S32" s="150">
        <v>5.0545017330592558E-2</v>
      </c>
      <c r="T32" s="152">
        <v>0.79427699759806536</v>
      </c>
      <c r="U32" s="153">
        <v>5.6950380038017709E-2</v>
      </c>
      <c r="V32" s="149">
        <v>3.4555453991483701E-2</v>
      </c>
      <c r="W32" s="154">
        <v>7.0939935638876878E-2</v>
      </c>
      <c r="X32" s="151">
        <v>0.75920282874435052</v>
      </c>
      <c r="Y32" s="150">
        <v>2.1504638387629588E-2</v>
      </c>
      <c r="Z32" s="152">
        <v>1.380138461538462</v>
      </c>
      <c r="AA32" s="153" t="s">
        <v>35</v>
      </c>
      <c r="AB32" s="152">
        <v>0.96071224892378793</v>
      </c>
      <c r="AC32" s="155">
        <v>9.6843903502022571E-2</v>
      </c>
      <c r="AD32" s="149">
        <v>0.24848336132547344</v>
      </c>
      <c r="AE32" s="156">
        <v>0.10029654832207122</v>
      </c>
    </row>
    <row r="33" spans="1:31" s="105" customFormat="1" x14ac:dyDescent="0.25">
      <c r="A33" s="94" t="s">
        <v>263</v>
      </c>
      <c r="B33" s="132">
        <v>151</v>
      </c>
      <c r="C33" s="165">
        <v>49.466361999511719</v>
      </c>
      <c r="D33" s="149">
        <v>0.75615579871828353</v>
      </c>
      <c r="E33" s="150">
        <v>1.4535201224272917E-2</v>
      </c>
      <c r="F33" s="151">
        <v>-0.12</v>
      </c>
      <c r="G33" s="150" t="s">
        <v>35</v>
      </c>
      <c r="H33" s="152">
        <v>0.88919999999999999</v>
      </c>
      <c r="I33" s="153" t="s">
        <v>35</v>
      </c>
      <c r="J33" s="149">
        <v>1.468</v>
      </c>
      <c r="K33" s="154" t="s">
        <v>35</v>
      </c>
      <c r="L33" s="149">
        <v>1.5880000000000001</v>
      </c>
      <c r="M33" s="154" t="s">
        <v>35</v>
      </c>
      <c r="N33" s="151">
        <v>0.72758888419926604</v>
      </c>
      <c r="O33" s="150">
        <v>3.8163844879005406E-2</v>
      </c>
      <c r="P33" s="152">
        <v>0.78464842425789105</v>
      </c>
      <c r="Q33" s="153">
        <v>4.1863859153130845E-2</v>
      </c>
      <c r="R33" s="149">
        <v>0.74229734898390864</v>
      </c>
      <c r="S33" s="150">
        <v>2.5362146197416533E-2</v>
      </c>
      <c r="T33" s="152">
        <v>0.77022277609195944</v>
      </c>
      <c r="U33" s="153">
        <v>4.4198738079988358E-2</v>
      </c>
      <c r="V33" s="149">
        <v>4.2633891892693399E-2</v>
      </c>
      <c r="W33" s="154">
        <v>5.195420595746307E-2</v>
      </c>
      <c r="X33" s="151">
        <v>0.76225319928147572</v>
      </c>
      <c r="Y33" s="150">
        <v>1.311735822609243E-2</v>
      </c>
      <c r="Z33" s="152" t="s">
        <v>34</v>
      </c>
      <c r="AA33" s="153" t="s">
        <v>34</v>
      </c>
      <c r="AB33" s="152">
        <v>0.74988322647368788</v>
      </c>
      <c r="AC33" s="155">
        <v>5.6872208701834258E-2</v>
      </c>
      <c r="AD33" s="149">
        <v>-1.2369972807787843E-2</v>
      </c>
      <c r="AE33" s="156">
        <v>5.8195476602298783E-2</v>
      </c>
    </row>
    <row r="34" spans="1:31" s="105" customFormat="1" x14ac:dyDescent="0.25">
      <c r="A34" s="94" t="s">
        <v>264</v>
      </c>
      <c r="B34" s="132">
        <v>324</v>
      </c>
      <c r="C34" s="165">
        <v>70.237274169921875</v>
      </c>
      <c r="D34" s="149">
        <v>0.87397877865407003</v>
      </c>
      <c r="E34" s="150">
        <v>1.4803236416230851E-2</v>
      </c>
      <c r="F34" s="151">
        <v>-0.12</v>
      </c>
      <c r="G34" s="150" t="s">
        <v>35</v>
      </c>
      <c r="H34" s="152">
        <v>0.91559999999999997</v>
      </c>
      <c r="I34" s="153" t="s">
        <v>35</v>
      </c>
      <c r="J34" s="149">
        <v>1.468</v>
      </c>
      <c r="K34" s="154" t="s">
        <v>35</v>
      </c>
      <c r="L34" s="149">
        <v>1.5880000000000001</v>
      </c>
      <c r="M34" s="154" t="s">
        <v>35</v>
      </c>
      <c r="N34" s="151">
        <v>0.86210224760201637</v>
      </c>
      <c r="O34" s="150">
        <v>2.4962401446391794E-2</v>
      </c>
      <c r="P34" s="152">
        <v>0.8592296901650065</v>
      </c>
      <c r="Q34" s="153">
        <v>3.4131263531973204E-2</v>
      </c>
      <c r="R34" s="149">
        <v>0.86409622720801282</v>
      </c>
      <c r="S34" s="150">
        <v>3.3796098999631798E-2</v>
      </c>
      <c r="T34" s="152">
        <v>0.91052188862145977</v>
      </c>
      <c r="U34" s="153">
        <v>2.8179402498700528E-2</v>
      </c>
      <c r="V34" s="149">
        <v>4.8419641019443398E-2</v>
      </c>
      <c r="W34" s="154">
        <v>3.7892228170255615E-2</v>
      </c>
      <c r="X34" s="151">
        <v>0.87025820245507624</v>
      </c>
      <c r="Y34" s="150">
        <v>1.7145263636046914E-2</v>
      </c>
      <c r="Z34" s="152">
        <v>-1.1063444444444439</v>
      </c>
      <c r="AA34" s="153" t="s">
        <v>35</v>
      </c>
      <c r="AB34" s="152">
        <v>0.90385822070669353</v>
      </c>
      <c r="AC34" s="155">
        <v>3.065542001909944E-2</v>
      </c>
      <c r="AD34" s="149">
        <v>1.643117703489827E-2</v>
      </c>
      <c r="AE34" s="156">
        <v>3.8151854016376281E-2</v>
      </c>
    </row>
    <row r="35" spans="1:31" s="105" customFormat="1" x14ac:dyDescent="0.25">
      <c r="A35" s="94" t="s">
        <v>272</v>
      </c>
      <c r="B35" s="132">
        <v>192</v>
      </c>
      <c r="C35" s="165">
        <v>53.457881927490234</v>
      </c>
      <c r="D35" s="149">
        <v>1.8977714348370998E-2</v>
      </c>
      <c r="E35" s="150">
        <v>1.976193067164541E-2</v>
      </c>
      <c r="F35" s="151">
        <v>-1.169</v>
      </c>
      <c r="G35" s="150">
        <v>2.1512333671640457E-2</v>
      </c>
      <c r="H35" s="152">
        <v>-0.12</v>
      </c>
      <c r="I35" s="153" t="s">
        <v>35</v>
      </c>
      <c r="J35" s="149">
        <v>1.468</v>
      </c>
      <c r="K35" s="154" t="s">
        <v>35</v>
      </c>
      <c r="L35" s="149">
        <v>2.637</v>
      </c>
      <c r="M35" s="154">
        <v>2.1512333671640294E-2</v>
      </c>
      <c r="N35" s="151">
        <v>1.9224563386289001E-2</v>
      </c>
      <c r="O35" s="150">
        <v>3.6848012187089385E-2</v>
      </c>
      <c r="P35" s="152">
        <v>2.16223608292807E-2</v>
      </c>
      <c r="Q35" s="153">
        <v>5.3955744705835237E-2</v>
      </c>
      <c r="R35" s="149">
        <v>1.35079073132683E-2</v>
      </c>
      <c r="S35" s="150">
        <v>5.2281913205478633E-2</v>
      </c>
      <c r="T35" s="152">
        <v>2.15402491037609E-2</v>
      </c>
      <c r="U35" s="153">
        <v>5.7469895294647855E-2</v>
      </c>
      <c r="V35" s="149">
        <v>2.3156857174719001E-3</v>
      </c>
      <c r="W35" s="154">
        <v>6.5989045562042201E-2</v>
      </c>
      <c r="X35" s="151">
        <v>9.8252942204054994E-3</v>
      </c>
      <c r="Y35" s="150">
        <v>2.5722141859222839E-2</v>
      </c>
      <c r="Z35" s="152">
        <v>-1.7206950856483501E-2</v>
      </c>
      <c r="AA35" s="153">
        <v>5.9565160601263961E-2</v>
      </c>
      <c r="AB35" s="152">
        <v>4.0632434950317202E-2</v>
      </c>
      <c r="AC35" s="155">
        <v>3.5481941628844799E-2</v>
      </c>
      <c r="AD35" s="149">
        <v>1.03445222148942E-2</v>
      </c>
      <c r="AE35" s="156">
        <v>4.1174036562590749E-2</v>
      </c>
    </row>
    <row r="36" spans="1:31" s="105" customFormat="1" x14ac:dyDescent="0.25">
      <c r="A36" s="94" t="s">
        <v>275</v>
      </c>
      <c r="B36" s="132">
        <v>618</v>
      </c>
      <c r="C36" s="165">
        <v>58.939380645751953</v>
      </c>
      <c r="D36" s="149">
        <v>0.89444245056328264</v>
      </c>
      <c r="E36" s="150">
        <v>6.0828889828519828E-3</v>
      </c>
      <c r="F36" s="151">
        <v>-0.20069999999999999</v>
      </c>
      <c r="G36" s="150">
        <v>0.21973106630606418</v>
      </c>
      <c r="H36" s="152">
        <v>1.468</v>
      </c>
      <c r="I36" s="153" t="s">
        <v>35</v>
      </c>
      <c r="J36" s="149">
        <v>1.468</v>
      </c>
      <c r="K36" s="154" t="s">
        <v>35</v>
      </c>
      <c r="L36" s="149">
        <v>1.6686999999999999</v>
      </c>
      <c r="M36" s="154">
        <v>0.21973106630606412</v>
      </c>
      <c r="N36" s="151">
        <v>0.90580542986998447</v>
      </c>
      <c r="O36" s="150">
        <v>1.3240784715248777E-2</v>
      </c>
      <c r="P36" s="152">
        <v>0.91549190949303372</v>
      </c>
      <c r="Q36" s="153">
        <v>1.31259302692972E-2</v>
      </c>
      <c r="R36" s="149">
        <v>0.94323323756800204</v>
      </c>
      <c r="S36" s="150">
        <v>2.0072400938462305E-2</v>
      </c>
      <c r="T36" s="152">
        <v>0.82205637695336098</v>
      </c>
      <c r="U36" s="153">
        <v>2.050986239945363E-2</v>
      </c>
      <c r="V36" s="149">
        <v>-8.3749052916623504E-2</v>
      </c>
      <c r="W36" s="154">
        <v>2.788091618482048E-2</v>
      </c>
      <c r="X36" s="151">
        <v>0.83222840150862176</v>
      </c>
      <c r="Y36" s="150">
        <v>2.6444475519417569E-3</v>
      </c>
      <c r="Z36" s="152">
        <v>1.161025</v>
      </c>
      <c r="AA36" s="153" t="s">
        <v>35</v>
      </c>
      <c r="AB36" s="152">
        <v>0.92975809934212528</v>
      </c>
      <c r="AC36" s="155">
        <v>9.5904053045738416E-3</v>
      </c>
      <c r="AD36" s="149">
        <v>9.8003841023969862E-2</v>
      </c>
      <c r="AE36" s="156">
        <v>9.8762950718706867E-3</v>
      </c>
    </row>
    <row r="37" spans="1:31" s="105" customFormat="1" ht="13.8" thickBot="1" x14ac:dyDescent="0.3">
      <c r="A37" s="125"/>
      <c r="B37" s="143"/>
      <c r="C37" s="108"/>
      <c r="D37" s="110"/>
      <c r="E37" s="111"/>
      <c r="F37" s="143"/>
      <c r="G37" s="111"/>
      <c r="H37" s="146"/>
      <c r="I37" s="114"/>
      <c r="J37" s="145"/>
      <c r="K37" s="115"/>
      <c r="L37" s="145"/>
      <c r="M37" s="115"/>
      <c r="N37" s="112"/>
      <c r="O37" s="111"/>
      <c r="P37" s="113"/>
      <c r="Q37" s="114"/>
      <c r="R37" s="110"/>
      <c r="S37" s="111"/>
      <c r="T37" s="113"/>
      <c r="U37" s="114"/>
      <c r="V37" s="110"/>
      <c r="W37" s="115"/>
      <c r="X37" s="110"/>
      <c r="Y37" s="111"/>
      <c r="Z37" s="113"/>
      <c r="AA37" s="114"/>
      <c r="AB37" s="113"/>
      <c r="AC37" s="116"/>
      <c r="AD37" s="110"/>
      <c r="AE37" s="117"/>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40</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41</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05" t="s">
        <v>43</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31" t="s">
        <v>42</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37 AD16:AD37">
    <cfRule type="expression" dxfId="15" priority="2">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AF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3" width="13.44140625" style="4" customWidth="1"/>
    <col min="4"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124</v>
      </c>
      <c r="B6" s="2"/>
      <c r="C6" s="3"/>
      <c r="D6" s="2"/>
      <c r="E6" s="3"/>
      <c r="F6" s="3"/>
      <c r="G6" s="3"/>
      <c r="H6" s="3"/>
      <c r="I6" s="3"/>
      <c r="J6" s="3"/>
      <c r="K6" s="3"/>
      <c r="L6" s="3"/>
      <c r="M6" s="3"/>
      <c r="N6" s="3"/>
      <c r="O6" s="2"/>
      <c r="P6" s="3"/>
      <c r="Q6" s="2"/>
      <c r="R6" s="3"/>
      <c r="S6" s="2"/>
      <c r="T6" s="2"/>
      <c r="U6" s="2"/>
    </row>
    <row r="7" spans="1:32" x14ac:dyDescent="0.25">
      <c r="A7" s="5" t="s">
        <v>125</v>
      </c>
    </row>
    <row r="8" spans="1:32" x14ac:dyDescent="0.25">
      <c r="A8" s="6" t="s">
        <v>96</v>
      </c>
    </row>
    <row r="9" spans="1:32" x14ac:dyDescent="0.25">
      <c r="A9" s="6"/>
    </row>
    <row r="10" spans="1:32" ht="13.8" thickBot="1" x14ac:dyDescent="0.3">
      <c r="A10" s="7"/>
      <c r="B10" s="8"/>
      <c r="C10" s="9"/>
      <c r="D10" s="8"/>
      <c r="E10" s="9"/>
      <c r="F10" s="9"/>
      <c r="G10" s="9"/>
      <c r="H10" s="9"/>
      <c r="I10" s="9"/>
      <c r="J10" s="9"/>
      <c r="K10" s="9"/>
      <c r="L10" s="9"/>
      <c r="M10" s="9"/>
    </row>
    <row r="11" spans="1:32" ht="24" customHeight="1" x14ac:dyDescent="0.25">
      <c r="A11" s="28"/>
      <c r="B11" s="211" t="s">
        <v>7</v>
      </c>
      <c r="C11" s="212"/>
      <c r="D11" s="212"/>
      <c r="E11" s="212"/>
      <c r="F11" s="212"/>
      <c r="G11" s="212"/>
      <c r="H11" s="212"/>
      <c r="I11" s="212"/>
      <c r="J11" s="212"/>
      <c r="K11" s="212"/>
      <c r="L11" s="29"/>
      <c r="M11" s="30"/>
      <c r="N11" s="201" t="s">
        <v>126</v>
      </c>
      <c r="O11" s="202"/>
      <c r="P11" s="202"/>
      <c r="Q11" s="202"/>
      <c r="R11" s="202"/>
      <c r="S11" s="202"/>
      <c r="T11" s="202"/>
      <c r="U11" s="202"/>
      <c r="V11" s="202"/>
      <c r="W11" s="213"/>
      <c r="X11" s="201" t="s">
        <v>127</v>
      </c>
      <c r="Y11" s="202"/>
      <c r="Z11" s="202"/>
      <c r="AA11" s="202"/>
      <c r="AB11" s="202"/>
      <c r="AC11" s="202"/>
      <c r="AD11" s="202"/>
      <c r="AE11" s="203"/>
    </row>
    <row r="12" spans="1:32" ht="104.25" customHeight="1" x14ac:dyDescent="0.25">
      <c r="A12" s="31"/>
      <c r="B12" s="218" t="s">
        <v>10</v>
      </c>
      <c r="C12" s="218" t="s">
        <v>11</v>
      </c>
      <c r="D12" s="218" t="s">
        <v>128</v>
      </c>
      <c r="E12" s="219"/>
      <c r="F12" s="218" t="s">
        <v>129</v>
      </c>
      <c r="G12" s="217"/>
      <c r="H12" s="217"/>
      <c r="I12" s="217"/>
      <c r="J12" s="217"/>
      <c r="K12" s="219"/>
      <c r="L12" s="226" t="s">
        <v>130</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04"/>
      <c r="C13" s="204"/>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75" customHeight="1" x14ac:dyDescent="0.25">
      <c r="A14" s="33"/>
      <c r="B14" s="34" t="s">
        <v>25</v>
      </c>
      <c r="C14" s="56" t="s">
        <v>26</v>
      </c>
      <c r="D14" s="36" t="s">
        <v>27</v>
      </c>
      <c r="E14" s="36" t="s">
        <v>28</v>
      </c>
      <c r="F14" s="37" t="s">
        <v>29</v>
      </c>
      <c r="G14" s="36" t="s">
        <v>28</v>
      </c>
      <c r="H14" s="38" t="s">
        <v>30</v>
      </c>
      <c r="I14" s="39" t="s">
        <v>28</v>
      </c>
      <c r="J14" s="40" t="s">
        <v>31</v>
      </c>
      <c r="K14" s="35" t="s">
        <v>28</v>
      </c>
      <c r="L14" s="41" t="s">
        <v>32</v>
      </c>
      <c r="M14" s="42" t="s">
        <v>28</v>
      </c>
      <c r="N14" s="34" t="s">
        <v>102</v>
      </c>
      <c r="O14" s="43" t="s">
        <v>28</v>
      </c>
      <c r="P14" s="44" t="s">
        <v>102</v>
      </c>
      <c r="Q14" s="39" t="s">
        <v>28</v>
      </c>
      <c r="R14" s="36" t="s">
        <v>102</v>
      </c>
      <c r="S14" s="43" t="s">
        <v>28</v>
      </c>
      <c r="T14" s="44" t="s">
        <v>102</v>
      </c>
      <c r="U14" s="39" t="s">
        <v>28</v>
      </c>
      <c r="V14" s="36" t="s">
        <v>33</v>
      </c>
      <c r="W14" s="35" t="s">
        <v>28</v>
      </c>
      <c r="X14" s="34" t="s">
        <v>102</v>
      </c>
      <c r="Y14" s="36" t="s">
        <v>28</v>
      </c>
      <c r="Z14" s="44" t="s">
        <v>102</v>
      </c>
      <c r="AA14" s="39" t="s">
        <v>28</v>
      </c>
      <c r="AB14" s="44" t="s">
        <v>102</v>
      </c>
      <c r="AC14" s="45" t="s">
        <v>28</v>
      </c>
      <c r="AD14" s="36" t="s">
        <v>33</v>
      </c>
      <c r="AE14" s="46" t="s">
        <v>28</v>
      </c>
    </row>
    <row r="15" spans="1:32" s="75" customFormat="1" ht="13.5" customHeight="1" x14ac:dyDescent="0.25">
      <c r="A15" s="179" t="s">
        <v>278</v>
      </c>
      <c r="B15" s="198"/>
      <c r="C15" s="199"/>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206</v>
      </c>
      <c r="B16" s="132">
        <v>222</v>
      </c>
      <c r="C16" s="165">
        <v>62.598819732666016</v>
      </c>
      <c r="D16" s="149">
        <v>0.19398651019315499</v>
      </c>
      <c r="E16" s="150">
        <v>2.5379362133303215E-2</v>
      </c>
      <c r="F16" s="151">
        <v>-1.0815999999999999</v>
      </c>
      <c r="G16" s="150">
        <v>0.13218735756493499</v>
      </c>
      <c r="H16" s="152">
        <v>0.14149999999999999</v>
      </c>
      <c r="I16" s="153">
        <v>2.7885480092693558E-3</v>
      </c>
      <c r="J16" s="149">
        <v>1.7034</v>
      </c>
      <c r="K16" s="154" t="s">
        <v>35</v>
      </c>
      <c r="L16" s="149">
        <v>2.7850000000000001</v>
      </c>
      <c r="M16" s="154">
        <v>0.1321873575649351</v>
      </c>
      <c r="N16" s="151">
        <v>0.25042095642971463</v>
      </c>
      <c r="O16" s="150">
        <v>4.9482165968888492E-2</v>
      </c>
      <c r="P16" s="152">
        <v>0.1585658097761046</v>
      </c>
      <c r="Q16" s="153">
        <v>8.0932448228524551E-2</v>
      </c>
      <c r="R16" s="149">
        <v>0.15200172676464799</v>
      </c>
      <c r="S16" s="150">
        <v>6.4377259348128366E-2</v>
      </c>
      <c r="T16" s="152">
        <v>0.21473844738663969</v>
      </c>
      <c r="U16" s="153">
        <v>4.9871784755341896E-2</v>
      </c>
      <c r="V16" s="149">
        <v>-3.5682509043074899E-2</v>
      </c>
      <c r="W16" s="154">
        <v>7.2538450169328167E-2</v>
      </c>
      <c r="X16" s="151">
        <v>0.29721659963172109</v>
      </c>
      <c r="Y16" s="150">
        <v>3.9850944651908318E-2</v>
      </c>
      <c r="Z16" s="152">
        <v>0.14362968953120009</v>
      </c>
      <c r="AA16" s="153">
        <v>3.638609095166459E-2</v>
      </c>
      <c r="AB16" s="152">
        <v>0.19866208635278559</v>
      </c>
      <c r="AC16" s="155">
        <v>4.096726546137662E-2</v>
      </c>
      <c r="AD16" s="149">
        <v>-0.14168027828215829</v>
      </c>
      <c r="AE16" s="156">
        <v>4.9617668553352992E-2</v>
      </c>
    </row>
    <row r="17" spans="1:31" s="105" customFormat="1" x14ac:dyDescent="0.25">
      <c r="A17" s="94" t="s">
        <v>213</v>
      </c>
      <c r="B17" s="132">
        <v>214</v>
      </c>
      <c r="C17" s="165">
        <v>42.136787414550781</v>
      </c>
      <c r="D17" s="149">
        <v>-0.42832843883537552</v>
      </c>
      <c r="E17" s="150">
        <v>1.801569974014483E-2</v>
      </c>
      <c r="F17" s="151">
        <v>-1.6832</v>
      </c>
      <c r="G17" s="150">
        <v>0.20785151791603534</v>
      </c>
      <c r="H17" s="152">
        <v>-0.32669999999999999</v>
      </c>
      <c r="I17" s="153">
        <v>4.1822840649578226E-3</v>
      </c>
      <c r="J17" s="149">
        <v>0.66510000000000002</v>
      </c>
      <c r="K17" s="154">
        <v>0.11237042760441916</v>
      </c>
      <c r="L17" s="149">
        <v>2.3483000000000001</v>
      </c>
      <c r="M17" s="154">
        <v>0.20982834770354553</v>
      </c>
      <c r="N17" s="151">
        <v>-0.53461300760579</v>
      </c>
      <c r="O17" s="150">
        <v>4.3147825703638711E-2</v>
      </c>
      <c r="P17" s="152">
        <v>-0.45265321434799383</v>
      </c>
      <c r="Q17" s="153">
        <v>4.59939291153042E-2</v>
      </c>
      <c r="R17" s="149">
        <v>-0.38215642917944281</v>
      </c>
      <c r="S17" s="150">
        <v>4.2740331783669934E-2</v>
      </c>
      <c r="T17" s="152">
        <v>-0.34923479159522502</v>
      </c>
      <c r="U17" s="153">
        <v>4.2330232960035866E-2</v>
      </c>
      <c r="V17" s="149">
        <v>0.18537821601056501</v>
      </c>
      <c r="W17" s="154">
        <v>6.4185838880378501E-2</v>
      </c>
      <c r="X17" s="151">
        <v>-0.44247435578355448</v>
      </c>
      <c r="Y17" s="150">
        <v>1.811723096895633E-2</v>
      </c>
      <c r="Z17" s="152">
        <v>-0.35145598936460087</v>
      </c>
      <c r="AA17" s="153">
        <v>0.1481048606586742</v>
      </c>
      <c r="AB17" s="152">
        <v>-0.36707647058823528</v>
      </c>
      <c r="AC17" s="155">
        <v>5.5511151231257827E-17</v>
      </c>
      <c r="AD17" s="149">
        <v>8.7556830767819505E-2</v>
      </c>
      <c r="AE17" s="156">
        <v>0.11348500636291678</v>
      </c>
    </row>
    <row r="18" spans="1:31" s="105" customFormat="1" x14ac:dyDescent="0.25">
      <c r="A18" s="94" t="s">
        <v>221</v>
      </c>
      <c r="B18" s="132">
        <v>154</v>
      </c>
      <c r="C18" s="165">
        <v>55.418552398681641</v>
      </c>
      <c r="D18" s="149">
        <v>-0.32582351113961228</v>
      </c>
      <c r="E18" s="150">
        <v>2.6012065759313526E-2</v>
      </c>
      <c r="F18" s="151">
        <v>-1.6918</v>
      </c>
      <c r="G18" s="150" t="s">
        <v>35</v>
      </c>
      <c r="H18" s="152">
        <v>-0.32669999999999999</v>
      </c>
      <c r="I18" s="153" t="s">
        <v>35</v>
      </c>
      <c r="J18" s="149">
        <v>1.0112000000000001</v>
      </c>
      <c r="K18" s="154">
        <v>7.7217899479330429E-2</v>
      </c>
      <c r="L18" s="149">
        <v>2.7030000000000003</v>
      </c>
      <c r="M18" s="154">
        <v>7.7217899479330429E-2</v>
      </c>
      <c r="N18" s="151">
        <v>-0.31542379819944028</v>
      </c>
      <c r="O18" s="150">
        <v>4.964997744309594E-2</v>
      </c>
      <c r="P18" s="152">
        <v>-0.35657698164707141</v>
      </c>
      <c r="Q18" s="153">
        <v>5.9768291103128535E-2</v>
      </c>
      <c r="R18" s="149">
        <v>-0.35364276308469561</v>
      </c>
      <c r="S18" s="150">
        <v>6.9358028742966801E-2</v>
      </c>
      <c r="T18" s="152">
        <v>-0.2776177099327502</v>
      </c>
      <c r="U18" s="153">
        <v>4.3007941553400202E-2</v>
      </c>
      <c r="V18" s="149">
        <v>3.7806088266690102E-2</v>
      </c>
      <c r="W18" s="154">
        <v>6.931035264388867E-2</v>
      </c>
      <c r="X18" s="151">
        <v>-0.35126652394364449</v>
      </c>
      <c r="Y18" s="150">
        <v>3.2988836369479441E-2</v>
      </c>
      <c r="Z18" s="152">
        <v>-0.33208377454908472</v>
      </c>
      <c r="AA18" s="153">
        <v>4.6618855436981479E-2</v>
      </c>
      <c r="AB18" s="152">
        <v>-9.5960538777258506E-2</v>
      </c>
      <c r="AC18" s="155">
        <v>8.481514438906354E-2</v>
      </c>
      <c r="AD18" s="149">
        <v>5.4057471009447411E-2</v>
      </c>
      <c r="AE18" s="156">
        <v>5.4513193750383056E-2</v>
      </c>
    </row>
    <row r="19" spans="1:31" s="105" customFormat="1" x14ac:dyDescent="0.25">
      <c r="A19" s="94" t="s">
        <v>301</v>
      </c>
      <c r="B19" s="132">
        <v>233</v>
      </c>
      <c r="C19" s="165">
        <v>50.777683258056641</v>
      </c>
      <c r="D19" s="149">
        <v>2.8822997591462299E-2</v>
      </c>
      <c r="E19" s="150">
        <v>1.8866976985633534E-2</v>
      </c>
      <c r="F19" s="151">
        <v>-1.2104999999999999</v>
      </c>
      <c r="G19" s="150" t="s">
        <v>35</v>
      </c>
      <c r="H19" s="152">
        <v>6.2799999999999995E-2</v>
      </c>
      <c r="I19" s="153">
        <v>8.8861746550470189E-2</v>
      </c>
      <c r="J19" s="149">
        <v>1.0973999999999999</v>
      </c>
      <c r="K19" s="154" t="s">
        <v>35</v>
      </c>
      <c r="L19" s="149">
        <v>2.3079000000000001</v>
      </c>
      <c r="M19" s="154" t="s">
        <v>35</v>
      </c>
      <c r="N19" s="151">
        <v>7.2521920902670803E-2</v>
      </c>
      <c r="O19" s="150">
        <v>4.3719538024270768E-2</v>
      </c>
      <c r="P19" s="152">
        <v>0.102950931648606</v>
      </c>
      <c r="Q19" s="153">
        <v>3.561712484166045E-2</v>
      </c>
      <c r="R19" s="149">
        <v>-1.25299675417926E-2</v>
      </c>
      <c r="S19" s="150">
        <v>4.2308690108641724E-2</v>
      </c>
      <c r="T19" s="152">
        <v>-4.7172818705611901E-2</v>
      </c>
      <c r="U19" s="153">
        <v>4.65089310231614E-2</v>
      </c>
      <c r="V19" s="149">
        <v>-0.11969473960828279</v>
      </c>
      <c r="W19" s="154">
        <v>5.959272962054192E-2</v>
      </c>
      <c r="X19" s="151">
        <v>2.8331220104158901E-2</v>
      </c>
      <c r="Y19" s="150">
        <v>1.9641381843537097E-2</v>
      </c>
      <c r="Z19" s="152">
        <v>9.1198036233485699E-2</v>
      </c>
      <c r="AA19" s="153">
        <v>4.8244049980612533E-2</v>
      </c>
      <c r="AB19" s="152">
        <v>-2.48677014180415E-2</v>
      </c>
      <c r="AC19" s="155">
        <v>0.10525073494035816</v>
      </c>
      <c r="AD19" s="149">
        <v>2.0332476763401004E-3</v>
      </c>
      <c r="AE19" s="156">
        <v>6.468740217918878E-2</v>
      </c>
    </row>
    <row r="20" spans="1:31" s="105" customFormat="1" x14ac:dyDescent="0.25">
      <c r="A20" s="94" t="s">
        <v>231</v>
      </c>
      <c r="B20" s="132">
        <v>1074</v>
      </c>
      <c r="C20" s="165">
        <v>61.382225036621094</v>
      </c>
      <c r="D20" s="149">
        <v>9.00989570473094E-2</v>
      </c>
      <c r="E20" s="150">
        <v>1.204202258127334E-2</v>
      </c>
      <c r="F20" s="151">
        <v>-1.0815999999999999</v>
      </c>
      <c r="G20" s="150">
        <v>5.0281805854603089E-2</v>
      </c>
      <c r="H20" s="152">
        <v>6.2799999999999995E-2</v>
      </c>
      <c r="I20" s="153">
        <v>1.4367950445348845E-2</v>
      </c>
      <c r="J20" s="149">
        <v>1.7034</v>
      </c>
      <c r="K20" s="154" t="s">
        <v>35</v>
      </c>
      <c r="L20" s="149">
        <v>2.7850000000000001</v>
      </c>
      <c r="M20" s="154">
        <v>5.0281805854603193E-2</v>
      </c>
      <c r="N20" s="151">
        <v>2.80313402294309E-2</v>
      </c>
      <c r="O20" s="150">
        <v>3.3885869957628156E-2</v>
      </c>
      <c r="P20" s="152">
        <v>0.12651157757331649</v>
      </c>
      <c r="Q20" s="153">
        <v>3.182639753884544E-2</v>
      </c>
      <c r="R20" s="149">
        <v>5.7318096075372901E-2</v>
      </c>
      <c r="S20" s="150">
        <v>2.5550221750307019E-2</v>
      </c>
      <c r="T20" s="152">
        <v>0.14860402327199579</v>
      </c>
      <c r="U20" s="153">
        <v>2.5521561244582477E-2</v>
      </c>
      <c r="V20" s="149">
        <v>0.1205726830425648</v>
      </c>
      <c r="W20" s="154">
        <v>4.0995019022537355E-2</v>
      </c>
      <c r="X20" s="151">
        <v>5.8737242455421598E-2</v>
      </c>
      <c r="Y20" s="150">
        <v>1.6343592046935439E-2</v>
      </c>
      <c r="Z20" s="152">
        <v>0.13073991864773651</v>
      </c>
      <c r="AA20" s="153">
        <v>2.4227384309927245E-2</v>
      </c>
      <c r="AB20" s="152">
        <v>0.2198219920268836</v>
      </c>
      <c r="AC20" s="155">
        <v>4.7744953217327461E-2</v>
      </c>
      <c r="AD20" s="149">
        <v>9.0432046574225308E-2</v>
      </c>
      <c r="AE20" s="156">
        <v>2.8146178075661239E-2</v>
      </c>
    </row>
    <row r="21" spans="1:31" s="105" customFormat="1" x14ac:dyDescent="0.25">
      <c r="A21" s="118" t="s">
        <v>297</v>
      </c>
      <c r="B21" s="132">
        <v>97</v>
      </c>
      <c r="C21" s="165">
        <v>25.235141754150391</v>
      </c>
      <c r="D21" s="149">
        <v>0.39548948383202231</v>
      </c>
      <c r="E21" s="150">
        <v>3.5784973211911299E-2</v>
      </c>
      <c r="F21" s="151">
        <v>-0.80930000000000002</v>
      </c>
      <c r="G21" s="150">
        <v>9.9259097819796901E-2</v>
      </c>
      <c r="H21" s="152">
        <v>0.47610000000000002</v>
      </c>
      <c r="I21" s="153">
        <v>2.8755834190647304E-2</v>
      </c>
      <c r="J21" s="149">
        <v>1.7034</v>
      </c>
      <c r="K21" s="154" t="s">
        <v>35</v>
      </c>
      <c r="L21" s="149">
        <v>2.5127000000000002</v>
      </c>
      <c r="M21" s="154">
        <v>9.9259097819796818E-2</v>
      </c>
      <c r="N21" s="151">
        <v>0.31120426143269297</v>
      </c>
      <c r="O21" s="150">
        <v>7.8775201315110538E-2</v>
      </c>
      <c r="P21" s="152">
        <v>0.30819218314892072</v>
      </c>
      <c r="Q21" s="153">
        <v>7.4948379890685313E-2</v>
      </c>
      <c r="R21" s="149">
        <v>0.44482552450006613</v>
      </c>
      <c r="S21" s="150">
        <v>6.4218269711851239E-2</v>
      </c>
      <c r="T21" s="152">
        <v>0.51760702890950194</v>
      </c>
      <c r="U21" s="153">
        <v>8.7074175363382411E-2</v>
      </c>
      <c r="V21" s="149">
        <v>0.206402767476809</v>
      </c>
      <c r="W21" s="154">
        <v>0.11866996865931953</v>
      </c>
      <c r="X21" s="151">
        <v>0.38014949254647418</v>
      </c>
      <c r="Y21" s="150">
        <v>3.648411553572755E-2</v>
      </c>
      <c r="Z21" s="152" t="s">
        <v>34</v>
      </c>
      <c r="AA21" s="153" t="s">
        <v>34</v>
      </c>
      <c r="AB21" s="152">
        <v>0.75990261395892711</v>
      </c>
      <c r="AC21" s="155">
        <v>4.5219062183007698E-3</v>
      </c>
      <c r="AD21" s="149">
        <v>0.37975312141245293</v>
      </c>
      <c r="AE21" s="156">
        <v>3.6734224415785784E-2</v>
      </c>
    </row>
    <row r="22" spans="1:31" s="105" customFormat="1" x14ac:dyDescent="0.25">
      <c r="A22" s="94" t="s">
        <v>302</v>
      </c>
      <c r="B22" s="132">
        <v>157</v>
      </c>
      <c r="C22" s="165">
        <v>49.256061553955078</v>
      </c>
      <c r="D22" s="149">
        <v>9.9966710842137901E-2</v>
      </c>
      <c r="E22" s="150">
        <v>2.8565281386818735E-2</v>
      </c>
      <c r="F22" s="151">
        <v>-1.2141</v>
      </c>
      <c r="G22" s="150">
        <v>7.9376353531766766E-2</v>
      </c>
      <c r="H22" s="152">
        <v>6.2799999999999995E-2</v>
      </c>
      <c r="I22" s="153">
        <v>4.9774250371050294E-2</v>
      </c>
      <c r="J22" s="149">
        <v>1.7034</v>
      </c>
      <c r="K22" s="154" t="s">
        <v>35</v>
      </c>
      <c r="L22" s="149">
        <v>2.9175</v>
      </c>
      <c r="M22" s="154">
        <v>7.93763535317666E-2</v>
      </c>
      <c r="N22" s="151">
        <v>6.4445576550912806E-2</v>
      </c>
      <c r="O22" s="150">
        <v>4.2441794767317131E-2</v>
      </c>
      <c r="P22" s="152">
        <v>0.14429908304534131</v>
      </c>
      <c r="Q22" s="153">
        <v>7.1179185924793262E-2</v>
      </c>
      <c r="R22" s="149">
        <v>0.1142230857053325</v>
      </c>
      <c r="S22" s="150">
        <v>7.6212368653729545E-2</v>
      </c>
      <c r="T22" s="152">
        <v>7.6941058705317797E-2</v>
      </c>
      <c r="U22" s="153">
        <v>6.4581560726737597E-2</v>
      </c>
      <c r="V22" s="149">
        <v>1.2495482154404901E-2</v>
      </c>
      <c r="W22" s="154">
        <v>7.724163667794659E-2</v>
      </c>
      <c r="X22" s="151">
        <v>0.1227787880988699</v>
      </c>
      <c r="Y22" s="150">
        <v>2.8813331620629264E-2</v>
      </c>
      <c r="Z22" s="152">
        <v>-1.2529050800460471</v>
      </c>
      <c r="AA22" s="153">
        <v>3.1692259030770893E-2</v>
      </c>
      <c r="AB22" s="152">
        <v>-0.17123727669141731</v>
      </c>
      <c r="AC22" s="155">
        <v>0.1891195965727305</v>
      </c>
      <c r="AD22" s="149">
        <v>-0.36810306143764238</v>
      </c>
      <c r="AE22" s="156">
        <v>0.19894608597621635</v>
      </c>
    </row>
    <row r="23" spans="1:31" s="105" customFormat="1" x14ac:dyDescent="0.25">
      <c r="A23" s="94" t="s">
        <v>236</v>
      </c>
      <c r="B23" s="132" t="s">
        <v>34</v>
      </c>
      <c r="C23" s="165" t="s">
        <v>34</v>
      </c>
      <c r="D23" s="149">
        <v>7.7446727901569999E-3</v>
      </c>
      <c r="E23" s="150">
        <v>9.3052736681959996E-3</v>
      </c>
      <c r="F23" s="151">
        <v>-1.2531571428571431</v>
      </c>
      <c r="G23" s="150">
        <v>4.0243388867452802E-2</v>
      </c>
      <c r="H23" s="152">
        <v>2.18E-2</v>
      </c>
      <c r="I23" s="153">
        <v>1.5274688731746699E-2</v>
      </c>
      <c r="J23" s="149">
        <v>1.3696142857142859</v>
      </c>
      <c r="K23" s="154">
        <v>1.9477730282188101E-2</v>
      </c>
      <c r="L23" s="149">
        <v>2.6227714285714292</v>
      </c>
      <c r="M23" s="154">
        <v>4.1929306883985398E-2</v>
      </c>
      <c r="N23" s="151">
        <v>-1.7630392894258301E-2</v>
      </c>
      <c r="O23" s="150">
        <v>1.9081900970906399E-2</v>
      </c>
      <c r="P23" s="152">
        <v>4.4699127424606003E-3</v>
      </c>
      <c r="Q23" s="153">
        <v>2.2679212005442598E-2</v>
      </c>
      <c r="R23" s="149">
        <v>2.8627533199269001E-3</v>
      </c>
      <c r="S23" s="150">
        <v>2.1739108974480299E-2</v>
      </c>
      <c r="T23" s="152">
        <v>4.0552176862838303E-2</v>
      </c>
      <c r="U23" s="153">
        <v>2.05515020143993E-2</v>
      </c>
      <c r="V23" s="149">
        <v>5.8182569757096597E-2</v>
      </c>
      <c r="W23" s="154">
        <v>2.8380177774901798E-2</v>
      </c>
      <c r="X23" s="151">
        <v>1.3353209015635199E-2</v>
      </c>
      <c r="Y23" s="150">
        <v>1.08972855769866E-2</v>
      </c>
      <c r="Z23" s="152">
        <v>-0.26181286659121839</v>
      </c>
      <c r="AA23" s="153">
        <v>2.85536377873742E-2</v>
      </c>
      <c r="AB23" s="152">
        <v>7.4177814980520507E-2</v>
      </c>
      <c r="AC23" s="155">
        <v>3.44092691195554E-2</v>
      </c>
      <c r="AD23" s="149">
        <v>1.48641968172121E-2</v>
      </c>
      <c r="AE23" s="156">
        <v>3.6201832833683598E-2</v>
      </c>
    </row>
    <row r="24" spans="1:31" s="105" customFormat="1" x14ac:dyDescent="0.25">
      <c r="A24" s="180" t="s">
        <v>279</v>
      </c>
      <c r="B24" s="132"/>
      <c r="C24" s="165"/>
      <c r="D24" s="149"/>
      <c r="E24" s="150"/>
      <c r="F24" s="151"/>
      <c r="G24" s="150"/>
      <c r="H24" s="152"/>
      <c r="I24" s="153"/>
      <c r="J24" s="149"/>
      <c r="K24" s="154"/>
      <c r="L24" s="149"/>
      <c r="M24" s="154"/>
      <c r="N24" s="151"/>
      <c r="O24" s="150"/>
      <c r="P24" s="152"/>
      <c r="Q24" s="153"/>
      <c r="R24" s="149"/>
      <c r="S24" s="150"/>
      <c r="T24" s="152"/>
      <c r="U24" s="153"/>
      <c r="V24" s="149"/>
      <c r="W24" s="154"/>
      <c r="X24" s="151"/>
      <c r="Y24" s="150"/>
      <c r="Z24" s="152"/>
      <c r="AA24" s="153"/>
      <c r="AB24" s="152"/>
      <c r="AC24" s="155"/>
      <c r="AD24" s="149"/>
      <c r="AE24" s="156"/>
    </row>
    <row r="25" spans="1:31" s="105" customFormat="1" x14ac:dyDescent="0.25">
      <c r="A25" s="94" t="s">
        <v>237</v>
      </c>
      <c r="B25" s="132">
        <v>322</v>
      </c>
      <c r="C25" s="165">
        <v>80.827095031738281</v>
      </c>
      <c r="D25" s="149">
        <v>1.3153770150660831</v>
      </c>
      <c r="E25" s="150">
        <v>3.6836410092812834E-2</v>
      </c>
      <c r="F25" s="151">
        <v>0.47610000000000002</v>
      </c>
      <c r="G25" s="150">
        <v>0.15763431415780002</v>
      </c>
      <c r="H25" s="152">
        <v>1.7034</v>
      </c>
      <c r="I25" s="153" t="s">
        <v>35</v>
      </c>
      <c r="J25" s="149">
        <v>1.7034</v>
      </c>
      <c r="K25" s="154" t="s">
        <v>35</v>
      </c>
      <c r="L25" s="149">
        <v>1.2273000000000001</v>
      </c>
      <c r="M25" s="154">
        <v>0.15763431415780002</v>
      </c>
      <c r="N25" s="151">
        <v>1.3660180564505839</v>
      </c>
      <c r="O25" s="150">
        <v>3.8370601309867899E-2</v>
      </c>
      <c r="P25" s="152">
        <v>1.353635998023387</v>
      </c>
      <c r="Q25" s="153">
        <v>3.4010266732870907E-2</v>
      </c>
      <c r="R25" s="149">
        <v>1.3452342562925641</v>
      </c>
      <c r="S25" s="150">
        <v>4.5443238467956816E-2</v>
      </c>
      <c r="T25" s="152">
        <v>1.19632615254217</v>
      </c>
      <c r="U25" s="153">
        <v>0.13016836026589354</v>
      </c>
      <c r="V25" s="149">
        <v>-0.16969190390841349</v>
      </c>
      <c r="W25" s="154">
        <v>0.13014579893806752</v>
      </c>
      <c r="X25" s="151">
        <v>1.3246114337518959</v>
      </c>
      <c r="Y25" s="150">
        <v>3.9755877933504088E-2</v>
      </c>
      <c r="Z25" s="152" t="s">
        <v>34</v>
      </c>
      <c r="AA25" s="153" t="s">
        <v>34</v>
      </c>
      <c r="AB25" s="152">
        <v>1.2210096807956281</v>
      </c>
      <c r="AC25" s="155">
        <v>8.5878760695482004E-2</v>
      </c>
      <c r="AD25" s="149">
        <v>-0.10360175295626783</v>
      </c>
      <c r="AE25" s="156">
        <v>9.5017464314233038E-2</v>
      </c>
    </row>
    <row r="26" spans="1:31" s="105" customFormat="1" x14ac:dyDescent="0.25">
      <c r="A26" s="94" t="s">
        <v>239</v>
      </c>
      <c r="B26" s="132">
        <v>0</v>
      </c>
      <c r="C26" s="165">
        <v>0</v>
      </c>
      <c r="D26" s="149" t="s">
        <v>34</v>
      </c>
      <c r="E26" s="150" t="s">
        <v>34</v>
      </c>
      <c r="F26" s="151" t="s">
        <v>34</v>
      </c>
      <c r="G26" s="150" t="s">
        <v>34</v>
      </c>
      <c r="H26" s="152" t="s">
        <v>34</v>
      </c>
      <c r="I26" s="153" t="s">
        <v>34</v>
      </c>
      <c r="J26" s="149" t="s">
        <v>34</v>
      </c>
      <c r="K26" s="154" t="s">
        <v>34</v>
      </c>
      <c r="L26" s="149" t="s">
        <v>34</v>
      </c>
      <c r="M26" s="154" t="s">
        <v>34</v>
      </c>
      <c r="N26" s="151" t="s">
        <v>34</v>
      </c>
      <c r="O26" s="150" t="s">
        <v>34</v>
      </c>
      <c r="P26" s="152" t="s">
        <v>34</v>
      </c>
      <c r="Q26" s="153" t="s">
        <v>34</v>
      </c>
      <c r="R26" s="149" t="s">
        <v>34</v>
      </c>
      <c r="S26" s="150" t="s">
        <v>34</v>
      </c>
      <c r="T26" s="152" t="s">
        <v>34</v>
      </c>
      <c r="U26" s="153" t="s">
        <v>34</v>
      </c>
      <c r="V26" s="149" t="s">
        <v>34</v>
      </c>
      <c r="W26" s="154" t="s">
        <v>34</v>
      </c>
      <c r="X26" s="151" t="s">
        <v>34</v>
      </c>
      <c r="Y26" s="150" t="s">
        <v>34</v>
      </c>
      <c r="Z26" s="152" t="s">
        <v>34</v>
      </c>
      <c r="AA26" s="153" t="s">
        <v>34</v>
      </c>
      <c r="AB26" s="152" t="s">
        <v>34</v>
      </c>
      <c r="AC26" s="155" t="s">
        <v>34</v>
      </c>
      <c r="AD26" s="149" t="s">
        <v>34</v>
      </c>
      <c r="AE26" s="156" t="s">
        <v>34</v>
      </c>
    </row>
    <row r="27" spans="1:31" s="105" customFormat="1" x14ac:dyDescent="0.25">
      <c r="A27" s="94" t="s">
        <v>242</v>
      </c>
      <c r="B27" s="132">
        <v>433</v>
      </c>
      <c r="C27" s="165">
        <v>54.5509033203125</v>
      </c>
      <c r="D27" s="149">
        <v>0.3655725015493399</v>
      </c>
      <c r="E27" s="150">
        <v>2.5975396122814874E-2</v>
      </c>
      <c r="F27" s="151">
        <v>-1.0815999999999999</v>
      </c>
      <c r="G27" s="150">
        <v>0.12032767345876832</v>
      </c>
      <c r="H27" s="152">
        <v>0.47610000000000002</v>
      </c>
      <c r="I27" s="153">
        <v>2.7034061847972461E-2</v>
      </c>
      <c r="J27" s="149">
        <v>1.7034</v>
      </c>
      <c r="K27" s="154" t="s">
        <v>35</v>
      </c>
      <c r="L27" s="149">
        <v>2.7850000000000001</v>
      </c>
      <c r="M27" s="154">
        <v>0.12032767345876834</v>
      </c>
      <c r="N27" s="151">
        <v>0.41317958377555869</v>
      </c>
      <c r="O27" s="150">
        <v>4.5765110899829854E-2</v>
      </c>
      <c r="P27" s="152">
        <v>0.4485449611729348</v>
      </c>
      <c r="Q27" s="153">
        <v>5.4105983654330884E-2</v>
      </c>
      <c r="R27" s="149">
        <v>0.33737306377282661</v>
      </c>
      <c r="S27" s="150">
        <v>5.3626171599146052E-2</v>
      </c>
      <c r="T27" s="152">
        <v>0.26315270643619898</v>
      </c>
      <c r="U27" s="153">
        <v>5.2289030727596796E-2</v>
      </c>
      <c r="V27" s="149">
        <v>-0.15002687733935971</v>
      </c>
      <c r="W27" s="154">
        <v>6.3817663099785232E-2</v>
      </c>
      <c r="X27" s="151">
        <v>0.37115234197448171</v>
      </c>
      <c r="Y27" s="150">
        <v>2.9159744347748744E-2</v>
      </c>
      <c r="Z27" s="152" t="s">
        <v>34</v>
      </c>
      <c r="AA27" s="153" t="s">
        <v>34</v>
      </c>
      <c r="AB27" s="152">
        <v>0.31337219979480091</v>
      </c>
      <c r="AC27" s="155">
        <v>4.5718253769674116E-2</v>
      </c>
      <c r="AD27" s="149">
        <v>-5.7780142179680805E-2</v>
      </c>
      <c r="AE27" s="156">
        <v>5.1017960010055007E-2</v>
      </c>
    </row>
    <row r="28" spans="1:31" s="105" customFormat="1" x14ac:dyDescent="0.25">
      <c r="A28" s="94" t="s">
        <v>249</v>
      </c>
      <c r="B28" s="132">
        <v>220</v>
      </c>
      <c r="C28" s="165">
        <v>72.224281311035156</v>
      </c>
      <c r="D28" s="149">
        <v>0.88925903430224429</v>
      </c>
      <c r="E28" s="150">
        <v>2.5764269950878559E-2</v>
      </c>
      <c r="F28" s="151">
        <v>-0.32669999999999999</v>
      </c>
      <c r="G28" s="150" t="s">
        <v>35</v>
      </c>
      <c r="H28" s="152">
        <v>1.0112000000000001</v>
      </c>
      <c r="I28" s="153">
        <v>3.8012497944755106E-3</v>
      </c>
      <c r="J28" s="149">
        <v>1.7034</v>
      </c>
      <c r="K28" s="154" t="s">
        <v>35</v>
      </c>
      <c r="L28" s="149">
        <v>2.0301</v>
      </c>
      <c r="M28" s="154" t="s">
        <v>35</v>
      </c>
      <c r="N28" s="151">
        <v>0.86585372118138881</v>
      </c>
      <c r="O28" s="150">
        <v>4.34943243361227E-2</v>
      </c>
      <c r="P28" s="152">
        <v>0.86493630389742349</v>
      </c>
      <c r="Q28" s="153">
        <v>5.9027325533517208E-2</v>
      </c>
      <c r="R28" s="149">
        <v>0.98524069371843159</v>
      </c>
      <c r="S28" s="150">
        <v>7.5372704480996908E-2</v>
      </c>
      <c r="T28" s="152">
        <v>0.84089880682726181</v>
      </c>
      <c r="U28" s="153">
        <v>6.3887393651551549E-2</v>
      </c>
      <c r="V28" s="149">
        <v>-2.4954914354127E-2</v>
      </c>
      <c r="W28" s="154">
        <v>7.8081116836159356E-2</v>
      </c>
      <c r="X28" s="151">
        <v>0.89600980626229865</v>
      </c>
      <c r="Y28" s="150">
        <v>2.940555413516267E-2</v>
      </c>
      <c r="Z28" s="152">
        <v>0.80484505914509119</v>
      </c>
      <c r="AA28" s="153">
        <v>0.20556548498227853</v>
      </c>
      <c r="AB28" s="152">
        <v>0.8396695340547593</v>
      </c>
      <c r="AC28" s="155">
        <v>6.6304477149791985E-2</v>
      </c>
      <c r="AD28" s="149">
        <v>-6.2585708443782972E-2</v>
      </c>
      <c r="AE28" s="156">
        <v>7.6506235691728389E-2</v>
      </c>
    </row>
    <row r="29" spans="1:31" s="105" customFormat="1" x14ac:dyDescent="0.25">
      <c r="A29" s="94" t="s">
        <v>303</v>
      </c>
      <c r="B29" s="132">
        <v>146</v>
      </c>
      <c r="C29" s="165">
        <v>51.365737915039063</v>
      </c>
      <c r="D29" s="149">
        <v>-0.79297621743759739</v>
      </c>
      <c r="E29" s="150">
        <v>2.4564608709282038E-2</v>
      </c>
      <c r="F29" s="151">
        <v>-2.1863999999999999</v>
      </c>
      <c r="G29" s="150" t="s">
        <v>35</v>
      </c>
      <c r="H29" s="152">
        <v>-0.87819999999999998</v>
      </c>
      <c r="I29" s="153">
        <v>1.5406508364973544E-2</v>
      </c>
      <c r="J29" s="149">
        <v>0.47920000000000001</v>
      </c>
      <c r="K29" s="154">
        <v>4.28872650095573E-2</v>
      </c>
      <c r="L29" s="149">
        <v>2.6656</v>
      </c>
      <c r="M29" s="154">
        <v>4.2887265009557252E-2</v>
      </c>
      <c r="N29" s="151">
        <v>-0.9722368133654552</v>
      </c>
      <c r="O29" s="150">
        <v>5.0448622246449921E-2</v>
      </c>
      <c r="P29" s="152">
        <v>-0.84990420347780338</v>
      </c>
      <c r="Q29" s="153">
        <v>4.4363473868561973E-2</v>
      </c>
      <c r="R29" s="149">
        <v>-0.8242218244318763</v>
      </c>
      <c r="S29" s="150">
        <v>3.9852587791765023E-2</v>
      </c>
      <c r="T29" s="152">
        <v>-0.52547778404095169</v>
      </c>
      <c r="U29" s="153">
        <v>6.5990034643287912E-2</v>
      </c>
      <c r="V29" s="149">
        <v>0.44675902932450351</v>
      </c>
      <c r="W29" s="154">
        <v>8.4989844614877866E-2</v>
      </c>
      <c r="X29" s="151">
        <v>-0.64208181489905514</v>
      </c>
      <c r="Y29" s="150">
        <v>6.2555120420033389E-2</v>
      </c>
      <c r="Z29" s="152">
        <v>-0.83506960349407577</v>
      </c>
      <c r="AA29" s="153">
        <v>2.5471997776204212E-2</v>
      </c>
      <c r="AB29" s="152">
        <v>0.12499928676448251</v>
      </c>
      <c r="AC29" s="155">
        <v>9.7570383896532178E-2</v>
      </c>
      <c r="AD29" s="149">
        <v>-0.16135500133972958</v>
      </c>
      <c r="AE29" s="156">
        <v>6.7031838572584115E-2</v>
      </c>
    </row>
    <row r="30" spans="1:31" s="105" customFormat="1" x14ac:dyDescent="0.25">
      <c r="A30" s="94" t="s">
        <v>256</v>
      </c>
      <c r="B30" s="132">
        <v>45</v>
      </c>
      <c r="C30" s="165">
        <v>58.967155456542969</v>
      </c>
      <c r="D30" s="149">
        <v>-0.43269793500566939</v>
      </c>
      <c r="E30" s="150">
        <v>1.8467261773422367E-4</v>
      </c>
      <c r="F30" s="151">
        <v>-1.6918</v>
      </c>
      <c r="G30" s="150" t="s">
        <v>35</v>
      </c>
      <c r="H30" s="152">
        <v>-0.32669999999999999</v>
      </c>
      <c r="I30" s="153" t="s">
        <v>35</v>
      </c>
      <c r="J30" s="149">
        <v>0.87050000000000005</v>
      </c>
      <c r="K30" s="154" t="s">
        <v>35</v>
      </c>
      <c r="L30" s="149">
        <v>2.5623</v>
      </c>
      <c r="M30" s="154" t="s">
        <v>35</v>
      </c>
      <c r="N30" s="151">
        <v>-0.43089184206160502</v>
      </c>
      <c r="O30" s="150">
        <v>2.2292212322810754E-3</v>
      </c>
      <c r="P30" s="152">
        <v>-0.49051902107011941</v>
      </c>
      <c r="Q30" s="153">
        <v>2.6063962044560194E-3</v>
      </c>
      <c r="R30" s="149">
        <v>-0.58705700918678461</v>
      </c>
      <c r="S30" s="150">
        <v>1.2491783153855871E-3</v>
      </c>
      <c r="T30" s="152">
        <v>-0.2222453739718388</v>
      </c>
      <c r="U30" s="153">
        <v>1.2075053550180226E-3</v>
      </c>
      <c r="V30" s="149">
        <v>0.20864646808976611</v>
      </c>
      <c r="W30" s="154">
        <v>2.580049723001744E-3</v>
      </c>
      <c r="X30" s="151">
        <v>-0.25548224514776541</v>
      </c>
      <c r="Y30" s="150">
        <v>3.5459975611576926E-4</v>
      </c>
      <c r="Z30" s="152">
        <v>-0.46739388819766481</v>
      </c>
      <c r="AA30" s="153">
        <v>2.23472400473487E-4</v>
      </c>
      <c r="AB30" s="152">
        <v>-0.19163118433324161</v>
      </c>
      <c r="AC30" s="155">
        <v>2.6981985916282327E-4</v>
      </c>
      <c r="AD30" s="149">
        <v>-0.18669392189798117</v>
      </c>
      <c r="AE30" s="156">
        <v>4.1039477543101428E-4</v>
      </c>
    </row>
    <row r="31" spans="1:31" s="105" customFormat="1" x14ac:dyDescent="0.25">
      <c r="A31" s="94" t="s">
        <v>257</v>
      </c>
      <c r="B31" s="134">
        <v>191</v>
      </c>
      <c r="C31" s="166">
        <v>59.319355010986328</v>
      </c>
      <c r="D31" s="149">
        <v>0.22291083566373679</v>
      </c>
      <c r="E31" s="150">
        <v>1.7500697324583127E-2</v>
      </c>
      <c r="F31" s="151">
        <v>-0.87819999999999998</v>
      </c>
      <c r="G31" s="150" t="s">
        <v>35</v>
      </c>
      <c r="H31" s="152">
        <v>6.2799999999999995E-2</v>
      </c>
      <c r="I31" s="153" t="s">
        <v>35</v>
      </c>
      <c r="J31" s="149">
        <v>1.7034</v>
      </c>
      <c r="K31" s="154" t="s">
        <v>35</v>
      </c>
      <c r="L31" s="149">
        <v>2.5815999999999999</v>
      </c>
      <c r="M31" s="154" t="s">
        <v>35</v>
      </c>
      <c r="N31" s="151">
        <v>0.1894409485720063</v>
      </c>
      <c r="O31" s="150">
        <v>3.4447046986235227E-2</v>
      </c>
      <c r="P31" s="152">
        <v>0.21974604583459489</v>
      </c>
      <c r="Q31" s="153">
        <v>4.3270244112236421E-2</v>
      </c>
      <c r="R31" s="149">
        <v>0.2112424538140619</v>
      </c>
      <c r="S31" s="150">
        <v>5.0432078152394866E-2</v>
      </c>
      <c r="T31" s="152">
        <v>0.27123009350645633</v>
      </c>
      <c r="U31" s="153">
        <v>3.6401688811010489E-2</v>
      </c>
      <c r="V31" s="149">
        <v>8.1789144934449901E-2</v>
      </c>
      <c r="W31" s="154">
        <v>5.2227417628382282E-2</v>
      </c>
      <c r="X31" s="151">
        <v>0.23971990292110951</v>
      </c>
      <c r="Y31" s="150">
        <v>1.8635995994552446E-2</v>
      </c>
      <c r="Z31" s="152">
        <v>5.2187499999999998E-2</v>
      </c>
      <c r="AA31" s="153" t="s">
        <v>35</v>
      </c>
      <c r="AB31" s="152">
        <v>-4.48049398585866E-2</v>
      </c>
      <c r="AC31" s="155">
        <v>4.5281758865305596E-2</v>
      </c>
      <c r="AD31" s="149">
        <v>-0.27606878665467449</v>
      </c>
      <c r="AE31" s="156">
        <v>5.1310839328089795E-2</v>
      </c>
    </row>
    <row r="32" spans="1:31" s="105" customFormat="1" x14ac:dyDescent="0.25">
      <c r="A32" s="94" t="s">
        <v>261</v>
      </c>
      <c r="B32" s="134">
        <v>177</v>
      </c>
      <c r="C32" s="166">
        <v>64.774894714355469</v>
      </c>
      <c r="D32" s="149">
        <v>0.63534023509726234</v>
      </c>
      <c r="E32" s="150">
        <v>2.694025519189689E-2</v>
      </c>
      <c r="F32" s="151">
        <v>-0.67879999999999996</v>
      </c>
      <c r="G32" s="150">
        <v>0.10015334243049501</v>
      </c>
      <c r="H32" s="152">
        <v>0.66839999999999999</v>
      </c>
      <c r="I32" s="153">
        <v>0.13093010730920526</v>
      </c>
      <c r="J32" s="149">
        <v>1.7034</v>
      </c>
      <c r="K32" s="154" t="s">
        <v>35</v>
      </c>
      <c r="L32" s="149">
        <v>2.3822000000000001</v>
      </c>
      <c r="M32" s="154">
        <v>0.10015334243049505</v>
      </c>
      <c r="N32" s="151">
        <v>0.57005050486204167</v>
      </c>
      <c r="O32" s="150">
        <v>3.8746256112945139E-2</v>
      </c>
      <c r="P32" s="152">
        <v>0.63989955059342107</v>
      </c>
      <c r="Q32" s="153">
        <v>5.5373401585798676E-2</v>
      </c>
      <c r="R32" s="149">
        <v>0.63694511737757642</v>
      </c>
      <c r="S32" s="150">
        <v>6.6407760924801593E-2</v>
      </c>
      <c r="T32" s="152">
        <v>0.69443071568357295</v>
      </c>
      <c r="U32" s="153">
        <v>6.8497889313981819E-2</v>
      </c>
      <c r="V32" s="149">
        <v>0.12438021082153131</v>
      </c>
      <c r="W32" s="154">
        <v>7.7404875174816007E-2</v>
      </c>
      <c r="X32" s="151">
        <v>0.61300613911527824</v>
      </c>
      <c r="Y32" s="150">
        <v>2.695938684022536E-2</v>
      </c>
      <c r="Z32" s="152">
        <v>0.87143846153846161</v>
      </c>
      <c r="AA32" s="153">
        <v>1.5700924586837752E-16</v>
      </c>
      <c r="AB32" s="152">
        <v>1.048902237507956</v>
      </c>
      <c r="AC32" s="155">
        <v>0.12280808537434207</v>
      </c>
      <c r="AD32" s="149">
        <v>0.41602087655965281</v>
      </c>
      <c r="AE32" s="156">
        <v>0.11365908010428072</v>
      </c>
    </row>
    <row r="33" spans="1:31" s="105" customFormat="1" x14ac:dyDescent="0.25">
      <c r="A33" s="94" t="s">
        <v>263</v>
      </c>
      <c r="B33" s="132">
        <v>151</v>
      </c>
      <c r="C33" s="165">
        <v>49.613246917724609</v>
      </c>
      <c r="D33" s="149">
        <v>0.88602439475997496</v>
      </c>
      <c r="E33" s="150">
        <v>1.6290635231225963E-2</v>
      </c>
      <c r="F33" s="151">
        <v>-0.32669999999999999</v>
      </c>
      <c r="G33" s="150" t="s">
        <v>35</v>
      </c>
      <c r="H33" s="152">
        <v>1.0112000000000001</v>
      </c>
      <c r="I33" s="153">
        <v>5.099660773031859E-2</v>
      </c>
      <c r="J33" s="149">
        <v>1.7034</v>
      </c>
      <c r="K33" s="154" t="s">
        <v>35</v>
      </c>
      <c r="L33" s="149">
        <v>2.0301</v>
      </c>
      <c r="M33" s="154" t="s">
        <v>35</v>
      </c>
      <c r="N33" s="151">
        <v>0.83204497259448973</v>
      </c>
      <c r="O33" s="150">
        <v>4.1449927044330231E-2</v>
      </c>
      <c r="P33" s="152">
        <v>0.95577837420157874</v>
      </c>
      <c r="Q33" s="153">
        <v>3.9810796615899563E-2</v>
      </c>
      <c r="R33" s="149">
        <v>0.85785917856367266</v>
      </c>
      <c r="S33" s="150">
        <v>3.5336380798624271E-2</v>
      </c>
      <c r="T33" s="152">
        <v>0.89858484312962428</v>
      </c>
      <c r="U33" s="153">
        <v>5.11446817874886E-2</v>
      </c>
      <c r="V33" s="149">
        <v>6.6539870535134493E-2</v>
      </c>
      <c r="W33" s="154">
        <v>6.109745522220883E-2</v>
      </c>
      <c r="X33" s="151">
        <v>0.89113512227219205</v>
      </c>
      <c r="Y33" s="150">
        <v>1.4104320498621739E-2</v>
      </c>
      <c r="Z33" s="152" t="s">
        <v>34</v>
      </c>
      <c r="AA33" s="153" t="s">
        <v>34</v>
      </c>
      <c r="AB33" s="152">
        <v>0.89257723472526918</v>
      </c>
      <c r="AC33" s="155">
        <v>7.0359970802737912E-2</v>
      </c>
      <c r="AD33" s="149">
        <v>1.4421124530771268E-3</v>
      </c>
      <c r="AE33" s="156">
        <v>7.1858734493369034E-2</v>
      </c>
    </row>
    <row r="34" spans="1:31" s="105" customFormat="1" x14ac:dyDescent="0.25">
      <c r="A34" s="94" t="s">
        <v>264</v>
      </c>
      <c r="B34" s="132">
        <v>324</v>
      </c>
      <c r="C34" s="165">
        <v>70.25738525390625</v>
      </c>
      <c r="D34" s="149">
        <v>0.88618190893403048</v>
      </c>
      <c r="E34" s="150">
        <v>1.5399004914897317E-2</v>
      </c>
      <c r="F34" s="151">
        <v>-0.32669999999999999</v>
      </c>
      <c r="G34" s="150" t="s">
        <v>35</v>
      </c>
      <c r="H34" s="152">
        <v>1.0073000000000001</v>
      </c>
      <c r="I34" s="153" t="s">
        <v>35</v>
      </c>
      <c r="J34" s="149">
        <v>1.7034</v>
      </c>
      <c r="K34" s="154" t="s">
        <v>35</v>
      </c>
      <c r="L34" s="149">
        <v>2.0301</v>
      </c>
      <c r="M34" s="154" t="s">
        <v>35</v>
      </c>
      <c r="N34" s="151">
        <v>0.86842663026148459</v>
      </c>
      <c r="O34" s="150">
        <v>2.8047793478592334E-2</v>
      </c>
      <c r="P34" s="152">
        <v>0.86694094581765935</v>
      </c>
      <c r="Q34" s="153">
        <v>3.6039651866617013E-2</v>
      </c>
      <c r="R34" s="149">
        <v>0.89673229866177684</v>
      </c>
      <c r="S34" s="150">
        <v>4.5450721504546487E-2</v>
      </c>
      <c r="T34" s="152">
        <v>0.9126646664838447</v>
      </c>
      <c r="U34" s="153">
        <v>3.1785025083381678E-2</v>
      </c>
      <c r="V34" s="149">
        <v>4.4238036222360097E-2</v>
      </c>
      <c r="W34" s="154">
        <v>4.6467398791659544E-2</v>
      </c>
      <c r="X34" s="151">
        <v>0.88461125400994811</v>
      </c>
      <c r="Y34" s="150">
        <v>1.896425379395577E-2</v>
      </c>
      <c r="Z34" s="152">
        <v>-0.57585555555555556</v>
      </c>
      <c r="AA34" s="153" t="s">
        <v>35</v>
      </c>
      <c r="AB34" s="152">
        <v>0.90419057546518899</v>
      </c>
      <c r="AC34" s="155">
        <v>3.6268199690839165E-2</v>
      </c>
      <c r="AD34" s="149">
        <v>6.9384681435654683E-3</v>
      </c>
      <c r="AE34" s="156">
        <v>4.5113157901127889E-2</v>
      </c>
    </row>
    <row r="35" spans="1:31" s="105" customFormat="1" x14ac:dyDescent="0.25">
      <c r="A35" s="94" t="s">
        <v>272</v>
      </c>
      <c r="B35" s="132">
        <v>192</v>
      </c>
      <c r="C35" s="165">
        <v>53.613643646240234</v>
      </c>
      <c r="D35" s="149">
        <v>-0.42084586724037149</v>
      </c>
      <c r="E35" s="150">
        <v>1.8075534456910018E-2</v>
      </c>
      <c r="F35" s="151">
        <v>-1.6918</v>
      </c>
      <c r="G35" s="150" t="s">
        <v>35</v>
      </c>
      <c r="H35" s="152">
        <v>-0.32669999999999999</v>
      </c>
      <c r="I35" s="153" t="s">
        <v>35</v>
      </c>
      <c r="J35" s="149">
        <v>1.0073000000000001</v>
      </c>
      <c r="K35" s="154">
        <v>3.4982645697545466E-2</v>
      </c>
      <c r="L35" s="149">
        <v>2.6991000000000001</v>
      </c>
      <c r="M35" s="154">
        <v>3.4982645697545556E-2</v>
      </c>
      <c r="N35" s="151">
        <v>-0.3916021686640761</v>
      </c>
      <c r="O35" s="150">
        <v>3.6861926489807205E-2</v>
      </c>
      <c r="P35" s="152">
        <v>-0.41819772401382449</v>
      </c>
      <c r="Q35" s="153">
        <v>5.5253272878384899E-2</v>
      </c>
      <c r="R35" s="149">
        <v>-0.42373097892768968</v>
      </c>
      <c r="S35" s="150">
        <v>4.404590940596223E-2</v>
      </c>
      <c r="T35" s="152">
        <v>-0.44991252320080283</v>
      </c>
      <c r="U35" s="153">
        <v>4.4843146321397298E-2</v>
      </c>
      <c r="V35" s="149">
        <v>-5.83103545367267E-2</v>
      </c>
      <c r="W35" s="154">
        <v>5.7923738106059344E-2</v>
      </c>
      <c r="X35" s="151">
        <v>-0.42257154399450558</v>
      </c>
      <c r="Y35" s="150">
        <v>2.1822548254476642E-2</v>
      </c>
      <c r="Z35" s="152">
        <v>-0.38556388317756318</v>
      </c>
      <c r="AA35" s="153">
        <v>5.8715958974799247E-2</v>
      </c>
      <c r="AB35" s="152">
        <v>-0.41575064604806472</v>
      </c>
      <c r="AC35" s="155">
        <v>3.8621512458410445E-2</v>
      </c>
      <c r="AD35" s="149">
        <v>1.7521018935428956E-2</v>
      </c>
      <c r="AE35" s="156">
        <v>4.2571365547746369E-2</v>
      </c>
    </row>
    <row r="36" spans="1:31" s="105" customFormat="1" x14ac:dyDescent="0.25">
      <c r="A36" s="94" t="s">
        <v>275</v>
      </c>
      <c r="B36" s="132">
        <v>618</v>
      </c>
      <c r="C36" s="165">
        <v>59.493793487548828</v>
      </c>
      <c r="D36" s="149">
        <v>0.92472401584687847</v>
      </c>
      <c r="E36" s="150">
        <v>8.3692520293692282E-3</v>
      </c>
      <c r="F36" s="151">
        <v>-0.32669999999999999</v>
      </c>
      <c r="G36" s="150">
        <v>3.0209270100417969E-3</v>
      </c>
      <c r="H36" s="152">
        <v>1.5271999999999999</v>
      </c>
      <c r="I36" s="153" t="s">
        <v>35</v>
      </c>
      <c r="J36" s="149">
        <v>1.7034</v>
      </c>
      <c r="K36" s="154" t="s">
        <v>35</v>
      </c>
      <c r="L36" s="149">
        <v>2.0301</v>
      </c>
      <c r="M36" s="154">
        <v>3.0209270100416247E-3</v>
      </c>
      <c r="N36" s="151">
        <v>0.90272028895716039</v>
      </c>
      <c r="O36" s="150">
        <v>1.0024952724080756E-2</v>
      </c>
      <c r="P36" s="152">
        <v>0.92751433051773358</v>
      </c>
      <c r="Q36" s="153">
        <v>1.9068828800850066E-2</v>
      </c>
      <c r="R36" s="149">
        <v>0.99361123316317956</v>
      </c>
      <c r="S36" s="150">
        <v>3.3553885984898425E-2</v>
      </c>
      <c r="T36" s="152">
        <v>0.88316771596736687</v>
      </c>
      <c r="U36" s="153">
        <v>2.1493343247564283E-2</v>
      </c>
      <c r="V36" s="149">
        <v>-1.9552572989793501E-2</v>
      </c>
      <c r="W36" s="154">
        <v>2.4106968024419403E-2</v>
      </c>
      <c r="X36" s="151">
        <v>0.90641691056415918</v>
      </c>
      <c r="Y36" s="150">
        <v>7.9202903529276131E-4</v>
      </c>
      <c r="Z36" s="152">
        <v>1.342236363636363</v>
      </c>
      <c r="AA36" s="153" t="s">
        <v>35</v>
      </c>
      <c r="AB36" s="152">
        <v>0.94058335523855441</v>
      </c>
      <c r="AC36" s="155">
        <v>1.4437001288932215E-2</v>
      </c>
      <c r="AD36" s="149">
        <v>3.4915096119765843E-2</v>
      </c>
      <c r="AE36" s="156">
        <v>1.4369507999877068E-2</v>
      </c>
    </row>
    <row r="37" spans="1:31" s="105" customFormat="1" ht="13.8" thickBot="1" x14ac:dyDescent="0.3">
      <c r="A37" s="125"/>
      <c r="B37" s="143"/>
      <c r="C37" s="108"/>
      <c r="D37" s="110"/>
      <c r="E37" s="111"/>
      <c r="F37" s="143"/>
      <c r="G37" s="111"/>
      <c r="H37" s="146"/>
      <c r="I37" s="114"/>
      <c r="J37" s="145"/>
      <c r="K37" s="115"/>
      <c r="L37" s="145"/>
      <c r="M37" s="115"/>
      <c r="N37" s="112"/>
      <c r="O37" s="111"/>
      <c r="P37" s="113"/>
      <c r="Q37" s="114"/>
      <c r="R37" s="110"/>
      <c r="S37" s="111"/>
      <c r="T37" s="113"/>
      <c r="U37" s="114"/>
      <c r="V37" s="110"/>
      <c r="W37" s="115"/>
      <c r="X37" s="110"/>
      <c r="Y37" s="111"/>
      <c r="Z37" s="113"/>
      <c r="AA37" s="114"/>
      <c r="AB37" s="113"/>
      <c r="AC37" s="116"/>
      <c r="AD37" s="110"/>
      <c r="AE37" s="117"/>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40</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41</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05" t="s">
        <v>43</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31" t="s">
        <v>42</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37 AD16:AD37">
    <cfRule type="expression" dxfId="14" priority="2">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F111"/>
  <sheetViews>
    <sheetView showGridLines="0" zoomScale="80" zoomScaleNormal="80" workbookViewId="0"/>
  </sheetViews>
  <sheetFormatPr defaultColWidth="9.109375" defaultRowHeight="13.2" x14ac:dyDescent="0.25"/>
  <cols>
    <col min="1" max="1" width="25.33203125" style="4" customWidth="1"/>
    <col min="2" max="3" width="12.6640625" style="4" customWidth="1"/>
    <col min="4" max="5" width="8.6640625" style="4" customWidth="1"/>
    <col min="6" max="31" width="8.88671875" style="4" customWidth="1"/>
    <col min="32"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131</v>
      </c>
      <c r="B6" s="2"/>
      <c r="C6" s="3"/>
      <c r="D6" s="2"/>
      <c r="E6" s="3"/>
      <c r="F6" s="3"/>
      <c r="G6" s="3"/>
      <c r="H6" s="3"/>
      <c r="I6" s="3"/>
      <c r="J6" s="3"/>
      <c r="K6" s="3"/>
      <c r="L6" s="3"/>
      <c r="M6" s="3"/>
      <c r="N6" s="3"/>
      <c r="O6" s="2"/>
      <c r="P6" s="3"/>
      <c r="Q6" s="2"/>
      <c r="R6" s="3"/>
      <c r="S6" s="2"/>
      <c r="T6" s="2"/>
      <c r="U6" s="2"/>
    </row>
    <row r="7" spans="1:32" x14ac:dyDescent="0.25">
      <c r="A7" s="5" t="s">
        <v>289</v>
      </c>
    </row>
    <row r="8" spans="1:32" x14ac:dyDescent="0.25">
      <c r="A8" s="6" t="s">
        <v>132</v>
      </c>
    </row>
    <row r="9" spans="1:32" x14ac:dyDescent="0.25">
      <c r="A9" s="6"/>
    </row>
    <row r="10" spans="1:32" ht="13.8" thickBot="1" x14ac:dyDescent="0.3">
      <c r="A10" s="7"/>
      <c r="B10" s="8"/>
      <c r="C10" s="9"/>
      <c r="D10" s="8"/>
      <c r="E10" s="9"/>
      <c r="F10" s="9"/>
      <c r="G10" s="9"/>
      <c r="H10" s="9"/>
      <c r="I10" s="9"/>
      <c r="J10" s="9"/>
      <c r="K10" s="9"/>
      <c r="L10" s="9"/>
      <c r="M10" s="9"/>
    </row>
    <row r="11" spans="1:32" ht="25.5" customHeight="1" x14ac:dyDescent="0.25">
      <c r="A11" s="28"/>
      <c r="B11" s="211" t="s">
        <v>7</v>
      </c>
      <c r="C11" s="212"/>
      <c r="D11" s="212"/>
      <c r="E11" s="212"/>
      <c r="F11" s="212"/>
      <c r="G11" s="212"/>
      <c r="H11" s="212"/>
      <c r="I11" s="212"/>
      <c r="J11" s="212"/>
      <c r="K11" s="212"/>
      <c r="L11" s="29"/>
      <c r="M11" s="30"/>
      <c r="N11" s="201" t="s">
        <v>133</v>
      </c>
      <c r="O11" s="202"/>
      <c r="P11" s="202"/>
      <c r="Q11" s="202"/>
      <c r="R11" s="202"/>
      <c r="S11" s="202"/>
      <c r="T11" s="202"/>
      <c r="U11" s="202"/>
      <c r="V11" s="202"/>
      <c r="W11" s="213"/>
      <c r="X11" s="201" t="s">
        <v>134</v>
      </c>
      <c r="Y11" s="202"/>
      <c r="Z11" s="202"/>
      <c r="AA11" s="202"/>
      <c r="AB11" s="202"/>
      <c r="AC11" s="202"/>
      <c r="AD11" s="202"/>
      <c r="AE11" s="203"/>
    </row>
    <row r="12" spans="1:32" ht="69" customHeight="1" x14ac:dyDescent="0.25">
      <c r="A12" s="31"/>
      <c r="B12" s="215" t="s">
        <v>10</v>
      </c>
      <c r="C12" s="217" t="s">
        <v>11</v>
      </c>
      <c r="D12" s="218" t="s">
        <v>135</v>
      </c>
      <c r="E12" s="219"/>
      <c r="F12" s="218" t="s">
        <v>136</v>
      </c>
      <c r="G12" s="217"/>
      <c r="H12" s="217"/>
      <c r="I12" s="217"/>
      <c r="J12" s="217"/>
      <c r="K12" s="219"/>
      <c r="L12" s="226" t="s">
        <v>137</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16"/>
      <c r="C13" s="205"/>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 customHeight="1" x14ac:dyDescent="0.25">
      <c r="A14" s="33"/>
      <c r="B14" s="56" t="s">
        <v>25</v>
      </c>
      <c r="C14" s="35" t="s">
        <v>26</v>
      </c>
      <c r="D14" s="36" t="s">
        <v>138</v>
      </c>
      <c r="E14" s="36" t="s">
        <v>28</v>
      </c>
      <c r="F14" s="37" t="s">
        <v>29</v>
      </c>
      <c r="G14" s="36" t="s">
        <v>28</v>
      </c>
      <c r="H14" s="38" t="s">
        <v>30</v>
      </c>
      <c r="I14" s="39" t="s">
        <v>28</v>
      </c>
      <c r="J14" s="40" t="s">
        <v>31</v>
      </c>
      <c r="K14" s="35" t="s">
        <v>28</v>
      </c>
      <c r="L14" s="41" t="s">
        <v>32</v>
      </c>
      <c r="M14" s="42" t="s">
        <v>28</v>
      </c>
      <c r="N14" s="34" t="s">
        <v>138</v>
      </c>
      <c r="O14" s="43" t="s">
        <v>28</v>
      </c>
      <c r="P14" s="44" t="s">
        <v>138</v>
      </c>
      <c r="Q14" s="39" t="s">
        <v>28</v>
      </c>
      <c r="R14" s="36" t="s">
        <v>138</v>
      </c>
      <c r="S14" s="43" t="s">
        <v>28</v>
      </c>
      <c r="T14" s="44" t="s">
        <v>138</v>
      </c>
      <c r="U14" s="39" t="s">
        <v>28</v>
      </c>
      <c r="V14" s="36" t="s">
        <v>33</v>
      </c>
      <c r="W14" s="35" t="s">
        <v>28</v>
      </c>
      <c r="X14" s="34" t="s">
        <v>138</v>
      </c>
      <c r="Y14" s="36" t="s">
        <v>28</v>
      </c>
      <c r="Z14" s="44" t="s">
        <v>138</v>
      </c>
      <c r="AA14" s="45" t="s">
        <v>28</v>
      </c>
      <c r="AB14" s="44" t="s">
        <v>138</v>
      </c>
      <c r="AC14" s="45" t="s">
        <v>28</v>
      </c>
      <c r="AD14" s="36" t="s">
        <v>33</v>
      </c>
      <c r="AE14" s="46" t="s">
        <v>28</v>
      </c>
    </row>
    <row r="15" spans="1:32" s="75" customFormat="1" ht="13.5" customHeight="1" x14ac:dyDescent="0.25">
      <c r="A15" s="179" t="s">
        <v>278</v>
      </c>
      <c r="B15" s="61"/>
      <c r="C15" s="62"/>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202</v>
      </c>
      <c r="B16" s="95">
        <v>695</v>
      </c>
      <c r="C16" s="96">
        <v>91.737213134765625</v>
      </c>
      <c r="D16" s="149">
        <v>-0.38851023461718431</v>
      </c>
      <c r="E16" s="150">
        <v>3.1822776587968518E-2</v>
      </c>
      <c r="F16" s="151">
        <v>-1.4551000000000009</v>
      </c>
      <c r="G16" s="150" t="s">
        <v>35</v>
      </c>
      <c r="H16" s="152">
        <v>-0.29680000000000012</v>
      </c>
      <c r="I16" s="153">
        <v>3.871257547619375E-2</v>
      </c>
      <c r="J16" s="149">
        <v>0.82419999999999971</v>
      </c>
      <c r="K16" s="154">
        <v>3.1703217502329191E-2</v>
      </c>
      <c r="L16" s="149">
        <v>2.2793000000000005</v>
      </c>
      <c r="M16" s="154">
        <v>3.1703217502329122E-2</v>
      </c>
      <c r="N16" s="151">
        <v>8.2366989944181401E-2</v>
      </c>
      <c r="O16" s="150">
        <v>7.3997184671433291E-2</v>
      </c>
      <c r="P16" s="152">
        <v>-0.29846895786313282</v>
      </c>
      <c r="Q16" s="153">
        <v>7.9349460774099129E-2</v>
      </c>
      <c r="R16" s="149">
        <v>-0.46877265135078289</v>
      </c>
      <c r="S16" s="150">
        <v>7.5605057834146769E-2</v>
      </c>
      <c r="T16" s="152">
        <v>-0.84507766445489385</v>
      </c>
      <c r="U16" s="153">
        <v>7.1512502936266514E-2</v>
      </c>
      <c r="V16" s="149">
        <v>-0.92744465439907531</v>
      </c>
      <c r="W16" s="154">
        <v>0.11083032333883118</v>
      </c>
      <c r="X16" s="151">
        <v>-0.13591174229905911</v>
      </c>
      <c r="Y16" s="150">
        <v>4.8923843604477435E-2</v>
      </c>
      <c r="Z16" s="152">
        <v>-0.54266037431183811</v>
      </c>
      <c r="AA16" s="153">
        <v>7.4474810857760268E-2</v>
      </c>
      <c r="AB16" s="152">
        <v>-1.0067556596986009</v>
      </c>
      <c r="AC16" s="155">
        <v>7.6529407402342681E-2</v>
      </c>
      <c r="AD16" s="149">
        <v>-0.58570441656569616</v>
      </c>
      <c r="AE16" s="156">
        <v>8.0949695736683869E-2</v>
      </c>
    </row>
    <row r="17" spans="1:32" s="105" customFormat="1" x14ac:dyDescent="0.25">
      <c r="A17" s="94" t="s">
        <v>203</v>
      </c>
      <c r="B17" s="95">
        <v>291</v>
      </c>
      <c r="C17" s="96" t="s">
        <v>34</v>
      </c>
      <c r="D17" s="149">
        <v>-0.1522047329956768</v>
      </c>
      <c r="E17" s="150">
        <v>6.3151724623860456E-2</v>
      </c>
      <c r="F17" s="151">
        <v>-1.861699999999999</v>
      </c>
      <c r="G17" s="150" t="s">
        <v>35</v>
      </c>
      <c r="H17" s="152">
        <v>-0.14740000000000009</v>
      </c>
      <c r="I17" s="153">
        <v>0.13030356672017832</v>
      </c>
      <c r="J17" s="149">
        <v>1.1641999999999999</v>
      </c>
      <c r="K17" s="154">
        <v>0.11822602082452054</v>
      </c>
      <c r="L17" s="149">
        <v>3.0258999999999991</v>
      </c>
      <c r="M17" s="154">
        <v>0.11822602082452036</v>
      </c>
      <c r="N17" s="151" t="s">
        <v>34</v>
      </c>
      <c r="O17" s="150" t="s">
        <v>34</v>
      </c>
      <c r="P17" s="152" t="s">
        <v>34</v>
      </c>
      <c r="Q17" s="153" t="s">
        <v>34</v>
      </c>
      <c r="R17" s="149" t="s">
        <v>34</v>
      </c>
      <c r="S17" s="150" t="s">
        <v>34</v>
      </c>
      <c r="T17" s="152" t="s">
        <v>34</v>
      </c>
      <c r="U17" s="153" t="s">
        <v>34</v>
      </c>
      <c r="V17" s="149" t="s">
        <v>34</v>
      </c>
      <c r="W17" s="154" t="s">
        <v>34</v>
      </c>
      <c r="X17" s="151" t="s">
        <v>34</v>
      </c>
      <c r="Y17" s="150" t="s">
        <v>34</v>
      </c>
      <c r="Z17" s="152" t="s">
        <v>34</v>
      </c>
      <c r="AA17" s="153" t="s">
        <v>34</v>
      </c>
      <c r="AB17" s="152" t="s">
        <v>34</v>
      </c>
      <c r="AC17" s="155" t="s">
        <v>34</v>
      </c>
      <c r="AD17" s="149" t="s">
        <v>34</v>
      </c>
      <c r="AE17" s="156" t="s">
        <v>34</v>
      </c>
    </row>
    <row r="18" spans="1:32" s="105" customFormat="1" x14ac:dyDescent="0.25">
      <c r="A18" s="94" t="s">
        <v>204</v>
      </c>
      <c r="B18" s="95">
        <v>249</v>
      </c>
      <c r="C18" s="96">
        <v>89.844497680664063</v>
      </c>
      <c r="D18" s="149">
        <v>0.3580343876477417</v>
      </c>
      <c r="E18" s="150">
        <v>4.5813772594894123E-2</v>
      </c>
      <c r="F18" s="151">
        <v>-0.78280000000000061</v>
      </c>
      <c r="G18" s="150">
        <v>9.5090485854264245E-2</v>
      </c>
      <c r="H18" s="152">
        <v>0.42999999999999983</v>
      </c>
      <c r="I18" s="153">
        <v>1.8973665961010818E-3</v>
      </c>
      <c r="J18" s="149">
        <v>1.2657</v>
      </c>
      <c r="K18" s="154">
        <v>0.13384357661090709</v>
      </c>
      <c r="L18" s="149">
        <v>2.0485000000000007</v>
      </c>
      <c r="M18" s="154">
        <v>0.17260189888874267</v>
      </c>
      <c r="N18" s="151">
        <v>0.7825744446155517</v>
      </c>
      <c r="O18" s="150">
        <v>8.4180968001453971E-2</v>
      </c>
      <c r="P18" s="152">
        <v>0.13511082739736099</v>
      </c>
      <c r="Q18" s="153">
        <v>0.11494908120028052</v>
      </c>
      <c r="R18" s="149">
        <v>0.3205584405847165</v>
      </c>
      <c r="S18" s="150">
        <v>9.672185947191915E-2</v>
      </c>
      <c r="T18" s="152">
        <v>0.18832185411730359</v>
      </c>
      <c r="U18" s="153">
        <v>0.11117520793885943</v>
      </c>
      <c r="V18" s="149">
        <v>-0.59425259049824808</v>
      </c>
      <c r="W18" s="154">
        <v>0.14036712954256875</v>
      </c>
      <c r="X18" s="151" t="s">
        <v>34</v>
      </c>
      <c r="Y18" s="150" t="s">
        <v>34</v>
      </c>
      <c r="Z18" s="152" t="s">
        <v>34</v>
      </c>
      <c r="AA18" s="153" t="s">
        <v>34</v>
      </c>
      <c r="AB18" s="152" t="s">
        <v>34</v>
      </c>
      <c r="AC18" s="155" t="s">
        <v>34</v>
      </c>
      <c r="AD18" s="149" t="s">
        <v>34</v>
      </c>
      <c r="AE18" s="156" t="s">
        <v>34</v>
      </c>
    </row>
    <row r="19" spans="1:32" s="105" customFormat="1" x14ac:dyDescent="0.25">
      <c r="A19" s="94" t="s">
        <v>205</v>
      </c>
      <c r="B19" s="95">
        <v>767</v>
      </c>
      <c r="C19" s="96">
        <v>95.871726989746094</v>
      </c>
      <c r="D19" s="149">
        <v>-0.2081900222945976</v>
      </c>
      <c r="E19" s="150">
        <v>4.4223388005479536E-2</v>
      </c>
      <c r="F19" s="151">
        <v>-1.4551000000000009</v>
      </c>
      <c r="G19" s="150" t="s">
        <v>35</v>
      </c>
      <c r="H19" s="152">
        <v>5.4999999999999997E-3</v>
      </c>
      <c r="I19" s="153">
        <v>4.8330678662729332E-2</v>
      </c>
      <c r="J19" s="149">
        <v>0.9861000000000002</v>
      </c>
      <c r="K19" s="154">
        <v>0.11710425269818356</v>
      </c>
      <c r="L19" s="149">
        <v>2.4412000000000011</v>
      </c>
      <c r="M19" s="154">
        <v>0.11710425269818345</v>
      </c>
      <c r="N19" s="151">
        <v>0.21027145901648309</v>
      </c>
      <c r="O19" s="150">
        <v>6.7544416744887772E-2</v>
      </c>
      <c r="P19" s="152">
        <v>-0.23169123641064901</v>
      </c>
      <c r="Q19" s="153">
        <v>0.10161932093363422</v>
      </c>
      <c r="R19" s="149">
        <v>-0.37716729546354599</v>
      </c>
      <c r="S19" s="150">
        <v>0.11634093123396012</v>
      </c>
      <c r="T19" s="152">
        <v>-0.41540218640057158</v>
      </c>
      <c r="U19" s="153">
        <v>9.5752586247633997E-2</v>
      </c>
      <c r="V19" s="149">
        <v>-0.62567364541705484</v>
      </c>
      <c r="W19" s="154">
        <v>0.12672642693513608</v>
      </c>
      <c r="X19" s="151">
        <v>-0.17422310324896759</v>
      </c>
      <c r="Y19" s="150">
        <v>4.7561717688653561E-2</v>
      </c>
      <c r="Z19" s="152">
        <v>-0.41027114053409941</v>
      </c>
      <c r="AA19" s="153">
        <v>0.22943342413558232</v>
      </c>
      <c r="AB19" s="152">
        <v>-0.69428695893016457</v>
      </c>
      <c r="AC19" s="155">
        <v>0.14815991707711471</v>
      </c>
      <c r="AD19" s="149">
        <v>-0.40600698150295667</v>
      </c>
      <c r="AE19" s="156">
        <v>0.1331668380221486</v>
      </c>
    </row>
    <row r="20" spans="1:32" s="105" customFormat="1" x14ac:dyDescent="0.25">
      <c r="A20" s="94" t="s">
        <v>206</v>
      </c>
      <c r="B20" s="95">
        <v>208</v>
      </c>
      <c r="C20" s="96">
        <v>86.967475891113281</v>
      </c>
      <c r="D20" s="149">
        <v>-0.19128029556708079</v>
      </c>
      <c r="E20" s="150">
        <v>8.0218954228349529E-2</v>
      </c>
      <c r="F20" s="151">
        <v>-1.4551000000000009</v>
      </c>
      <c r="G20" s="150" t="s">
        <v>35</v>
      </c>
      <c r="H20" s="152">
        <v>-9.7000000000000003E-3</v>
      </c>
      <c r="I20" s="153">
        <v>0.15130577153565555</v>
      </c>
      <c r="J20" s="149">
        <v>1.1514</v>
      </c>
      <c r="K20" s="154">
        <v>0.15046287249683854</v>
      </c>
      <c r="L20" s="149">
        <v>2.6065000000000009</v>
      </c>
      <c r="M20" s="154">
        <v>0.15046287249683851</v>
      </c>
      <c r="N20" s="151">
        <v>-0.1080389347451077</v>
      </c>
      <c r="O20" s="150">
        <v>0.22146421091722046</v>
      </c>
      <c r="P20" s="152">
        <v>6.0837441664272802E-2</v>
      </c>
      <c r="Q20" s="153">
        <v>0.1982105659700408</v>
      </c>
      <c r="R20" s="149">
        <v>-0.29442350403475981</v>
      </c>
      <c r="S20" s="150">
        <v>0.16706380295633275</v>
      </c>
      <c r="T20" s="152">
        <v>-0.42869347069526698</v>
      </c>
      <c r="U20" s="153">
        <v>0.15930683463697237</v>
      </c>
      <c r="V20" s="149">
        <v>-0.32065453595015919</v>
      </c>
      <c r="W20" s="154">
        <v>0.27806299528460188</v>
      </c>
      <c r="X20" s="151">
        <v>0.17827007977575679</v>
      </c>
      <c r="Y20" s="150">
        <v>0.16523789509361897</v>
      </c>
      <c r="Z20" s="152">
        <v>-0.3522202832432505</v>
      </c>
      <c r="AA20" s="153">
        <v>0.10662742328612895</v>
      </c>
      <c r="AB20" s="152">
        <v>-0.43200747927321098</v>
      </c>
      <c r="AC20" s="155">
        <v>0.15506019828234555</v>
      </c>
      <c r="AD20" s="149">
        <v>-0.54829972025429075</v>
      </c>
      <c r="AE20" s="156">
        <v>0.18890811081207592</v>
      </c>
    </row>
    <row r="21" spans="1:32" s="105" customFormat="1" x14ac:dyDescent="0.25">
      <c r="A21" s="94" t="s">
        <v>207</v>
      </c>
      <c r="B21" s="95">
        <v>245</v>
      </c>
      <c r="C21" s="96">
        <v>98.989761352539063</v>
      </c>
      <c r="D21" s="149">
        <v>0.38539820551712561</v>
      </c>
      <c r="E21" s="150">
        <v>7.3003570174017929E-2</v>
      </c>
      <c r="F21" s="151">
        <v>-1.4551000000000009</v>
      </c>
      <c r="G21" s="150" t="s">
        <v>35</v>
      </c>
      <c r="H21" s="152">
        <v>0.35950000000000021</v>
      </c>
      <c r="I21" s="153">
        <v>9.2209481616588512E-2</v>
      </c>
      <c r="J21" s="149">
        <v>1.9950000000000001</v>
      </c>
      <c r="K21" s="154">
        <v>0.17220983566567749</v>
      </c>
      <c r="L21" s="149">
        <v>3.4501000000000008</v>
      </c>
      <c r="M21" s="154">
        <v>0.1722098356656773</v>
      </c>
      <c r="N21" s="151">
        <v>0.64046344625959695</v>
      </c>
      <c r="O21" s="150">
        <v>0.18975019030165061</v>
      </c>
      <c r="P21" s="152">
        <v>0.60591395152875094</v>
      </c>
      <c r="Q21" s="153">
        <v>0.24208852222769958</v>
      </c>
      <c r="R21" s="149">
        <v>0.44614382017697107</v>
      </c>
      <c r="S21" s="150">
        <v>0.23849511547026697</v>
      </c>
      <c r="T21" s="152">
        <v>-0.17195934512883981</v>
      </c>
      <c r="U21" s="153">
        <v>0.15589048272094894</v>
      </c>
      <c r="V21" s="149">
        <v>-0.81242279138843676</v>
      </c>
      <c r="W21" s="154">
        <v>0.23991322590257422</v>
      </c>
      <c r="X21" s="151">
        <v>0.65266990564050376</v>
      </c>
      <c r="Y21" s="150">
        <v>8.7234427171728413E-2</v>
      </c>
      <c r="Z21" s="152" t="s">
        <v>34</v>
      </c>
      <c r="AA21" s="153" t="s">
        <v>34</v>
      </c>
      <c r="AB21" s="152">
        <v>-0.77763808411441815</v>
      </c>
      <c r="AC21" s="155">
        <v>0.12715509231453262</v>
      </c>
      <c r="AD21" s="149">
        <v>-1.430307989754922</v>
      </c>
      <c r="AE21" s="156">
        <v>0.14337581765851748</v>
      </c>
    </row>
    <row r="22" spans="1:32" s="105" customFormat="1" x14ac:dyDescent="0.25">
      <c r="A22" s="18" t="s">
        <v>208</v>
      </c>
      <c r="B22" s="57">
        <v>324</v>
      </c>
      <c r="C22" s="19">
        <v>97.015785217285156</v>
      </c>
      <c r="D22" s="76">
        <v>0.1211520757509547</v>
      </c>
      <c r="E22" s="79">
        <v>5.4946022763361621E-2</v>
      </c>
      <c r="F22" s="77">
        <v>-1.4551000000000009</v>
      </c>
      <c r="G22" s="79" t="s">
        <v>35</v>
      </c>
      <c r="H22" s="78">
        <v>0.1893</v>
      </c>
      <c r="I22" s="80">
        <v>0.100193535220592</v>
      </c>
      <c r="J22" s="76">
        <v>1.2579</v>
      </c>
      <c r="K22" s="81">
        <v>7.6500767970001479E-2</v>
      </c>
      <c r="L22" s="76">
        <v>2.713000000000001</v>
      </c>
      <c r="M22" s="81">
        <v>7.650076797000159E-2</v>
      </c>
      <c r="N22" s="77">
        <v>0.2363826151269405</v>
      </c>
      <c r="O22" s="79">
        <v>9.0511606162600663E-2</v>
      </c>
      <c r="P22" s="78">
        <v>9.0927857816786403E-2</v>
      </c>
      <c r="Q22" s="80">
        <v>0.13651355395534742</v>
      </c>
      <c r="R22" s="76">
        <v>0.1051185232145051</v>
      </c>
      <c r="S22" s="79">
        <v>0.1670348046939901</v>
      </c>
      <c r="T22" s="78">
        <v>5.2797749142213302E-2</v>
      </c>
      <c r="U22" s="80">
        <v>0.13370051943835654</v>
      </c>
      <c r="V22" s="76">
        <v>-0.1835848659847272</v>
      </c>
      <c r="W22" s="81">
        <v>0.15421702124337713</v>
      </c>
      <c r="X22" s="77">
        <v>0.14053659309526409</v>
      </c>
      <c r="Y22" s="79">
        <v>5.8603879973672099E-2</v>
      </c>
      <c r="Z22" s="78">
        <v>-0.32689190124285689</v>
      </c>
      <c r="AA22" s="80">
        <v>0.17739115581923448</v>
      </c>
      <c r="AB22" s="78" t="s">
        <v>34</v>
      </c>
      <c r="AC22" s="82" t="s">
        <v>34</v>
      </c>
      <c r="AD22" s="76">
        <v>-0.46742849433812095</v>
      </c>
      <c r="AE22" s="83">
        <v>0.19001652441016575</v>
      </c>
      <c r="AF22" s="106"/>
    </row>
    <row r="23" spans="1:32" s="105" customFormat="1" x14ac:dyDescent="0.25">
      <c r="A23" s="94" t="s">
        <v>209</v>
      </c>
      <c r="B23" s="95">
        <v>265</v>
      </c>
      <c r="C23" s="96">
        <v>80.03240966796875</v>
      </c>
      <c r="D23" s="149">
        <v>-0.65615576969242273</v>
      </c>
      <c r="E23" s="150">
        <v>5.7135916480861103E-2</v>
      </c>
      <c r="F23" s="151">
        <v>-1.4551000000000009</v>
      </c>
      <c r="G23" s="150" t="s">
        <v>35</v>
      </c>
      <c r="H23" s="152">
        <v>-0.78280000000000038</v>
      </c>
      <c r="I23" s="153">
        <v>0.4004923276418661</v>
      </c>
      <c r="J23" s="149">
        <v>0.51159999999999972</v>
      </c>
      <c r="K23" s="154">
        <v>0.11197039340825744</v>
      </c>
      <c r="L23" s="149">
        <v>1.9667000000000008</v>
      </c>
      <c r="M23" s="154">
        <v>0.1119703934082576</v>
      </c>
      <c r="N23" s="151">
        <v>-0.45520642734092842</v>
      </c>
      <c r="O23" s="150">
        <v>0.14358131516841274</v>
      </c>
      <c r="P23" s="152">
        <v>-0.46700546966426881</v>
      </c>
      <c r="Q23" s="153">
        <v>0.16344755643953846</v>
      </c>
      <c r="R23" s="149">
        <v>-0.73004766571370139</v>
      </c>
      <c r="S23" s="150">
        <v>0.1316411826710672</v>
      </c>
      <c r="T23" s="152">
        <v>-0.97961435265429553</v>
      </c>
      <c r="U23" s="153">
        <v>0.14074375478048495</v>
      </c>
      <c r="V23" s="149">
        <v>-0.52440792531336711</v>
      </c>
      <c r="W23" s="154">
        <v>0.19590574125640464</v>
      </c>
      <c r="X23" s="151">
        <v>-0.42982496982330681</v>
      </c>
      <c r="Y23" s="150">
        <v>7.1776234607986433E-2</v>
      </c>
      <c r="Z23" s="152">
        <v>-1.224279263643671</v>
      </c>
      <c r="AA23" s="153">
        <v>7.8391272223559016E-2</v>
      </c>
      <c r="AB23" s="152">
        <v>-1.2298900279426239</v>
      </c>
      <c r="AC23" s="155">
        <v>0.20741958512490577</v>
      </c>
      <c r="AD23" s="149">
        <v>-0.79574666578803122</v>
      </c>
      <c r="AE23" s="156">
        <v>0.10838973327261663</v>
      </c>
    </row>
    <row r="24" spans="1:32" s="105" customFormat="1" x14ac:dyDescent="0.25">
      <c r="A24" s="94" t="s">
        <v>210</v>
      </c>
      <c r="B24" s="95">
        <v>224</v>
      </c>
      <c r="C24" s="96">
        <v>99.549774169921875</v>
      </c>
      <c r="D24" s="149">
        <v>0.36969414258187178</v>
      </c>
      <c r="E24" s="150">
        <v>3.9426280708320702E-2</v>
      </c>
      <c r="F24" s="151">
        <v>-0.61400000000000043</v>
      </c>
      <c r="G24" s="150">
        <v>0.15097930984078545</v>
      </c>
      <c r="H24" s="152">
        <v>0.41720000000000018</v>
      </c>
      <c r="I24" s="153">
        <v>5.6285824147825986E-2</v>
      </c>
      <c r="J24" s="149">
        <v>1.543500000000001</v>
      </c>
      <c r="K24" s="154">
        <v>0.16916816928725209</v>
      </c>
      <c r="L24" s="149">
        <v>2.1575000000000015</v>
      </c>
      <c r="M24" s="154">
        <v>0.17562076614113767</v>
      </c>
      <c r="N24" s="151">
        <v>0.56536208519674835</v>
      </c>
      <c r="O24" s="150">
        <v>0.12843922865214294</v>
      </c>
      <c r="P24" s="152">
        <v>0.35452451126943368</v>
      </c>
      <c r="Q24" s="153">
        <v>7.1888810556489782E-2</v>
      </c>
      <c r="R24" s="149">
        <v>0.23144443085832181</v>
      </c>
      <c r="S24" s="150">
        <v>7.5200171126664606E-2</v>
      </c>
      <c r="T24" s="152">
        <v>0.32199815580897428</v>
      </c>
      <c r="U24" s="153">
        <v>6.5796129008429224E-2</v>
      </c>
      <c r="V24" s="149">
        <v>-0.24336392938777399</v>
      </c>
      <c r="W24" s="154">
        <v>0.1413000660819824</v>
      </c>
      <c r="X24" s="151">
        <v>0.37626311934129908</v>
      </c>
      <c r="Y24" s="150">
        <v>3.934822790957062E-2</v>
      </c>
      <c r="Z24" s="152">
        <v>0.37404447599139601</v>
      </c>
      <c r="AA24" s="153">
        <v>0.43948669798958978</v>
      </c>
      <c r="AB24" s="152">
        <v>-2.0770676847156298E-2</v>
      </c>
      <c r="AC24" s="155">
        <v>0.37742326141393878</v>
      </c>
      <c r="AD24" s="149">
        <v>-0.16605075405062478</v>
      </c>
      <c r="AE24" s="156">
        <v>0.33243594567778478</v>
      </c>
    </row>
    <row r="25" spans="1:32" s="105" customFormat="1" x14ac:dyDescent="0.25">
      <c r="A25" s="94" t="s">
        <v>211</v>
      </c>
      <c r="B25" s="95">
        <v>195</v>
      </c>
      <c r="C25" s="96">
        <v>92.78778076171875</v>
      </c>
      <c r="D25" s="149">
        <v>0.10410344363129501</v>
      </c>
      <c r="E25" s="150">
        <v>6.9028716024514089E-2</v>
      </c>
      <c r="F25" s="151">
        <v>-1.4551000000000009</v>
      </c>
      <c r="G25" s="150">
        <v>0.15033085012731096</v>
      </c>
      <c r="H25" s="152">
        <v>0.1893</v>
      </c>
      <c r="I25" s="153">
        <v>0.12449730318364333</v>
      </c>
      <c r="J25" s="149">
        <v>0.90200000000000025</v>
      </c>
      <c r="K25" s="154">
        <v>0.20626697869508798</v>
      </c>
      <c r="L25" s="149">
        <v>2.3571000000000013</v>
      </c>
      <c r="M25" s="154">
        <v>0.23141948707919982</v>
      </c>
      <c r="N25" s="151">
        <v>-5.6993717632253499E-2</v>
      </c>
      <c r="O25" s="150">
        <v>0.10041228016091518</v>
      </c>
      <c r="P25" s="152">
        <v>0.14788054015140131</v>
      </c>
      <c r="Q25" s="153">
        <v>0.15252041638222302</v>
      </c>
      <c r="R25" s="149">
        <v>0.26838404882698991</v>
      </c>
      <c r="S25" s="150">
        <v>0.1884219255676671</v>
      </c>
      <c r="T25" s="152">
        <v>5.9684037602392902E-2</v>
      </c>
      <c r="U25" s="153">
        <v>0.13998251999874819</v>
      </c>
      <c r="V25" s="149">
        <v>0.11667775523464639</v>
      </c>
      <c r="W25" s="154">
        <v>0.18308814751940058</v>
      </c>
      <c r="X25" s="151">
        <v>0.1078264594555207</v>
      </c>
      <c r="Y25" s="150">
        <v>7.0967333748462549E-2</v>
      </c>
      <c r="Z25" s="152">
        <v>2.0920410238589999E-2</v>
      </c>
      <c r="AA25" s="153">
        <v>0.29435533233015015</v>
      </c>
      <c r="AB25" s="152" t="s">
        <v>34</v>
      </c>
      <c r="AC25" s="155" t="s">
        <v>34</v>
      </c>
      <c r="AD25" s="149">
        <v>-8.6906049216930709E-2</v>
      </c>
      <c r="AE25" s="156">
        <v>0.30219023485489122</v>
      </c>
    </row>
    <row r="26" spans="1:32" s="105" customFormat="1" x14ac:dyDescent="0.25">
      <c r="A26" s="94" t="s">
        <v>212</v>
      </c>
      <c r="B26" s="95">
        <v>163</v>
      </c>
      <c r="C26" s="96">
        <v>76.1851806640625</v>
      </c>
      <c r="D26" s="149">
        <v>1.7392148179361602E-2</v>
      </c>
      <c r="E26" s="150">
        <v>6.9088576124242712E-2</v>
      </c>
      <c r="F26" s="151">
        <v>-1.4551000000000009</v>
      </c>
      <c r="G26" s="150" t="s">
        <v>35</v>
      </c>
      <c r="H26" s="152">
        <v>0.26329999999999998</v>
      </c>
      <c r="I26" s="153">
        <v>0.13147304856889863</v>
      </c>
      <c r="J26" s="149">
        <v>0.90200000000000014</v>
      </c>
      <c r="K26" s="154">
        <v>6.5934342341453997E-2</v>
      </c>
      <c r="L26" s="149">
        <v>2.3571000000000009</v>
      </c>
      <c r="M26" s="154">
        <v>6.5934342341453747E-2</v>
      </c>
      <c r="N26" s="151">
        <v>-2.4917728512787202E-2</v>
      </c>
      <c r="O26" s="150">
        <v>0.1472659251611895</v>
      </c>
      <c r="P26" s="152">
        <v>0.1100782874405038</v>
      </c>
      <c r="Q26" s="153">
        <v>0.13654840646884295</v>
      </c>
      <c r="R26" s="149">
        <v>0.1537888028546586</v>
      </c>
      <c r="S26" s="150">
        <v>0.15550989237748114</v>
      </c>
      <c r="T26" s="152">
        <v>-0.17728711800093669</v>
      </c>
      <c r="U26" s="153">
        <v>0.14377458921506694</v>
      </c>
      <c r="V26" s="149">
        <v>-0.15236938948814949</v>
      </c>
      <c r="W26" s="154">
        <v>0.2140762779567183</v>
      </c>
      <c r="X26" s="151">
        <v>7.04037187971054E-2</v>
      </c>
      <c r="Y26" s="150">
        <v>7.681738286946041E-2</v>
      </c>
      <c r="Z26" s="152">
        <v>-0.2229508677196255</v>
      </c>
      <c r="AA26" s="153">
        <v>0.18007958475402094</v>
      </c>
      <c r="AB26" s="152">
        <v>-0.29987759943838438</v>
      </c>
      <c r="AC26" s="155">
        <v>0.25646788695418593</v>
      </c>
      <c r="AD26" s="149">
        <v>-0.3303309266385685</v>
      </c>
      <c r="AE26" s="156">
        <v>0.17610562747410238</v>
      </c>
    </row>
    <row r="27" spans="1:32" s="105" customFormat="1" x14ac:dyDescent="0.25">
      <c r="A27" s="94" t="s">
        <v>213</v>
      </c>
      <c r="B27" s="95">
        <v>184</v>
      </c>
      <c r="C27" s="96">
        <v>81.749916076660156</v>
      </c>
      <c r="D27" s="149">
        <v>0.383531154809375</v>
      </c>
      <c r="E27" s="150">
        <v>4.8519600717695545E-2</v>
      </c>
      <c r="F27" s="151">
        <v>-0.61400000000000032</v>
      </c>
      <c r="G27" s="150">
        <v>0.15675474952932031</v>
      </c>
      <c r="H27" s="152">
        <v>0.4487000000000001</v>
      </c>
      <c r="I27" s="153">
        <v>2.98240926098347E-2</v>
      </c>
      <c r="J27" s="149">
        <v>1.363499999999999</v>
      </c>
      <c r="K27" s="154">
        <v>0.15031232151756588</v>
      </c>
      <c r="L27" s="149">
        <v>1.9774999999999994</v>
      </c>
      <c r="M27" s="154">
        <v>0.21373777508901001</v>
      </c>
      <c r="N27" s="151">
        <v>0.64406800147078802</v>
      </c>
      <c r="O27" s="150">
        <v>0.1164305361580259</v>
      </c>
      <c r="P27" s="152">
        <v>0.5986525193918304</v>
      </c>
      <c r="Q27" s="153">
        <v>0.12823167796354609</v>
      </c>
      <c r="R27" s="149">
        <v>0.17524271453375281</v>
      </c>
      <c r="S27" s="150">
        <v>0.16343795459278357</v>
      </c>
      <c r="T27" s="152">
        <v>0.12948180202974111</v>
      </c>
      <c r="U27" s="153">
        <v>0.11214313257218227</v>
      </c>
      <c r="V27" s="149">
        <v>-0.514586199441047</v>
      </c>
      <c r="W27" s="154">
        <v>0.15102243870275328</v>
      </c>
      <c r="X27" s="151">
        <v>0.4221812675630246</v>
      </c>
      <c r="Y27" s="150">
        <v>4.7940215155724684E-2</v>
      </c>
      <c r="Z27" s="152">
        <v>-0.51374588854924286</v>
      </c>
      <c r="AA27" s="153">
        <v>0.26070143601247592</v>
      </c>
      <c r="AB27" s="152" t="s">
        <v>34</v>
      </c>
      <c r="AC27" s="155" t="s">
        <v>34</v>
      </c>
      <c r="AD27" s="149">
        <v>-0.93592715611226751</v>
      </c>
      <c r="AE27" s="156">
        <v>0.26515154474453639</v>
      </c>
    </row>
    <row r="28" spans="1:32" s="105" customFormat="1" x14ac:dyDescent="0.25">
      <c r="A28" s="94" t="s">
        <v>214</v>
      </c>
      <c r="B28" s="95">
        <v>199</v>
      </c>
      <c r="C28" s="96">
        <v>91.797760009765625</v>
      </c>
      <c r="D28" s="149">
        <v>8.49861497305342E-2</v>
      </c>
      <c r="E28" s="150">
        <v>7.981009644551805E-2</v>
      </c>
      <c r="F28" s="151">
        <v>-1.2546999999999999</v>
      </c>
      <c r="G28" s="150">
        <v>0.55514002017509034</v>
      </c>
      <c r="H28" s="152">
        <v>-0.1027</v>
      </c>
      <c r="I28" s="153">
        <v>0.15907068397413773</v>
      </c>
      <c r="J28" s="149">
        <v>1.7323999999999991</v>
      </c>
      <c r="K28" s="154">
        <v>0.1362792317266277</v>
      </c>
      <c r="L28" s="149">
        <v>2.987099999999999</v>
      </c>
      <c r="M28" s="154">
        <v>0.56846959725213098</v>
      </c>
      <c r="N28" s="151">
        <v>0.13486094696319301</v>
      </c>
      <c r="O28" s="150">
        <v>0.17628276952396504</v>
      </c>
      <c r="P28" s="152">
        <v>0.21592636870472531</v>
      </c>
      <c r="Q28" s="153">
        <v>0.23508860413704927</v>
      </c>
      <c r="R28" s="149">
        <v>0.23630868462014301</v>
      </c>
      <c r="S28" s="150">
        <v>0.17519213826390961</v>
      </c>
      <c r="T28" s="152">
        <v>-0.24621411398098991</v>
      </c>
      <c r="U28" s="153">
        <v>0.17858909797748876</v>
      </c>
      <c r="V28" s="149">
        <v>-0.38107506094418292</v>
      </c>
      <c r="W28" s="154">
        <v>0.25099677157842509</v>
      </c>
      <c r="X28" s="151">
        <v>0.15528769918350011</v>
      </c>
      <c r="Y28" s="150">
        <v>8.0759539569718347E-2</v>
      </c>
      <c r="Z28" s="152" t="s">
        <v>34</v>
      </c>
      <c r="AA28" s="153" t="s">
        <v>34</v>
      </c>
      <c r="AB28" s="152">
        <v>-1.3445003894966261</v>
      </c>
      <c r="AC28" s="155">
        <v>0.24432965623090749</v>
      </c>
      <c r="AD28" s="149">
        <v>-1.4997880886801263</v>
      </c>
      <c r="AE28" s="156">
        <v>0.2588954972508527</v>
      </c>
    </row>
    <row r="29" spans="1:32" s="105" customFormat="1" x14ac:dyDescent="0.25">
      <c r="A29" s="94" t="s">
        <v>215</v>
      </c>
      <c r="B29" s="95">
        <v>161</v>
      </c>
      <c r="C29" s="96">
        <v>89.597335815429688</v>
      </c>
      <c r="D29" s="149">
        <v>6.3445077893796595E-2</v>
      </c>
      <c r="E29" s="150">
        <v>6.7240575800385463E-2</v>
      </c>
      <c r="F29" s="151">
        <v>-0.78280000000000005</v>
      </c>
      <c r="G29" s="150">
        <v>0.19132468999060173</v>
      </c>
      <c r="H29" s="152">
        <v>0.10769999999999991</v>
      </c>
      <c r="I29" s="153">
        <v>9.8946889794475162E-2</v>
      </c>
      <c r="J29" s="149">
        <v>0.90200000000000025</v>
      </c>
      <c r="K29" s="154">
        <v>0.12765418520361951</v>
      </c>
      <c r="L29" s="149">
        <v>1.6848000000000003</v>
      </c>
      <c r="M29" s="154">
        <v>0.22687219309558398</v>
      </c>
      <c r="N29" s="151">
        <v>0.19550088463395079</v>
      </c>
      <c r="O29" s="150">
        <v>0.11486419561149409</v>
      </c>
      <c r="P29" s="152">
        <v>8.8433707390473903E-2</v>
      </c>
      <c r="Q29" s="153">
        <v>0.15168792411524226</v>
      </c>
      <c r="R29" s="149">
        <v>5.4036003940550102E-2</v>
      </c>
      <c r="S29" s="150">
        <v>0.11070365945421126</v>
      </c>
      <c r="T29" s="152">
        <v>-8.6565147590373398E-2</v>
      </c>
      <c r="U29" s="153">
        <v>0.12615703363926178</v>
      </c>
      <c r="V29" s="149">
        <v>-0.28206603222432419</v>
      </c>
      <c r="W29" s="154">
        <v>0.17322841142485093</v>
      </c>
      <c r="X29" s="151">
        <v>0.15413549289750161</v>
      </c>
      <c r="Y29" s="150">
        <v>7.3718332642926959E-2</v>
      </c>
      <c r="Z29" s="152">
        <v>-0.29694105544178001</v>
      </c>
      <c r="AA29" s="153">
        <v>0.14681743112680137</v>
      </c>
      <c r="AB29" s="152" t="s">
        <v>34</v>
      </c>
      <c r="AC29" s="155" t="s">
        <v>34</v>
      </c>
      <c r="AD29" s="149">
        <v>-0.45107654833928162</v>
      </c>
      <c r="AE29" s="156">
        <v>0.15649918033422641</v>
      </c>
    </row>
    <row r="30" spans="1:32" s="105" customFormat="1" x14ac:dyDescent="0.25">
      <c r="A30" s="94" t="s">
        <v>216</v>
      </c>
      <c r="B30" s="95">
        <v>129</v>
      </c>
      <c r="C30" s="96">
        <v>98.818824768066406</v>
      </c>
      <c r="D30" s="149">
        <v>-0.29469421727552242</v>
      </c>
      <c r="E30" s="150">
        <v>4.7300161453140421E-3</v>
      </c>
      <c r="F30" s="151">
        <v>-1.4551000000000009</v>
      </c>
      <c r="G30" s="150" t="s">
        <v>35</v>
      </c>
      <c r="H30" s="152">
        <v>-0.1952999999999997</v>
      </c>
      <c r="I30" s="153" t="s">
        <v>35</v>
      </c>
      <c r="J30" s="149">
        <v>0.81789999999999996</v>
      </c>
      <c r="K30" s="154">
        <v>0.10006565094976388</v>
      </c>
      <c r="L30" s="149">
        <v>2.273000000000001</v>
      </c>
      <c r="M30" s="154">
        <v>0.10006565094976388</v>
      </c>
      <c r="N30" s="151">
        <v>-0.23422180411820079</v>
      </c>
      <c r="O30" s="150">
        <v>1.2545167618132161E-2</v>
      </c>
      <c r="P30" s="152">
        <v>-0.36097513718915508</v>
      </c>
      <c r="Q30" s="153">
        <v>8.0787474188915038E-3</v>
      </c>
      <c r="R30" s="149">
        <v>-0.19727056575148069</v>
      </c>
      <c r="S30" s="150">
        <v>7.2698963412679658E-3</v>
      </c>
      <c r="T30" s="152">
        <v>-0.38991608310393783</v>
      </c>
      <c r="U30" s="153">
        <v>5.048599799540348E-3</v>
      </c>
      <c r="V30" s="149">
        <v>-0.15569427898573701</v>
      </c>
      <c r="W30" s="154">
        <v>1.392281424584366E-2</v>
      </c>
      <c r="X30" s="151">
        <v>-0.26926028431685911</v>
      </c>
      <c r="Y30" s="150">
        <v>4.7551670636168369E-3</v>
      </c>
      <c r="Z30" s="152" t="s">
        <v>34</v>
      </c>
      <c r="AA30" s="153" t="s">
        <v>34</v>
      </c>
      <c r="AB30" s="152" t="s">
        <v>34</v>
      </c>
      <c r="AC30" s="155" t="s">
        <v>34</v>
      </c>
      <c r="AD30" s="149" t="s">
        <v>34</v>
      </c>
      <c r="AE30" s="156" t="s">
        <v>34</v>
      </c>
    </row>
    <row r="31" spans="1:32" s="105" customFormat="1" x14ac:dyDescent="0.25">
      <c r="A31" s="94" t="s">
        <v>217</v>
      </c>
      <c r="B31" s="95">
        <v>154</v>
      </c>
      <c r="C31" s="96">
        <v>98.035858154296875</v>
      </c>
      <c r="D31" s="149">
        <v>8.2664991943590393E-2</v>
      </c>
      <c r="E31" s="150">
        <v>7.4885627559379983E-2</v>
      </c>
      <c r="F31" s="151">
        <v>-1.4551000000000009</v>
      </c>
      <c r="G31" s="150" t="s">
        <v>35</v>
      </c>
      <c r="H31" s="152">
        <v>0.21</v>
      </c>
      <c r="I31" s="153">
        <v>7.676506692500179E-2</v>
      </c>
      <c r="J31" s="149">
        <v>1.1514</v>
      </c>
      <c r="K31" s="154">
        <v>0.17452716693970635</v>
      </c>
      <c r="L31" s="149">
        <v>2.6065000000000009</v>
      </c>
      <c r="M31" s="154">
        <v>0.17452716693970638</v>
      </c>
      <c r="N31" s="151">
        <v>0.39207492152235818</v>
      </c>
      <c r="O31" s="150">
        <v>0.15077345846398413</v>
      </c>
      <c r="P31" s="152">
        <v>3.08179389402033E-2</v>
      </c>
      <c r="Q31" s="153">
        <v>0.17117235789145738</v>
      </c>
      <c r="R31" s="149">
        <v>7.8090886438530502E-2</v>
      </c>
      <c r="S31" s="150">
        <v>0.17693849125375874</v>
      </c>
      <c r="T31" s="152">
        <v>-0.17214127219413811</v>
      </c>
      <c r="U31" s="153">
        <v>0.16310242803758856</v>
      </c>
      <c r="V31" s="149">
        <v>-0.56421619371649634</v>
      </c>
      <c r="W31" s="154">
        <v>0.22097000226555591</v>
      </c>
      <c r="X31" s="151" t="s">
        <v>34</v>
      </c>
      <c r="Y31" s="150" t="s">
        <v>34</v>
      </c>
      <c r="Z31" s="152" t="s">
        <v>34</v>
      </c>
      <c r="AA31" s="153" t="s">
        <v>34</v>
      </c>
      <c r="AB31" s="152" t="s">
        <v>34</v>
      </c>
      <c r="AC31" s="155" t="s">
        <v>34</v>
      </c>
      <c r="AD31" s="149" t="s">
        <v>34</v>
      </c>
      <c r="AE31" s="156" t="s">
        <v>34</v>
      </c>
    </row>
    <row r="32" spans="1:32" s="105" customFormat="1" x14ac:dyDescent="0.25">
      <c r="A32" s="94" t="s">
        <v>218</v>
      </c>
      <c r="B32" s="95">
        <v>163</v>
      </c>
      <c r="C32" s="96">
        <v>95.360801696777344</v>
      </c>
      <c r="D32" s="149">
        <v>0.30659159390634139</v>
      </c>
      <c r="E32" s="150">
        <v>8.9107442579445709E-2</v>
      </c>
      <c r="F32" s="151">
        <v>-1.4551000000000009</v>
      </c>
      <c r="G32" s="150" t="s">
        <v>35</v>
      </c>
      <c r="H32" s="152">
        <v>0.34660000000000041</v>
      </c>
      <c r="I32" s="153">
        <v>0.11217054649060051</v>
      </c>
      <c r="J32" s="149">
        <v>1.7591000000000021</v>
      </c>
      <c r="K32" s="154">
        <v>0.15632042253013495</v>
      </c>
      <c r="L32" s="149">
        <v>3.2142000000000031</v>
      </c>
      <c r="M32" s="154">
        <v>0.15632042253013509</v>
      </c>
      <c r="N32" s="151">
        <v>0.44380022510437822</v>
      </c>
      <c r="O32" s="150">
        <v>0.19025954459459946</v>
      </c>
      <c r="P32" s="152">
        <v>0.4687879962220029</v>
      </c>
      <c r="Q32" s="153">
        <v>0.19215738683577002</v>
      </c>
      <c r="R32" s="149">
        <v>0.57076491302929644</v>
      </c>
      <c r="S32" s="150">
        <v>0.23882857895189091</v>
      </c>
      <c r="T32" s="152">
        <v>-0.27576800765241538</v>
      </c>
      <c r="U32" s="153">
        <v>0.17292891301879235</v>
      </c>
      <c r="V32" s="149">
        <v>-0.7195682327567936</v>
      </c>
      <c r="W32" s="154">
        <v>0.27847010678774226</v>
      </c>
      <c r="X32" s="151">
        <v>0.30659159390634139</v>
      </c>
      <c r="Y32" s="150">
        <v>8.9107442579445709E-2</v>
      </c>
      <c r="Z32" s="152" t="s">
        <v>34</v>
      </c>
      <c r="AA32" s="153" t="s">
        <v>34</v>
      </c>
      <c r="AB32" s="152" t="s">
        <v>34</v>
      </c>
      <c r="AC32" s="155" t="s">
        <v>34</v>
      </c>
      <c r="AD32" s="149" t="s">
        <v>34</v>
      </c>
      <c r="AE32" s="156" t="s">
        <v>34</v>
      </c>
    </row>
    <row r="33" spans="1:31" s="105" customFormat="1" x14ac:dyDescent="0.25">
      <c r="A33" s="94" t="s">
        <v>219</v>
      </c>
      <c r="B33" s="95">
        <v>491</v>
      </c>
      <c r="C33" s="96">
        <v>94.403602600097656</v>
      </c>
      <c r="D33" s="149">
        <v>0.45920019949968172</v>
      </c>
      <c r="E33" s="150">
        <v>6.2118688892354307E-2</v>
      </c>
      <c r="F33" s="151">
        <v>-0.78280000000000027</v>
      </c>
      <c r="G33" s="150">
        <v>0.75379197694058853</v>
      </c>
      <c r="H33" s="152">
        <v>0.49910000000000021</v>
      </c>
      <c r="I33" s="153">
        <v>0.14141737163446361</v>
      </c>
      <c r="J33" s="149">
        <v>1.5598000000000001</v>
      </c>
      <c r="K33" s="154">
        <v>0.10893456522151201</v>
      </c>
      <c r="L33" s="149">
        <v>2.3426000000000005</v>
      </c>
      <c r="M33" s="154">
        <v>0.77448353888252519</v>
      </c>
      <c r="N33" s="151">
        <v>0.50634252752863562</v>
      </c>
      <c r="O33" s="150">
        <v>0.15904311274774782</v>
      </c>
      <c r="P33" s="152">
        <v>0.49551010446073862</v>
      </c>
      <c r="Q33" s="153">
        <v>0.15932115987557954</v>
      </c>
      <c r="R33" s="149">
        <v>0.35613305598075318</v>
      </c>
      <c r="S33" s="150">
        <v>0.15182203926339033</v>
      </c>
      <c r="T33" s="152">
        <v>0.48549666603891428</v>
      </c>
      <c r="U33" s="153">
        <v>8.5015106855403824E-2</v>
      </c>
      <c r="V33" s="149">
        <v>-2.0845861489721298E-2</v>
      </c>
      <c r="W33" s="154">
        <v>0.1783439047753102</v>
      </c>
      <c r="X33" s="151">
        <v>0.48846906026906972</v>
      </c>
      <c r="Y33" s="150">
        <v>6.3910046449114327E-2</v>
      </c>
      <c r="Z33" s="152">
        <v>-0.42523198580004401</v>
      </c>
      <c r="AA33" s="153">
        <v>0.46964345040564559</v>
      </c>
      <c r="AB33" s="152">
        <v>-0.30096222344043427</v>
      </c>
      <c r="AC33" s="155">
        <v>0.22665945529237921</v>
      </c>
      <c r="AD33" s="149">
        <v>-0.84052556884808871</v>
      </c>
      <c r="AE33" s="156">
        <v>0.25223168290677467</v>
      </c>
    </row>
    <row r="34" spans="1:31" s="105" customFormat="1" x14ac:dyDescent="0.25">
      <c r="A34" s="94" t="s">
        <v>220</v>
      </c>
      <c r="B34" s="95">
        <v>183</v>
      </c>
      <c r="C34" s="96">
        <v>100</v>
      </c>
      <c r="D34" s="149">
        <v>0.92834176829244719</v>
      </c>
      <c r="E34" s="150">
        <v>5.8049105989389733E-2</v>
      </c>
      <c r="F34" s="151">
        <v>-0.14030000000000001</v>
      </c>
      <c r="G34" s="150">
        <v>0.12104284985078634</v>
      </c>
      <c r="H34" s="152">
        <v>1.021000000000001</v>
      </c>
      <c r="I34" s="153">
        <v>5.3866780115391158E-2</v>
      </c>
      <c r="J34" s="149">
        <v>1.886299999999999</v>
      </c>
      <c r="K34" s="154" t="s">
        <v>35</v>
      </c>
      <c r="L34" s="149">
        <v>2.0265999999999988</v>
      </c>
      <c r="M34" s="154">
        <v>0.12104284985078628</v>
      </c>
      <c r="N34" s="151">
        <v>1.109701891773563</v>
      </c>
      <c r="O34" s="150">
        <v>0.11054687606525797</v>
      </c>
      <c r="P34" s="152">
        <v>0.98287115970997341</v>
      </c>
      <c r="Q34" s="153">
        <v>0.10818420920070551</v>
      </c>
      <c r="R34" s="149">
        <v>0.84113871318447886</v>
      </c>
      <c r="S34" s="150">
        <v>0.15770844287746041</v>
      </c>
      <c r="T34" s="152">
        <v>0.78695468988373185</v>
      </c>
      <c r="U34" s="153">
        <v>0.11284865019283805</v>
      </c>
      <c r="V34" s="149">
        <v>-0.32274720188983141</v>
      </c>
      <c r="W34" s="154">
        <v>0.15382549453364464</v>
      </c>
      <c r="X34" s="151">
        <v>0.97742987307844176</v>
      </c>
      <c r="Y34" s="150">
        <v>6.7707085758426655E-2</v>
      </c>
      <c r="Z34" s="152">
        <v>0.80143891365331033</v>
      </c>
      <c r="AA34" s="153">
        <v>0.13475790756273093</v>
      </c>
      <c r="AB34" s="152">
        <v>0.83546156158042895</v>
      </c>
      <c r="AC34" s="155">
        <v>0.1093784369230538</v>
      </c>
      <c r="AD34" s="149">
        <v>-0.14562777556089579</v>
      </c>
      <c r="AE34" s="156">
        <v>0.11173522461200538</v>
      </c>
    </row>
    <row r="35" spans="1:31" s="105" customFormat="1" x14ac:dyDescent="0.25">
      <c r="A35" s="94" t="s">
        <v>221</v>
      </c>
      <c r="B35" s="95">
        <v>153</v>
      </c>
      <c r="C35" s="96">
        <v>83.323898315429688</v>
      </c>
      <c r="D35" s="149">
        <v>0.18296848215884981</v>
      </c>
      <c r="E35" s="150">
        <v>7.0270185122890502E-2</v>
      </c>
      <c r="F35" s="151">
        <v>-1.4551000000000009</v>
      </c>
      <c r="G35" s="150">
        <v>0.1503308501273109</v>
      </c>
      <c r="H35" s="152">
        <v>0.29640000000000022</v>
      </c>
      <c r="I35" s="153">
        <v>0.16569400109841009</v>
      </c>
      <c r="J35" s="149">
        <v>1.081499999999999</v>
      </c>
      <c r="K35" s="154">
        <v>3.1707317767354255E-2</v>
      </c>
      <c r="L35" s="149">
        <v>2.5366</v>
      </c>
      <c r="M35" s="154">
        <v>0.15518392796936131</v>
      </c>
      <c r="N35" s="151">
        <v>0.38602760212821441</v>
      </c>
      <c r="O35" s="150">
        <v>0.15223299088806591</v>
      </c>
      <c r="P35" s="152">
        <v>0.17955910407754061</v>
      </c>
      <c r="Q35" s="153">
        <v>0.15203890530709666</v>
      </c>
      <c r="R35" s="149">
        <v>0.21314076066020821</v>
      </c>
      <c r="S35" s="150">
        <v>0.17974706252580674</v>
      </c>
      <c r="T35" s="152">
        <v>-3.6597519986839001E-2</v>
      </c>
      <c r="U35" s="153">
        <v>0.17441142814390642</v>
      </c>
      <c r="V35" s="149">
        <v>-0.42262512211505338</v>
      </c>
      <c r="W35" s="154">
        <v>0.24679546388630175</v>
      </c>
      <c r="X35" s="151">
        <v>0.19803855820680191</v>
      </c>
      <c r="Y35" s="150">
        <v>8.3346118562873314E-2</v>
      </c>
      <c r="Z35" s="152">
        <v>0.20785784235707949</v>
      </c>
      <c r="AA35" s="153">
        <v>0.13446419269822546</v>
      </c>
      <c r="AB35" s="152">
        <v>-0.1011996858382247</v>
      </c>
      <c r="AC35" s="155">
        <v>0.31181319054025897</v>
      </c>
      <c r="AD35" s="149">
        <v>-3.5360023933269313E-2</v>
      </c>
      <c r="AE35" s="156">
        <v>0.14946795477694735</v>
      </c>
    </row>
    <row r="36" spans="1:31" s="105" customFormat="1" x14ac:dyDescent="0.25">
      <c r="A36" s="94" t="s">
        <v>222</v>
      </c>
      <c r="B36" s="95">
        <v>290</v>
      </c>
      <c r="C36" s="96">
        <v>94.009735107421875</v>
      </c>
      <c r="D36" s="149">
        <v>-0.14420855704177729</v>
      </c>
      <c r="E36" s="150">
        <v>4.3854312575071136E-2</v>
      </c>
      <c r="F36" s="151">
        <v>-1.4551000000000009</v>
      </c>
      <c r="G36" s="150">
        <v>3.9720546451956367E-16</v>
      </c>
      <c r="H36" s="152">
        <v>-0.19529999999999989</v>
      </c>
      <c r="I36" s="153">
        <v>0.1103027628847076</v>
      </c>
      <c r="J36" s="149">
        <v>0.82419999999999982</v>
      </c>
      <c r="K36" s="154">
        <v>5.3200192668823747E-2</v>
      </c>
      <c r="L36" s="149">
        <v>2.279300000000001</v>
      </c>
      <c r="M36" s="154">
        <v>5.3200192668823983E-2</v>
      </c>
      <c r="N36" s="151">
        <v>-0.13203862380636469</v>
      </c>
      <c r="O36" s="150">
        <v>9.2815558156486275E-2</v>
      </c>
      <c r="P36" s="152">
        <v>-0.21991356598131581</v>
      </c>
      <c r="Q36" s="153">
        <v>9.8997103639470271E-2</v>
      </c>
      <c r="R36" s="149">
        <v>-0.15163773372349351</v>
      </c>
      <c r="S36" s="150">
        <v>9.8205618044396287E-2</v>
      </c>
      <c r="T36" s="152">
        <v>-7.1166606041936906E-2</v>
      </c>
      <c r="U36" s="153">
        <v>4.9323372195521221E-2</v>
      </c>
      <c r="V36" s="149">
        <v>6.0872017764427903E-2</v>
      </c>
      <c r="W36" s="154">
        <v>0.10515251195796053</v>
      </c>
      <c r="X36" s="151">
        <v>-0.14588417265266859</v>
      </c>
      <c r="Y36" s="150">
        <v>4.4304248082863693E-2</v>
      </c>
      <c r="Z36" s="152" t="s">
        <v>34</v>
      </c>
      <c r="AA36" s="153" t="s">
        <v>34</v>
      </c>
      <c r="AB36" s="152" t="s">
        <v>34</v>
      </c>
      <c r="AC36" s="155" t="s">
        <v>34</v>
      </c>
      <c r="AD36" s="149" t="s">
        <v>34</v>
      </c>
      <c r="AE36" s="156" t="s">
        <v>34</v>
      </c>
    </row>
    <row r="37" spans="1:31" s="105" customFormat="1" x14ac:dyDescent="0.25">
      <c r="A37" s="94" t="s">
        <v>223</v>
      </c>
      <c r="B37" s="95">
        <v>361</v>
      </c>
      <c r="C37" s="96">
        <v>99.794486999511719</v>
      </c>
      <c r="D37" s="149">
        <v>-0.4544676165215451</v>
      </c>
      <c r="E37" s="150">
        <v>2.9708776132683586E-2</v>
      </c>
      <c r="F37" s="151">
        <v>-1.4551000000000009</v>
      </c>
      <c r="G37" s="150" t="s">
        <v>35</v>
      </c>
      <c r="H37" s="152">
        <v>-0.31630000000000003</v>
      </c>
      <c r="I37" s="153">
        <v>6.1742011629035851E-2</v>
      </c>
      <c r="J37" s="149">
        <v>0.53100000000000025</v>
      </c>
      <c r="K37" s="154">
        <v>5.3435596749732327E-2</v>
      </c>
      <c r="L37" s="149">
        <v>1.9861000000000013</v>
      </c>
      <c r="M37" s="154">
        <v>5.3435596749732306E-2</v>
      </c>
      <c r="N37" s="151">
        <v>-0.57827306320153649</v>
      </c>
      <c r="O37" s="150">
        <v>6.5089330329335671E-2</v>
      </c>
      <c r="P37" s="152">
        <v>-0.416304846635624</v>
      </c>
      <c r="Q37" s="153">
        <v>9.4218755253682882E-2</v>
      </c>
      <c r="R37" s="149">
        <v>-0.55514657620694052</v>
      </c>
      <c r="S37" s="150">
        <v>9.7057025175720207E-2</v>
      </c>
      <c r="T37" s="152">
        <v>-0.26843507932534039</v>
      </c>
      <c r="U37" s="153">
        <v>2.9310997261791837E-2</v>
      </c>
      <c r="V37" s="149">
        <v>0.3098379838761961</v>
      </c>
      <c r="W37" s="154">
        <v>7.1311439103031921E-2</v>
      </c>
      <c r="X37" s="151">
        <v>-0.46701080137314183</v>
      </c>
      <c r="Y37" s="150">
        <v>3.0624538789485605E-2</v>
      </c>
      <c r="Z37" s="152">
        <v>8.7854230051912605E-2</v>
      </c>
      <c r="AA37" s="153">
        <v>0.11629452696267999</v>
      </c>
      <c r="AB37" s="152" t="s">
        <v>34</v>
      </c>
      <c r="AC37" s="155" t="s">
        <v>34</v>
      </c>
      <c r="AD37" s="149">
        <v>0.55486503142505439</v>
      </c>
      <c r="AE37" s="156">
        <v>0.12081321193940975</v>
      </c>
    </row>
    <row r="38" spans="1:31" s="105" customFormat="1" x14ac:dyDescent="0.25">
      <c r="A38" s="94" t="s">
        <v>224</v>
      </c>
      <c r="B38" s="95">
        <v>43</v>
      </c>
      <c r="C38" s="96">
        <v>96.65936279296875</v>
      </c>
      <c r="D38" s="149">
        <v>0.25787958658656762</v>
      </c>
      <c r="E38" s="150">
        <v>1.6025191648881415E-3</v>
      </c>
      <c r="F38" s="151">
        <v>-1.5765000000000009</v>
      </c>
      <c r="G38" s="150" t="s">
        <v>35</v>
      </c>
      <c r="H38" s="152">
        <v>0.21359999999999971</v>
      </c>
      <c r="I38" s="153" t="s">
        <v>35</v>
      </c>
      <c r="J38" s="149">
        <v>1.4765999999999979</v>
      </c>
      <c r="K38" s="154" t="s">
        <v>35</v>
      </c>
      <c r="L38" s="149">
        <v>3.0530999999999988</v>
      </c>
      <c r="M38" s="154" t="s">
        <v>35</v>
      </c>
      <c r="N38" s="151">
        <v>0.45117536078200182</v>
      </c>
      <c r="O38" s="150">
        <v>4.5547135977700307E-3</v>
      </c>
      <c r="P38" s="152">
        <v>0.5077027709943841</v>
      </c>
      <c r="Q38" s="153">
        <v>1.6906443444765727E-3</v>
      </c>
      <c r="R38" s="149">
        <v>0.4335904799847527</v>
      </c>
      <c r="S38" s="150">
        <v>2.3379866838385936E-3</v>
      </c>
      <c r="T38" s="152">
        <v>-0.41437531151029577</v>
      </c>
      <c r="U38" s="153">
        <v>2.8891965968730273E-3</v>
      </c>
      <c r="V38" s="149">
        <v>-0.86555067229229765</v>
      </c>
      <c r="W38" s="154">
        <v>5.2690698028582846E-3</v>
      </c>
      <c r="X38" s="151">
        <v>0.49467511730383051</v>
      </c>
      <c r="Y38" s="150">
        <v>1.4296181310377457E-3</v>
      </c>
      <c r="Z38" s="152">
        <v>-0.3545699306725591</v>
      </c>
      <c r="AA38" s="153">
        <v>4.768817594647784E-3</v>
      </c>
      <c r="AB38" s="152" t="s">
        <v>34</v>
      </c>
      <c r="AC38" s="155" t="s">
        <v>34</v>
      </c>
      <c r="AD38" s="149">
        <v>-0.84924504797638956</v>
      </c>
      <c r="AE38" s="156">
        <v>4.5845531308028502E-3</v>
      </c>
    </row>
    <row r="39" spans="1:31" s="105" customFormat="1" x14ac:dyDescent="0.25">
      <c r="A39" s="94" t="s">
        <v>225</v>
      </c>
      <c r="B39" s="95">
        <v>206</v>
      </c>
      <c r="C39" s="96">
        <v>77.583839416503906</v>
      </c>
      <c r="D39" s="149">
        <v>9.4618136788383999E-3</v>
      </c>
      <c r="E39" s="150">
        <v>6.3296495123152927E-2</v>
      </c>
      <c r="F39" s="151">
        <v>-1.4551000000000009</v>
      </c>
      <c r="G39" s="150" t="s">
        <v>35</v>
      </c>
      <c r="H39" s="152">
        <v>9.8599999999999896E-2</v>
      </c>
      <c r="I39" s="153">
        <v>0.11651897699516582</v>
      </c>
      <c r="J39" s="149">
        <v>1.2657</v>
      </c>
      <c r="K39" s="154">
        <v>0.16227873551393024</v>
      </c>
      <c r="L39" s="149">
        <v>2.720800000000001</v>
      </c>
      <c r="M39" s="154">
        <v>0.16227873551393024</v>
      </c>
      <c r="N39" s="151">
        <v>-1.49005933851267E-2</v>
      </c>
      <c r="O39" s="150">
        <v>0.15501921172574548</v>
      </c>
      <c r="P39" s="152">
        <v>0.11718451260036949</v>
      </c>
      <c r="Q39" s="153">
        <v>0.13888973095895832</v>
      </c>
      <c r="R39" s="149">
        <v>0.32885159031100952</v>
      </c>
      <c r="S39" s="150">
        <v>0.18775384203120588</v>
      </c>
      <c r="T39" s="152">
        <v>-0.39570969692391872</v>
      </c>
      <c r="U39" s="153">
        <v>0.15451881311282198</v>
      </c>
      <c r="V39" s="149">
        <v>-0.38080910353879199</v>
      </c>
      <c r="W39" s="154">
        <v>0.21763123068341089</v>
      </c>
      <c r="X39" s="151">
        <v>0.1564505394001823</v>
      </c>
      <c r="Y39" s="150">
        <v>7.3954615270408516E-2</v>
      </c>
      <c r="Z39" s="152" t="s">
        <v>34</v>
      </c>
      <c r="AA39" s="153" t="s">
        <v>34</v>
      </c>
      <c r="AB39" s="152">
        <v>-0.97663608417475911</v>
      </c>
      <c r="AC39" s="155">
        <v>8.1227416339477887E-2</v>
      </c>
      <c r="AD39" s="149">
        <v>-1.1330866235749415</v>
      </c>
      <c r="AE39" s="156">
        <v>0.12152411412307702</v>
      </c>
    </row>
    <row r="40" spans="1:31" s="105" customFormat="1" x14ac:dyDescent="0.25">
      <c r="A40" s="94" t="s">
        <v>300</v>
      </c>
      <c r="B40" s="95">
        <v>145</v>
      </c>
      <c r="C40" s="96">
        <v>93.125473022460938</v>
      </c>
      <c r="D40" s="149">
        <v>2.0798269004428899E-2</v>
      </c>
      <c r="E40" s="150">
        <v>6.3665962191463768E-2</v>
      </c>
      <c r="F40" s="151">
        <v>-1.4551000000000009</v>
      </c>
      <c r="G40" s="150">
        <v>0.87657195540354815</v>
      </c>
      <c r="H40" s="152">
        <v>0.1757</v>
      </c>
      <c r="I40" s="153">
        <v>0.19424173470189152</v>
      </c>
      <c r="J40" s="149">
        <v>0.82420000000000038</v>
      </c>
      <c r="K40" s="154">
        <v>0.13298602934143086</v>
      </c>
      <c r="L40" s="149">
        <v>2.2793000000000014</v>
      </c>
      <c r="M40" s="154">
        <v>0.83001388542602206</v>
      </c>
      <c r="N40" s="151">
        <v>7.64789891035009E-2</v>
      </c>
      <c r="O40" s="150">
        <v>0.16346076300203635</v>
      </c>
      <c r="P40" s="152">
        <v>7.6796699114501099E-2</v>
      </c>
      <c r="Q40" s="153">
        <v>0.12965392845920332</v>
      </c>
      <c r="R40" s="149">
        <v>-5.3111675779232301E-2</v>
      </c>
      <c r="S40" s="150">
        <v>0.14608280695301731</v>
      </c>
      <c r="T40" s="152">
        <v>-1.30949787971682E-2</v>
      </c>
      <c r="U40" s="153">
        <v>0.12789029482646991</v>
      </c>
      <c r="V40" s="149">
        <v>-8.9573967900669099E-2</v>
      </c>
      <c r="W40" s="154">
        <v>0.20351855072344396</v>
      </c>
      <c r="X40" s="151">
        <v>8.9038682529379003E-3</v>
      </c>
      <c r="Y40" s="150">
        <v>0.11419504801489126</v>
      </c>
      <c r="Z40" s="152">
        <v>3.0452523089506699E-2</v>
      </c>
      <c r="AA40" s="153">
        <v>8.1236126078074927E-2</v>
      </c>
      <c r="AB40" s="152" t="s">
        <v>34</v>
      </c>
      <c r="AC40" s="155" t="s">
        <v>34</v>
      </c>
      <c r="AD40" s="149">
        <v>2.1548654836568801E-2</v>
      </c>
      <c r="AE40" s="156">
        <v>0.1443679473261924</v>
      </c>
    </row>
    <row r="41" spans="1:31" s="105" customFormat="1" x14ac:dyDescent="0.25">
      <c r="A41" s="94" t="s">
        <v>226</v>
      </c>
      <c r="B41" s="95">
        <v>184</v>
      </c>
      <c r="C41" s="96">
        <v>96.0885009765625</v>
      </c>
      <c r="D41" s="149">
        <v>-4.8752454138574097E-2</v>
      </c>
      <c r="E41" s="150">
        <v>5.0579796828285166E-2</v>
      </c>
      <c r="F41" s="151">
        <v>-1.4551000000000009</v>
      </c>
      <c r="G41" s="150" t="s">
        <v>35</v>
      </c>
      <c r="H41" s="152">
        <v>0.18249999999999991</v>
      </c>
      <c r="I41" s="153">
        <v>0.14802322959589817</v>
      </c>
      <c r="J41" s="149">
        <v>0.83709999999999962</v>
      </c>
      <c r="K41" s="154">
        <v>0.10856221027595227</v>
      </c>
      <c r="L41" s="149">
        <v>2.2922000000000007</v>
      </c>
      <c r="M41" s="154">
        <v>0.10856221027595216</v>
      </c>
      <c r="N41" s="151">
        <v>0.30713496442536742</v>
      </c>
      <c r="O41" s="150">
        <v>0.12107372668930171</v>
      </c>
      <c r="P41" s="152">
        <v>-8.1246828998615003E-2</v>
      </c>
      <c r="Q41" s="153">
        <v>0.14544439697017567</v>
      </c>
      <c r="R41" s="149">
        <v>-1.8728620580227E-2</v>
      </c>
      <c r="S41" s="150">
        <v>0.11343008425438952</v>
      </c>
      <c r="T41" s="152">
        <v>-0.41113763120962687</v>
      </c>
      <c r="U41" s="153">
        <v>0.10626141911411617</v>
      </c>
      <c r="V41" s="149">
        <v>-0.71827259563499424</v>
      </c>
      <c r="W41" s="154">
        <v>0.15604119542649642</v>
      </c>
      <c r="X41" s="151">
        <v>2.8876737983214801E-2</v>
      </c>
      <c r="Y41" s="150">
        <v>5.3390683517612274E-2</v>
      </c>
      <c r="Z41" s="152" t="s">
        <v>34</v>
      </c>
      <c r="AA41" s="153" t="s">
        <v>34</v>
      </c>
      <c r="AB41" s="152">
        <v>-1.2575007101602389</v>
      </c>
      <c r="AC41" s="155">
        <v>5.4757824687827694E-2</v>
      </c>
      <c r="AD41" s="149">
        <v>-1.2863774481434538</v>
      </c>
      <c r="AE41" s="156">
        <v>7.5881095830138898E-2</v>
      </c>
    </row>
    <row r="42" spans="1:31" s="105" customFormat="1" x14ac:dyDescent="0.25">
      <c r="A42" s="94" t="s">
        <v>227</v>
      </c>
      <c r="B42" s="95">
        <v>243</v>
      </c>
      <c r="C42" s="96">
        <v>97.620384216308594</v>
      </c>
      <c r="D42" s="149">
        <v>-0.37826172365374777</v>
      </c>
      <c r="E42" s="150">
        <v>5.7509126465622264E-2</v>
      </c>
      <c r="F42" s="151">
        <v>-1.4551000000000009</v>
      </c>
      <c r="G42" s="150" t="s">
        <v>35</v>
      </c>
      <c r="H42" s="152">
        <v>-0.31630000000000003</v>
      </c>
      <c r="I42" s="153">
        <v>5.6465161825677991E-2</v>
      </c>
      <c r="J42" s="149">
        <v>0.65510000000000046</v>
      </c>
      <c r="K42" s="154">
        <v>8.5388023164844729E-2</v>
      </c>
      <c r="L42" s="149">
        <v>2.1102000000000016</v>
      </c>
      <c r="M42" s="154">
        <v>8.5388023164844853E-2</v>
      </c>
      <c r="N42" s="151">
        <v>-0.17347424069289891</v>
      </c>
      <c r="O42" s="150">
        <v>0.12848380403255746</v>
      </c>
      <c r="P42" s="152">
        <v>-0.39902774668265861</v>
      </c>
      <c r="Q42" s="153">
        <v>0.12416526680889797</v>
      </c>
      <c r="R42" s="149">
        <v>-0.44396055452224581</v>
      </c>
      <c r="S42" s="150">
        <v>0.12125357053597879</v>
      </c>
      <c r="T42" s="152">
        <v>-0.49806016688180532</v>
      </c>
      <c r="U42" s="153">
        <v>0.1403227515468817</v>
      </c>
      <c r="V42" s="149">
        <v>-0.32458592618890642</v>
      </c>
      <c r="W42" s="154">
        <v>0.19523130120720367</v>
      </c>
      <c r="X42" s="151" t="s">
        <v>36</v>
      </c>
      <c r="Y42" s="150" t="s">
        <v>36</v>
      </c>
      <c r="Z42" s="152" t="s">
        <v>36</v>
      </c>
      <c r="AA42" s="153" t="s">
        <v>36</v>
      </c>
      <c r="AB42" s="152" t="s">
        <v>36</v>
      </c>
      <c r="AC42" s="155" t="s">
        <v>36</v>
      </c>
      <c r="AD42" s="149" t="s">
        <v>36</v>
      </c>
      <c r="AE42" s="156" t="s">
        <v>36</v>
      </c>
    </row>
    <row r="43" spans="1:31" s="105" customFormat="1" x14ac:dyDescent="0.25">
      <c r="A43" s="94" t="s">
        <v>228</v>
      </c>
      <c r="B43" s="95">
        <v>229</v>
      </c>
      <c r="C43" s="96">
        <v>98.568817138671875</v>
      </c>
      <c r="D43" s="149">
        <v>-1.013881891953287</v>
      </c>
      <c r="E43" s="150">
        <v>5.2601328307231965E-2</v>
      </c>
      <c r="F43" s="151">
        <v>-1.4551000000000009</v>
      </c>
      <c r="G43" s="150" t="s">
        <v>35</v>
      </c>
      <c r="H43" s="152">
        <v>-1.4551000000000009</v>
      </c>
      <c r="I43" s="153" t="s">
        <v>35</v>
      </c>
      <c r="J43" s="149">
        <v>0.1893</v>
      </c>
      <c r="K43" s="154">
        <v>0.1560904577480636</v>
      </c>
      <c r="L43" s="149">
        <v>1.644400000000001</v>
      </c>
      <c r="M43" s="154">
        <v>0.1560904577480636</v>
      </c>
      <c r="N43" s="151">
        <v>-1.0436187493166531</v>
      </c>
      <c r="O43" s="150">
        <v>0.1107330789132227</v>
      </c>
      <c r="P43" s="152">
        <v>-0.74256117625081552</v>
      </c>
      <c r="Q43" s="153">
        <v>0.14295876911632474</v>
      </c>
      <c r="R43" s="149">
        <v>-1.2546924414846381</v>
      </c>
      <c r="S43" s="150">
        <v>6.9113442930400198E-2</v>
      </c>
      <c r="T43" s="152">
        <v>-1.0013274990252781</v>
      </c>
      <c r="U43" s="153">
        <v>0.10374998756337628</v>
      </c>
      <c r="V43" s="149">
        <v>4.2291250291375003E-2</v>
      </c>
      <c r="W43" s="154">
        <v>0.13944187070215963</v>
      </c>
      <c r="X43" s="151">
        <v>-1.013548368236266</v>
      </c>
      <c r="Y43" s="150">
        <v>5.4420860099632776E-2</v>
      </c>
      <c r="Z43" s="152">
        <v>-1.107398352056554</v>
      </c>
      <c r="AA43" s="153">
        <v>0.1624771732762452</v>
      </c>
      <c r="AB43" s="152" t="s">
        <v>34</v>
      </c>
      <c r="AC43" s="155" t="s">
        <v>34</v>
      </c>
      <c r="AD43" s="149">
        <v>-9.3849983820287974E-2</v>
      </c>
      <c r="AE43" s="156">
        <v>0.16922595551434699</v>
      </c>
    </row>
    <row r="44" spans="1:31" s="105" customFormat="1" x14ac:dyDescent="0.25">
      <c r="A44" s="94" t="s">
        <v>301</v>
      </c>
      <c r="B44" s="95">
        <v>231</v>
      </c>
      <c r="C44" s="96">
        <v>87.573524475097656</v>
      </c>
      <c r="D44" s="149">
        <v>0.82394072076266378</v>
      </c>
      <c r="E44" s="150">
        <v>6.3457682537504015E-2</v>
      </c>
      <c r="F44" s="151">
        <v>-0.32650000000000012</v>
      </c>
      <c r="G44" s="150">
        <v>0.38982763178102203</v>
      </c>
      <c r="H44" s="152">
        <v>0.83709999999999962</v>
      </c>
      <c r="I44" s="153">
        <v>9.647729007388281E-2</v>
      </c>
      <c r="J44" s="149">
        <v>1.8720000000000001</v>
      </c>
      <c r="K44" s="154">
        <v>8.9084852808993545E-2</v>
      </c>
      <c r="L44" s="149">
        <v>2.1985000000000001</v>
      </c>
      <c r="M44" s="154">
        <v>0.38951450229741114</v>
      </c>
      <c r="N44" s="151">
        <v>0.60059060387903962</v>
      </c>
      <c r="O44" s="150">
        <v>0.15177775439271823</v>
      </c>
      <c r="P44" s="152">
        <v>1.249884276686088</v>
      </c>
      <c r="Q44" s="153">
        <v>0.13100907181404933</v>
      </c>
      <c r="R44" s="149">
        <v>0.81680580098452349</v>
      </c>
      <c r="S44" s="150">
        <v>0.13946410049048741</v>
      </c>
      <c r="T44" s="152">
        <v>0.62982231772702002</v>
      </c>
      <c r="U44" s="153">
        <v>0.15787747609937197</v>
      </c>
      <c r="V44" s="149">
        <v>2.9231713847980401E-2</v>
      </c>
      <c r="W44" s="154">
        <v>0.22059928365224782</v>
      </c>
      <c r="X44" s="151">
        <v>1.0368157464971179</v>
      </c>
      <c r="Y44" s="150">
        <v>6.1314249966915577E-2</v>
      </c>
      <c r="Z44" s="152">
        <v>-0.359906532318849</v>
      </c>
      <c r="AA44" s="153">
        <v>0.16065446868447186</v>
      </c>
      <c r="AB44" s="152">
        <v>-0.32746504073863009</v>
      </c>
      <c r="AC44" s="155">
        <v>0.2696588172867177</v>
      </c>
      <c r="AD44" s="149">
        <v>-1.3801663212103543</v>
      </c>
      <c r="AE44" s="156">
        <v>0.17105011963257477</v>
      </c>
    </row>
    <row r="45" spans="1:31" s="105" customFormat="1" x14ac:dyDescent="0.25">
      <c r="A45" s="94" t="s">
        <v>229</v>
      </c>
      <c r="B45" s="95">
        <v>349</v>
      </c>
      <c r="C45" s="96">
        <v>93.001914978027344</v>
      </c>
      <c r="D45" s="149">
        <v>-0.52641977443681531</v>
      </c>
      <c r="E45" s="150">
        <v>4.5047362650949101E-2</v>
      </c>
      <c r="F45" s="151">
        <v>-1.4551000000000009</v>
      </c>
      <c r="G45" s="150" t="s">
        <v>35</v>
      </c>
      <c r="H45" s="152">
        <v>-0.58689999999999998</v>
      </c>
      <c r="I45" s="153">
        <v>3.8801295081479024E-2</v>
      </c>
      <c r="J45" s="149">
        <v>0.69240000000000002</v>
      </c>
      <c r="K45" s="154">
        <v>0.1608340853177582</v>
      </c>
      <c r="L45" s="149">
        <v>2.1475000000000009</v>
      </c>
      <c r="M45" s="154">
        <v>0.16083408531775845</v>
      </c>
      <c r="N45" s="151">
        <v>-0.36778490155750337</v>
      </c>
      <c r="O45" s="150">
        <v>0.10397575826811033</v>
      </c>
      <c r="P45" s="152">
        <v>-0.42338988805130062</v>
      </c>
      <c r="Q45" s="153">
        <v>0.12539270564495741</v>
      </c>
      <c r="R45" s="149">
        <v>-0.56186917154101845</v>
      </c>
      <c r="S45" s="150">
        <v>0.13974912642200474</v>
      </c>
      <c r="T45" s="152">
        <v>-0.76749846445659364</v>
      </c>
      <c r="U45" s="153">
        <v>0.1170089580021558</v>
      </c>
      <c r="V45" s="149">
        <v>-0.39971356289909021</v>
      </c>
      <c r="W45" s="154">
        <v>0.16346608529604886</v>
      </c>
      <c r="X45" s="151">
        <v>-0.55280710644813913</v>
      </c>
      <c r="Y45" s="150">
        <v>4.640652882101013E-2</v>
      </c>
      <c r="Z45" s="152">
        <v>-0.32891644074693022</v>
      </c>
      <c r="AA45" s="153">
        <v>0.15991992672194474</v>
      </c>
      <c r="AB45" s="152" t="s">
        <v>34</v>
      </c>
      <c r="AC45" s="155" t="s">
        <v>34</v>
      </c>
      <c r="AD45" s="149">
        <v>0.22389066570120891</v>
      </c>
      <c r="AE45" s="156">
        <v>0.16665750549086114</v>
      </c>
    </row>
    <row r="46" spans="1:31" s="105" customFormat="1" x14ac:dyDescent="0.25">
      <c r="A46" s="94" t="s">
        <v>230</v>
      </c>
      <c r="B46" s="95">
        <v>276</v>
      </c>
      <c r="C46" s="96">
        <v>87.400062561035156</v>
      </c>
      <c r="D46" s="149">
        <v>-0.17324638080019131</v>
      </c>
      <c r="E46" s="150">
        <v>2.383650719103968E-3</v>
      </c>
      <c r="F46" s="151">
        <v>-1.4551000000000009</v>
      </c>
      <c r="G46" s="150" t="s">
        <v>35</v>
      </c>
      <c r="H46" s="152">
        <v>-7.1900000000000006E-2</v>
      </c>
      <c r="I46" s="153" t="s">
        <v>35</v>
      </c>
      <c r="J46" s="149">
        <v>0.92849999999999977</v>
      </c>
      <c r="K46" s="154">
        <v>6.2296869905317589E-3</v>
      </c>
      <c r="L46" s="149">
        <v>2.3836000000000008</v>
      </c>
      <c r="M46" s="154">
        <v>6.2296869905317936E-3</v>
      </c>
      <c r="N46" s="151">
        <v>1.0268399645456E-3</v>
      </c>
      <c r="O46" s="150">
        <v>7.1786652797068765E-3</v>
      </c>
      <c r="P46" s="152">
        <v>0.1321668306704325</v>
      </c>
      <c r="Q46" s="153">
        <v>5.6711559817827859E-3</v>
      </c>
      <c r="R46" s="149">
        <v>-0.11648838669797799</v>
      </c>
      <c r="S46" s="150">
        <v>6.1421078446966858E-3</v>
      </c>
      <c r="T46" s="152">
        <v>-0.70249829740072345</v>
      </c>
      <c r="U46" s="153">
        <v>5.7782962856159237E-3</v>
      </c>
      <c r="V46" s="149">
        <v>-0.703525137365269</v>
      </c>
      <c r="W46" s="154">
        <v>8.8671448396435565E-3</v>
      </c>
      <c r="X46" s="151">
        <v>-0.16486998727715521</v>
      </c>
      <c r="Y46" s="150">
        <v>2.4632041935206297E-3</v>
      </c>
      <c r="Z46" s="152">
        <v>-0.43213748442368238</v>
      </c>
      <c r="AA46" s="153">
        <v>7.2505594902641714E-3</v>
      </c>
      <c r="AB46" s="149" t="s">
        <v>34</v>
      </c>
      <c r="AC46" s="150" t="s">
        <v>34</v>
      </c>
      <c r="AD46" s="152">
        <v>-0.2672674971465272</v>
      </c>
      <c r="AE46" s="156">
        <v>7.4806639533078036E-3</v>
      </c>
    </row>
    <row r="47" spans="1:31" s="105" customFormat="1" x14ac:dyDescent="0.25">
      <c r="A47" s="94" t="s">
        <v>231</v>
      </c>
      <c r="B47" s="95">
        <v>1044</v>
      </c>
      <c r="C47" s="96">
        <v>95.51373291015625</v>
      </c>
      <c r="D47" s="149">
        <v>0.33334136318255542</v>
      </c>
      <c r="E47" s="150">
        <v>3.7962609249126616E-2</v>
      </c>
      <c r="F47" s="151">
        <v>-1.4551000000000001</v>
      </c>
      <c r="G47" s="150">
        <v>0.96002892925161287</v>
      </c>
      <c r="H47" s="152">
        <v>0.42999999999999983</v>
      </c>
      <c r="I47" s="153">
        <v>7.1338387282023491E-2</v>
      </c>
      <c r="J47" s="149">
        <v>1.543500000000001</v>
      </c>
      <c r="K47" s="154">
        <v>4.9975348923244359E-2</v>
      </c>
      <c r="L47" s="149">
        <v>2.998600000000001</v>
      </c>
      <c r="M47" s="154">
        <v>0.96132880977322144</v>
      </c>
      <c r="N47" s="151">
        <v>0.51360799209900787</v>
      </c>
      <c r="O47" s="150">
        <v>7.7223685519288085E-2</v>
      </c>
      <c r="P47" s="152">
        <v>0.56827866253513371</v>
      </c>
      <c r="Q47" s="153">
        <v>7.1752903484524316E-2</v>
      </c>
      <c r="R47" s="149">
        <v>0.29423048587577028</v>
      </c>
      <c r="S47" s="150">
        <v>8.9852796771127966E-2</v>
      </c>
      <c r="T47" s="152">
        <v>-4.7674470254845398E-2</v>
      </c>
      <c r="U47" s="153">
        <v>7.9680989850005102E-2</v>
      </c>
      <c r="V47" s="149">
        <v>-0.56128246235385326</v>
      </c>
      <c r="W47" s="154">
        <v>0.1109477459777494</v>
      </c>
      <c r="X47" s="151">
        <v>0.4930585348522617</v>
      </c>
      <c r="Y47" s="150">
        <v>4.9749650553452714E-2</v>
      </c>
      <c r="Z47" s="152">
        <v>6.5275753643103798E-2</v>
      </c>
      <c r="AA47" s="153">
        <v>7.3298279634374491E-2</v>
      </c>
      <c r="AB47" s="152">
        <v>-0.333508966583624</v>
      </c>
      <c r="AC47" s="155">
        <v>0.10908823480353767</v>
      </c>
      <c r="AD47" s="149">
        <v>-0.50635707699628552</v>
      </c>
      <c r="AE47" s="156">
        <v>8.221723970617513E-2</v>
      </c>
    </row>
    <row r="48" spans="1:31" s="105" customFormat="1" x14ac:dyDescent="0.25">
      <c r="A48" s="94" t="s">
        <v>232</v>
      </c>
      <c r="B48" s="95">
        <v>202</v>
      </c>
      <c r="C48" s="96">
        <v>96.362442016601563</v>
      </c>
      <c r="D48" s="149">
        <v>0.42967373353782529</v>
      </c>
      <c r="E48" s="150">
        <v>6.935027989447104E-2</v>
      </c>
      <c r="F48" s="151">
        <v>-1.4551000000000009</v>
      </c>
      <c r="G48" s="150">
        <v>0.33615000000000023</v>
      </c>
      <c r="H48" s="152">
        <v>0.42999999999999988</v>
      </c>
      <c r="I48" s="153">
        <v>0.16030189643294934</v>
      </c>
      <c r="J48" s="149">
        <v>1.543500000000001</v>
      </c>
      <c r="K48" s="154" t="s">
        <v>35</v>
      </c>
      <c r="L48" s="149">
        <v>2.9986000000000019</v>
      </c>
      <c r="M48" s="154">
        <v>0.33615000000000017</v>
      </c>
      <c r="N48" s="151">
        <v>0.73405689906130356</v>
      </c>
      <c r="O48" s="150">
        <v>0.15959960249133318</v>
      </c>
      <c r="P48" s="152">
        <v>0.44720460009292029</v>
      </c>
      <c r="Q48" s="153">
        <v>0.22203606702272888</v>
      </c>
      <c r="R48" s="149">
        <v>0.26226872063278123</v>
      </c>
      <c r="S48" s="150">
        <v>0.14281013513382484</v>
      </c>
      <c r="T48" s="152">
        <v>0.27466177311897189</v>
      </c>
      <c r="U48" s="153">
        <v>0.15510501831499313</v>
      </c>
      <c r="V48" s="149">
        <v>-0.45939512594233162</v>
      </c>
      <c r="W48" s="154">
        <v>0.2087586969881349</v>
      </c>
      <c r="X48" s="151">
        <v>0.49217998527429641</v>
      </c>
      <c r="Y48" s="150">
        <v>7.2011890798132167E-2</v>
      </c>
      <c r="Z48" s="152">
        <v>0.15971780125623339</v>
      </c>
      <c r="AA48" s="153">
        <v>0.20077936779302336</v>
      </c>
      <c r="AB48" s="152" t="s">
        <v>34</v>
      </c>
      <c r="AC48" s="155" t="s">
        <v>34</v>
      </c>
      <c r="AD48" s="149">
        <v>-0.33246218401806304</v>
      </c>
      <c r="AE48" s="156">
        <v>0.21227649112108446</v>
      </c>
    </row>
    <row r="49" spans="1:31" s="105" customFormat="1" x14ac:dyDescent="0.25">
      <c r="A49" s="94" t="s">
        <v>233</v>
      </c>
      <c r="B49" s="95">
        <v>157</v>
      </c>
      <c r="C49" s="96">
        <v>74.739677429199219</v>
      </c>
      <c r="D49" s="149">
        <v>-0.5226960773131949</v>
      </c>
      <c r="E49" s="150">
        <v>6.6205759963683858E-2</v>
      </c>
      <c r="F49" s="151">
        <v>-1.4551000000000009</v>
      </c>
      <c r="G49" s="150" t="s">
        <v>35</v>
      </c>
      <c r="H49" s="152">
        <v>-0.61400000000000043</v>
      </c>
      <c r="I49" s="153">
        <v>2.9061512348809874E-2</v>
      </c>
      <c r="J49" s="149">
        <v>0.59199999999999997</v>
      </c>
      <c r="K49" s="154">
        <v>0.1112567570981649</v>
      </c>
      <c r="L49" s="149">
        <v>2.0471000000000008</v>
      </c>
      <c r="M49" s="154">
        <v>0.11125675709816486</v>
      </c>
      <c r="N49" s="151">
        <v>-0.25005892784620642</v>
      </c>
      <c r="O49" s="150">
        <v>0.18520088044172164</v>
      </c>
      <c r="P49" s="152">
        <v>-0.44995941576921772</v>
      </c>
      <c r="Q49" s="153">
        <v>0.17127080351131754</v>
      </c>
      <c r="R49" s="149">
        <v>-0.55403173543150619</v>
      </c>
      <c r="S49" s="150">
        <v>0.18421986594976317</v>
      </c>
      <c r="T49" s="152">
        <v>-0.84331033359339058</v>
      </c>
      <c r="U49" s="153">
        <v>0.14108932897900991</v>
      </c>
      <c r="V49" s="149">
        <v>-0.59325140574718427</v>
      </c>
      <c r="W49" s="154">
        <v>0.24545113149902001</v>
      </c>
      <c r="X49" s="151">
        <v>-0.51032983154790224</v>
      </c>
      <c r="Y49" s="150">
        <v>6.8525214566663079E-2</v>
      </c>
      <c r="Z49" s="152" t="s">
        <v>34</v>
      </c>
      <c r="AA49" s="153" t="s">
        <v>34</v>
      </c>
      <c r="AB49" s="152">
        <v>-0.64922905144311205</v>
      </c>
      <c r="AC49" s="155">
        <v>0.155843222773621</v>
      </c>
      <c r="AD49" s="149">
        <v>-0.13889921989520981</v>
      </c>
      <c r="AE49" s="156">
        <v>0.16849432188543595</v>
      </c>
    </row>
    <row r="50" spans="1:31" s="105" customFormat="1" x14ac:dyDescent="0.25">
      <c r="A50" s="94" t="s">
        <v>234</v>
      </c>
      <c r="B50" s="95">
        <v>179</v>
      </c>
      <c r="C50" s="96">
        <v>98.9569091796875</v>
      </c>
      <c r="D50" s="149">
        <v>8.0158634622041494E-2</v>
      </c>
      <c r="E50" s="150">
        <v>8.1425145917099567E-2</v>
      </c>
      <c r="F50" s="151">
        <v>-1.4551000000000009</v>
      </c>
      <c r="G50" s="150" t="s">
        <v>35</v>
      </c>
      <c r="H50" s="152">
        <v>0.26329999999999992</v>
      </c>
      <c r="I50" s="153">
        <v>9.560473837629592E-2</v>
      </c>
      <c r="J50" s="149">
        <v>1.2579</v>
      </c>
      <c r="K50" s="154">
        <v>0.10691687425285031</v>
      </c>
      <c r="L50" s="149">
        <v>2.713000000000001</v>
      </c>
      <c r="M50" s="154">
        <v>0.10691687425285025</v>
      </c>
      <c r="N50" s="151">
        <v>0.42492274006617159</v>
      </c>
      <c r="O50" s="150">
        <v>0.1554638614129627</v>
      </c>
      <c r="P50" s="152">
        <v>0.1057548448657889</v>
      </c>
      <c r="Q50" s="153">
        <v>0.18694874116638083</v>
      </c>
      <c r="R50" s="149">
        <v>0.23235471797304311</v>
      </c>
      <c r="S50" s="150">
        <v>0.16431621746238451</v>
      </c>
      <c r="T50" s="152">
        <v>-0.4434868028973345</v>
      </c>
      <c r="U50" s="153">
        <v>0.16673703252025091</v>
      </c>
      <c r="V50" s="149">
        <v>-0.86840954296350614</v>
      </c>
      <c r="W50" s="154">
        <v>0.22579107629787287</v>
      </c>
      <c r="X50" s="151">
        <v>0.2181971299698019</v>
      </c>
      <c r="Y50" s="150">
        <v>8.3271679275973079E-2</v>
      </c>
      <c r="Z50" s="152" t="s">
        <v>34</v>
      </c>
      <c r="AA50" s="153" t="s">
        <v>34</v>
      </c>
      <c r="AB50" s="152">
        <v>-0.99419599886555499</v>
      </c>
      <c r="AC50" s="155">
        <v>0.14660471169849895</v>
      </c>
      <c r="AD50" s="149">
        <v>-1.2123931288353569</v>
      </c>
      <c r="AE50" s="156">
        <v>0.17675110313074782</v>
      </c>
    </row>
    <row r="51" spans="1:31" s="105" customFormat="1" x14ac:dyDescent="0.25">
      <c r="A51" s="94" t="s">
        <v>235</v>
      </c>
      <c r="B51" s="95">
        <v>381</v>
      </c>
      <c r="C51" s="96">
        <v>76.995918273925781</v>
      </c>
      <c r="D51" s="149">
        <v>-0.1902757625891115</v>
      </c>
      <c r="E51" s="150">
        <v>5.5294355067108066E-2</v>
      </c>
      <c r="F51" s="151">
        <v>-1.4551000000000009</v>
      </c>
      <c r="G51" s="150" t="s">
        <v>35</v>
      </c>
      <c r="H51" s="152">
        <v>1.3100000000000001E-2</v>
      </c>
      <c r="I51" s="153">
        <v>3.7647104802361643E-2</v>
      </c>
      <c r="J51" s="149">
        <v>0.88649999999999995</v>
      </c>
      <c r="K51" s="154">
        <v>0.15717338356095845</v>
      </c>
      <c r="L51" s="149">
        <v>2.341600000000001</v>
      </c>
      <c r="M51" s="154">
        <v>0.15717338356095834</v>
      </c>
      <c r="N51" s="151">
        <v>-6.1938062288356702E-2</v>
      </c>
      <c r="O51" s="150">
        <v>0.1401341601907784</v>
      </c>
      <c r="P51" s="152">
        <v>8.5264597154573699E-2</v>
      </c>
      <c r="Q51" s="153">
        <v>0.13443988948299537</v>
      </c>
      <c r="R51" s="149">
        <v>-0.1306606410392262</v>
      </c>
      <c r="S51" s="150">
        <v>0.14049469732987507</v>
      </c>
      <c r="T51" s="152">
        <v>-0.67606479651389995</v>
      </c>
      <c r="U51" s="153">
        <v>0.10826348527825917</v>
      </c>
      <c r="V51" s="149">
        <v>-0.61412673422554331</v>
      </c>
      <c r="W51" s="154">
        <v>0.19057567211264964</v>
      </c>
      <c r="X51" s="151">
        <v>-5.75334602370755E-2</v>
      </c>
      <c r="Y51" s="150">
        <v>7.0840120217985691E-2</v>
      </c>
      <c r="Z51" s="152">
        <v>-0.1132967683104327</v>
      </c>
      <c r="AA51" s="153">
        <v>8.7517335642332481E-2</v>
      </c>
      <c r="AB51" s="152">
        <v>-1.320745529007038</v>
      </c>
      <c r="AC51" s="155">
        <v>0.11028082113911933</v>
      </c>
      <c r="AD51" s="149">
        <v>-0.23778121366462601</v>
      </c>
      <c r="AE51" s="156">
        <v>0.10254236061254593</v>
      </c>
    </row>
    <row r="52" spans="1:31" s="105" customFormat="1" x14ac:dyDescent="0.25">
      <c r="A52" s="94" t="s">
        <v>302</v>
      </c>
      <c r="B52" s="95">
        <v>146</v>
      </c>
      <c r="C52" s="96">
        <v>89.849540710449219</v>
      </c>
      <c r="D52" s="149">
        <v>-0.20338638136891621</v>
      </c>
      <c r="E52" s="150">
        <v>7.9552340040766029E-2</v>
      </c>
      <c r="F52" s="151">
        <v>-1.4551000000000009</v>
      </c>
      <c r="G52" s="150" t="s">
        <v>35</v>
      </c>
      <c r="H52" s="152">
        <v>-9.62999999999999E-2</v>
      </c>
      <c r="I52" s="153">
        <v>0.24947216377784526</v>
      </c>
      <c r="J52" s="149">
        <v>1.0744</v>
      </c>
      <c r="K52" s="154">
        <v>0.14351788738690391</v>
      </c>
      <c r="L52" s="149">
        <v>2.529500000000001</v>
      </c>
      <c r="M52" s="154">
        <v>0.14351788738690383</v>
      </c>
      <c r="N52" s="151">
        <v>0.22479607230709839</v>
      </c>
      <c r="O52" s="150">
        <v>0.12681170620517596</v>
      </c>
      <c r="P52" s="152">
        <v>-3.3231599340588301E-2</v>
      </c>
      <c r="Q52" s="153">
        <v>0.22357716360808519</v>
      </c>
      <c r="R52" s="149">
        <v>-0.51652177188597626</v>
      </c>
      <c r="S52" s="150">
        <v>0.23024287969593951</v>
      </c>
      <c r="T52" s="152">
        <v>-0.494608900451047</v>
      </c>
      <c r="U52" s="153">
        <v>0.1699507164622879</v>
      </c>
      <c r="V52" s="149">
        <v>-0.71940497275814541</v>
      </c>
      <c r="W52" s="154">
        <v>0.23167978792309785</v>
      </c>
      <c r="X52" s="151">
        <v>-0.1836006721683732</v>
      </c>
      <c r="Y52" s="150">
        <v>8.6397237264298404E-2</v>
      </c>
      <c r="Z52" s="152" t="s">
        <v>34</v>
      </c>
      <c r="AA52" s="153" t="s">
        <v>34</v>
      </c>
      <c r="AB52" s="152">
        <v>-0.64899780144585095</v>
      </c>
      <c r="AC52" s="155">
        <v>0.25934414268196659</v>
      </c>
      <c r="AD52" s="149">
        <v>-0.46539712927747778</v>
      </c>
      <c r="AE52" s="156">
        <v>0.28131046724230041</v>
      </c>
    </row>
    <row r="53" spans="1:31" s="105" customFormat="1" x14ac:dyDescent="0.25">
      <c r="A53" s="94" t="s">
        <v>236</v>
      </c>
      <c r="B53" s="95" t="s">
        <v>34</v>
      </c>
      <c r="C53" s="96" t="s">
        <v>34</v>
      </c>
      <c r="D53" s="149">
        <v>6.9223256934659999E-3</v>
      </c>
      <c r="E53" s="150">
        <v>9.7218616126350001E-3</v>
      </c>
      <c r="F53" s="151">
        <v>-1.2979405405405411</v>
      </c>
      <c r="G53" s="150">
        <v>4.66890881547075E-2</v>
      </c>
      <c r="H53" s="152">
        <v>6.0559459459459397E-2</v>
      </c>
      <c r="I53" s="153">
        <v>2.0423469187271101E-2</v>
      </c>
      <c r="J53" s="149">
        <v>1.1284162162162159</v>
      </c>
      <c r="K53" s="154">
        <v>1.9613604078315999E-2</v>
      </c>
      <c r="L53" s="149">
        <v>2.426356756756757</v>
      </c>
      <c r="M53" s="154">
        <v>4.9761807299469898E-2</v>
      </c>
      <c r="N53" s="151">
        <v>0.17117007579246379</v>
      </c>
      <c r="O53" s="150">
        <v>2.19326189558374E-2</v>
      </c>
      <c r="P53" s="152">
        <v>0.10367484005674581</v>
      </c>
      <c r="Q53" s="153">
        <v>2.4420287856728E-2</v>
      </c>
      <c r="R53" s="149">
        <v>-1.704276816944E-4</v>
      </c>
      <c r="S53" s="150">
        <v>2.4397650119844301E-2</v>
      </c>
      <c r="T53" s="152">
        <v>-0.2317907297682622</v>
      </c>
      <c r="U53" s="153">
        <v>2.09450555629162E-2</v>
      </c>
      <c r="V53" s="149">
        <v>-0.402960805560726</v>
      </c>
      <c r="W53" s="154">
        <v>3.07142023432855E-2</v>
      </c>
      <c r="X53" s="151">
        <v>9.2498684276207901E-2</v>
      </c>
      <c r="Y53" s="150">
        <v>1.2248983617401E-2</v>
      </c>
      <c r="Z53" s="152">
        <v>-0.22886331820583841</v>
      </c>
      <c r="AA53" s="153">
        <v>4.1635808613496902E-2</v>
      </c>
      <c r="AB53" s="152">
        <v>-0.62530033715043276</v>
      </c>
      <c r="AC53" s="155">
        <v>4.58512440671274E-2</v>
      </c>
      <c r="AD53" s="149">
        <v>-0.527602189406007</v>
      </c>
      <c r="AE53" s="156">
        <v>3.2733164705427198E-2</v>
      </c>
    </row>
    <row r="54" spans="1:31" s="105" customFormat="1" x14ac:dyDescent="0.25">
      <c r="A54" s="180" t="s">
        <v>279</v>
      </c>
      <c r="B54" s="95"/>
      <c r="C54" s="96"/>
      <c r="D54" s="149"/>
      <c r="E54" s="150"/>
      <c r="F54" s="151"/>
      <c r="G54" s="150"/>
      <c r="H54" s="152"/>
      <c r="I54" s="153"/>
      <c r="J54" s="149"/>
      <c r="K54" s="154"/>
      <c r="L54" s="149"/>
      <c r="M54" s="154"/>
      <c r="N54" s="151"/>
      <c r="O54" s="150"/>
      <c r="P54" s="152"/>
      <c r="Q54" s="153"/>
      <c r="R54" s="149"/>
      <c r="S54" s="150"/>
      <c r="T54" s="152"/>
      <c r="U54" s="153"/>
      <c r="V54" s="149"/>
      <c r="W54" s="154"/>
      <c r="X54" s="151"/>
      <c r="Y54" s="150"/>
      <c r="Z54" s="152"/>
      <c r="AA54" s="153"/>
      <c r="AB54" s="152"/>
      <c r="AC54" s="155"/>
      <c r="AD54" s="149"/>
      <c r="AE54" s="156"/>
    </row>
    <row r="55" spans="1:31" s="105" customFormat="1" x14ac:dyDescent="0.25">
      <c r="A55" s="94" t="s">
        <v>237</v>
      </c>
      <c r="B55" s="95">
        <v>324</v>
      </c>
      <c r="C55" s="96">
        <v>98.823013305664063</v>
      </c>
      <c r="D55" s="149">
        <v>-0.68016075500042938</v>
      </c>
      <c r="E55" s="150">
        <v>5.1453421602689446E-2</v>
      </c>
      <c r="F55" s="151">
        <v>-1.4551000000000009</v>
      </c>
      <c r="G55" s="150" t="s">
        <v>35</v>
      </c>
      <c r="H55" s="152">
        <v>-0.78280000000000061</v>
      </c>
      <c r="I55" s="153">
        <v>0.48967842662302341</v>
      </c>
      <c r="J55" s="149">
        <v>0.66760000000000008</v>
      </c>
      <c r="K55" s="154">
        <v>6.0639937335060005E-2</v>
      </c>
      <c r="L55" s="149">
        <v>2.1227000000000009</v>
      </c>
      <c r="M55" s="154">
        <v>6.0639937335059943E-2</v>
      </c>
      <c r="N55" s="151">
        <v>-0.6073068029724582</v>
      </c>
      <c r="O55" s="150">
        <v>0.13959720055865471</v>
      </c>
      <c r="P55" s="152">
        <v>-0.73109454578647537</v>
      </c>
      <c r="Q55" s="153">
        <v>0.119908972998861</v>
      </c>
      <c r="R55" s="149">
        <v>-0.62598659401688617</v>
      </c>
      <c r="S55" s="150">
        <v>0.11312926257271164</v>
      </c>
      <c r="T55" s="152">
        <v>-0.75505586112288925</v>
      </c>
      <c r="U55" s="153">
        <v>9.5128598861493316E-2</v>
      </c>
      <c r="V55" s="149">
        <v>-0.14774905815043099</v>
      </c>
      <c r="W55" s="154">
        <v>0.16898045811172155</v>
      </c>
      <c r="X55" s="151">
        <v>-0.6424547140559258</v>
      </c>
      <c r="Y55" s="150">
        <v>5.4649364788285894E-2</v>
      </c>
      <c r="Z55" s="152" t="s">
        <v>34</v>
      </c>
      <c r="AA55" s="153" t="s">
        <v>34</v>
      </c>
      <c r="AB55" s="152">
        <v>-0.97744884103343943</v>
      </c>
      <c r="AC55" s="155">
        <v>0.14391594380320696</v>
      </c>
      <c r="AD55" s="149">
        <v>-0.33499412697751363</v>
      </c>
      <c r="AE55" s="156">
        <v>0.15197035419862823</v>
      </c>
    </row>
    <row r="56" spans="1:31" s="105" customFormat="1" x14ac:dyDescent="0.25">
      <c r="A56" s="94" t="s">
        <v>238</v>
      </c>
      <c r="B56" s="95">
        <v>433</v>
      </c>
      <c r="C56" s="96">
        <v>94.7677001953125</v>
      </c>
      <c r="D56" s="149">
        <v>-1.87947253441926E-2</v>
      </c>
      <c r="E56" s="150">
        <v>4.9219156057816286E-2</v>
      </c>
      <c r="F56" s="151">
        <v>-1.4551000000000009</v>
      </c>
      <c r="G56" s="150" t="s">
        <v>35</v>
      </c>
      <c r="H56" s="152">
        <v>5.4999999999999997E-3</v>
      </c>
      <c r="I56" s="153">
        <v>6.3076441719551693E-2</v>
      </c>
      <c r="J56" s="149">
        <v>1.3404999999999989</v>
      </c>
      <c r="K56" s="154">
        <v>6.5034560043101347E-2</v>
      </c>
      <c r="L56" s="149">
        <v>2.7955999999999999</v>
      </c>
      <c r="M56" s="154">
        <v>6.5034560043101416E-2</v>
      </c>
      <c r="N56" s="151">
        <v>0.2048484541535677</v>
      </c>
      <c r="O56" s="150">
        <v>0.12329133952433245</v>
      </c>
      <c r="P56" s="152">
        <v>0.26417827817021422</v>
      </c>
      <c r="Q56" s="153">
        <v>0.1154751016717324</v>
      </c>
      <c r="R56" s="149">
        <v>-8.5486415389989998E-4</v>
      </c>
      <c r="S56" s="150">
        <v>0.12347295546337801</v>
      </c>
      <c r="T56" s="152">
        <v>-0.54315461972718049</v>
      </c>
      <c r="U56" s="153">
        <v>0.13982892722335061</v>
      </c>
      <c r="V56" s="149">
        <v>-0.74800307388074816</v>
      </c>
      <c r="W56" s="154">
        <v>0.20086880908637875</v>
      </c>
      <c r="X56" s="151">
        <v>0.2599970138736879</v>
      </c>
      <c r="Y56" s="150">
        <v>5.7057369996469022E-2</v>
      </c>
      <c r="Z56" s="152">
        <v>-0.46709594628879902</v>
      </c>
      <c r="AA56" s="153">
        <v>0.12185809651810231</v>
      </c>
      <c r="AB56" s="152">
        <v>-0.91126699689642465</v>
      </c>
      <c r="AC56" s="155">
        <v>0.231997716143065</v>
      </c>
      <c r="AD56" s="149">
        <v>-0.84861795338134161</v>
      </c>
      <c r="AE56" s="156">
        <v>0.13525544135104814</v>
      </c>
    </row>
    <row r="57" spans="1:31" s="105" customFormat="1" x14ac:dyDescent="0.25">
      <c r="A57" s="94" t="s">
        <v>239</v>
      </c>
      <c r="B57" s="95">
        <v>122</v>
      </c>
      <c r="C57" s="96">
        <v>59.829380035400391</v>
      </c>
      <c r="D57" s="149">
        <v>0.1094824749933426</v>
      </c>
      <c r="E57" s="150">
        <v>8.8509447102621708E-2</v>
      </c>
      <c r="F57" s="151">
        <v>-1.4551000000000009</v>
      </c>
      <c r="G57" s="150">
        <v>0.33615000000000006</v>
      </c>
      <c r="H57" s="152">
        <v>2.8000000000000001E-2</v>
      </c>
      <c r="I57" s="153">
        <v>0.20414992530001089</v>
      </c>
      <c r="J57" s="149">
        <v>1.243200000000001</v>
      </c>
      <c r="K57" s="154">
        <v>0.1275439747694887</v>
      </c>
      <c r="L57" s="149">
        <v>2.6983000000000019</v>
      </c>
      <c r="M57" s="154">
        <v>0.35699069315599857</v>
      </c>
      <c r="N57" s="151">
        <v>0.26918921573576121</v>
      </c>
      <c r="O57" s="150">
        <v>0.16194866855358409</v>
      </c>
      <c r="P57" s="152">
        <v>6.5077741262947004E-3</v>
      </c>
      <c r="Q57" s="153">
        <v>0.19107215063724386</v>
      </c>
      <c r="R57" s="149">
        <v>0.29476640486642253</v>
      </c>
      <c r="S57" s="150">
        <v>0.1976074034412858</v>
      </c>
      <c r="T57" s="152">
        <v>-0.13512648674295349</v>
      </c>
      <c r="U57" s="153">
        <v>0.21746021528866083</v>
      </c>
      <c r="V57" s="149">
        <v>-0.40431570247871468</v>
      </c>
      <c r="W57" s="154">
        <v>0.27186851098088621</v>
      </c>
      <c r="X57" s="151">
        <v>0.11393938383872521</v>
      </c>
      <c r="Y57" s="150">
        <v>8.9107594271218046E-2</v>
      </c>
      <c r="Z57" s="152" t="s">
        <v>34</v>
      </c>
      <c r="AA57" s="153" t="s">
        <v>34</v>
      </c>
      <c r="AB57" s="152" t="s">
        <v>34</v>
      </c>
      <c r="AC57" s="155" t="s">
        <v>34</v>
      </c>
      <c r="AD57" s="149" t="s">
        <v>34</v>
      </c>
      <c r="AE57" s="156" t="s">
        <v>34</v>
      </c>
    </row>
    <row r="58" spans="1:31" s="105" customFormat="1" x14ac:dyDescent="0.25">
      <c r="A58" s="94" t="s">
        <v>240</v>
      </c>
      <c r="B58" s="95">
        <v>234</v>
      </c>
      <c r="C58" s="96">
        <v>100</v>
      </c>
      <c r="D58" s="149">
        <v>-0.69498258557567349</v>
      </c>
      <c r="E58" s="150">
        <v>5.5081678146463531E-2</v>
      </c>
      <c r="F58" s="151">
        <v>-1.4551000000000009</v>
      </c>
      <c r="G58" s="150" t="s">
        <v>35</v>
      </c>
      <c r="H58" s="152">
        <v>-0.61400000000000043</v>
      </c>
      <c r="I58" s="153">
        <v>0.22330141065385153</v>
      </c>
      <c r="J58" s="149">
        <v>0.4991000000000001</v>
      </c>
      <c r="K58" s="154">
        <v>0.23709020013488541</v>
      </c>
      <c r="L58" s="149">
        <v>1.954200000000001</v>
      </c>
      <c r="M58" s="154">
        <v>0.23709020013488538</v>
      </c>
      <c r="N58" s="151">
        <v>-0.78531388960045734</v>
      </c>
      <c r="O58" s="150">
        <v>0.11366111478065022</v>
      </c>
      <c r="P58" s="152">
        <v>-0.64949548912476074</v>
      </c>
      <c r="Q58" s="153">
        <v>0.11153829493501825</v>
      </c>
      <c r="R58" s="149">
        <v>-0.49973917414895241</v>
      </c>
      <c r="S58" s="150">
        <v>0.15829744621789146</v>
      </c>
      <c r="T58" s="152">
        <v>-0.85097164777501932</v>
      </c>
      <c r="U58" s="153">
        <v>0.13647348240490281</v>
      </c>
      <c r="V58" s="149">
        <v>-6.5657758174562E-2</v>
      </c>
      <c r="W58" s="154">
        <v>0.17092876429324588</v>
      </c>
      <c r="X58" s="151">
        <v>-0.69540566043656671</v>
      </c>
      <c r="Y58" s="150">
        <v>5.5282649005601224E-2</v>
      </c>
      <c r="Z58" s="152" t="s">
        <v>34</v>
      </c>
      <c r="AA58" s="153" t="s">
        <v>34</v>
      </c>
      <c r="AB58" s="152" t="s">
        <v>34</v>
      </c>
      <c r="AC58" s="155" t="s">
        <v>34</v>
      </c>
      <c r="AD58" s="149" t="s">
        <v>34</v>
      </c>
      <c r="AE58" s="156" t="s">
        <v>34</v>
      </c>
    </row>
    <row r="59" spans="1:31" s="105" customFormat="1" x14ac:dyDescent="0.25">
      <c r="A59" s="94" t="s">
        <v>241</v>
      </c>
      <c r="B59" s="95">
        <v>129</v>
      </c>
      <c r="C59" s="96">
        <v>83.529983520507813</v>
      </c>
      <c r="D59" s="149">
        <v>-0.76246078532514916</v>
      </c>
      <c r="E59" s="150">
        <v>6.2020009353471552E-2</v>
      </c>
      <c r="F59" s="151">
        <v>-1.4551000000000009</v>
      </c>
      <c r="G59" s="150" t="s">
        <v>35</v>
      </c>
      <c r="H59" s="152">
        <v>-0.78280000000000094</v>
      </c>
      <c r="I59" s="153">
        <v>0.33615</v>
      </c>
      <c r="J59" s="149">
        <v>0.42310000000000009</v>
      </c>
      <c r="K59" s="154">
        <v>0.17436158550552344</v>
      </c>
      <c r="L59" s="149">
        <v>1.878200000000001</v>
      </c>
      <c r="M59" s="154">
        <v>0.17436158550552325</v>
      </c>
      <c r="N59" s="151">
        <v>-0.71499057061456972</v>
      </c>
      <c r="O59" s="150">
        <v>0.17909248275239592</v>
      </c>
      <c r="P59" s="152">
        <v>-0.83113403955576104</v>
      </c>
      <c r="Q59" s="153">
        <v>0.17706688739693791</v>
      </c>
      <c r="R59" s="149">
        <v>-0.61386000049009137</v>
      </c>
      <c r="S59" s="150">
        <v>0.19835916885110871</v>
      </c>
      <c r="T59" s="152">
        <v>-0.89272085034071091</v>
      </c>
      <c r="U59" s="153">
        <v>0.11251997790147511</v>
      </c>
      <c r="V59" s="149">
        <v>-0.17773027972614119</v>
      </c>
      <c r="W59" s="154">
        <v>0.21107710992655368</v>
      </c>
      <c r="X59" s="151">
        <v>-0.76291953048701899</v>
      </c>
      <c r="Y59" s="150">
        <v>6.2845900985004796E-2</v>
      </c>
      <c r="Z59" s="152" t="s">
        <v>34</v>
      </c>
      <c r="AA59" s="153" t="s">
        <v>34</v>
      </c>
      <c r="AB59" s="152" t="s">
        <v>34</v>
      </c>
      <c r="AC59" s="155" t="s">
        <v>34</v>
      </c>
      <c r="AD59" s="149" t="s">
        <v>34</v>
      </c>
      <c r="AE59" s="156" t="s">
        <v>34</v>
      </c>
    </row>
    <row r="60" spans="1:31" s="105" customFormat="1" x14ac:dyDescent="0.25">
      <c r="A60" s="94" t="s">
        <v>242</v>
      </c>
      <c r="B60" s="95">
        <v>414</v>
      </c>
      <c r="C60" s="96">
        <v>76.819503784179688</v>
      </c>
      <c r="D60" s="149">
        <v>-0.18670549209132159</v>
      </c>
      <c r="E60" s="150">
        <v>5.8556995606817763E-2</v>
      </c>
      <c r="F60" s="151">
        <v>-1.4551000000000009</v>
      </c>
      <c r="G60" s="150" t="s">
        <v>35</v>
      </c>
      <c r="H60" s="152">
        <v>-0.17760000000000001</v>
      </c>
      <c r="I60" s="153">
        <v>0.18034365528068905</v>
      </c>
      <c r="J60" s="149">
        <v>1.2657</v>
      </c>
      <c r="K60" s="154">
        <v>0.13218376980552449</v>
      </c>
      <c r="L60" s="149">
        <v>2.720800000000001</v>
      </c>
      <c r="M60" s="154">
        <v>0.1321837698055246</v>
      </c>
      <c r="N60" s="151">
        <v>2.1499721679235601E-2</v>
      </c>
      <c r="O60" s="150">
        <v>0.13194756198725976</v>
      </c>
      <c r="P60" s="152">
        <v>0.12518112187161001</v>
      </c>
      <c r="Q60" s="153">
        <v>0.12213765807179101</v>
      </c>
      <c r="R60" s="149">
        <v>-5.91534041420246E-2</v>
      </c>
      <c r="S60" s="150">
        <v>0.12226692547011396</v>
      </c>
      <c r="T60" s="152">
        <v>-0.84002602890003442</v>
      </c>
      <c r="U60" s="153">
        <v>0.14767409192865166</v>
      </c>
      <c r="V60" s="149">
        <v>-0.86152575057926994</v>
      </c>
      <c r="W60" s="154">
        <v>0.19980474535034223</v>
      </c>
      <c r="X60" s="151">
        <v>1.71281578969616E-2</v>
      </c>
      <c r="Y60" s="150">
        <v>6.2313139792770367E-2</v>
      </c>
      <c r="Z60" s="152" t="s">
        <v>34</v>
      </c>
      <c r="AA60" s="153" t="s">
        <v>34</v>
      </c>
      <c r="AB60" s="152">
        <v>-1.0880784845015909</v>
      </c>
      <c r="AC60" s="155">
        <v>0.13324723033104599</v>
      </c>
      <c r="AD60" s="149">
        <v>-1.1052066423985525</v>
      </c>
      <c r="AE60" s="156">
        <v>0.14928651940896329</v>
      </c>
    </row>
    <row r="61" spans="1:31" s="105" customFormat="1" x14ac:dyDescent="0.25">
      <c r="A61" s="94" t="s">
        <v>243</v>
      </c>
      <c r="B61" s="95">
        <v>55</v>
      </c>
      <c r="C61" s="96">
        <v>100</v>
      </c>
      <c r="D61" s="149">
        <v>-6.0414234813808899E-2</v>
      </c>
      <c r="E61" s="150">
        <v>1.5120231575855307E-3</v>
      </c>
      <c r="F61" s="151">
        <v>-1.455099999999997</v>
      </c>
      <c r="G61" s="150" t="s">
        <v>35</v>
      </c>
      <c r="H61" s="152">
        <v>-9.7000000000000003E-3</v>
      </c>
      <c r="I61" s="153" t="s">
        <v>35</v>
      </c>
      <c r="J61" s="149">
        <v>1.088300000000002</v>
      </c>
      <c r="K61" s="154" t="s">
        <v>35</v>
      </c>
      <c r="L61" s="149">
        <v>2.5433999999999992</v>
      </c>
      <c r="M61" s="154" t="s">
        <v>35</v>
      </c>
      <c r="N61" s="151">
        <v>0.25760012539889721</v>
      </c>
      <c r="O61" s="150">
        <v>3.3603423188284976E-3</v>
      </c>
      <c r="P61" s="152">
        <v>-5.22102590093542E-2</v>
      </c>
      <c r="Q61" s="153">
        <v>3.3422303201117885E-3</v>
      </c>
      <c r="R61" s="149">
        <v>-0.23624396249471061</v>
      </c>
      <c r="S61" s="150">
        <v>1.5473937929533904E-3</v>
      </c>
      <c r="T61" s="152">
        <v>-0.21353688497369719</v>
      </c>
      <c r="U61" s="153">
        <v>1.9719470868272107E-3</v>
      </c>
      <c r="V61" s="149">
        <v>-0.47113701037259442</v>
      </c>
      <c r="W61" s="154">
        <v>4.019034086713183E-3</v>
      </c>
      <c r="X61" s="151">
        <v>2.8272744126370899E-2</v>
      </c>
      <c r="Y61" s="150">
        <v>1.7534660231254297E-3</v>
      </c>
      <c r="Z61" s="152" t="s">
        <v>34</v>
      </c>
      <c r="AA61" s="153" t="s">
        <v>34</v>
      </c>
      <c r="AB61" s="152">
        <v>-0.53825646440144892</v>
      </c>
      <c r="AC61" s="155">
        <v>2.4314381482300959E-3</v>
      </c>
      <c r="AD61" s="149">
        <v>-0.56652920852781985</v>
      </c>
      <c r="AE61" s="156">
        <v>3.0680237226240279E-3</v>
      </c>
    </row>
    <row r="62" spans="1:31" s="105" customFormat="1" x14ac:dyDescent="0.25">
      <c r="A62" s="94" t="s">
        <v>244</v>
      </c>
      <c r="B62" s="95">
        <v>361</v>
      </c>
      <c r="C62" s="96">
        <v>100</v>
      </c>
      <c r="D62" s="149">
        <v>0.49479695206429902</v>
      </c>
      <c r="E62" s="150">
        <v>7.0987272157158665E-2</v>
      </c>
      <c r="F62" s="151">
        <v>-1.1315</v>
      </c>
      <c r="G62" s="150" t="s">
        <v>35</v>
      </c>
      <c r="H62" s="152">
        <v>0.53800000000000014</v>
      </c>
      <c r="I62" s="153">
        <v>4.6109695292855787E-2</v>
      </c>
      <c r="J62" s="149">
        <v>1.681</v>
      </c>
      <c r="K62" s="154">
        <v>0.29561448797378059</v>
      </c>
      <c r="L62" s="149">
        <v>2.8125</v>
      </c>
      <c r="M62" s="154">
        <v>0.2956144879737807</v>
      </c>
      <c r="N62" s="151">
        <v>0.83347753969354621</v>
      </c>
      <c r="O62" s="150">
        <v>0.12709961514539164</v>
      </c>
      <c r="P62" s="152">
        <v>0.56695588942823505</v>
      </c>
      <c r="Q62" s="153">
        <v>0.15621727619938902</v>
      </c>
      <c r="R62" s="149">
        <v>0.4754995182066688</v>
      </c>
      <c r="S62" s="150">
        <v>0.21659680360648662</v>
      </c>
      <c r="T62" s="152">
        <v>9.9798458421670802E-2</v>
      </c>
      <c r="U62" s="153">
        <v>0.1088381876582432</v>
      </c>
      <c r="V62" s="149">
        <v>-0.73367908127187542</v>
      </c>
      <c r="W62" s="154">
        <v>0.16487943391194212</v>
      </c>
      <c r="X62" s="151">
        <v>0.52042476372481783</v>
      </c>
      <c r="Y62" s="150">
        <v>7.6446447729380237E-2</v>
      </c>
      <c r="Z62" s="152" t="s">
        <v>34</v>
      </c>
      <c r="AA62" s="153" t="s">
        <v>34</v>
      </c>
      <c r="AB62" s="152">
        <v>0.32239334120836161</v>
      </c>
      <c r="AC62" s="155">
        <v>0.17570695057553731</v>
      </c>
      <c r="AD62" s="149">
        <v>-0.19803142251645622</v>
      </c>
      <c r="AE62" s="156">
        <v>0.18961438102912842</v>
      </c>
    </row>
    <row r="63" spans="1:31" s="105" customFormat="1" x14ac:dyDescent="0.25">
      <c r="A63" s="94" t="s">
        <v>245</v>
      </c>
      <c r="B63" s="95">
        <v>190</v>
      </c>
      <c r="C63" s="96">
        <v>96.824691772460938</v>
      </c>
      <c r="D63" s="149">
        <v>-0.99755115063218558</v>
      </c>
      <c r="E63" s="150">
        <v>5.3087299729511116E-2</v>
      </c>
      <c r="F63" s="151">
        <v>-1.4551000000000009</v>
      </c>
      <c r="G63" s="150" t="s">
        <v>35</v>
      </c>
      <c r="H63" s="152">
        <v>-1.4551000000000009</v>
      </c>
      <c r="I63" s="153" t="s">
        <v>35</v>
      </c>
      <c r="J63" s="149">
        <v>1.3100000000000001E-2</v>
      </c>
      <c r="K63" s="154">
        <v>0.20385783281493017</v>
      </c>
      <c r="L63" s="149">
        <v>1.4682000000000008</v>
      </c>
      <c r="M63" s="154">
        <v>0.2038578328149302</v>
      </c>
      <c r="N63" s="151">
        <v>-1.0933445405251869</v>
      </c>
      <c r="O63" s="150">
        <v>7.664217623937164E-2</v>
      </c>
      <c r="P63" s="152">
        <v>-1.0771363398168941</v>
      </c>
      <c r="Q63" s="153">
        <v>9.5630063815002261E-2</v>
      </c>
      <c r="R63" s="149">
        <v>-0.98261771618391436</v>
      </c>
      <c r="S63" s="150">
        <v>0.1453704331363736</v>
      </c>
      <c r="T63" s="152">
        <v>-0.83693843435143034</v>
      </c>
      <c r="U63" s="153">
        <v>0.15889971396135266</v>
      </c>
      <c r="V63" s="149">
        <v>0.25640610617375659</v>
      </c>
      <c r="W63" s="154">
        <v>0.18488831064071595</v>
      </c>
      <c r="X63" s="151">
        <v>-0.99109276223709042</v>
      </c>
      <c r="Y63" s="150">
        <v>5.3328390643326534E-2</v>
      </c>
      <c r="Z63" s="152" t="s">
        <v>34</v>
      </c>
      <c r="AA63" s="153" t="s">
        <v>34</v>
      </c>
      <c r="AB63" s="152" t="s">
        <v>34</v>
      </c>
      <c r="AC63" s="155" t="s">
        <v>34</v>
      </c>
      <c r="AD63" s="149" t="s">
        <v>34</v>
      </c>
      <c r="AE63" s="156" t="s">
        <v>34</v>
      </c>
    </row>
    <row r="64" spans="1:31" s="105" customFormat="1" x14ac:dyDescent="0.25">
      <c r="A64" s="94" t="s">
        <v>246</v>
      </c>
      <c r="B64" s="95">
        <v>205</v>
      </c>
      <c r="C64" s="96">
        <v>100</v>
      </c>
      <c r="D64" s="149">
        <v>0.69577240967006748</v>
      </c>
      <c r="E64" s="150">
        <v>0.10082941338869085</v>
      </c>
      <c r="F64" s="151">
        <v>-1.4551000000000001</v>
      </c>
      <c r="G64" s="150">
        <v>0.75165425063655333</v>
      </c>
      <c r="H64" s="152">
        <v>0.49909999999999988</v>
      </c>
      <c r="I64" s="153">
        <v>0.11871322799081828</v>
      </c>
      <c r="J64" s="149">
        <v>2.4895000000000032</v>
      </c>
      <c r="K64" s="154">
        <v>0.14087458074471748</v>
      </c>
      <c r="L64" s="149">
        <v>3.944600000000003</v>
      </c>
      <c r="M64" s="154">
        <v>0.75001523051202112</v>
      </c>
      <c r="N64" s="151">
        <v>0.80724315613919617</v>
      </c>
      <c r="O64" s="150">
        <v>0.25071466051078561</v>
      </c>
      <c r="P64" s="152">
        <v>0.4423739303312777</v>
      </c>
      <c r="Q64" s="153">
        <v>0.20538515847996502</v>
      </c>
      <c r="R64" s="149">
        <v>0.71457588649348391</v>
      </c>
      <c r="S64" s="150">
        <v>0.24726988787304982</v>
      </c>
      <c r="T64" s="152">
        <v>0.82574725421564021</v>
      </c>
      <c r="U64" s="153">
        <v>0.30864794874305651</v>
      </c>
      <c r="V64" s="149">
        <v>1.8504098076444001E-2</v>
      </c>
      <c r="W64" s="154">
        <v>0.40785944051932344</v>
      </c>
      <c r="X64" s="151">
        <v>0.64149094869752488</v>
      </c>
      <c r="Y64" s="150">
        <v>0.10343793491455151</v>
      </c>
      <c r="Z64" s="152" t="s">
        <v>34</v>
      </c>
      <c r="AA64" s="153" t="s">
        <v>34</v>
      </c>
      <c r="AB64" s="152">
        <v>1.0622673842288</v>
      </c>
      <c r="AC64" s="155">
        <v>0.36375029807120379</v>
      </c>
      <c r="AD64" s="149">
        <v>0.42077643553127508</v>
      </c>
      <c r="AE64" s="156">
        <v>0.38284015469205301</v>
      </c>
    </row>
    <row r="65" spans="1:31" s="105" customFormat="1" x14ac:dyDescent="0.25">
      <c r="A65" s="94" t="s">
        <v>247</v>
      </c>
      <c r="B65" s="95">
        <v>176</v>
      </c>
      <c r="C65" s="96">
        <v>97.777084350585938</v>
      </c>
      <c r="D65" s="149">
        <v>2.46193029735386E-2</v>
      </c>
      <c r="E65" s="150">
        <v>6.9360558896498434E-2</v>
      </c>
      <c r="F65" s="151">
        <v>-1.4551000000000009</v>
      </c>
      <c r="G65" s="150" t="s">
        <v>35</v>
      </c>
      <c r="H65" s="152">
        <v>0.10769999999999991</v>
      </c>
      <c r="I65" s="153">
        <v>0.1305862205594448</v>
      </c>
      <c r="J65" s="149">
        <v>1.2579</v>
      </c>
      <c r="K65" s="154">
        <v>0.1248317607822622</v>
      </c>
      <c r="L65" s="149">
        <v>2.713000000000001</v>
      </c>
      <c r="M65" s="154">
        <v>0.12483176078226221</v>
      </c>
      <c r="N65" s="151">
        <v>1.16694463134401E-2</v>
      </c>
      <c r="O65" s="150">
        <v>0.11080945830211771</v>
      </c>
      <c r="P65" s="152">
        <v>-2.30919875652787E-2</v>
      </c>
      <c r="Q65" s="153">
        <v>0.15730308503004758</v>
      </c>
      <c r="R65" s="149">
        <v>4.62280023855942E-2</v>
      </c>
      <c r="S65" s="150">
        <v>0.14721941785067888</v>
      </c>
      <c r="T65" s="152">
        <v>6.3734543832975596E-2</v>
      </c>
      <c r="U65" s="153">
        <v>0.1736414302833775</v>
      </c>
      <c r="V65" s="149">
        <v>5.20650975195356E-2</v>
      </c>
      <c r="W65" s="154">
        <v>0.20200951577312082</v>
      </c>
      <c r="X65" s="151">
        <v>4.6969278347302301E-2</v>
      </c>
      <c r="Y65" s="150">
        <v>7.1592781397190774E-2</v>
      </c>
      <c r="Z65" s="152" t="s">
        <v>34</v>
      </c>
      <c r="AA65" s="153" t="s">
        <v>34</v>
      </c>
      <c r="AB65" s="152" t="s">
        <v>34</v>
      </c>
      <c r="AC65" s="155" t="s">
        <v>34</v>
      </c>
      <c r="AD65" s="149" t="s">
        <v>34</v>
      </c>
      <c r="AE65" s="156" t="s">
        <v>34</v>
      </c>
    </row>
    <row r="66" spans="1:31" s="105" customFormat="1" x14ac:dyDescent="0.25">
      <c r="A66" s="94" t="s">
        <v>248</v>
      </c>
      <c r="B66" s="95">
        <v>77</v>
      </c>
      <c r="C66" s="96">
        <v>96.037605285644531</v>
      </c>
      <c r="D66" s="149">
        <v>-0.24001568278552621</v>
      </c>
      <c r="E66" s="150">
        <v>2.5786576866177256E-3</v>
      </c>
      <c r="F66" s="151">
        <v>-1.4551000000000001</v>
      </c>
      <c r="G66" s="150" t="s">
        <v>35</v>
      </c>
      <c r="H66" s="152">
        <v>-0.19529999999999981</v>
      </c>
      <c r="I66" s="153" t="s">
        <v>35</v>
      </c>
      <c r="J66" s="149">
        <v>1.151399999999998</v>
      </c>
      <c r="K66" s="154">
        <v>3.5039185207421525E-2</v>
      </c>
      <c r="L66" s="149">
        <v>2.6064999999999978</v>
      </c>
      <c r="M66" s="154">
        <v>3.5039185207421469E-2</v>
      </c>
      <c r="N66" s="151">
        <v>0.31362108730181459</v>
      </c>
      <c r="O66" s="150">
        <v>6.3540362799544801E-3</v>
      </c>
      <c r="P66" s="152">
        <v>1.05583804839628E-2</v>
      </c>
      <c r="Q66" s="153">
        <v>1.9811979615388851E-3</v>
      </c>
      <c r="R66" s="149">
        <v>-0.51911700680585215</v>
      </c>
      <c r="S66" s="150">
        <v>4.3765240926352368E-3</v>
      </c>
      <c r="T66" s="152">
        <v>-0.80082262482991851</v>
      </c>
      <c r="U66" s="153">
        <v>2.1637513595744785E-3</v>
      </c>
      <c r="V66" s="149">
        <v>-1.114443712131733</v>
      </c>
      <c r="W66" s="154">
        <v>6.3751216632188124E-3</v>
      </c>
      <c r="X66" s="151">
        <v>-8.4295594145452193E-2</v>
      </c>
      <c r="Y66" s="150">
        <v>2.8486287334368904E-3</v>
      </c>
      <c r="Z66" s="152" t="s">
        <v>34</v>
      </c>
      <c r="AA66" s="153" t="s">
        <v>34</v>
      </c>
      <c r="AB66" s="152">
        <v>-0.97894704360379281</v>
      </c>
      <c r="AC66" s="155">
        <v>2.9894541804186573E-3</v>
      </c>
      <c r="AD66" s="149">
        <v>-0.89465144945834063</v>
      </c>
      <c r="AE66" s="156">
        <v>4.0736231435374417E-3</v>
      </c>
    </row>
    <row r="67" spans="1:31" s="105" customFormat="1" x14ac:dyDescent="0.25">
      <c r="A67" s="94" t="s">
        <v>249</v>
      </c>
      <c r="B67" s="95">
        <v>208</v>
      </c>
      <c r="C67" s="96">
        <v>88.453819274902344</v>
      </c>
      <c r="D67" s="149">
        <v>2.5240911440194299E-2</v>
      </c>
      <c r="E67" s="150">
        <v>7.1482283042208924E-2</v>
      </c>
      <c r="F67" s="151">
        <v>-1.4551000000000009</v>
      </c>
      <c r="G67" s="150" t="s">
        <v>35</v>
      </c>
      <c r="H67" s="152">
        <v>2.8000000000000001E-2</v>
      </c>
      <c r="I67" s="153">
        <v>8.1743112859738828E-2</v>
      </c>
      <c r="J67" s="149">
        <v>1.243200000000001</v>
      </c>
      <c r="K67" s="154">
        <v>0.10228009581536474</v>
      </c>
      <c r="L67" s="149">
        <v>2.6983000000000019</v>
      </c>
      <c r="M67" s="154">
        <v>0.10228009581536457</v>
      </c>
      <c r="N67" s="151">
        <v>0.2235253933193331</v>
      </c>
      <c r="O67" s="150">
        <v>0.14512271544290839</v>
      </c>
      <c r="P67" s="152">
        <v>0.16419546382729799</v>
      </c>
      <c r="Q67" s="153">
        <v>0.13299368336537823</v>
      </c>
      <c r="R67" s="149">
        <v>0.17630501340679369</v>
      </c>
      <c r="S67" s="150">
        <v>0.20018619072961549</v>
      </c>
      <c r="T67" s="152">
        <v>-0.46550058955178691</v>
      </c>
      <c r="U67" s="153">
        <v>0.16837731475728238</v>
      </c>
      <c r="V67" s="149">
        <v>-0.68902598287112005</v>
      </c>
      <c r="W67" s="154">
        <v>0.21280610518983184</v>
      </c>
      <c r="X67" s="151">
        <v>0.14341155679438691</v>
      </c>
      <c r="Y67" s="150">
        <v>8.4634816686503925E-2</v>
      </c>
      <c r="Z67" s="152">
        <v>-3.92526728826737E-2</v>
      </c>
      <c r="AA67" s="153">
        <v>0.30510187476102968</v>
      </c>
      <c r="AB67" s="152">
        <v>-0.57511576434105727</v>
      </c>
      <c r="AC67" s="155">
        <v>0.15493803766266181</v>
      </c>
      <c r="AD67" s="149">
        <v>-0.66455819319304787</v>
      </c>
      <c r="AE67" s="156">
        <v>0.16625050440738859</v>
      </c>
    </row>
    <row r="68" spans="1:31" s="105" customFormat="1" x14ac:dyDescent="0.25">
      <c r="A68" s="94" t="s">
        <v>250</v>
      </c>
      <c r="B68" s="95">
        <v>305</v>
      </c>
      <c r="C68" s="96">
        <v>97.637611389160156</v>
      </c>
      <c r="D68" s="149">
        <v>-0.19442164592408021</v>
      </c>
      <c r="E68" s="150">
        <v>6.1698628002399204E-2</v>
      </c>
      <c r="F68" s="151">
        <v>-1.4551000000000009</v>
      </c>
      <c r="G68" s="150" t="s">
        <v>35</v>
      </c>
      <c r="H68" s="152">
        <v>5.4999999999999997E-3</v>
      </c>
      <c r="I68" s="153">
        <v>1.0862596374716316E-2</v>
      </c>
      <c r="J68" s="149">
        <v>0.90200000000000036</v>
      </c>
      <c r="K68" s="154">
        <v>5.7409428668120349E-2</v>
      </c>
      <c r="L68" s="149">
        <v>2.3571000000000013</v>
      </c>
      <c r="M68" s="154">
        <v>5.7409428668120287E-2</v>
      </c>
      <c r="N68" s="151">
        <v>-0.1107340659304684</v>
      </c>
      <c r="O68" s="150">
        <v>9.934891946753327E-2</v>
      </c>
      <c r="P68" s="152">
        <v>-0.2220097979680955</v>
      </c>
      <c r="Q68" s="153">
        <v>0.13607896379075629</v>
      </c>
      <c r="R68" s="149">
        <v>-0.30835764688980127</v>
      </c>
      <c r="S68" s="150">
        <v>0.1735051640620317</v>
      </c>
      <c r="T68" s="152">
        <v>-0.13807118066697091</v>
      </c>
      <c r="U68" s="153">
        <v>0.13391433652676288</v>
      </c>
      <c r="V68" s="149">
        <v>-2.73371147365024E-2</v>
      </c>
      <c r="W68" s="154">
        <v>0.16650764724208436</v>
      </c>
      <c r="X68" s="151">
        <v>-0.146433054529641</v>
      </c>
      <c r="Y68" s="150">
        <v>6.7112705916214294E-2</v>
      </c>
      <c r="Z68" s="152" t="s">
        <v>34</v>
      </c>
      <c r="AA68" s="153" t="s">
        <v>34</v>
      </c>
      <c r="AB68" s="152">
        <v>-0.64051075810899627</v>
      </c>
      <c r="AC68" s="155">
        <v>0.1333760818719307</v>
      </c>
      <c r="AD68" s="149">
        <v>-0.49407770357935527</v>
      </c>
      <c r="AE68" s="156">
        <v>0.14751413711527583</v>
      </c>
    </row>
    <row r="69" spans="1:31" s="105" customFormat="1" x14ac:dyDescent="0.25">
      <c r="A69" s="94" t="s">
        <v>303</v>
      </c>
      <c r="B69" s="95">
        <v>112</v>
      </c>
      <c r="C69" s="96">
        <v>75.546546936035156</v>
      </c>
      <c r="D69" s="149">
        <v>8.7766930859680195E-2</v>
      </c>
      <c r="E69" s="150">
        <v>0.10558493064677718</v>
      </c>
      <c r="F69" s="151">
        <v>-1.4551000000000009</v>
      </c>
      <c r="G69" s="150" t="s">
        <v>35</v>
      </c>
      <c r="H69" s="152">
        <v>0.21</v>
      </c>
      <c r="I69" s="153">
        <v>8.8133920825071557E-2</v>
      </c>
      <c r="J69" s="149">
        <v>1.280500000000002</v>
      </c>
      <c r="K69" s="154">
        <v>0.11210115744273014</v>
      </c>
      <c r="L69" s="149">
        <v>2.7356000000000029</v>
      </c>
      <c r="M69" s="154">
        <v>0.11210115744273004</v>
      </c>
      <c r="N69" s="151">
        <v>0.51180449957662189</v>
      </c>
      <c r="O69" s="150">
        <v>0.27149854324807104</v>
      </c>
      <c r="P69" s="152">
        <v>0.1106691996317125</v>
      </c>
      <c r="Q69" s="153">
        <v>0.19159277842363232</v>
      </c>
      <c r="R69" s="149">
        <v>8.3249151046418196E-2</v>
      </c>
      <c r="S69" s="150">
        <v>0.18083291416576527</v>
      </c>
      <c r="T69" s="152">
        <v>-0.35694769748540678</v>
      </c>
      <c r="U69" s="153">
        <v>0.24524787214315236</v>
      </c>
      <c r="V69" s="149">
        <v>-0.86875219706202866</v>
      </c>
      <c r="W69" s="154">
        <v>0.38256293171585976</v>
      </c>
      <c r="X69" s="151">
        <v>0.25282009901766511</v>
      </c>
      <c r="Y69" s="150">
        <v>0.25472929119063209</v>
      </c>
      <c r="Z69" s="152">
        <v>0.1246293095098103</v>
      </c>
      <c r="AA69" s="153">
        <v>0.10837480671450866</v>
      </c>
      <c r="AB69" s="152" t="s">
        <v>34</v>
      </c>
      <c r="AC69" s="155" t="s">
        <v>34</v>
      </c>
      <c r="AD69" s="149">
        <v>-0.12819078950785481</v>
      </c>
      <c r="AE69" s="156">
        <v>0.25494346692564157</v>
      </c>
    </row>
    <row r="70" spans="1:31" s="105" customFormat="1" x14ac:dyDescent="0.25">
      <c r="A70" s="94" t="s">
        <v>251</v>
      </c>
      <c r="B70" s="95">
        <v>339</v>
      </c>
      <c r="C70" s="96">
        <v>88.619331359863281</v>
      </c>
      <c r="D70" s="149">
        <v>0.37154151339415398</v>
      </c>
      <c r="E70" s="150">
        <v>0.10580489905350483</v>
      </c>
      <c r="F70" s="151">
        <v>-1.4551000000000009</v>
      </c>
      <c r="G70" s="150" t="s">
        <v>35</v>
      </c>
      <c r="H70" s="152">
        <v>0.43</v>
      </c>
      <c r="I70" s="153">
        <v>0.10296519557598097</v>
      </c>
      <c r="J70" s="149">
        <v>1.543500000000001</v>
      </c>
      <c r="K70" s="154">
        <v>0.10133763614768163</v>
      </c>
      <c r="L70" s="149">
        <v>2.9986000000000019</v>
      </c>
      <c r="M70" s="154">
        <v>0.10133763614768163</v>
      </c>
      <c r="N70" s="151">
        <v>0.79187335942107473</v>
      </c>
      <c r="O70" s="150">
        <v>0.23236102553353222</v>
      </c>
      <c r="P70" s="152">
        <v>3.6005160915522E-2</v>
      </c>
      <c r="Q70" s="153">
        <v>0.26385337772260964</v>
      </c>
      <c r="R70" s="149">
        <v>0.530336771995358</v>
      </c>
      <c r="S70" s="150">
        <v>0.16873017453662703</v>
      </c>
      <c r="T70" s="152">
        <v>0.1148091040487003</v>
      </c>
      <c r="U70" s="153">
        <v>0.2600269587587194</v>
      </c>
      <c r="V70" s="149">
        <v>-0.67706425537237447</v>
      </c>
      <c r="W70" s="154">
        <v>0.34451766379223747</v>
      </c>
      <c r="X70" s="151">
        <v>0.37146638246950781</v>
      </c>
      <c r="Y70" s="150">
        <v>0.13566452357629488</v>
      </c>
      <c r="Z70" s="152">
        <v>0.30352667084157958</v>
      </c>
      <c r="AA70" s="153">
        <v>0.13191280935438698</v>
      </c>
      <c r="AB70" s="152">
        <v>0.41301497854250763</v>
      </c>
      <c r="AC70" s="155">
        <v>0.32041351102016297</v>
      </c>
      <c r="AD70" s="149">
        <v>-1.9814789288256418E-2</v>
      </c>
      <c r="AE70" s="156">
        <v>0.21466877869434695</v>
      </c>
    </row>
    <row r="71" spans="1:31" s="105" customFormat="1" x14ac:dyDescent="0.25">
      <c r="A71" s="94" t="s">
        <v>252</v>
      </c>
      <c r="B71" s="95">
        <v>305</v>
      </c>
      <c r="C71" s="96">
        <v>97.221443176269531</v>
      </c>
      <c r="D71" s="149">
        <v>0.7123036439141901</v>
      </c>
      <c r="E71" s="150">
        <v>7.892818727031671E-2</v>
      </c>
      <c r="F71" s="151">
        <v>-1.4551000000000009</v>
      </c>
      <c r="G71" s="150" t="s">
        <v>35</v>
      </c>
      <c r="H71" s="152">
        <v>0.81790000000000074</v>
      </c>
      <c r="I71" s="153">
        <v>0.13745999418012556</v>
      </c>
      <c r="J71" s="149">
        <v>2.1075000000000008</v>
      </c>
      <c r="K71" s="154">
        <v>9.6207842715653843E-2</v>
      </c>
      <c r="L71" s="149">
        <v>3.5626000000000015</v>
      </c>
      <c r="M71" s="154">
        <v>9.6207842715653996E-2</v>
      </c>
      <c r="N71" s="151">
        <v>0.99824808144275101</v>
      </c>
      <c r="O71" s="150">
        <v>0.19323570753623051</v>
      </c>
      <c r="P71" s="152">
        <v>0.79781621542310699</v>
      </c>
      <c r="Q71" s="153">
        <v>0.18021177003157382</v>
      </c>
      <c r="R71" s="149">
        <v>0.72647836685043377</v>
      </c>
      <c r="S71" s="150">
        <v>0.20681919601043938</v>
      </c>
      <c r="T71" s="152">
        <v>0.32392553960349918</v>
      </c>
      <c r="U71" s="153">
        <v>0.1442059412592325</v>
      </c>
      <c r="V71" s="149">
        <v>-0.67432254183925178</v>
      </c>
      <c r="W71" s="154">
        <v>0.24068131593627229</v>
      </c>
      <c r="X71" s="151">
        <v>0.86397144428786188</v>
      </c>
      <c r="Y71" s="150">
        <v>9.5394294082287293E-2</v>
      </c>
      <c r="Z71" s="152" t="s">
        <v>34</v>
      </c>
      <c r="AA71" s="153" t="s">
        <v>34</v>
      </c>
      <c r="AB71" s="152">
        <v>0.1412585740284294</v>
      </c>
      <c r="AC71" s="155">
        <v>0.13951741543876034</v>
      </c>
      <c r="AD71" s="149">
        <v>-0.72271287025943254</v>
      </c>
      <c r="AE71" s="156">
        <v>0.17081125582276571</v>
      </c>
    </row>
    <row r="72" spans="1:31" s="105" customFormat="1" x14ac:dyDescent="0.25">
      <c r="A72" s="94" t="s">
        <v>253</v>
      </c>
      <c r="B72" s="95">
        <v>516</v>
      </c>
      <c r="C72" s="96">
        <v>80.3912353515625</v>
      </c>
      <c r="D72" s="149">
        <v>-0.43017798542688029</v>
      </c>
      <c r="E72" s="150">
        <v>6.336077424932085E-2</v>
      </c>
      <c r="F72" s="151">
        <v>-1.5765</v>
      </c>
      <c r="G72" s="150">
        <v>0.10858346098738896</v>
      </c>
      <c r="H72" s="152">
        <v>-0.61400000000000043</v>
      </c>
      <c r="I72" s="153">
        <v>6.6092026750585051E-2</v>
      </c>
      <c r="J72" s="149">
        <v>1.0607</v>
      </c>
      <c r="K72" s="154">
        <v>0.18466053720272793</v>
      </c>
      <c r="L72" s="149">
        <v>2.6372</v>
      </c>
      <c r="M72" s="154">
        <v>0.1863880521921937</v>
      </c>
      <c r="N72" s="151">
        <v>-0.14486089525550069</v>
      </c>
      <c r="O72" s="150">
        <v>0.16134024790862037</v>
      </c>
      <c r="P72" s="152">
        <v>-0.69980758260578091</v>
      </c>
      <c r="Q72" s="153">
        <v>0.1314052425487684</v>
      </c>
      <c r="R72" s="149">
        <v>-0.45919017049131827</v>
      </c>
      <c r="S72" s="150">
        <v>0.11979088954082873</v>
      </c>
      <c r="T72" s="152">
        <v>-0.412129472601516</v>
      </c>
      <c r="U72" s="153">
        <v>0.14718841889537021</v>
      </c>
      <c r="V72" s="149">
        <v>-0.26726857734601528</v>
      </c>
      <c r="W72" s="154">
        <v>0.20500707878773775</v>
      </c>
      <c r="X72" s="151">
        <v>-0.42491685236996551</v>
      </c>
      <c r="Y72" s="150">
        <v>6.4858198748066975E-2</v>
      </c>
      <c r="Z72" s="152">
        <v>-0.8626921454573766</v>
      </c>
      <c r="AA72" s="153">
        <v>0.11853186836899528</v>
      </c>
      <c r="AB72" s="152" t="s">
        <v>34</v>
      </c>
      <c r="AC72" s="155" t="s">
        <v>34</v>
      </c>
      <c r="AD72" s="149">
        <v>-0.43777529308741109</v>
      </c>
      <c r="AE72" s="156">
        <v>0.13718168180567858</v>
      </c>
    </row>
    <row r="73" spans="1:31" s="105" customFormat="1" x14ac:dyDescent="0.25">
      <c r="A73" s="94" t="s">
        <v>254</v>
      </c>
      <c r="B73" s="95">
        <v>88</v>
      </c>
      <c r="C73" s="96">
        <v>73.040199279785156</v>
      </c>
      <c r="D73" s="149">
        <v>-1.45947530184188E-2</v>
      </c>
      <c r="E73" s="150">
        <v>1.9128127158287919E-2</v>
      </c>
      <c r="F73" s="151">
        <v>-1.4551000000000009</v>
      </c>
      <c r="G73" s="150" t="s">
        <v>35</v>
      </c>
      <c r="H73" s="152">
        <v>-9.7000000000000003E-3</v>
      </c>
      <c r="I73" s="153">
        <v>9.0042489970013594E-3</v>
      </c>
      <c r="J73" s="149">
        <v>1.0674999999999999</v>
      </c>
      <c r="K73" s="154" t="s">
        <v>35</v>
      </c>
      <c r="L73" s="149">
        <v>2.5226000000000006</v>
      </c>
      <c r="M73" s="154" t="s">
        <v>35</v>
      </c>
      <c r="N73" s="151">
        <v>-0.11551235108910871</v>
      </c>
      <c r="O73" s="150">
        <v>0.16500525045392592</v>
      </c>
      <c r="P73" s="152">
        <v>0.16106481012029131</v>
      </c>
      <c r="Q73" s="153">
        <v>0.12634449955330296</v>
      </c>
      <c r="R73" s="149">
        <v>-3.6673422963047701E-2</v>
      </c>
      <c r="S73" s="150">
        <v>7.3972184359148013E-2</v>
      </c>
      <c r="T73" s="152">
        <v>-6.6868389988660501E-2</v>
      </c>
      <c r="U73" s="153">
        <v>7.1312452407095245E-2</v>
      </c>
      <c r="V73" s="149">
        <v>4.8643961100448198E-2</v>
      </c>
      <c r="W73" s="154">
        <v>0.19221643570727848</v>
      </c>
      <c r="X73" s="151">
        <v>-8.0476580138213998E-3</v>
      </c>
      <c r="Y73" s="150">
        <v>1.7458610521983126E-2</v>
      </c>
      <c r="Z73" s="152" t="s">
        <v>34</v>
      </c>
      <c r="AA73" s="153" t="s">
        <v>34</v>
      </c>
      <c r="AB73" s="152" t="s">
        <v>34</v>
      </c>
      <c r="AC73" s="155" t="s">
        <v>34</v>
      </c>
      <c r="AD73" s="149" t="s">
        <v>34</v>
      </c>
      <c r="AE73" s="156" t="s">
        <v>34</v>
      </c>
    </row>
    <row r="74" spans="1:31" s="105" customFormat="1" x14ac:dyDescent="0.25">
      <c r="A74" s="94" t="s">
        <v>255</v>
      </c>
      <c r="B74" s="95">
        <v>202</v>
      </c>
      <c r="C74" s="96">
        <v>75.243843078613281</v>
      </c>
      <c r="D74" s="149">
        <v>-0.2224429519951123</v>
      </c>
      <c r="E74" s="150">
        <v>7.3173851136703841E-2</v>
      </c>
      <c r="F74" s="151">
        <v>-1.4551000000000009</v>
      </c>
      <c r="G74" s="150" t="s">
        <v>35</v>
      </c>
      <c r="H74" s="152">
        <v>-0.1953</v>
      </c>
      <c r="I74" s="153">
        <v>0.1701093383680039</v>
      </c>
      <c r="J74" s="149">
        <v>1.1514</v>
      </c>
      <c r="K74" s="154">
        <v>0.12786860052413276</v>
      </c>
      <c r="L74" s="149">
        <v>2.6065000000000009</v>
      </c>
      <c r="M74" s="154">
        <v>0.12786860052413276</v>
      </c>
      <c r="N74" s="151">
        <v>-1.9191989408755401E-2</v>
      </c>
      <c r="O74" s="150">
        <v>0.16012769276936223</v>
      </c>
      <c r="P74" s="152">
        <v>-0.1322606696155755</v>
      </c>
      <c r="Q74" s="153">
        <v>0.17112935071052537</v>
      </c>
      <c r="R74" s="149">
        <v>-0.23574767399657681</v>
      </c>
      <c r="S74" s="150">
        <v>0.17639573486352275</v>
      </c>
      <c r="T74" s="152">
        <v>-0.50761163717257607</v>
      </c>
      <c r="U74" s="153">
        <v>0.17758558026146232</v>
      </c>
      <c r="V74" s="149">
        <v>-0.48841964776382069</v>
      </c>
      <c r="W74" s="154">
        <v>0.24365434762389285</v>
      </c>
      <c r="X74" s="151">
        <v>0.1203487712131842</v>
      </c>
      <c r="Y74" s="150">
        <v>0.10431174081576726</v>
      </c>
      <c r="Z74" s="152" t="s">
        <v>34</v>
      </c>
      <c r="AA74" s="153" t="s">
        <v>34</v>
      </c>
      <c r="AB74" s="152">
        <v>-0.4841819985700947</v>
      </c>
      <c r="AC74" s="155">
        <v>0.13318905275277335</v>
      </c>
      <c r="AD74" s="149">
        <v>-0.60453076978327891</v>
      </c>
      <c r="AE74" s="156">
        <v>0.16977888911015351</v>
      </c>
    </row>
    <row r="75" spans="1:31" s="105" customFormat="1" x14ac:dyDescent="0.25">
      <c r="A75" s="94" t="s">
        <v>256</v>
      </c>
      <c r="B75" s="95">
        <v>45</v>
      </c>
      <c r="C75" s="96">
        <v>100</v>
      </c>
      <c r="D75" s="149">
        <v>0.16039220861746961</v>
      </c>
      <c r="E75" s="150">
        <v>1.0745538513619048E-3</v>
      </c>
      <c r="F75" s="151">
        <v>-1.180700000000001</v>
      </c>
      <c r="G75" s="150" t="s">
        <v>35</v>
      </c>
      <c r="H75" s="152">
        <v>0.24949999999999969</v>
      </c>
      <c r="I75" s="153" t="s">
        <v>35</v>
      </c>
      <c r="J75" s="149">
        <v>1.4347000000000001</v>
      </c>
      <c r="K75" s="154" t="s">
        <v>35</v>
      </c>
      <c r="L75" s="149">
        <v>2.6154000000000011</v>
      </c>
      <c r="M75" s="154" t="s">
        <v>35</v>
      </c>
      <c r="N75" s="151">
        <v>0.26656251662634711</v>
      </c>
      <c r="O75" s="150">
        <v>1.3314943298074777E-3</v>
      </c>
      <c r="P75" s="152">
        <v>0.65060435817101692</v>
      </c>
      <c r="Q75" s="153">
        <v>3.4308979361355246E-3</v>
      </c>
      <c r="R75" s="149">
        <v>0.12598786364853509</v>
      </c>
      <c r="S75" s="150">
        <v>1.8403614696428365E-3</v>
      </c>
      <c r="T75" s="152">
        <v>-0.41922816245936118</v>
      </c>
      <c r="U75" s="153">
        <v>3.1302865347030274E-3</v>
      </c>
      <c r="V75" s="149">
        <v>-0.68579067908570823</v>
      </c>
      <c r="W75" s="154">
        <v>3.6173923454257636E-3</v>
      </c>
      <c r="X75" s="151">
        <v>1.1872788659698621</v>
      </c>
      <c r="Y75" s="150">
        <v>7.3320735834495228E-4</v>
      </c>
      <c r="Z75" s="152">
        <v>0.2033138689420366</v>
      </c>
      <c r="AA75" s="153">
        <v>1.2156114332402624E-3</v>
      </c>
      <c r="AB75" s="152" t="s">
        <v>34</v>
      </c>
      <c r="AC75" s="155" t="s">
        <v>34</v>
      </c>
      <c r="AD75" s="149">
        <v>-0.98396499702782547</v>
      </c>
      <c r="AE75" s="156">
        <v>1.4013944623462269E-3</v>
      </c>
    </row>
    <row r="76" spans="1:31" s="105" customFormat="1" x14ac:dyDescent="0.25">
      <c r="A76" s="94" t="s">
        <v>257</v>
      </c>
      <c r="B76" s="95">
        <v>190</v>
      </c>
      <c r="C76" s="96">
        <v>99.531219482421875</v>
      </c>
      <c r="D76" s="149">
        <v>0.19943389925867369</v>
      </c>
      <c r="E76" s="150">
        <v>5.877659295853311E-2</v>
      </c>
      <c r="F76" s="151">
        <v>-0.86280000000000001</v>
      </c>
      <c r="G76" s="150" t="s">
        <v>35</v>
      </c>
      <c r="H76" s="152">
        <v>0.1729</v>
      </c>
      <c r="I76" s="153">
        <v>6.7617153888639717E-2</v>
      </c>
      <c r="J76" s="149">
        <v>1.200299999999999</v>
      </c>
      <c r="K76" s="154">
        <v>0.15974397171724508</v>
      </c>
      <c r="L76" s="149">
        <v>2.063099999999999</v>
      </c>
      <c r="M76" s="154">
        <v>0.15974397171724505</v>
      </c>
      <c r="N76" s="151">
        <v>0.38426532248325929</v>
      </c>
      <c r="O76" s="150">
        <v>0.11408757111498385</v>
      </c>
      <c r="P76" s="152">
        <v>0.10864787509198209</v>
      </c>
      <c r="Q76" s="153">
        <v>0.11385653904198331</v>
      </c>
      <c r="R76" s="149">
        <v>0.21741307288412601</v>
      </c>
      <c r="S76" s="150">
        <v>0.10751053269863672</v>
      </c>
      <c r="T76" s="152">
        <v>8.9539140259030897E-2</v>
      </c>
      <c r="U76" s="153">
        <v>0.12687546370928296</v>
      </c>
      <c r="V76" s="149">
        <v>-0.29472618222422847</v>
      </c>
      <c r="W76" s="154">
        <v>0.16328365363855299</v>
      </c>
      <c r="X76" s="151">
        <v>0.19001268386100781</v>
      </c>
      <c r="Y76" s="150">
        <v>5.8564009687679025E-2</v>
      </c>
      <c r="Z76" s="152" t="s">
        <v>34</v>
      </c>
      <c r="AA76" s="153" t="s">
        <v>34</v>
      </c>
      <c r="AB76" s="152">
        <v>0.34708643751521367</v>
      </c>
      <c r="AC76" s="155">
        <v>0.24564265276573938</v>
      </c>
      <c r="AD76" s="149">
        <v>0.15707375365420587</v>
      </c>
      <c r="AE76" s="156">
        <v>0.24247972678443161</v>
      </c>
    </row>
    <row r="77" spans="1:31" s="105" customFormat="1" x14ac:dyDescent="0.25">
      <c r="A77" s="94" t="s">
        <v>258</v>
      </c>
      <c r="B77" s="95">
        <v>49</v>
      </c>
      <c r="C77" s="96">
        <v>99.911201477050781</v>
      </c>
      <c r="D77" s="149">
        <v>-6.1874572197457102E-2</v>
      </c>
      <c r="E77" s="150">
        <v>2.5174382588794395E-3</v>
      </c>
      <c r="F77" s="151">
        <v>-1.4551000000000001</v>
      </c>
      <c r="G77" s="150" t="s">
        <v>35</v>
      </c>
      <c r="H77" s="152">
        <v>-9.7000000000000003E-3</v>
      </c>
      <c r="I77" s="153" t="s">
        <v>35</v>
      </c>
      <c r="J77" s="149">
        <v>1.3405000000000009</v>
      </c>
      <c r="K77" s="154" t="s">
        <v>35</v>
      </c>
      <c r="L77" s="149">
        <v>2.7956000000000012</v>
      </c>
      <c r="M77" s="154" t="s">
        <v>35</v>
      </c>
      <c r="N77" s="151">
        <v>0.28570228593903851</v>
      </c>
      <c r="O77" s="150">
        <v>3.9882829651167965E-3</v>
      </c>
      <c r="P77" s="152">
        <v>-9.8725228274628804E-2</v>
      </c>
      <c r="Q77" s="153">
        <v>4.5017568807880042E-3</v>
      </c>
      <c r="R77" s="149">
        <v>5.6157997967577001E-3</v>
      </c>
      <c r="S77" s="150">
        <v>4.7089360215809587E-3</v>
      </c>
      <c r="T77" s="152">
        <v>-0.41196346920635279</v>
      </c>
      <c r="U77" s="153">
        <v>5.3810186456405909E-3</v>
      </c>
      <c r="V77" s="149">
        <v>-0.69766575514539131</v>
      </c>
      <c r="W77" s="154">
        <v>7.0590859041170266E-3</v>
      </c>
      <c r="X77" s="151">
        <v>8.70833071018179E-2</v>
      </c>
      <c r="Y77" s="150">
        <v>3.2455484164365289E-3</v>
      </c>
      <c r="Z77" s="152">
        <v>-0.18719444334804031</v>
      </c>
      <c r="AA77" s="153">
        <v>3.9596509222552187E-3</v>
      </c>
      <c r="AB77" s="152">
        <v>-0.37143759554329742</v>
      </c>
      <c r="AC77" s="155">
        <v>8.4464349238931053E-3</v>
      </c>
      <c r="AD77" s="149">
        <v>-0.33052228510119608</v>
      </c>
      <c r="AE77" s="156">
        <v>4.8967690234201135E-3</v>
      </c>
    </row>
    <row r="78" spans="1:31" s="105" customFormat="1" x14ac:dyDescent="0.25">
      <c r="A78" s="94" t="s">
        <v>259</v>
      </c>
      <c r="B78" s="95">
        <v>215</v>
      </c>
      <c r="C78" s="96">
        <v>93.937934875488281</v>
      </c>
      <c r="D78" s="149">
        <v>-8.6473432948712004E-3</v>
      </c>
      <c r="E78" s="150">
        <v>6.2103908111550463E-2</v>
      </c>
      <c r="F78" s="151">
        <v>-1.4551000000000009</v>
      </c>
      <c r="G78" s="150">
        <v>4.8647535555904947E-16</v>
      </c>
      <c r="H78" s="152">
        <v>-9.7000000000000003E-3</v>
      </c>
      <c r="I78" s="153">
        <v>4.8737470184653617E-2</v>
      </c>
      <c r="J78" s="149">
        <v>1.0744</v>
      </c>
      <c r="K78" s="154">
        <v>4.870297218856353E-2</v>
      </c>
      <c r="L78" s="149">
        <v>2.529500000000001</v>
      </c>
      <c r="M78" s="154">
        <v>4.8702972188563398E-2</v>
      </c>
      <c r="N78" s="151">
        <v>-4.5685120099800004E-6</v>
      </c>
      <c r="O78" s="150">
        <v>9.3307131506243007E-2</v>
      </c>
      <c r="P78" s="152">
        <v>-0.11789134450736739</v>
      </c>
      <c r="Q78" s="153">
        <v>0.10012175674831703</v>
      </c>
      <c r="R78" s="149">
        <v>-0.17891059439501289</v>
      </c>
      <c r="S78" s="150">
        <v>0.17870339600048282</v>
      </c>
      <c r="T78" s="152">
        <v>0.27076488031296531</v>
      </c>
      <c r="U78" s="153">
        <v>0.14258003842696129</v>
      </c>
      <c r="V78" s="149">
        <v>0.27076944882497522</v>
      </c>
      <c r="W78" s="154">
        <v>0.16359260077806942</v>
      </c>
      <c r="X78" s="151">
        <v>1.8073508566933E-3</v>
      </c>
      <c r="Y78" s="150">
        <v>6.2701690309930988E-2</v>
      </c>
      <c r="Z78" s="152" t="s">
        <v>34</v>
      </c>
      <c r="AA78" s="153" t="s">
        <v>34</v>
      </c>
      <c r="AB78" s="152" t="s">
        <v>34</v>
      </c>
      <c r="AC78" s="155" t="s">
        <v>34</v>
      </c>
      <c r="AD78" s="149" t="s">
        <v>34</v>
      </c>
      <c r="AE78" s="156" t="s">
        <v>34</v>
      </c>
    </row>
    <row r="79" spans="1:31" s="105" customFormat="1" x14ac:dyDescent="0.25">
      <c r="A79" s="94" t="s">
        <v>260</v>
      </c>
      <c r="B79" s="95">
        <v>49</v>
      </c>
      <c r="C79" s="96">
        <v>96.651611328125</v>
      </c>
      <c r="D79" s="149">
        <v>-0.95484370394047013</v>
      </c>
      <c r="E79" s="150">
        <v>6.4132829612558936E-4</v>
      </c>
      <c r="F79" s="151">
        <v>-1.4551000000000041</v>
      </c>
      <c r="G79" s="150" t="s">
        <v>35</v>
      </c>
      <c r="H79" s="152">
        <v>-1.455099999999995</v>
      </c>
      <c r="I79" s="153" t="s">
        <v>35</v>
      </c>
      <c r="J79" s="149">
        <v>-0.29679999999999968</v>
      </c>
      <c r="K79" s="154" t="s">
        <v>35</v>
      </c>
      <c r="L79" s="149">
        <v>1.1583000000000043</v>
      </c>
      <c r="M79" s="154" t="s">
        <v>35</v>
      </c>
      <c r="N79" s="151">
        <v>-0.99533683989604926</v>
      </c>
      <c r="O79" s="150">
        <v>1.5490047314131764E-3</v>
      </c>
      <c r="P79" s="152">
        <v>-0.73010444904855787</v>
      </c>
      <c r="Q79" s="153">
        <v>1.8695447095929472E-3</v>
      </c>
      <c r="R79" s="149">
        <v>-1.0230645428390479</v>
      </c>
      <c r="S79" s="150">
        <v>1.4012690458970222E-3</v>
      </c>
      <c r="T79" s="152">
        <v>-1.0264153120304309</v>
      </c>
      <c r="U79" s="153">
        <v>6.6585072436665428E-4</v>
      </c>
      <c r="V79" s="149">
        <v>-3.1078472134382099E-2</v>
      </c>
      <c r="W79" s="154">
        <v>1.7430324794019865E-3</v>
      </c>
      <c r="X79" s="151">
        <v>-0.9538925069675861</v>
      </c>
      <c r="Y79" s="150">
        <v>6.381213719923658E-4</v>
      </c>
      <c r="Z79" s="152" t="s">
        <v>34</v>
      </c>
      <c r="AA79" s="153" t="s">
        <v>34</v>
      </c>
      <c r="AB79" s="152" t="s">
        <v>34</v>
      </c>
      <c r="AC79" s="155" t="s">
        <v>34</v>
      </c>
      <c r="AD79" s="149" t="s">
        <v>34</v>
      </c>
      <c r="AE79" s="156" t="s">
        <v>34</v>
      </c>
    </row>
    <row r="80" spans="1:31" s="105" customFormat="1" x14ac:dyDescent="0.25">
      <c r="A80" s="94" t="s">
        <v>261</v>
      </c>
      <c r="B80" s="95">
        <v>173</v>
      </c>
      <c r="C80" s="96">
        <v>96.440826416015625</v>
      </c>
      <c r="D80" s="149">
        <v>0.94197281033911373</v>
      </c>
      <c r="E80" s="150">
        <v>8.0437272875400298E-2</v>
      </c>
      <c r="F80" s="151">
        <v>-0.58689999999999998</v>
      </c>
      <c r="G80" s="150">
        <v>0.12346620387782235</v>
      </c>
      <c r="H80" s="152">
        <v>0.90200000000000036</v>
      </c>
      <c r="I80" s="153">
        <v>7.1378911451492416E-2</v>
      </c>
      <c r="J80" s="149">
        <v>2.1075000000000008</v>
      </c>
      <c r="K80" s="154">
        <v>0.15836835858213644</v>
      </c>
      <c r="L80" s="149">
        <v>2.6944000000000008</v>
      </c>
      <c r="M80" s="154">
        <v>0.16972765390471911</v>
      </c>
      <c r="N80" s="151">
        <v>1.0839451567105061</v>
      </c>
      <c r="O80" s="150">
        <v>0.19608070809872424</v>
      </c>
      <c r="P80" s="152">
        <v>1.1962087556386971</v>
      </c>
      <c r="Q80" s="153">
        <v>0.17960094182750205</v>
      </c>
      <c r="R80" s="149">
        <v>1.038361328665266</v>
      </c>
      <c r="S80" s="150">
        <v>0.1649399198343246</v>
      </c>
      <c r="T80" s="152">
        <v>0.44919001072580478</v>
      </c>
      <c r="U80" s="153">
        <v>0.18957507063648557</v>
      </c>
      <c r="V80" s="149">
        <v>-0.6347551459847014</v>
      </c>
      <c r="W80" s="154">
        <v>0.29048737145565645</v>
      </c>
      <c r="X80" s="151">
        <v>1.0395877993940561</v>
      </c>
      <c r="Y80" s="150">
        <v>8.7167335563107157E-2</v>
      </c>
      <c r="Z80" s="152" t="s">
        <v>34</v>
      </c>
      <c r="AA80" s="153" t="s">
        <v>34</v>
      </c>
      <c r="AB80" s="152">
        <v>-0.53711388397459869</v>
      </c>
      <c r="AC80" s="155">
        <v>0.23851199454366506</v>
      </c>
      <c r="AD80" s="149">
        <v>-1.5767016833686549</v>
      </c>
      <c r="AE80" s="156">
        <v>0.25573775567221868</v>
      </c>
    </row>
    <row r="81" spans="1:31" s="105" customFormat="1" x14ac:dyDescent="0.25">
      <c r="A81" s="94" t="s">
        <v>262</v>
      </c>
      <c r="B81" s="95">
        <v>95</v>
      </c>
      <c r="C81" s="96">
        <v>89.56817626953125</v>
      </c>
      <c r="D81" s="149">
        <v>-0.835334861432388</v>
      </c>
      <c r="E81" s="150">
        <v>1.8721740563473915E-3</v>
      </c>
      <c r="F81" s="151">
        <v>-1.9071</v>
      </c>
      <c r="G81" s="150" t="s">
        <v>35</v>
      </c>
      <c r="H81" s="152">
        <v>-0.78280000000000116</v>
      </c>
      <c r="I81" s="153" t="s">
        <v>35</v>
      </c>
      <c r="J81" s="149">
        <v>0.28330000000000022</v>
      </c>
      <c r="K81" s="154" t="s">
        <v>35</v>
      </c>
      <c r="L81" s="149">
        <v>2.1904000000000003</v>
      </c>
      <c r="M81" s="154" t="s">
        <v>35</v>
      </c>
      <c r="N81" s="151">
        <v>-1.139400870560092</v>
      </c>
      <c r="O81" s="150">
        <v>3.5533883820699488E-3</v>
      </c>
      <c r="P81" s="152">
        <v>-1.101546103476482</v>
      </c>
      <c r="Q81" s="153">
        <v>4.0792800698757244E-3</v>
      </c>
      <c r="R81" s="149">
        <v>-0.4565042457011062</v>
      </c>
      <c r="S81" s="150">
        <v>3.8934504081351877E-3</v>
      </c>
      <c r="T81" s="152">
        <v>-0.61083505934658178</v>
      </c>
      <c r="U81" s="153">
        <v>4.9668424567915247E-3</v>
      </c>
      <c r="V81" s="149">
        <v>0.52856581121350976</v>
      </c>
      <c r="W81" s="154">
        <v>5.9877271129266576E-3</v>
      </c>
      <c r="X81" s="151">
        <v>-0.8183073992933505</v>
      </c>
      <c r="Y81" s="150">
        <v>1.929450835415823E-3</v>
      </c>
      <c r="Z81" s="152" t="s">
        <v>34</v>
      </c>
      <c r="AA81" s="153" t="s">
        <v>34</v>
      </c>
      <c r="AB81" s="152">
        <v>-1.4551000000000009</v>
      </c>
      <c r="AC81" s="155" t="s">
        <v>35</v>
      </c>
      <c r="AD81" s="149">
        <v>-0.63679260070665045</v>
      </c>
      <c r="AE81" s="156">
        <v>1.929450835415823E-3</v>
      </c>
    </row>
    <row r="82" spans="1:31" s="105" customFormat="1" x14ac:dyDescent="0.25">
      <c r="A82" s="94" t="s">
        <v>263</v>
      </c>
      <c r="B82" s="95">
        <v>141</v>
      </c>
      <c r="C82" s="96">
        <v>69.820892333984375</v>
      </c>
      <c r="D82" s="149">
        <v>0.30053330829547548</v>
      </c>
      <c r="E82" s="150">
        <v>5.9203328918512502E-2</v>
      </c>
      <c r="F82" s="151">
        <v>-1.4551000000000009</v>
      </c>
      <c r="G82" s="150" t="s">
        <v>35</v>
      </c>
      <c r="H82" s="152">
        <v>0.44270000000000009</v>
      </c>
      <c r="I82" s="153">
        <v>8.5539540564583252E-2</v>
      </c>
      <c r="J82" s="149">
        <v>1.2805000000000011</v>
      </c>
      <c r="K82" s="154">
        <v>0.11757621570708855</v>
      </c>
      <c r="L82" s="149">
        <v>2.735600000000002</v>
      </c>
      <c r="M82" s="154">
        <v>0.11757621570708875</v>
      </c>
      <c r="N82" s="151">
        <v>0.60223021435513302</v>
      </c>
      <c r="O82" s="150">
        <v>0.15751156247902498</v>
      </c>
      <c r="P82" s="152">
        <v>0.46504819228818278</v>
      </c>
      <c r="Q82" s="153">
        <v>0.10037024592019904</v>
      </c>
      <c r="R82" s="149">
        <v>0.31561568023806458</v>
      </c>
      <c r="S82" s="150">
        <v>8.6542979620439664E-2</v>
      </c>
      <c r="T82" s="152">
        <v>-0.20671325685426209</v>
      </c>
      <c r="U82" s="153">
        <v>0.14398195825737631</v>
      </c>
      <c r="V82" s="149">
        <v>-0.80894347120939514</v>
      </c>
      <c r="W82" s="154">
        <v>0.21622523282724851</v>
      </c>
      <c r="X82" s="151">
        <v>0.51580194106721911</v>
      </c>
      <c r="Y82" s="150">
        <v>5.7883701727433783E-2</v>
      </c>
      <c r="Z82" s="152" t="s">
        <v>34</v>
      </c>
      <c r="AA82" s="153" t="s">
        <v>34</v>
      </c>
      <c r="AB82" s="152">
        <v>-0.57065337561451135</v>
      </c>
      <c r="AC82" s="155">
        <v>0.1397972294314288</v>
      </c>
      <c r="AD82" s="149">
        <v>-1.0864553166817306</v>
      </c>
      <c r="AE82" s="156">
        <v>0.15173164521103402</v>
      </c>
    </row>
    <row r="83" spans="1:31" s="105" customFormat="1" x14ac:dyDescent="0.25">
      <c r="A83" s="94" t="s">
        <v>264</v>
      </c>
      <c r="B83" s="95">
        <v>323</v>
      </c>
      <c r="C83" s="96">
        <v>97.6805419921875</v>
      </c>
      <c r="D83" s="149">
        <v>0.39580317085772931</v>
      </c>
      <c r="E83" s="150">
        <v>5.5600651812258289E-2</v>
      </c>
      <c r="F83" s="151">
        <v>-1.4551000000000001</v>
      </c>
      <c r="G83" s="150">
        <v>0.81740728312145583</v>
      </c>
      <c r="H83" s="152">
        <v>0.42999999999999988</v>
      </c>
      <c r="I83" s="153">
        <v>2.0758058676090096E-2</v>
      </c>
      <c r="J83" s="149">
        <v>1.5513999999999999</v>
      </c>
      <c r="K83" s="154">
        <v>7.9265329747626914E-2</v>
      </c>
      <c r="L83" s="149">
        <v>3.0065</v>
      </c>
      <c r="M83" s="154">
        <v>0.81144088509268442</v>
      </c>
      <c r="N83" s="151">
        <v>0.82611129583867893</v>
      </c>
      <c r="O83" s="150">
        <v>9.5089468744858699E-2</v>
      </c>
      <c r="P83" s="152">
        <v>0.57301516755932225</v>
      </c>
      <c r="Q83" s="153">
        <v>9.5321347311160862E-2</v>
      </c>
      <c r="R83" s="149">
        <v>0.45745529000213331</v>
      </c>
      <c r="S83" s="150">
        <v>0.10936418094216621</v>
      </c>
      <c r="T83" s="152">
        <v>-0.2809155837875924</v>
      </c>
      <c r="U83" s="153">
        <v>0.12340401735517513</v>
      </c>
      <c r="V83" s="149">
        <v>-1.107026879626271</v>
      </c>
      <c r="W83" s="154">
        <v>0.1634018862101537</v>
      </c>
      <c r="X83" s="151">
        <v>0.63296838591769777</v>
      </c>
      <c r="Y83" s="150">
        <v>5.6352332357351105E-2</v>
      </c>
      <c r="Z83" s="152" t="s">
        <v>34</v>
      </c>
      <c r="AA83" s="153" t="s">
        <v>34</v>
      </c>
      <c r="AB83" s="152">
        <v>-0.36350408312281562</v>
      </c>
      <c r="AC83" s="155">
        <v>0.1226118314749822</v>
      </c>
      <c r="AD83" s="149">
        <v>-0.99647246904051334</v>
      </c>
      <c r="AE83" s="156">
        <v>0.12662081472083667</v>
      </c>
    </row>
    <row r="84" spans="1:31" s="105" customFormat="1" x14ac:dyDescent="0.25">
      <c r="A84" s="94" t="s">
        <v>265</v>
      </c>
      <c r="B84" s="95">
        <v>186</v>
      </c>
      <c r="C84" s="96">
        <v>99.705375671386719</v>
      </c>
      <c r="D84" s="149">
        <v>-0.25594768290892062</v>
      </c>
      <c r="E84" s="150">
        <v>6.8712266917541967E-2</v>
      </c>
      <c r="F84" s="151">
        <v>-1.4551000000000009</v>
      </c>
      <c r="G84" s="150" t="s">
        <v>35</v>
      </c>
      <c r="H84" s="152">
        <v>-0.29679999999999979</v>
      </c>
      <c r="I84" s="153">
        <v>0.17336686102020743</v>
      </c>
      <c r="J84" s="149">
        <v>1.0744</v>
      </c>
      <c r="K84" s="154">
        <v>0.25201001368993259</v>
      </c>
      <c r="L84" s="149">
        <v>2.529500000000001</v>
      </c>
      <c r="M84" s="154">
        <v>0.25201001368993253</v>
      </c>
      <c r="N84" s="151">
        <v>0.13196159456738499</v>
      </c>
      <c r="O84" s="150">
        <v>0.17269445965330676</v>
      </c>
      <c r="P84" s="152">
        <v>-8.3620923821079995E-2</v>
      </c>
      <c r="Q84" s="153">
        <v>0.14177446967386775</v>
      </c>
      <c r="R84" s="149">
        <v>-0.39583456394548411</v>
      </c>
      <c r="S84" s="150">
        <v>0.1613742227199193</v>
      </c>
      <c r="T84" s="152">
        <v>-0.67635940049812393</v>
      </c>
      <c r="U84" s="153">
        <v>0.13903434786848917</v>
      </c>
      <c r="V84" s="149">
        <v>-0.80832099506550903</v>
      </c>
      <c r="W84" s="154">
        <v>0.22710634990756076</v>
      </c>
      <c r="X84" s="151">
        <v>-0.168629007500365</v>
      </c>
      <c r="Y84" s="150">
        <v>8.0880844954058589E-2</v>
      </c>
      <c r="Z84" s="152">
        <v>-0.43438622202509353</v>
      </c>
      <c r="AA84" s="153">
        <v>0.18464040352848621</v>
      </c>
      <c r="AB84" s="152">
        <v>-0.92526769022798983</v>
      </c>
      <c r="AC84" s="155">
        <v>0.20310651430534218</v>
      </c>
      <c r="AD84" s="149">
        <v>-0.50019301936567773</v>
      </c>
      <c r="AE84" s="156">
        <v>0.17849005788664077</v>
      </c>
    </row>
    <row r="85" spans="1:31" s="105" customFormat="1" x14ac:dyDescent="0.25">
      <c r="A85" s="94" t="s">
        <v>266</v>
      </c>
      <c r="B85" s="95">
        <v>137</v>
      </c>
      <c r="C85" s="96">
        <v>86.319252014160156</v>
      </c>
      <c r="D85" s="149">
        <v>-0.66734637966572941</v>
      </c>
      <c r="E85" s="150">
        <v>1.4830307759458327E-3</v>
      </c>
      <c r="F85" s="151">
        <v>-1.4551000000000009</v>
      </c>
      <c r="G85" s="150" t="s">
        <v>35</v>
      </c>
      <c r="H85" s="152">
        <v>-1.455099999999995</v>
      </c>
      <c r="I85" s="153" t="s">
        <v>35</v>
      </c>
      <c r="J85" s="149">
        <v>0.66759999999999919</v>
      </c>
      <c r="K85" s="154" t="s">
        <v>35</v>
      </c>
      <c r="L85" s="149">
        <v>2.1227</v>
      </c>
      <c r="M85" s="154" t="s">
        <v>35</v>
      </c>
      <c r="N85" s="151">
        <v>-0.38098163868880369</v>
      </c>
      <c r="O85" s="150">
        <v>2.8882570377069365E-3</v>
      </c>
      <c r="P85" s="152">
        <v>-0.94231353212201152</v>
      </c>
      <c r="Q85" s="153">
        <v>2.247310659384247E-3</v>
      </c>
      <c r="R85" s="149">
        <v>-0.66563773132398818</v>
      </c>
      <c r="S85" s="150">
        <v>3.1510614315981272E-3</v>
      </c>
      <c r="T85" s="152">
        <v>-0.6534636128052258</v>
      </c>
      <c r="U85" s="153">
        <v>4.0042674010545704E-3</v>
      </c>
      <c r="V85" s="149">
        <v>-0.27248197411642211</v>
      </c>
      <c r="W85" s="154">
        <v>5.2658110786818531E-3</v>
      </c>
      <c r="X85" s="151">
        <v>-0.39328215254836058</v>
      </c>
      <c r="Y85" s="150">
        <v>1.5885988826717305E-3</v>
      </c>
      <c r="Z85" s="152" t="s">
        <v>34</v>
      </c>
      <c r="AA85" s="153" t="s">
        <v>34</v>
      </c>
      <c r="AB85" s="152">
        <v>-0.94032120479147696</v>
      </c>
      <c r="AC85" s="155">
        <v>2.082288031353843E-3</v>
      </c>
      <c r="AD85" s="149">
        <v>-0.54703905224311633</v>
      </c>
      <c r="AE85" s="156">
        <v>2.4156227431634996E-3</v>
      </c>
    </row>
    <row r="86" spans="1:31" s="105" customFormat="1" x14ac:dyDescent="0.25">
      <c r="A86" s="94" t="s">
        <v>267</v>
      </c>
      <c r="B86" s="95">
        <v>141</v>
      </c>
      <c r="C86" s="96">
        <v>93.061271667480469</v>
      </c>
      <c r="D86" s="149">
        <v>-0.39940120340296381</v>
      </c>
      <c r="E86" s="150">
        <v>7.8671133233051513E-2</v>
      </c>
      <c r="F86" s="151">
        <v>-1.4551000000000009</v>
      </c>
      <c r="G86" s="150" t="s">
        <v>35</v>
      </c>
      <c r="H86" s="152">
        <v>-0.58689999999999998</v>
      </c>
      <c r="I86" s="153">
        <v>0.26346645706806759</v>
      </c>
      <c r="J86" s="149">
        <v>0.91509999999999969</v>
      </c>
      <c r="K86" s="154">
        <v>0.20408728157335057</v>
      </c>
      <c r="L86" s="149">
        <v>2.3702000000000005</v>
      </c>
      <c r="M86" s="154">
        <v>0.20408728157335074</v>
      </c>
      <c r="N86" s="151">
        <v>-0.5983178930744053</v>
      </c>
      <c r="O86" s="150">
        <v>0.15473588908768951</v>
      </c>
      <c r="P86" s="152">
        <v>-0.64153025620594306</v>
      </c>
      <c r="Q86" s="153">
        <v>0.15679570071843246</v>
      </c>
      <c r="R86" s="149">
        <v>-0.18428188252798869</v>
      </c>
      <c r="S86" s="150">
        <v>0.19991568324525144</v>
      </c>
      <c r="T86" s="152">
        <v>-0.16051818469483331</v>
      </c>
      <c r="U86" s="153">
        <v>0.17261213577397574</v>
      </c>
      <c r="V86" s="149">
        <v>0.43779970837957188</v>
      </c>
      <c r="W86" s="154">
        <v>0.23314103540002426</v>
      </c>
      <c r="X86" s="151">
        <v>-0.38089332439577928</v>
      </c>
      <c r="Y86" s="150">
        <v>8.1268686951067204E-2</v>
      </c>
      <c r="Z86" s="152" t="s">
        <v>34</v>
      </c>
      <c r="AA86" s="153" t="s">
        <v>34</v>
      </c>
      <c r="AB86" s="152" t="s">
        <v>34</v>
      </c>
      <c r="AC86" s="155" t="s">
        <v>34</v>
      </c>
      <c r="AD86" s="149" t="s">
        <v>34</v>
      </c>
      <c r="AE86" s="156" t="s">
        <v>34</v>
      </c>
    </row>
    <row r="87" spans="1:31" s="105" customFormat="1" x14ac:dyDescent="0.25">
      <c r="A87" s="94" t="s">
        <v>268</v>
      </c>
      <c r="B87" s="95">
        <v>235</v>
      </c>
      <c r="C87" s="96">
        <v>91.496650695800781</v>
      </c>
      <c r="D87" s="149">
        <v>-1.5152070989869299E-2</v>
      </c>
      <c r="E87" s="150">
        <v>7.6681943304493169E-2</v>
      </c>
      <c r="F87" s="151">
        <v>-1.4551000000000009</v>
      </c>
      <c r="G87" s="150" t="s">
        <v>35</v>
      </c>
      <c r="H87" s="152">
        <v>-9.7000000000000003E-3</v>
      </c>
      <c r="I87" s="153">
        <v>0.19464749291989347</v>
      </c>
      <c r="J87" s="149">
        <v>1.3404999999999989</v>
      </c>
      <c r="K87" s="154">
        <v>0.12977268780448237</v>
      </c>
      <c r="L87" s="149">
        <v>2.7955999999999999</v>
      </c>
      <c r="M87" s="154">
        <v>0.12977268780448231</v>
      </c>
      <c r="N87" s="151">
        <v>0.14202242615380711</v>
      </c>
      <c r="O87" s="150">
        <v>0.13629083376308482</v>
      </c>
      <c r="P87" s="152">
        <v>6.2312704331976401E-2</v>
      </c>
      <c r="Q87" s="153">
        <v>0.17784901150481483</v>
      </c>
      <c r="R87" s="149">
        <v>-6.2734111727886899E-2</v>
      </c>
      <c r="S87" s="150">
        <v>0.18465789605810901</v>
      </c>
      <c r="T87" s="152">
        <v>-0.20330625911122741</v>
      </c>
      <c r="U87" s="153">
        <v>0.17281366474817841</v>
      </c>
      <c r="V87" s="149">
        <v>-0.34532868526503452</v>
      </c>
      <c r="W87" s="154">
        <v>0.23030333026214084</v>
      </c>
      <c r="X87" s="151">
        <v>-1.5152070989869299E-2</v>
      </c>
      <c r="Y87" s="150">
        <v>7.6681943304493169E-2</v>
      </c>
      <c r="Z87" s="152" t="s">
        <v>34</v>
      </c>
      <c r="AA87" s="153" t="s">
        <v>34</v>
      </c>
      <c r="AB87" s="152" t="s">
        <v>34</v>
      </c>
      <c r="AC87" s="155" t="s">
        <v>34</v>
      </c>
      <c r="AD87" s="149" t="s">
        <v>34</v>
      </c>
      <c r="AE87" s="156" t="s">
        <v>34</v>
      </c>
    </row>
    <row r="88" spans="1:31" s="105" customFormat="1" x14ac:dyDescent="0.25">
      <c r="A88" s="94" t="s">
        <v>269</v>
      </c>
      <c r="B88" s="95">
        <v>168</v>
      </c>
      <c r="C88" s="96">
        <v>80.306190490722656</v>
      </c>
      <c r="D88" s="149">
        <v>0.65410901071916572</v>
      </c>
      <c r="E88" s="150">
        <v>0.10067374992111663</v>
      </c>
      <c r="F88" s="151">
        <v>-1.4551000000000009</v>
      </c>
      <c r="G88" s="150" t="s">
        <v>35</v>
      </c>
      <c r="H88" s="152">
        <v>0.66760000000000008</v>
      </c>
      <c r="I88" s="153">
        <v>7.4074489535872146E-2</v>
      </c>
      <c r="J88" s="149">
        <v>2.1075000000000008</v>
      </c>
      <c r="K88" s="154">
        <v>0.18664850789652626</v>
      </c>
      <c r="L88" s="149">
        <v>3.5626000000000015</v>
      </c>
      <c r="M88" s="154">
        <v>0.18664850789652676</v>
      </c>
      <c r="N88" s="151">
        <v>1.077810758825811</v>
      </c>
      <c r="O88" s="150">
        <v>0.21139442597667554</v>
      </c>
      <c r="P88" s="152">
        <v>0.65622075785856171</v>
      </c>
      <c r="Q88" s="153">
        <v>0.28228882937931982</v>
      </c>
      <c r="R88" s="149">
        <v>0.63228462850358691</v>
      </c>
      <c r="S88" s="150">
        <v>0.23278879581619441</v>
      </c>
      <c r="T88" s="152">
        <v>0.25908079752806418</v>
      </c>
      <c r="U88" s="153">
        <v>0.26682948597632827</v>
      </c>
      <c r="V88" s="149">
        <v>-0.81872996129774633</v>
      </c>
      <c r="W88" s="154">
        <v>0.35187148631931314</v>
      </c>
      <c r="X88" s="151">
        <v>0.74618883233164712</v>
      </c>
      <c r="Y88" s="150">
        <v>0.10840459929887554</v>
      </c>
      <c r="Z88" s="152" t="s">
        <v>34</v>
      </c>
      <c r="AA88" s="153" t="s">
        <v>34</v>
      </c>
      <c r="AB88" s="152">
        <v>0.30292112191377679</v>
      </c>
      <c r="AC88" s="155">
        <v>0.25260949610438149</v>
      </c>
      <c r="AD88" s="149">
        <v>-0.44326771041787033</v>
      </c>
      <c r="AE88" s="156">
        <v>0.27604516738786933</v>
      </c>
    </row>
    <row r="89" spans="1:31" s="105" customFormat="1" x14ac:dyDescent="0.25">
      <c r="A89" s="94" t="s">
        <v>270</v>
      </c>
      <c r="B89" s="95">
        <v>177</v>
      </c>
      <c r="C89" s="96">
        <v>98.513496398925781</v>
      </c>
      <c r="D89" s="149">
        <v>-0.79297148866882994</v>
      </c>
      <c r="E89" s="150">
        <v>5.4681514654812018E-2</v>
      </c>
      <c r="F89" s="151">
        <v>-1.4551000000000009</v>
      </c>
      <c r="G89" s="150" t="s">
        <v>35</v>
      </c>
      <c r="H89" s="152">
        <v>-1.4551000000000009</v>
      </c>
      <c r="I89" s="153">
        <v>1.0152436919281993</v>
      </c>
      <c r="J89" s="149">
        <v>0.28329999999999989</v>
      </c>
      <c r="K89" s="154">
        <v>0.14090946384114861</v>
      </c>
      <c r="L89" s="149">
        <v>1.7384000000000008</v>
      </c>
      <c r="M89" s="154">
        <v>0.14090946384114864</v>
      </c>
      <c r="N89" s="151">
        <v>-0.75824330373098947</v>
      </c>
      <c r="O89" s="150">
        <v>0.11626312031171726</v>
      </c>
      <c r="P89" s="152">
        <v>-0.63913933652328314</v>
      </c>
      <c r="Q89" s="153">
        <v>0.12437928889228704</v>
      </c>
      <c r="R89" s="149">
        <v>-0.78763101204503805</v>
      </c>
      <c r="S89" s="150">
        <v>0.11993171385061618</v>
      </c>
      <c r="T89" s="152">
        <v>-0.98437927711135143</v>
      </c>
      <c r="U89" s="153">
        <v>0.10714010667247756</v>
      </c>
      <c r="V89" s="149">
        <v>-0.22613597338036201</v>
      </c>
      <c r="W89" s="154">
        <v>0.16339841712866784</v>
      </c>
      <c r="X89" s="151">
        <v>-0.77085447550020791</v>
      </c>
      <c r="Y89" s="150">
        <v>5.5164547536715181E-2</v>
      </c>
      <c r="Z89" s="152" t="s">
        <v>34</v>
      </c>
      <c r="AA89" s="153" t="s">
        <v>34</v>
      </c>
      <c r="AB89" s="152">
        <v>-1.4551000000000009</v>
      </c>
      <c r="AC89" s="155" t="s">
        <v>35</v>
      </c>
      <c r="AD89" s="149">
        <v>-0.68424552449979303</v>
      </c>
      <c r="AE89" s="156">
        <v>5.5164547536715181E-2</v>
      </c>
    </row>
    <row r="90" spans="1:31" s="105" customFormat="1" x14ac:dyDescent="0.25">
      <c r="A90" s="94" t="s">
        <v>271</v>
      </c>
      <c r="B90" s="95">
        <v>166</v>
      </c>
      <c r="C90" s="96">
        <v>100</v>
      </c>
      <c r="D90" s="149">
        <v>-0.7016377837734632</v>
      </c>
      <c r="E90" s="150">
        <v>1.2444897830311698E-2</v>
      </c>
      <c r="F90" s="151">
        <v>-1.4551000000000009</v>
      </c>
      <c r="G90" s="150" t="s">
        <v>35</v>
      </c>
      <c r="H90" s="152">
        <v>-0.78280000000000116</v>
      </c>
      <c r="I90" s="153">
        <v>0.49859102428744068</v>
      </c>
      <c r="J90" s="149">
        <v>0.42999999999999983</v>
      </c>
      <c r="K90" s="154" t="s">
        <v>35</v>
      </c>
      <c r="L90" s="149">
        <v>1.8851000000000009</v>
      </c>
      <c r="M90" s="154" t="s">
        <v>35</v>
      </c>
      <c r="N90" s="151">
        <v>-0.7583882779510156</v>
      </c>
      <c r="O90" s="150">
        <v>5.9161191034931152E-3</v>
      </c>
      <c r="P90" s="152">
        <v>-0.47828532234618598</v>
      </c>
      <c r="Q90" s="153">
        <v>4.4626263610205191E-2</v>
      </c>
      <c r="R90" s="149">
        <v>-0.78004347279722352</v>
      </c>
      <c r="S90" s="150">
        <v>3.1961416920680601E-2</v>
      </c>
      <c r="T90" s="152">
        <v>-0.79121804519318473</v>
      </c>
      <c r="U90" s="153">
        <v>4.5870327496737133E-2</v>
      </c>
      <c r="V90" s="149">
        <v>-3.28297672421691E-2</v>
      </c>
      <c r="W90" s="154">
        <v>4.4616218935178933E-2</v>
      </c>
      <c r="X90" s="151">
        <v>-0.66414541839859642</v>
      </c>
      <c r="Y90" s="150">
        <v>4.4556442167776834E-3</v>
      </c>
      <c r="Z90" s="152" t="s">
        <v>34</v>
      </c>
      <c r="AA90" s="153" t="s">
        <v>34</v>
      </c>
      <c r="AB90" s="152">
        <v>-1.2618256784775941</v>
      </c>
      <c r="AC90" s="155">
        <v>0.10686599624071737</v>
      </c>
      <c r="AD90" s="149">
        <v>-0.59768026007899766</v>
      </c>
      <c r="AE90" s="156">
        <v>0.10572259421996455</v>
      </c>
    </row>
    <row r="91" spans="1:31" s="105" customFormat="1" x14ac:dyDescent="0.25">
      <c r="A91" s="94" t="s">
        <v>272</v>
      </c>
      <c r="B91" s="95">
        <v>185</v>
      </c>
      <c r="C91" s="96">
        <v>96.139122009277344</v>
      </c>
      <c r="D91" s="149">
        <v>6.6763807964663593E-2</v>
      </c>
      <c r="E91" s="150">
        <v>5.8564703824580781E-2</v>
      </c>
      <c r="F91" s="151">
        <v>-1.4551000000000009</v>
      </c>
      <c r="G91" s="150">
        <v>0.3006617002546218</v>
      </c>
      <c r="H91" s="152">
        <v>0.24319999999999989</v>
      </c>
      <c r="I91" s="153">
        <v>8.7151440034000438E-2</v>
      </c>
      <c r="J91" s="149">
        <v>0.83709999999999973</v>
      </c>
      <c r="K91" s="154">
        <v>8.6540273861364758E-2</v>
      </c>
      <c r="L91" s="149">
        <v>2.2922000000000007</v>
      </c>
      <c r="M91" s="154">
        <v>0.31286846597252344</v>
      </c>
      <c r="N91" s="151">
        <v>5.2330307835961397E-2</v>
      </c>
      <c r="O91" s="150">
        <v>0.13031143883779608</v>
      </c>
      <c r="P91" s="152">
        <v>0.26217910161677999</v>
      </c>
      <c r="Q91" s="153">
        <v>0.11299128626773637</v>
      </c>
      <c r="R91" s="149">
        <v>7.9161390734068499E-2</v>
      </c>
      <c r="S91" s="150">
        <v>0.12883377613019792</v>
      </c>
      <c r="T91" s="152">
        <v>-0.1299676128524565</v>
      </c>
      <c r="U91" s="153">
        <v>0.11379611683600424</v>
      </c>
      <c r="V91" s="149">
        <v>-0.18229792068841791</v>
      </c>
      <c r="W91" s="154">
        <v>0.1806851275946508</v>
      </c>
      <c r="X91" s="151">
        <v>6.4951292873782804E-2</v>
      </c>
      <c r="Y91" s="150">
        <v>7.6520696187680731E-2</v>
      </c>
      <c r="Z91" s="152">
        <v>0.29712215654019331</v>
      </c>
      <c r="AA91" s="153">
        <v>0.19977088373043145</v>
      </c>
      <c r="AB91" s="152">
        <v>-0.1224659115644741</v>
      </c>
      <c r="AC91" s="155">
        <v>0.1049601453663852</v>
      </c>
      <c r="AD91" s="149">
        <v>-3.7612835859784699E-2</v>
      </c>
      <c r="AE91" s="156">
        <v>0.121962887134575</v>
      </c>
    </row>
    <row r="92" spans="1:31" s="105" customFormat="1" x14ac:dyDescent="0.25">
      <c r="A92" s="94" t="s">
        <v>273</v>
      </c>
      <c r="B92" s="95">
        <v>204</v>
      </c>
      <c r="C92" s="96">
        <v>92.950508117675781</v>
      </c>
      <c r="D92" s="149">
        <v>3.7287310176506001E-3</v>
      </c>
      <c r="E92" s="150">
        <v>7.940763736873456E-2</v>
      </c>
      <c r="F92" s="151">
        <v>-1.4551000000000009</v>
      </c>
      <c r="G92" s="150" t="s">
        <v>35</v>
      </c>
      <c r="H92" s="152">
        <v>-8.7900000000000006E-2</v>
      </c>
      <c r="I92" s="153">
        <v>0.14452835707915593</v>
      </c>
      <c r="J92" s="149">
        <v>1.543500000000001</v>
      </c>
      <c r="K92" s="154">
        <v>0.1423433876230302</v>
      </c>
      <c r="L92" s="149">
        <v>2.9986000000000019</v>
      </c>
      <c r="M92" s="154">
        <v>0.1423433876230302</v>
      </c>
      <c r="N92" s="151">
        <v>0.37707119537783651</v>
      </c>
      <c r="O92" s="150">
        <v>0.20142564519373327</v>
      </c>
      <c r="P92" s="152">
        <v>-5.7359221714143004E-3</v>
      </c>
      <c r="Q92" s="153">
        <v>0.27222017464619147</v>
      </c>
      <c r="R92" s="149">
        <v>0.16796651350666991</v>
      </c>
      <c r="S92" s="150">
        <v>0.19328798599545366</v>
      </c>
      <c r="T92" s="152">
        <v>-0.55138001181195506</v>
      </c>
      <c r="U92" s="153">
        <v>0.1828171530220393</v>
      </c>
      <c r="V92" s="149">
        <v>-0.92845120718979146</v>
      </c>
      <c r="W92" s="154">
        <v>0.27925868565884771</v>
      </c>
      <c r="X92" s="151">
        <v>0.1119905640883318</v>
      </c>
      <c r="Y92" s="150">
        <v>8.4315987306682633E-2</v>
      </c>
      <c r="Z92" s="152">
        <v>-0.45463499177953631</v>
      </c>
      <c r="AA92" s="153">
        <v>0.23093639875550645</v>
      </c>
      <c r="AB92" s="152">
        <v>-0.6302821943205924</v>
      </c>
      <c r="AC92" s="155">
        <v>0.16234331718206527</v>
      </c>
      <c r="AD92" s="149">
        <v>-0.64707703241987136</v>
      </c>
      <c r="AE92" s="156">
        <v>0.17361653039172847</v>
      </c>
    </row>
    <row r="93" spans="1:31" s="105" customFormat="1" x14ac:dyDescent="0.25">
      <c r="A93" s="94" t="s">
        <v>274</v>
      </c>
      <c r="B93" s="95">
        <v>249</v>
      </c>
      <c r="C93" s="96">
        <v>99.510086059570313</v>
      </c>
      <c r="D93" s="149">
        <v>-0.15154853814659119</v>
      </c>
      <c r="E93" s="150">
        <v>6.5342260630781621E-2</v>
      </c>
      <c r="F93" s="151">
        <v>-1.4551000000000009</v>
      </c>
      <c r="G93" s="150" t="s">
        <v>35</v>
      </c>
      <c r="H93" s="152">
        <v>-0.29679999999999979</v>
      </c>
      <c r="I93" s="153">
        <v>8.849378791757069E-2</v>
      </c>
      <c r="J93" s="149">
        <v>1.0814999999999999</v>
      </c>
      <c r="K93" s="154">
        <v>0.1202732763335233</v>
      </c>
      <c r="L93" s="149">
        <v>2.5366000000000009</v>
      </c>
      <c r="M93" s="154">
        <v>0.12027327633352332</v>
      </c>
      <c r="N93" s="151">
        <v>-6.0569431914705901E-2</v>
      </c>
      <c r="O93" s="150">
        <v>0.13276735230240239</v>
      </c>
      <c r="P93" s="152">
        <v>-0.32039744531166081</v>
      </c>
      <c r="Q93" s="153">
        <v>0.18190683999221263</v>
      </c>
      <c r="R93" s="149">
        <v>-0.19856002816024579</v>
      </c>
      <c r="S93" s="150">
        <v>0.21158528874521854</v>
      </c>
      <c r="T93" s="152">
        <v>-2.79197229662527E-2</v>
      </c>
      <c r="U93" s="153">
        <v>0.20790373528938966</v>
      </c>
      <c r="V93" s="149">
        <v>3.2649708948453197E-2</v>
      </c>
      <c r="W93" s="154">
        <v>0.24399433650057187</v>
      </c>
      <c r="X93" s="151">
        <v>-0.16266687237642941</v>
      </c>
      <c r="Y93" s="150">
        <v>6.5336764089998361E-2</v>
      </c>
      <c r="Z93" s="152" t="s">
        <v>34</v>
      </c>
      <c r="AA93" s="153" t="s">
        <v>34</v>
      </c>
      <c r="AB93" s="152" t="s">
        <v>34</v>
      </c>
      <c r="AC93" s="155" t="s">
        <v>34</v>
      </c>
      <c r="AD93" s="149" t="s">
        <v>34</v>
      </c>
      <c r="AE93" s="156" t="s">
        <v>34</v>
      </c>
    </row>
    <row r="94" spans="1:31" s="105" customFormat="1" x14ac:dyDescent="0.25">
      <c r="A94" s="94" t="s">
        <v>275</v>
      </c>
      <c r="B94" s="95">
        <v>593</v>
      </c>
      <c r="C94" s="96">
        <v>91.505859375</v>
      </c>
      <c r="D94" s="149">
        <v>0.1108249443529956</v>
      </c>
      <c r="E94" s="150">
        <v>2.5264251875933966E-2</v>
      </c>
      <c r="F94" s="151">
        <v>-1.4551000000000009</v>
      </c>
      <c r="G94" s="150" t="s">
        <v>35</v>
      </c>
      <c r="H94" s="152">
        <v>5.4999999999999997E-3</v>
      </c>
      <c r="I94" s="153">
        <v>1.7320868915848307E-2</v>
      </c>
      <c r="J94" s="149">
        <v>1.8543999999999989</v>
      </c>
      <c r="K94" s="154">
        <v>0.19343384011077122</v>
      </c>
      <c r="L94" s="149">
        <v>3.3094999999999999</v>
      </c>
      <c r="M94" s="154">
        <v>0.19343384011077139</v>
      </c>
      <c r="N94" s="151">
        <v>0.5776124519588306</v>
      </c>
      <c r="O94" s="150">
        <v>5.9178278565049265E-2</v>
      </c>
      <c r="P94" s="152">
        <v>0.45477338737152262</v>
      </c>
      <c r="Q94" s="153">
        <v>6.0586488224517836E-2</v>
      </c>
      <c r="R94" s="149">
        <v>-0.1399788353055455</v>
      </c>
      <c r="S94" s="150">
        <v>0.12997148566731959</v>
      </c>
      <c r="T94" s="152">
        <v>-0.45512038071652899</v>
      </c>
      <c r="U94" s="153">
        <v>7.4587744226692329E-2</v>
      </c>
      <c r="V94" s="149">
        <v>-1.03273283267536</v>
      </c>
      <c r="W94" s="154">
        <v>0.10392951358385907</v>
      </c>
      <c r="X94" s="151">
        <v>0.66690326107693498</v>
      </c>
      <c r="Y94" s="150">
        <v>2.3254684777345346E-2</v>
      </c>
      <c r="Z94" s="152" t="s">
        <v>34</v>
      </c>
      <c r="AA94" s="153" t="s">
        <v>34</v>
      </c>
      <c r="AB94" s="152">
        <v>-0.20349975239027021</v>
      </c>
      <c r="AC94" s="155">
        <v>3.608874207983126E-2</v>
      </c>
      <c r="AD94" s="149">
        <v>-0.87040301346720517</v>
      </c>
      <c r="AE94" s="156">
        <v>4.2736240194177641E-2</v>
      </c>
    </row>
    <row r="95" spans="1:31" s="105" customFormat="1" x14ac:dyDescent="0.25">
      <c r="A95" s="94" t="s">
        <v>276</v>
      </c>
      <c r="B95" s="95">
        <v>189</v>
      </c>
      <c r="C95" s="96">
        <v>100</v>
      </c>
      <c r="D95" s="149">
        <v>0.45082221496823011</v>
      </c>
      <c r="E95" s="150">
        <v>6.9806816880905787E-2</v>
      </c>
      <c r="F95" s="151">
        <v>-1.4551000000000009</v>
      </c>
      <c r="G95" s="150" t="s">
        <v>35</v>
      </c>
      <c r="H95" s="152">
        <v>0.49910000000000021</v>
      </c>
      <c r="I95" s="153">
        <v>0.1008834327330312</v>
      </c>
      <c r="J95" s="149">
        <v>1.8628</v>
      </c>
      <c r="K95" s="154">
        <v>9.9744415883798107E-2</v>
      </c>
      <c r="L95" s="149">
        <v>3.3179000000000007</v>
      </c>
      <c r="M95" s="154">
        <v>9.9744415883798287E-2</v>
      </c>
      <c r="N95" s="151">
        <v>0.69539298255703264</v>
      </c>
      <c r="O95" s="150">
        <v>0.1571542706802074</v>
      </c>
      <c r="P95" s="152">
        <v>0.74330899118787563</v>
      </c>
      <c r="Q95" s="153">
        <v>0.17895525709310173</v>
      </c>
      <c r="R95" s="149">
        <v>0.72141775890383397</v>
      </c>
      <c r="S95" s="150">
        <v>0.22877671595011936</v>
      </c>
      <c r="T95" s="152">
        <v>-0.37558638589712212</v>
      </c>
      <c r="U95" s="153">
        <v>0.22065558783062297</v>
      </c>
      <c r="V95" s="149">
        <v>-1.0709793684541551</v>
      </c>
      <c r="W95" s="154">
        <v>0.28517926392237081</v>
      </c>
      <c r="X95" s="151">
        <v>0.70030463966619105</v>
      </c>
      <c r="Y95" s="150">
        <v>7.236427394084291E-2</v>
      </c>
      <c r="Z95" s="152" t="s">
        <v>34</v>
      </c>
      <c r="AA95" s="153" t="s">
        <v>34</v>
      </c>
      <c r="AB95" s="152">
        <v>-0.84885279203569375</v>
      </c>
      <c r="AC95" s="155">
        <v>0.17143929181654641</v>
      </c>
      <c r="AD95" s="149">
        <v>-1.5491574317018848</v>
      </c>
      <c r="AE95" s="156">
        <v>0.19025207691427301</v>
      </c>
    </row>
    <row r="96" spans="1:31" s="105" customFormat="1" ht="13.8" thickBot="1" x14ac:dyDescent="0.3">
      <c r="A96" s="107" t="s">
        <v>277</v>
      </c>
      <c r="B96" s="108">
        <v>122</v>
      </c>
      <c r="C96" s="109">
        <v>94.736846923828125</v>
      </c>
      <c r="D96" s="157">
        <v>2.4694463964188999E-2</v>
      </c>
      <c r="E96" s="158">
        <v>0.10587753653853907</v>
      </c>
      <c r="F96" s="159">
        <v>-1.4551000000000009</v>
      </c>
      <c r="G96" s="158" t="s">
        <v>35</v>
      </c>
      <c r="H96" s="160">
        <v>-9.7000000000000003E-3</v>
      </c>
      <c r="I96" s="161">
        <v>0.20238839887701071</v>
      </c>
      <c r="J96" s="157">
        <v>1.4414000000000009</v>
      </c>
      <c r="K96" s="162">
        <v>0.21804333628891295</v>
      </c>
      <c r="L96" s="157">
        <v>2.8965000000000019</v>
      </c>
      <c r="M96" s="162">
        <v>0.2180433362889129</v>
      </c>
      <c r="N96" s="159">
        <v>0.1104813277293346</v>
      </c>
      <c r="O96" s="158">
        <v>0.22933865704986389</v>
      </c>
      <c r="P96" s="160">
        <v>0.20480393022927909</v>
      </c>
      <c r="Q96" s="161">
        <v>0.22751031632804949</v>
      </c>
      <c r="R96" s="157">
        <v>-4.1044636675915003E-3</v>
      </c>
      <c r="S96" s="158">
        <v>0.18587316413319874</v>
      </c>
      <c r="T96" s="160">
        <v>-0.21397997504100061</v>
      </c>
      <c r="U96" s="161">
        <v>0.18878597073674555</v>
      </c>
      <c r="V96" s="157">
        <v>-0.32446130277033508</v>
      </c>
      <c r="W96" s="162">
        <v>0.28765834626182285</v>
      </c>
      <c r="X96" s="159">
        <v>1.56357480369636E-2</v>
      </c>
      <c r="Y96" s="158">
        <v>0.10245562840827671</v>
      </c>
      <c r="Z96" s="160" t="s">
        <v>34</v>
      </c>
      <c r="AA96" s="161" t="s">
        <v>34</v>
      </c>
      <c r="AB96" s="160">
        <v>0.2071348237969908</v>
      </c>
      <c r="AC96" s="163">
        <v>0.79698416873445077</v>
      </c>
      <c r="AD96" s="157">
        <v>0.1914990757600272</v>
      </c>
      <c r="AE96" s="164">
        <v>0.79999135818859002</v>
      </c>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96 AD16:AD96">
    <cfRule type="expression" dxfId="13" priority="3">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F111"/>
  <sheetViews>
    <sheetView showGridLines="0" zoomScale="80" zoomScaleNormal="80" workbookViewId="0"/>
  </sheetViews>
  <sheetFormatPr defaultColWidth="9.109375" defaultRowHeight="13.2" x14ac:dyDescent="0.25"/>
  <cols>
    <col min="1" max="1" width="25.33203125" style="4" customWidth="1"/>
    <col min="2" max="3" width="12.6640625" style="4" customWidth="1"/>
    <col min="4" max="5" width="8.6640625" style="4" customWidth="1"/>
    <col min="6" max="31" width="8.88671875" style="4" customWidth="1"/>
    <col min="32" max="16384" width="9.109375" style="4"/>
  </cols>
  <sheetData>
    <row r="1" spans="1:32" s="240" customFormat="1" x14ac:dyDescent="0.25">
      <c r="A1" s="241" t="s">
        <v>305</v>
      </c>
    </row>
    <row r="2" spans="1:32" s="240" customFormat="1" x14ac:dyDescent="0.25">
      <c r="A2" s="240" t="s">
        <v>306</v>
      </c>
      <c r="B2" s="240" t="s">
        <v>307</v>
      </c>
    </row>
    <row r="3" spans="1:32" s="240" customFormat="1" x14ac:dyDescent="0.25">
      <c r="A3" s="240" t="s">
        <v>308</v>
      </c>
    </row>
    <row r="4" spans="1:32" s="240" customFormat="1" x14ac:dyDescent="0.25">
      <c r="A4" s="241" t="s">
        <v>309</v>
      </c>
    </row>
    <row r="5" spans="1:32" s="240" customFormat="1" x14ac:dyDescent="0.25"/>
    <row r="6" spans="1:32" x14ac:dyDescent="0.25">
      <c r="A6" s="1" t="s">
        <v>139</v>
      </c>
      <c r="B6" s="2"/>
      <c r="C6" s="3"/>
      <c r="D6" s="2"/>
      <c r="E6" s="3"/>
      <c r="F6" s="3"/>
      <c r="G6" s="3"/>
      <c r="H6" s="3"/>
      <c r="I6" s="3"/>
      <c r="J6" s="3"/>
      <c r="K6" s="3"/>
      <c r="L6" s="3"/>
      <c r="M6" s="3"/>
      <c r="N6" s="3"/>
      <c r="O6" s="2"/>
      <c r="P6" s="3"/>
      <c r="Q6" s="2"/>
      <c r="R6" s="3"/>
      <c r="S6" s="2"/>
      <c r="T6" s="2"/>
      <c r="U6" s="2"/>
    </row>
    <row r="7" spans="1:32" x14ac:dyDescent="0.25">
      <c r="A7" s="5" t="s">
        <v>290</v>
      </c>
    </row>
    <row r="8" spans="1:32" x14ac:dyDescent="0.25">
      <c r="A8" s="6" t="s">
        <v>132</v>
      </c>
    </row>
    <row r="9" spans="1:32" x14ac:dyDescent="0.25">
      <c r="A9" s="6"/>
    </row>
    <row r="10" spans="1:32" ht="13.8" thickBot="1" x14ac:dyDescent="0.3">
      <c r="A10" s="7"/>
      <c r="B10" s="8"/>
      <c r="C10" s="9"/>
      <c r="D10" s="8"/>
      <c r="E10" s="9"/>
      <c r="F10" s="9"/>
      <c r="G10" s="9"/>
      <c r="H10" s="9"/>
      <c r="I10" s="9"/>
      <c r="J10" s="9"/>
      <c r="K10" s="9"/>
      <c r="L10" s="9"/>
      <c r="M10" s="9"/>
    </row>
    <row r="11" spans="1:32" ht="25.5" customHeight="1" x14ac:dyDescent="0.25">
      <c r="A11" s="28"/>
      <c r="B11" s="211" t="s">
        <v>7</v>
      </c>
      <c r="C11" s="212"/>
      <c r="D11" s="212"/>
      <c r="E11" s="212"/>
      <c r="F11" s="212"/>
      <c r="G11" s="212"/>
      <c r="H11" s="212"/>
      <c r="I11" s="212"/>
      <c r="J11" s="212"/>
      <c r="K11" s="212"/>
      <c r="L11" s="29"/>
      <c r="M11" s="30"/>
      <c r="N11" s="201" t="s">
        <v>140</v>
      </c>
      <c r="O11" s="202"/>
      <c r="P11" s="202"/>
      <c r="Q11" s="202"/>
      <c r="R11" s="202"/>
      <c r="S11" s="202"/>
      <c r="T11" s="202"/>
      <c r="U11" s="202"/>
      <c r="V11" s="202"/>
      <c r="W11" s="213"/>
      <c r="X11" s="201" t="s">
        <v>141</v>
      </c>
      <c r="Y11" s="202"/>
      <c r="Z11" s="202"/>
      <c r="AA11" s="202"/>
      <c r="AB11" s="202"/>
      <c r="AC11" s="202"/>
      <c r="AD11" s="202"/>
      <c r="AE11" s="203"/>
    </row>
    <row r="12" spans="1:32" ht="69" customHeight="1" x14ac:dyDescent="0.25">
      <c r="A12" s="31"/>
      <c r="B12" s="215" t="s">
        <v>10</v>
      </c>
      <c r="C12" s="217" t="s">
        <v>11</v>
      </c>
      <c r="D12" s="218" t="s">
        <v>142</v>
      </c>
      <c r="E12" s="219"/>
      <c r="F12" s="218" t="s">
        <v>143</v>
      </c>
      <c r="G12" s="217"/>
      <c r="H12" s="217"/>
      <c r="I12" s="217"/>
      <c r="J12" s="217"/>
      <c r="K12" s="219"/>
      <c r="L12" s="226" t="s">
        <v>144</v>
      </c>
      <c r="M12" s="227"/>
      <c r="N12" s="204"/>
      <c r="O12" s="205"/>
      <c r="P12" s="205"/>
      <c r="Q12" s="205"/>
      <c r="R12" s="205"/>
      <c r="S12" s="205"/>
      <c r="T12" s="205"/>
      <c r="U12" s="205"/>
      <c r="V12" s="205"/>
      <c r="W12" s="214"/>
      <c r="X12" s="204"/>
      <c r="Y12" s="205"/>
      <c r="Z12" s="205"/>
      <c r="AA12" s="205"/>
      <c r="AB12" s="205"/>
      <c r="AC12" s="205"/>
      <c r="AD12" s="205"/>
      <c r="AE12" s="206"/>
    </row>
    <row r="13" spans="1:32" ht="51" customHeight="1" x14ac:dyDescent="0.25">
      <c r="A13" s="32"/>
      <c r="B13" s="216"/>
      <c r="C13" s="205"/>
      <c r="D13" s="204"/>
      <c r="E13" s="214"/>
      <c r="F13" s="204"/>
      <c r="G13" s="205"/>
      <c r="H13" s="205"/>
      <c r="I13" s="205"/>
      <c r="J13" s="205"/>
      <c r="K13" s="214"/>
      <c r="L13" s="228" t="s">
        <v>15</v>
      </c>
      <c r="M13" s="227"/>
      <c r="N13" s="229" t="s">
        <v>16</v>
      </c>
      <c r="O13" s="230"/>
      <c r="P13" s="231" t="s">
        <v>17</v>
      </c>
      <c r="Q13" s="232"/>
      <c r="R13" s="233" t="s">
        <v>18</v>
      </c>
      <c r="S13" s="230"/>
      <c r="T13" s="234" t="s">
        <v>19</v>
      </c>
      <c r="U13" s="235"/>
      <c r="V13" s="207" t="s">
        <v>20</v>
      </c>
      <c r="W13" s="236"/>
      <c r="X13" s="209" t="s">
        <v>21</v>
      </c>
      <c r="Y13" s="210"/>
      <c r="Z13" s="207" t="s">
        <v>22</v>
      </c>
      <c r="AA13" s="210"/>
      <c r="AB13" s="207" t="s">
        <v>23</v>
      </c>
      <c r="AC13" s="210"/>
      <c r="AD13" s="207" t="s">
        <v>24</v>
      </c>
      <c r="AE13" s="208"/>
    </row>
    <row r="14" spans="1:32" ht="27" customHeight="1" x14ac:dyDescent="0.25">
      <c r="A14" s="33"/>
      <c r="B14" s="56" t="s">
        <v>25</v>
      </c>
      <c r="C14" s="35" t="s">
        <v>26</v>
      </c>
      <c r="D14" s="36" t="s">
        <v>138</v>
      </c>
      <c r="E14" s="36" t="s">
        <v>28</v>
      </c>
      <c r="F14" s="37" t="s">
        <v>29</v>
      </c>
      <c r="G14" s="36" t="s">
        <v>28</v>
      </c>
      <c r="H14" s="38" t="s">
        <v>30</v>
      </c>
      <c r="I14" s="39" t="s">
        <v>28</v>
      </c>
      <c r="J14" s="40" t="s">
        <v>31</v>
      </c>
      <c r="K14" s="35" t="s">
        <v>28</v>
      </c>
      <c r="L14" s="41" t="s">
        <v>32</v>
      </c>
      <c r="M14" s="42" t="s">
        <v>28</v>
      </c>
      <c r="N14" s="34" t="s">
        <v>138</v>
      </c>
      <c r="O14" s="43" t="s">
        <v>28</v>
      </c>
      <c r="P14" s="44" t="s">
        <v>138</v>
      </c>
      <c r="Q14" s="39" t="s">
        <v>28</v>
      </c>
      <c r="R14" s="36" t="s">
        <v>138</v>
      </c>
      <c r="S14" s="43" t="s">
        <v>28</v>
      </c>
      <c r="T14" s="44" t="s">
        <v>138</v>
      </c>
      <c r="U14" s="39" t="s">
        <v>28</v>
      </c>
      <c r="V14" s="36" t="s">
        <v>33</v>
      </c>
      <c r="W14" s="35" t="s">
        <v>28</v>
      </c>
      <c r="X14" s="34" t="s">
        <v>138</v>
      </c>
      <c r="Y14" s="36" t="s">
        <v>28</v>
      </c>
      <c r="Z14" s="44" t="s">
        <v>138</v>
      </c>
      <c r="AA14" s="39" t="s">
        <v>28</v>
      </c>
      <c r="AB14" s="44" t="s">
        <v>138</v>
      </c>
      <c r="AC14" s="45" t="s">
        <v>28</v>
      </c>
      <c r="AD14" s="36" t="s">
        <v>33</v>
      </c>
      <c r="AE14" s="46" t="s">
        <v>28</v>
      </c>
    </row>
    <row r="15" spans="1:32" s="75" customFormat="1" ht="13.5" customHeight="1" x14ac:dyDescent="0.25">
      <c r="A15" s="179" t="s">
        <v>278</v>
      </c>
      <c r="B15" s="61"/>
      <c r="C15" s="62"/>
      <c r="D15" s="63"/>
      <c r="E15" s="63"/>
      <c r="F15" s="64"/>
      <c r="G15" s="63"/>
      <c r="H15" s="65"/>
      <c r="I15" s="66"/>
      <c r="J15" s="67"/>
      <c r="K15" s="68"/>
      <c r="L15" s="69"/>
      <c r="M15" s="70"/>
      <c r="N15" s="71"/>
      <c r="O15" s="63"/>
      <c r="P15" s="72"/>
      <c r="Q15" s="66"/>
      <c r="R15" s="63"/>
      <c r="S15" s="63"/>
      <c r="T15" s="72"/>
      <c r="U15" s="66"/>
      <c r="V15" s="63"/>
      <c r="W15" s="68"/>
      <c r="X15" s="71"/>
      <c r="Y15" s="63"/>
      <c r="Z15" s="72"/>
      <c r="AA15" s="66"/>
      <c r="AB15" s="72"/>
      <c r="AC15" s="73"/>
      <c r="AD15" s="63"/>
      <c r="AE15" s="74"/>
      <c r="AF15" s="10"/>
    </row>
    <row r="16" spans="1:32" s="105" customFormat="1" x14ac:dyDescent="0.25">
      <c r="A16" s="94" t="s">
        <v>202</v>
      </c>
      <c r="B16" s="95">
        <v>695</v>
      </c>
      <c r="C16" s="96">
        <v>91.737213134765625</v>
      </c>
      <c r="D16" s="149">
        <v>-0.51377894517476497</v>
      </c>
      <c r="E16" s="150">
        <v>3.3032599557534063E-2</v>
      </c>
      <c r="F16" s="151">
        <v>-1.4212</v>
      </c>
      <c r="G16" s="150" t="s">
        <v>35</v>
      </c>
      <c r="H16" s="152">
        <v>-0.68839999999999979</v>
      </c>
      <c r="I16" s="153">
        <v>8.9666325897740391E-3</v>
      </c>
      <c r="J16" s="149">
        <v>0.6298999999999999</v>
      </c>
      <c r="K16" s="154">
        <v>0.12536596627474339</v>
      </c>
      <c r="L16" s="149">
        <v>2.0510999999999999</v>
      </c>
      <c r="M16" s="154">
        <v>0.12536596627474345</v>
      </c>
      <c r="N16" s="151">
        <v>8.6298476702201907E-2</v>
      </c>
      <c r="O16" s="150">
        <v>7.9081718262490094E-2</v>
      </c>
      <c r="P16" s="152">
        <v>-0.40730871850085981</v>
      </c>
      <c r="Q16" s="153">
        <v>9.0811675914491283E-2</v>
      </c>
      <c r="R16" s="149">
        <v>-0.66464901533128928</v>
      </c>
      <c r="S16" s="150">
        <v>6.6103795781324276E-2</v>
      </c>
      <c r="T16" s="152">
        <v>-1.031537326127643</v>
      </c>
      <c r="U16" s="153">
        <v>5.0907798626193636E-2</v>
      </c>
      <c r="V16" s="149">
        <v>-1.117835802829845</v>
      </c>
      <c r="W16" s="154">
        <v>9.1110540174542426E-2</v>
      </c>
      <c r="X16" s="151">
        <v>-0.17344162944926211</v>
      </c>
      <c r="Y16" s="150">
        <v>5.088922520460018E-2</v>
      </c>
      <c r="Z16" s="152">
        <v>-0.87180611574044431</v>
      </c>
      <c r="AA16" s="153">
        <v>5.5281353234774976E-2</v>
      </c>
      <c r="AB16" s="152">
        <v>-1.145683420512841</v>
      </c>
      <c r="AC16" s="155">
        <v>4.3724156296425169E-2</v>
      </c>
      <c r="AD16" s="149">
        <v>-0.80397195417557898</v>
      </c>
      <c r="AE16" s="156">
        <v>6.4013921450533723E-2</v>
      </c>
    </row>
    <row r="17" spans="1:32" s="105" customFormat="1" x14ac:dyDescent="0.25">
      <c r="A17" s="94" t="s">
        <v>203</v>
      </c>
      <c r="B17" s="95">
        <v>291</v>
      </c>
      <c r="C17" s="96" t="s">
        <v>34</v>
      </c>
      <c r="D17" s="149">
        <v>-0.12523200172436599</v>
      </c>
      <c r="E17" s="150">
        <v>6.4731962921807953E-2</v>
      </c>
      <c r="F17" s="151">
        <v>-1.4212</v>
      </c>
      <c r="G17" s="150" t="s">
        <v>35</v>
      </c>
      <c r="H17" s="152">
        <v>-0.23759999999999981</v>
      </c>
      <c r="I17" s="153">
        <v>0.11801524054121129</v>
      </c>
      <c r="J17" s="149">
        <v>1.2478</v>
      </c>
      <c r="K17" s="154">
        <v>1.4595564394705916E-2</v>
      </c>
      <c r="L17" s="149">
        <v>2.669</v>
      </c>
      <c r="M17" s="154">
        <v>1.4595564394705916E-2</v>
      </c>
      <c r="N17" s="151" t="s">
        <v>34</v>
      </c>
      <c r="O17" s="150" t="s">
        <v>34</v>
      </c>
      <c r="P17" s="152" t="s">
        <v>34</v>
      </c>
      <c r="Q17" s="153" t="s">
        <v>34</v>
      </c>
      <c r="R17" s="149" t="s">
        <v>34</v>
      </c>
      <c r="S17" s="150" t="s">
        <v>34</v>
      </c>
      <c r="T17" s="152" t="s">
        <v>34</v>
      </c>
      <c r="U17" s="153" t="s">
        <v>34</v>
      </c>
      <c r="V17" s="149" t="s">
        <v>34</v>
      </c>
      <c r="W17" s="154" t="s">
        <v>34</v>
      </c>
      <c r="X17" s="151" t="s">
        <v>34</v>
      </c>
      <c r="Y17" s="150" t="s">
        <v>34</v>
      </c>
      <c r="Z17" s="152" t="s">
        <v>34</v>
      </c>
      <c r="AA17" s="153" t="s">
        <v>34</v>
      </c>
      <c r="AB17" s="152" t="s">
        <v>34</v>
      </c>
      <c r="AC17" s="155" t="s">
        <v>34</v>
      </c>
      <c r="AD17" s="149" t="s">
        <v>34</v>
      </c>
      <c r="AE17" s="156" t="s">
        <v>34</v>
      </c>
    </row>
    <row r="18" spans="1:32" s="105" customFormat="1" x14ac:dyDescent="0.25">
      <c r="A18" s="94" t="s">
        <v>204</v>
      </c>
      <c r="B18" s="95">
        <v>248</v>
      </c>
      <c r="C18" s="96">
        <v>89.503120422363281</v>
      </c>
      <c r="D18" s="149">
        <v>6.1139300856061004E-3</v>
      </c>
      <c r="E18" s="150">
        <v>5.6708326815701628E-2</v>
      </c>
      <c r="F18" s="151">
        <v>-1.4212</v>
      </c>
      <c r="G18" s="150" t="s">
        <v>35</v>
      </c>
      <c r="H18" s="152">
        <v>2.5899999999999999E-2</v>
      </c>
      <c r="I18" s="153">
        <v>0.12490448750945658</v>
      </c>
      <c r="J18" s="149">
        <v>1.2478</v>
      </c>
      <c r="K18" s="154">
        <v>9.6150923032490307E-4</v>
      </c>
      <c r="L18" s="149">
        <v>2.669</v>
      </c>
      <c r="M18" s="154">
        <v>9.6150923032495273E-4</v>
      </c>
      <c r="N18" s="151">
        <v>0.32310926640539311</v>
      </c>
      <c r="O18" s="150">
        <v>0.12157783895625254</v>
      </c>
      <c r="P18" s="152">
        <v>-7.3598959790184298E-2</v>
      </c>
      <c r="Q18" s="153">
        <v>0.11309310651039843</v>
      </c>
      <c r="R18" s="149">
        <v>-5.2019929738236798E-2</v>
      </c>
      <c r="S18" s="150">
        <v>0.13414987412701415</v>
      </c>
      <c r="T18" s="152">
        <v>-0.17760640184543189</v>
      </c>
      <c r="U18" s="153">
        <v>0.1075972226282671</v>
      </c>
      <c r="V18" s="149">
        <v>-0.50071566825082492</v>
      </c>
      <c r="W18" s="154">
        <v>0.16499063970346325</v>
      </c>
      <c r="X18" s="151" t="s">
        <v>34</v>
      </c>
      <c r="Y18" s="150" t="s">
        <v>34</v>
      </c>
      <c r="Z18" s="152" t="s">
        <v>34</v>
      </c>
      <c r="AA18" s="153" t="s">
        <v>34</v>
      </c>
      <c r="AB18" s="152" t="s">
        <v>34</v>
      </c>
      <c r="AC18" s="155" t="s">
        <v>34</v>
      </c>
      <c r="AD18" s="149" t="s">
        <v>34</v>
      </c>
      <c r="AE18" s="156" t="s">
        <v>34</v>
      </c>
    </row>
    <row r="19" spans="1:32" s="105" customFormat="1" x14ac:dyDescent="0.25">
      <c r="A19" s="94" t="s">
        <v>205</v>
      </c>
      <c r="B19" s="95">
        <v>770</v>
      </c>
      <c r="C19" s="96">
        <v>96.498023986816406</v>
      </c>
      <c r="D19" s="149">
        <v>-0.55022476988692115</v>
      </c>
      <c r="E19" s="150">
        <v>4.3278018662556664E-2</v>
      </c>
      <c r="F19" s="151">
        <v>-1.4212</v>
      </c>
      <c r="G19" s="150" t="s">
        <v>35</v>
      </c>
      <c r="H19" s="152">
        <v>-0.64829999999999977</v>
      </c>
      <c r="I19" s="153">
        <v>1.812338268646339E-2</v>
      </c>
      <c r="J19" s="149">
        <v>0.46979999999999977</v>
      </c>
      <c r="K19" s="154">
        <v>3.0216129798503528E-2</v>
      </c>
      <c r="L19" s="149">
        <v>1.8909999999999998</v>
      </c>
      <c r="M19" s="154">
        <v>3.0216129798503567E-2</v>
      </c>
      <c r="N19" s="151">
        <v>-0.30757654806242618</v>
      </c>
      <c r="O19" s="150">
        <v>9.2334225767070621E-2</v>
      </c>
      <c r="P19" s="152">
        <v>-0.56376079748181207</v>
      </c>
      <c r="Q19" s="153">
        <v>8.5758529521271595E-2</v>
      </c>
      <c r="R19" s="149">
        <v>-0.65269830761721126</v>
      </c>
      <c r="S19" s="150">
        <v>9.8950456071023568E-2</v>
      </c>
      <c r="T19" s="152">
        <v>-0.66902310128567688</v>
      </c>
      <c r="U19" s="153">
        <v>7.7292104857777683E-2</v>
      </c>
      <c r="V19" s="149">
        <v>-0.36144655322325059</v>
      </c>
      <c r="W19" s="154">
        <v>0.11539723772856171</v>
      </c>
      <c r="X19" s="151">
        <v>-0.53135484293749491</v>
      </c>
      <c r="Y19" s="150">
        <v>4.5636186211232901E-2</v>
      </c>
      <c r="Z19" s="152">
        <v>-0.54089956287835794</v>
      </c>
      <c r="AA19" s="153">
        <v>0.19726015537644348</v>
      </c>
      <c r="AB19" s="152">
        <v>-0.88501368406271452</v>
      </c>
      <c r="AC19" s="155">
        <v>0.125179920984375</v>
      </c>
      <c r="AD19" s="149">
        <v>-0.21926604337614908</v>
      </c>
      <c r="AE19" s="156">
        <v>0.12868882595675246</v>
      </c>
    </row>
    <row r="20" spans="1:32" s="105" customFormat="1" x14ac:dyDescent="0.25">
      <c r="A20" s="94" t="s">
        <v>206</v>
      </c>
      <c r="B20" s="95">
        <v>207</v>
      </c>
      <c r="C20" s="96">
        <v>86.347007751464844</v>
      </c>
      <c r="D20" s="149">
        <v>-0.17899755507931239</v>
      </c>
      <c r="E20" s="150">
        <v>7.0967145159595998E-2</v>
      </c>
      <c r="F20" s="151">
        <v>-1.4211999999999989</v>
      </c>
      <c r="G20" s="150">
        <v>1.1905815549843721E-15</v>
      </c>
      <c r="H20" s="152">
        <v>-0.23759999999999989</v>
      </c>
      <c r="I20" s="153">
        <v>8.9259523301438173E-2</v>
      </c>
      <c r="J20" s="149">
        <v>0.83390000000000009</v>
      </c>
      <c r="K20" s="154">
        <v>0.22355736288478653</v>
      </c>
      <c r="L20" s="149">
        <v>2.2550999999999988</v>
      </c>
      <c r="M20" s="154">
        <v>0.22355736288478728</v>
      </c>
      <c r="N20" s="151">
        <v>0.184453374403521</v>
      </c>
      <c r="O20" s="150">
        <v>0.15078212871434199</v>
      </c>
      <c r="P20" s="152">
        <v>-0.17363874975677271</v>
      </c>
      <c r="Q20" s="153">
        <v>0.22561981422969785</v>
      </c>
      <c r="R20" s="149">
        <v>-0.26094274255649808</v>
      </c>
      <c r="S20" s="150">
        <v>0.11123603535935948</v>
      </c>
      <c r="T20" s="152">
        <v>-0.46767922312429738</v>
      </c>
      <c r="U20" s="153">
        <v>0.11790323276280133</v>
      </c>
      <c r="V20" s="149">
        <v>-0.65213259752781838</v>
      </c>
      <c r="W20" s="154">
        <v>0.19577398690879996</v>
      </c>
      <c r="X20" s="151">
        <v>0.1158657409163561</v>
      </c>
      <c r="Y20" s="150">
        <v>0.13048582842155781</v>
      </c>
      <c r="Z20" s="152">
        <v>-0.29277107765572358</v>
      </c>
      <c r="AA20" s="153">
        <v>0.1024152274275341</v>
      </c>
      <c r="AB20" s="152">
        <v>-0.46598496984149368</v>
      </c>
      <c r="AC20" s="155">
        <v>0.13563141925735392</v>
      </c>
      <c r="AD20" s="149">
        <v>-0.44730001564560368</v>
      </c>
      <c r="AE20" s="156">
        <v>0.15220761944274672</v>
      </c>
    </row>
    <row r="21" spans="1:32" s="105" customFormat="1" x14ac:dyDescent="0.25">
      <c r="A21" s="94" t="s">
        <v>207</v>
      </c>
      <c r="B21" s="95">
        <v>245</v>
      </c>
      <c r="C21" s="96">
        <v>98.989761352539063</v>
      </c>
      <c r="D21" s="149">
        <v>0.76259688893497035</v>
      </c>
      <c r="E21" s="150">
        <v>7.2186951813808048E-2</v>
      </c>
      <c r="F21" s="151">
        <v>-0.94900000000000062</v>
      </c>
      <c r="G21" s="150">
        <v>0.57741157245070684</v>
      </c>
      <c r="H21" s="152">
        <v>0.80059999999999953</v>
      </c>
      <c r="I21" s="153">
        <v>2.4640403811626344E-2</v>
      </c>
      <c r="J21" s="149">
        <v>2.1861000000000002</v>
      </c>
      <c r="K21" s="154">
        <v>7.776364510489403E-2</v>
      </c>
      <c r="L21" s="149">
        <v>3.1351000000000009</v>
      </c>
      <c r="M21" s="154">
        <v>0.56618952171512149</v>
      </c>
      <c r="N21" s="151">
        <v>1.3830671817646509</v>
      </c>
      <c r="O21" s="150">
        <v>0.13813038064966529</v>
      </c>
      <c r="P21" s="152">
        <v>1.042854541463667</v>
      </c>
      <c r="Q21" s="153">
        <v>0.14678206447060704</v>
      </c>
      <c r="R21" s="149">
        <v>0.80151831295151432</v>
      </c>
      <c r="S21" s="150">
        <v>0.20076186575453456</v>
      </c>
      <c r="T21" s="152">
        <v>-0.20868097232747801</v>
      </c>
      <c r="U21" s="153">
        <v>0.16031785045767213</v>
      </c>
      <c r="V21" s="149">
        <v>-1.591748154092129</v>
      </c>
      <c r="W21" s="154">
        <v>0.21551064993466151</v>
      </c>
      <c r="X21" s="151">
        <v>1.0928698341140231</v>
      </c>
      <c r="Y21" s="150">
        <v>7.2348846881688633E-2</v>
      </c>
      <c r="Z21" s="152" t="s">
        <v>34</v>
      </c>
      <c r="AA21" s="153" t="s">
        <v>34</v>
      </c>
      <c r="AB21" s="152">
        <v>-0.64088344076999748</v>
      </c>
      <c r="AC21" s="155">
        <v>0.13438402940566552</v>
      </c>
      <c r="AD21" s="149">
        <v>-1.7337532748840205</v>
      </c>
      <c r="AE21" s="156">
        <v>0.147945007521008</v>
      </c>
    </row>
    <row r="22" spans="1:32" s="105" customFormat="1" x14ac:dyDescent="0.25">
      <c r="A22" s="18" t="s">
        <v>208</v>
      </c>
      <c r="B22" s="57">
        <v>324</v>
      </c>
      <c r="C22" s="19">
        <v>97.015785217285156</v>
      </c>
      <c r="D22" s="76">
        <v>0.13484696086672349</v>
      </c>
      <c r="E22" s="79">
        <v>4.6406368634849079E-2</v>
      </c>
      <c r="F22" s="77">
        <v>-0.9432000000000007</v>
      </c>
      <c r="G22" s="79">
        <v>0.29750330754463927</v>
      </c>
      <c r="H22" s="78">
        <v>0.13120000000000001</v>
      </c>
      <c r="I22" s="80">
        <v>0.1023563530026349</v>
      </c>
      <c r="J22" s="76">
        <v>1.0283000000000011</v>
      </c>
      <c r="K22" s="81">
        <v>6.9027791504581229E-2</v>
      </c>
      <c r="L22" s="76">
        <v>1.9715000000000018</v>
      </c>
      <c r="M22" s="81">
        <v>0.3042419497702451</v>
      </c>
      <c r="N22" s="77">
        <v>0.162501755058157</v>
      </c>
      <c r="O22" s="79">
        <v>9.8598830722503319E-2</v>
      </c>
      <c r="P22" s="78">
        <v>9.2370245908638196E-2</v>
      </c>
      <c r="Q22" s="80">
        <v>0.11811392839283413</v>
      </c>
      <c r="R22" s="76">
        <v>0.1533845304691985</v>
      </c>
      <c r="S22" s="79">
        <v>0.11413887276436573</v>
      </c>
      <c r="T22" s="78">
        <v>0.1315699352282356</v>
      </c>
      <c r="U22" s="80">
        <v>7.7436462267940931E-2</v>
      </c>
      <c r="V22" s="76">
        <v>-3.0931819829921402E-2</v>
      </c>
      <c r="W22" s="81">
        <v>0.13255320159926948</v>
      </c>
      <c r="X22" s="77">
        <v>0.13254668491056301</v>
      </c>
      <c r="Y22" s="79">
        <v>4.8638050300245116E-2</v>
      </c>
      <c r="Z22" s="78">
        <v>7.2568504437319895E-2</v>
      </c>
      <c r="AA22" s="80">
        <v>0.18051756960546306</v>
      </c>
      <c r="AB22" s="78" t="s">
        <v>34</v>
      </c>
      <c r="AC22" s="82" t="s">
        <v>34</v>
      </c>
      <c r="AD22" s="76">
        <v>-5.9978180473243117E-2</v>
      </c>
      <c r="AE22" s="83">
        <v>0.18669841446097094</v>
      </c>
      <c r="AF22" s="106"/>
    </row>
    <row r="23" spans="1:32" s="105" customFormat="1" x14ac:dyDescent="0.25">
      <c r="A23" s="94" t="s">
        <v>209</v>
      </c>
      <c r="B23" s="95">
        <v>267</v>
      </c>
      <c r="C23" s="96">
        <v>80.395973205566406</v>
      </c>
      <c r="D23" s="149">
        <v>-0.41924142105340512</v>
      </c>
      <c r="E23" s="150">
        <v>5.8680824714958633E-2</v>
      </c>
      <c r="F23" s="151">
        <v>-1.4212</v>
      </c>
      <c r="G23" s="150" t="s">
        <v>35</v>
      </c>
      <c r="H23" s="152">
        <v>-0.45260000000000022</v>
      </c>
      <c r="I23" s="153">
        <v>0.10742925811900596</v>
      </c>
      <c r="J23" s="149">
        <v>0.59159999999999979</v>
      </c>
      <c r="K23" s="154">
        <v>0.21884370907110867</v>
      </c>
      <c r="L23" s="149">
        <v>2.0127999999999999</v>
      </c>
      <c r="M23" s="154">
        <v>0.21884370907110864</v>
      </c>
      <c r="N23" s="151">
        <v>-0.24357699412336761</v>
      </c>
      <c r="O23" s="150">
        <v>0.12924058068454683</v>
      </c>
      <c r="P23" s="152">
        <v>-0.38989644068322349</v>
      </c>
      <c r="Q23" s="153">
        <v>0.10659387836883269</v>
      </c>
      <c r="R23" s="149">
        <v>-0.46931421989570038</v>
      </c>
      <c r="S23" s="150">
        <v>0.17036985312908559</v>
      </c>
      <c r="T23" s="152">
        <v>-0.57415775779322331</v>
      </c>
      <c r="U23" s="153">
        <v>0.11090060758395702</v>
      </c>
      <c r="V23" s="149">
        <v>-0.33058076366985573</v>
      </c>
      <c r="W23" s="154">
        <v>0.16956880372225322</v>
      </c>
      <c r="X23" s="151">
        <v>-0.1984168623409025</v>
      </c>
      <c r="Y23" s="150">
        <v>7.2717401161257716E-2</v>
      </c>
      <c r="Z23" s="152">
        <v>-0.92326890630780045</v>
      </c>
      <c r="AA23" s="153">
        <v>9.6786665572769978E-2</v>
      </c>
      <c r="AB23" s="152">
        <v>-1.1933294997954289</v>
      </c>
      <c r="AC23" s="155">
        <v>0.12071693099807526</v>
      </c>
      <c r="AD23" s="149">
        <v>-0.78705724846282121</v>
      </c>
      <c r="AE23" s="156">
        <v>0.10723740487031388</v>
      </c>
    </row>
    <row r="24" spans="1:32" s="105" customFormat="1" x14ac:dyDescent="0.25">
      <c r="A24" s="94" t="s">
        <v>210</v>
      </c>
      <c r="B24" s="95">
        <v>224</v>
      </c>
      <c r="C24" s="96">
        <v>99.549774169921875</v>
      </c>
      <c r="D24" s="149">
        <v>0.10947905274694809</v>
      </c>
      <c r="E24" s="150">
        <v>3.3164293288206005E-2</v>
      </c>
      <c r="F24" s="151">
        <v>-0.94900000000000073</v>
      </c>
      <c r="G24" s="150">
        <v>0.65088278207369954</v>
      </c>
      <c r="H24" s="152">
        <v>0.1</v>
      </c>
      <c r="I24" s="153">
        <v>2.6686138724064212E-3</v>
      </c>
      <c r="J24" s="149">
        <v>1.2478</v>
      </c>
      <c r="K24" s="154">
        <v>1.9230184606498658E-2</v>
      </c>
      <c r="L24" s="149">
        <v>2.1968000000000005</v>
      </c>
      <c r="M24" s="154">
        <v>0.64490026825858826</v>
      </c>
      <c r="N24" s="151">
        <v>0.20005083219275019</v>
      </c>
      <c r="O24" s="150">
        <v>0.10811122960270693</v>
      </c>
      <c r="P24" s="152">
        <v>0.2758681918733209</v>
      </c>
      <c r="Q24" s="153">
        <v>0.1240269633558068</v>
      </c>
      <c r="R24" s="149">
        <v>-0.14149360617399889</v>
      </c>
      <c r="S24" s="150">
        <v>0.13111665108480011</v>
      </c>
      <c r="T24" s="152">
        <v>0.10070874459306529</v>
      </c>
      <c r="U24" s="153">
        <v>5.2318104387870788E-2</v>
      </c>
      <c r="V24" s="149">
        <v>-9.9342087599684895E-2</v>
      </c>
      <c r="W24" s="154">
        <v>0.11877884274276261</v>
      </c>
      <c r="X24" s="151">
        <v>0.12608394888356661</v>
      </c>
      <c r="Y24" s="150">
        <v>3.3449945284088164E-2</v>
      </c>
      <c r="Z24" s="152">
        <v>-0.60494258508437082</v>
      </c>
      <c r="AA24" s="153">
        <v>0.32636703878029188</v>
      </c>
      <c r="AB24" s="152">
        <v>0.145222004097042</v>
      </c>
      <c r="AC24" s="155">
        <v>0.20821469674488471</v>
      </c>
      <c r="AD24" s="149">
        <v>-0.41973896778684072</v>
      </c>
      <c r="AE24" s="156">
        <v>0.21438671163789022</v>
      </c>
    </row>
    <row r="25" spans="1:32" s="105" customFormat="1" x14ac:dyDescent="0.25">
      <c r="A25" s="94" t="s">
        <v>211</v>
      </c>
      <c r="B25" s="95">
        <v>195</v>
      </c>
      <c r="C25" s="96">
        <v>92.78778076171875</v>
      </c>
      <c r="D25" s="149">
        <v>0.1173263907311132</v>
      </c>
      <c r="E25" s="150">
        <v>5.1992155448759993E-2</v>
      </c>
      <c r="F25" s="151">
        <v>-1.4212</v>
      </c>
      <c r="G25" s="150">
        <v>0.5394135000164525</v>
      </c>
      <c r="H25" s="152">
        <v>0.13120000000000009</v>
      </c>
      <c r="I25" s="153">
        <v>8.4259115233902254E-2</v>
      </c>
      <c r="J25" s="149">
        <v>1.2478</v>
      </c>
      <c r="K25" s="154">
        <v>0.25220389172255053</v>
      </c>
      <c r="L25" s="149">
        <v>2.669</v>
      </c>
      <c r="M25" s="154">
        <v>0.61498288187558481</v>
      </c>
      <c r="N25" s="151">
        <v>-4.8023960767669099E-2</v>
      </c>
      <c r="O25" s="150">
        <v>0.11310410619065554</v>
      </c>
      <c r="P25" s="152">
        <v>0.25982999634939569</v>
      </c>
      <c r="Q25" s="153">
        <v>0.12114992924061513</v>
      </c>
      <c r="R25" s="149">
        <v>0.27380317589834119</v>
      </c>
      <c r="S25" s="150">
        <v>0.13167804793492063</v>
      </c>
      <c r="T25" s="152">
        <v>-1.5529367820554099E-2</v>
      </c>
      <c r="U25" s="153">
        <v>0.11798676985729815</v>
      </c>
      <c r="V25" s="149">
        <v>3.2494592947115E-2</v>
      </c>
      <c r="W25" s="154">
        <v>0.16519121733722375</v>
      </c>
      <c r="X25" s="151">
        <v>0.13033309083247421</v>
      </c>
      <c r="Y25" s="150">
        <v>5.3115622223083019E-2</v>
      </c>
      <c r="Z25" s="152">
        <v>-0.17328122952670411</v>
      </c>
      <c r="AA25" s="153">
        <v>0.25306128974092112</v>
      </c>
      <c r="AB25" s="152" t="s">
        <v>34</v>
      </c>
      <c r="AC25" s="155" t="s">
        <v>34</v>
      </c>
      <c r="AD25" s="149">
        <v>-0.30361432035917835</v>
      </c>
      <c r="AE25" s="156">
        <v>0.25894581496908747</v>
      </c>
    </row>
    <row r="26" spans="1:32" s="105" customFormat="1" x14ac:dyDescent="0.25">
      <c r="A26" s="94" t="s">
        <v>212</v>
      </c>
      <c r="B26" s="95">
        <v>164</v>
      </c>
      <c r="C26" s="96">
        <v>76.662361145019531</v>
      </c>
      <c r="D26" s="149">
        <v>-0.36242344332158088</v>
      </c>
      <c r="E26" s="150">
        <v>6.7797844108123603E-2</v>
      </c>
      <c r="F26" s="151">
        <v>-1.4212</v>
      </c>
      <c r="G26" s="150" t="s">
        <v>35</v>
      </c>
      <c r="H26" s="152">
        <v>-0.3123000000000003</v>
      </c>
      <c r="I26" s="153">
        <v>0.13214018881475842</v>
      </c>
      <c r="J26" s="149">
        <v>0.75659999999999994</v>
      </c>
      <c r="K26" s="154">
        <v>0.17034817580473288</v>
      </c>
      <c r="L26" s="149">
        <v>2.1778</v>
      </c>
      <c r="M26" s="154">
        <v>0.17034817580473297</v>
      </c>
      <c r="N26" s="151">
        <v>-0.2475648737051569</v>
      </c>
      <c r="O26" s="150">
        <v>0.12776328599662348</v>
      </c>
      <c r="P26" s="152">
        <v>-0.32821033767468721</v>
      </c>
      <c r="Q26" s="153">
        <v>0.14815849139852968</v>
      </c>
      <c r="R26" s="149">
        <v>-0.46090670499596992</v>
      </c>
      <c r="S26" s="150">
        <v>0.17453503081706498</v>
      </c>
      <c r="T26" s="152">
        <v>-0.41207208928737232</v>
      </c>
      <c r="U26" s="153">
        <v>0.16098182737193381</v>
      </c>
      <c r="V26" s="149">
        <v>-0.16450721558221529</v>
      </c>
      <c r="W26" s="154">
        <v>0.21181310090785413</v>
      </c>
      <c r="X26" s="151">
        <v>-0.34357044290820432</v>
      </c>
      <c r="Y26" s="150">
        <v>8.1874313852057304E-2</v>
      </c>
      <c r="Z26" s="152">
        <v>-0.16399201974563979</v>
      </c>
      <c r="AA26" s="153">
        <v>0.2304789094722135</v>
      </c>
      <c r="AB26" s="152">
        <v>-0.74622001658490189</v>
      </c>
      <c r="AC26" s="155">
        <v>0.19604749000156305</v>
      </c>
      <c r="AD26" s="149">
        <v>-0.10028086578126749</v>
      </c>
      <c r="AE26" s="156">
        <v>0.16401208574529083</v>
      </c>
    </row>
    <row r="27" spans="1:32" s="105" customFormat="1" x14ac:dyDescent="0.25">
      <c r="A27" s="94" t="s">
        <v>213</v>
      </c>
      <c r="B27" s="95">
        <v>185</v>
      </c>
      <c r="C27" s="96">
        <v>82.315406799316406</v>
      </c>
      <c r="D27" s="149">
        <v>0.30831110181844462</v>
      </c>
      <c r="E27" s="150">
        <v>6.6923086558952169E-2</v>
      </c>
      <c r="F27" s="151">
        <v>-0.94900000000000062</v>
      </c>
      <c r="G27" s="150">
        <v>0.43036212426281129</v>
      </c>
      <c r="H27" s="152">
        <v>0.42919999999999991</v>
      </c>
      <c r="I27" s="153">
        <v>0.16654177253770289</v>
      </c>
      <c r="J27" s="149">
        <v>1.4782999999999999</v>
      </c>
      <c r="K27" s="154">
        <v>0.21884124382757433</v>
      </c>
      <c r="L27" s="149">
        <v>2.4273000000000007</v>
      </c>
      <c r="M27" s="154">
        <v>0.44823943824701479</v>
      </c>
      <c r="N27" s="151">
        <v>0.4671271671244196</v>
      </c>
      <c r="O27" s="150">
        <v>0.12475242025443667</v>
      </c>
      <c r="P27" s="152">
        <v>0.32794407360904371</v>
      </c>
      <c r="Q27" s="153">
        <v>0.13795121438835892</v>
      </c>
      <c r="R27" s="149">
        <v>0.17613467778880129</v>
      </c>
      <c r="S27" s="150">
        <v>0.20464760071075061</v>
      </c>
      <c r="T27" s="152">
        <v>0.25664116021382011</v>
      </c>
      <c r="U27" s="153">
        <v>0.18277858882452339</v>
      </c>
      <c r="V27" s="149">
        <v>-0.21048600691059949</v>
      </c>
      <c r="W27" s="154">
        <v>0.21559681841944445</v>
      </c>
      <c r="X27" s="151">
        <v>0.32228530370938557</v>
      </c>
      <c r="Y27" s="150">
        <v>6.7395678987242358E-2</v>
      </c>
      <c r="Z27" s="152">
        <v>-0.1138725484343075</v>
      </c>
      <c r="AA27" s="153">
        <v>0.71547972679574157</v>
      </c>
      <c r="AB27" s="152" t="s">
        <v>34</v>
      </c>
      <c r="AC27" s="155" t="s">
        <v>34</v>
      </c>
      <c r="AD27" s="149">
        <v>-0.43615785214369307</v>
      </c>
      <c r="AE27" s="156">
        <v>0.72602016645479606</v>
      </c>
    </row>
    <row r="28" spans="1:32" s="105" customFormat="1" x14ac:dyDescent="0.25">
      <c r="A28" s="94" t="s">
        <v>214</v>
      </c>
      <c r="B28" s="95">
        <v>197</v>
      </c>
      <c r="C28" s="96">
        <v>90.79962158203125</v>
      </c>
      <c r="D28" s="149">
        <v>0.65757036754174891</v>
      </c>
      <c r="E28" s="150">
        <v>7.6811352682472286E-2</v>
      </c>
      <c r="F28" s="151">
        <v>-0.68840000000000012</v>
      </c>
      <c r="G28" s="150">
        <v>0.4211694908228753</v>
      </c>
      <c r="H28" s="152">
        <v>0.75659999999999983</v>
      </c>
      <c r="I28" s="153">
        <v>0.1344110077337422</v>
      </c>
      <c r="J28" s="149">
        <v>2.1432000000000011</v>
      </c>
      <c r="K28" s="154">
        <v>0.20258115164052332</v>
      </c>
      <c r="L28" s="149">
        <v>2.8316000000000012</v>
      </c>
      <c r="M28" s="154">
        <v>0.45653973430578881</v>
      </c>
      <c r="N28" s="151">
        <v>0.69014816777830157</v>
      </c>
      <c r="O28" s="150">
        <v>0.19023973023406079</v>
      </c>
      <c r="P28" s="152">
        <v>0.74310436222364518</v>
      </c>
      <c r="Q28" s="153">
        <v>0.15803962616472081</v>
      </c>
      <c r="R28" s="149">
        <v>0.87149268978835737</v>
      </c>
      <c r="S28" s="150">
        <v>0.17955578814026105</v>
      </c>
      <c r="T28" s="152">
        <v>0.33040663025573441</v>
      </c>
      <c r="U28" s="153">
        <v>0.16655497555865442</v>
      </c>
      <c r="V28" s="149">
        <v>-0.35974153752256721</v>
      </c>
      <c r="W28" s="154">
        <v>0.24621252238930866</v>
      </c>
      <c r="X28" s="151">
        <v>0.74264044015189923</v>
      </c>
      <c r="Y28" s="150">
        <v>7.5793685681019268E-2</v>
      </c>
      <c r="Z28" s="152" t="s">
        <v>34</v>
      </c>
      <c r="AA28" s="153" t="s">
        <v>34</v>
      </c>
      <c r="AB28" s="152">
        <v>-1.0524808071241469</v>
      </c>
      <c r="AC28" s="155">
        <v>0.1550171628674841</v>
      </c>
      <c r="AD28" s="149">
        <v>-1.7951212472760463</v>
      </c>
      <c r="AE28" s="156">
        <v>0.17010335586780412</v>
      </c>
    </row>
    <row r="29" spans="1:32" s="105" customFormat="1" x14ac:dyDescent="0.25">
      <c r="A29" s="94" t="s">
        <v>215</v>
      </c>
      <c r="B29" s="95">
        <v>161</v>
      </c>
      <c r="C29" s="96">
        <v>89.597335815429688</v>
      </c>
      <c r="D29" s="149">
        <v>0.44003891394614431</v>
      </c>
      <c r="E29" s="150">
        <v>8.2362091283335701E-2</v>
      </c>
      <c r="F29" s="151">
        <v>-0.94900000000000029</v>
      </c>
      <c r="G29" s="150">
        <v>0.28674196937316371</v>
      </c>
      <c r="H29" s="152">
        <v>0.42919999999999991</v>
      </c>
      <c r="I29" s="153">
        <v>0.14680887745637194</v>
      </c>
      <c r="J29" s="149">
        <v>1.686300000000001</v>
      </c>
      <c r="K29" s="154">
        <v>7.8650000000001108E-2</v>
      </c>
      <c r="L29" s="149">
        <v>2.6353000000000013</v>
      </c>
      <c r="M29" s="154">
        <v>0.29748615682078483</v>
      </c>
      <c r="N29" s="151">
        <v>0.55524335484276466</v>
      </c>
      <c r="O29" s="150">
        <v>0.16049298419162575</v>
      </c>
      <c r="P29" s="152">
        <v>0.43666949844124681</v>
      </c>
      <c r="Q29" s="153">
        <v>0.17782102650085874</v>
      </c>
      <c r="R29" s="149">
        <v>0.31463212476899871</v>
      </c>
      <c r="S29" s="150">
        <v>0.17606551065425674</v>
      </c>
      <c r="T29" s="152">
        <v>0.45261155397519459</v>
      </c>
      <c r="U29" s="153">
        <v>0.15372351041265622</v>
      </c>
      <c r="V29" s="149">
        <v>-0.10263180086757009</v>
      </c>
      <c r="W29" s="154">
        <v>0.21882189443516228</v>
      </c>
      <c r="X29" s="151">
        <v>0.61453242829832944</v>
      </c>
      <c r="Y29" s="150">
        <v>9.2364857468817896E-2</v>
      </c>
      <c r="Z29" s="152">
        <v>-0.1667351979084177</v>
      </c>
      <c r="AA29" s="153">
        <v>0.14460877894247184</v>
      </c>
      <c r="AB29" s="152" t="s">
        <v>34</v>
      </c>
      <c r="AC29" s="155" t="s">
        <v>34</v>
      </c>
      <c r="AD29" s="149">
        <v>-0.78126762620674717</v>
      </c>
      <c r="AE29" s="156">
        <v>0.16458843644177421</v>
      </c>
    </row>
    <row r="30" spans="1:32" s="105" customFormat="1" x14ac:dyDescent="0.25">
      <c r="A30" s="94" t="s">
        <v>216</v>
      </c>
      <c r="B30" s="95">
        <v>129</v>
      </c>
      <c r="C30" s="96">
        <v>98.818824768066406</v>
      </c>
      <c r="D30" s="149">
        <v>-0.33063730998327562</v>
      </c>
      <c r="E30" s="150">
        <v>3.5143007711253456E-3</v>
      </c>
      <c r="F30" s="151">
        <v>-1.4212</v>
      </c>
      <c r="G30" s="150" t="s">
        <v>35</v>
      </c>
      <c r="H30" s="152">
        <v>-0.23760000000000009</v>
      </c>
      <c r="I30" s="153" t="s">
        <v>35</v>
      </c>
      <c r="J30" s="149">
        <v>0.6634999999999992</v>
      </c>
      <c r="K30" s="154" t="s">
        <v>35</v>
      </c>
      <c r="L30" s="149">
        <v>2.0846999999999993</v>
      </c>
      <c r="M30" s="154" t="s">
        <v>35</v>
      </c>
      <c r="N30" s="151">
        <v>-0.41951060679611429</v>
      </c>
      <c r="O30" s="150">
        <v>9.1196152782989856E-3</v>
      </c>
      <c r="P30" s="152">
        <v>-0.32396286665801871</v>
      </c>
      <c r="Q30" s="153">
        <v>6.2195296555205915E-3</v>
      </c>
      <c r="R30" s="149">
        <v>-8.2709886963697701E-2</v>
      </c>
      <c r="S30" s="150">
        <v>7.7140801770160866E-3</v>
      </c>
      <c r="T30" s="152">
        <v>-0.5000496407548638</v>
      </c>
      <c r="U30" s="153">
        <v>4.7689859365615296E-3</v>
      </c>
      <c r="V30" s="149">
        <v>-8.0539033958749506E-2</v>
      </c>
      <c r="W30" s="154">
        <v>1.0380671576179145E-2</v>
      </c>
      <c r="X30" s="151">
        <v>-0.33546381405730008</v>
      </c>
      <c r="Y30" s="150">
        <v>3.4818697447346735E-3</v>
      </c>
      <c r="Z30" s="152" t="s">
        <v>34</v>
      </c>
      <c r="AA30" s="153" t="s">
        <v>34</v>
      </c>
      <c r="AB30" s="152" t="s">
        <v>34</v>
      </c>
      <c r="AC30" s="155" t="s">
        <v>34</v>
      </c>
      <c r="AD30" s="149" t="s">
        <v>34</v>
      </c>
      <c r="AE30" s="156" t="s">
        <v>34</v>
      </c>
    </row>
    <row r="31" spans="1:32" s="105" customFormat="1" x14ac:dyDescent="0.25">
      <c r="A31" s="94" t="s">
        <v>217</v>
      </c>
      <c r="B31" s="95">
        <v>155</v>
      </c>
      <c r="C31" s="96">
        <v>98.883636474609375</v>
      </c>
      <c r="D31" s="149">
        <v>0.1446652819905859</v>
      </c>
      <c r="E31" s="150">
        <v>8.1725686931757163E-2</v>
      </c>
      <c r="F31" s="151">
        <v>-1.4211999999999989</v>
      </c>
      <c r="G31" s="150">
        <v>9.288792252416251E-16</v>
      </c>
      <c r="H31" s="152">
        <v>0.1000000000000001</v>
      </c>
      <c r="I31" s="153">
        <v>0.11824801689669033</v>
      </c>
      <c r="J31" s="149">
        <v>1.6728999999999989</v>
      </c>
      <c r="K31" s="154">
        <v>0.36048618836232743</v>
      </c>
      <c r="L31" s="149">
        <v>3.0940999999999979</v>
      </c>
      <c r="M31" s="154">
        <v>0.36048618836232726</v>
      </c>
      <c r="N31" s="151">
        <v>0.36712755571579098</v>
      </c>
      <c r="O31" s="150">
        <v>0.18845917393446374</v>
      </c>
      <c r="P31" s="152">
        <v>0.11143569360967211</v>
      </c>
      <c r="Q31" s="153">
        <v>0.1757048458456045</v>
      </c>
      <c r="R31" s="149">
        <v>0.2223962811365528</v>
      </c>
      <c r="S31" s="150">
        <v>0.20455792828816757</v>
      </c>
      <c r="T31" s="152">
        <v>-0.1133680469449211</v>
      </c>
      <c r="U31" s="153">
        <v>0.16516999826060988</v>
      </c>
      <c r="V31" s="149">
        <v>-0.48049560266071212</v>
      </c>
      <c r="W31" s="154">
        <v>0.22959249911073393</v>
      </c>
      <c r="X31" s="151" t="s">
        <v>34</v>
      </c>
      <c r="Y31" s="150" t="s">
        <v>34</v>
      </c>
      <c r="Z31" s="152" t="s">
        <v>34</v>
      </c>
      <c r="AA31" s="153" t="s">
        <v>34</v>
      </c>
      <c r="AB31" s="152" t="s">
        <v>34</v>
      </c>
      <c r="AC31" s="155" t="s">
        <v>34</v>
      </c>
      <c r="AD31" s="149" t="s">
        <v>34</v>
      </c>
      <c r="AE31" s="156" t="s">
        <v>34</v>
      </c>
    </row>
    <row r="32" spans="1:32" s="105" customFormat="1" x14ac:dyDescent="0.25">
      <c r="A32" s="94" t="s">
        <v>218</v>
      </c>
      <c r="B32" s="95">
        <v>164</v>
      </c>
      <c r="C32" s="96">
        <v>95.554672241210938</v>
      </c>
      <c r="D32" s="149">
        <v>0.30995095032244713</v>
      </c>
      <c r="E32" s="150">
        <v>9.1534429233252876E-2</v>
      </c>
      <c r="F32" s="151">
        <v>-1.4211999999999989</v>
      </c>
      <c r="G32" s="150">
        <v>0.1493227511131503</v>
      </c>
      <c r="H32" s="152">
        <v>0.26500000000000012</v>
      </c>
      <c r="I32" s="153">
        <v>9.0153660491407703E-2</v>
      </c>
      <c r="J32" s="149">
        <v>1.736800000000001</v>
      </c>
      <c r="K32" s="154">
        <v>0.27207967766814112</v>
      </c>
      <c r="L32" s="149">
        <v>3.1579999999999999</v>
      </c>
      <c r="M32" s="154">
        <v>0.31418027468318149</v>
      </c>
      <c r="N32" s="151">
        <v>0.52566358238763322</v>
      </c>
      <c r="O32" s="150">
        <v>0.20597144935817341</v>
      </c>
      <c r="P32" s="152">
        <v>0.29539063792999543</v>
      </c>
      <c r="Q32" s="153">
        <v>0.18619016703908137</v>
      </c>
      <c r="R32" s="149">
        <v>0.25855223040678482</v>
      </c>
      <c r="S32" s="150">
        <v>0.19954431345005508</v>
      </c>
      <c r="T32" s="152">
        <v>0.1622970698873818</v>
      </c>
      <c r="U32" s="153">
        <v>0.14649469688876873</v>
      </c>
      <c r="V32" s="149">
        <v>-0.36336651250025143</v>
      </c>
      <c r="W32" s="154">
        <v>0.2647227607542621</v>
      </c>
      <c r="X32" s="151">
        <v>0.30995095032244713</v>
      </c>
      <c r="Y32" s="150">
        <v>9.1534429233252876E-2</v>
      </c>
      <c r="Z32" s="152" t="s">
        <v>34</v>
      </c>
      <c r="AA32" s="153" t="s">
        <v>34</v>
      </c>
      <c r="AB32" s="152" t="s">
        <v>34</v>
      </c>
      <c r="AC32" s="155" t="s">
        <v>34</v>
      </c>
      <c r="AD32" s="149" t="s">
        <v>34</v>
      </c>
      <c r="AE32" s="156" t="s">
        <v>34</v>
      </c>
    </row>
    <row r="33" spans="1:31" s="105" customFormat="1" x14ac:dyDescent="0.25">
      <c r="A33" s="94" t="s">
        <v>219</v>
      </c>
      <c r="B33" s="95">
        <v>489</v>
      </c>
      <c r="C33" s="96">
        <v>93.969619750976563</v>
      </c>
      <c r="D33" s="149">
        <v>0.32274112015968082</v>
      </c>
      <c r="E33" s="150">
        <v>6.2013761567412687E-2</v>
      </c>
      <c r="F33" s="151">
        <v>-0.68840000000000001</v>
      </c>
      <c r="G33" s="150">
        <v>1.7888543819996844E-3</v>
      </c>
      <c r="H33" s="152">
        <v>0.30659999999999987</v>
      </c>
      <c r="I33" s="153">
        <v>0.13805260591528146</v>
      </c>
      <c r="J33" s="149">
        <v>1.4782999999999999</v>
      </c>
      <c r="K33" s="154">
        <v>0.19130198639846829</v>
      </c>
      <c r="L33" s="149">
        <v>2.1667000000000001</v>
      </c>
      <c r="M33" s="154">
        <v>0.19106085418002225</v>
      </c>
      <c r="N33" s="151">
        <v>0.49224869742559718</v>
      </c>
      <c r="O33" s="150">
        <v>0.13693576328240939</v>
      </c>
      <c r="P33" s="152">
        <v>0.39206031148461079</v>
      </c>
      <c r="Q33" s="153">
        <v>0.15028600545877779</v>
      </c>
      <c r="R33" s="149">
        <v>0.28257666834339701</v>
      </c>
      <c r="S33" s="150">
        <v>0.10932207007890458</v>
      </c>
      <c r="T33" s="152">
        <v>0.12547097881491789</v>
      </c>
      <c r="U33" s="153">
        <v>0.1023609208483896</v>
      </c>
      <c r="V33" s="149">
        <v>-0.36677771861067932</v>
      </c>
      <c r="W33" s="154">
        <v>0.17278332939304972</v>
      </c>
      <c r="X33" s="151">
        <v>0.34712351679456421</v>
      </c>
      <c r="Y33" s="150">
        <v>6.4770665677052808E-2</v>
      </c>
      <c r="Z33" s="152">
        <v>-0.45509340222965411</v>
      </c>
      <c r="AA33" s="153">
        <v>0.38698637347921427</v>
      </c>
      <c r="AB33" s="152">
        <v>-0.13273889528961241</v>
      </c>
      <c r="AC33" s="155">
        <v>0.17533002345872728</v>
      </c>
      <c r="AD33" s="149">
        <v>-0.6124004710662192</v>
      </c>
      <c r="AE33" s="156">
        <v>0.21666646446223284</v>
      </c>
    </row>
    <row r="34" spans="1:31" s="105" customFormat="1" x14ac:dyDescent="0.25">
      <c r="A34" s="94" t="s">
        <v>220</v>
      </c>
      <c r="B34" s="95">
        <v>183</v>
      </c>
      <c r="C34" s="96">
        <v>100</v>
      </c>
      <c r="D34" s="149">
        <v>0.72308797973173533</v>
      </c>
      <c r="E34" s="150">
        <v>7.3120014365373479E-2</v>
      </c>
      <c r="F34" s="151">
        <v>-0.23759999999999981</v>
      </c>
      <c r="G34" s="150">
        <v>0.31100728206908584</v>
      </c>
      <c r="H34" s="152">
        <v>0.62209999999999976</v>
      </c>
      <c r="I34" s="153">
        <v>0.13820938824841109</v>
      </c>
      <c r="J34" s="149">
        <v>1.699599999999998</v>
      </c>
      <c r="K34" s="154">
        <v>0.32254406675677899</v>
      </c>
      <c r="L34" s="149">
        <v>1.9371999999999978</v>
      </c>
      <c r="M34" s="154">
        <v>0.35663281326877433</v>
      </c>
      <c r="N34" s="151">
        <v>0.97824156921901673</v>
      </c>
      <c r="O34" s="150">
        <v>0.1483160860326023</v>
      </c>
      <c r="P34" s="152">
        <v>0.88169641832760459</v>
      </c>
      <c r="Q34" s="153">
        <v>0.13351960181705361</v>
      </c>
      <c r="R34" s="149">
        <v>0.69676919827505557</v>
      </c>
      <c r="S34" s="150">
        <v>0.15882113825324018</v>
      </c>
      <c r="T34" s="152">
        <v>0.34860280081711292</v>
      </c>
      <c r="U34" s="153">
        <v>0.14779550532182814</v>
      </c>
      <c r="V34" s="149">
        <v>-0.6296387684019038</v>
      </c>
      <c r="W34" s="154">
        <v>0.20635487836535249</v>
      </c>
      <c r="X34" s="151">
        <v>0.87333320249794333</v>
      </c>
      <c r="Y34" s="150">
        <v>8.2316503690042009E-2</v>
      </c>
      <c r="Z34" s="152">
        <v>0.47297284483369317</v>
      </c>
      <c r="AA34" s="153">
        <v>0.16807878124526571</v>
      </c>
      <c r="AB34" s="152">
        <v>0.42213884314809502</v>
      </c>
      <c r="AC34" s="155">
        <v>0.1423626960938536</v>
      </c>
      <c r="AD34" s="149">
        <v>-0.44572667198055621</v>
      </c>
      <c r="AE34" s="156">
        <v>0.14491154703784823</v>
      </c>
    </row>
    <row r="35" spans="1:31" s="105" customFormat="1" x14ac:dyDescent="0.25">
      <c r="A35" s="94" t="s">
        <v>221</v>
      </c>
      <c r="B35" s="95">
        <v>153</v>
      </c>
      <c r="C35" s="96">
        <v>83.323898315429688</v>
      </c>
      <c r="D35" s="149">
        <v>0.40536821254878208</v>
      </c>
      <c r="E35" s="150">
        <v>7.7457821792006262E-2</v>
      </c>
      <c r="F35" s="151">
        <v>-1.4211999999999989</v>
      </c>
      <c r="G35" s="150">
        <v>0.75248961986196006</v>
      </c>
      <c r="H35" s="152">
        <v>0.42919999999999991</v>
      </c>
      <c r="I35" s="153">
        <v>8.4076155953991399E-3</v>
      </c>
      <c r="J35" s="149">
        <v>1.6862999999999999</v>
      </c>
      <c r="K35" s="154">
        <v>0.29606977640414534</v>
      </c>
      <c r="L35" s="149">
        <v>3.107499999999999</v>
      </c>
      <c r="M35" s="154">
        <v>0.88750929037390758</v>
      </c>
      <c r="N35" s="151">
        <v>0.43967516251001548</v>
      </c>
      <c r="O35" s="150">
        <v>0.22395257478956149</v>
      </c>
      <c r="P35" s="152">
        <v>0.30410601170326262</v>
      </c>
      <c r="Q35" s="153">
        <v>0.16227444182452547</v>
      </c>
      <c r="R35" s="149">
        <v>0.57464488824709425</v>
      </c>
      <c r="S35" s="150">
        <v>0.16245763644707473</v>
      </c>
      <c r="T35" s="152">
        <v>0.30850921035849249</v>
      </c>
      <c r="U35" s="153">
        <v>0.14670104192740399</v>
      </c>
      <c r="V35" s="149">
        <v>-0.13116595215152291</v>
      </c>
      <c r="W35" s="154">
        <v>0.26313788510916569</v>
      </c>
      <c r="X35" s="151">
        <v>0.39762702410440898</v>
      </c>
      <c r="Y35" s="150">
        <v>0.10605619998486245</v>
      </c>
      <c r="Z35" s="152">
        <v>0.46589863926955533</v>
      </c>
      <c r="AA35" s="153">
        <v>0.1230343562679248</v>
      </c>
      <c r="AB35" s="152">
        <v>0.1231261720167095</v>
      </c>
      <c r="AC35" s="155">
        <v>0.33176515083288305</v>
      </c>
      <c r="AD35" s="149">
        <v>1.8163717806996438E-2</v>
      </c>
      <c r="AE35" s="156">
        <v>0.1577740736197682</v>
      </c>
    </row>
    <row r="36" spans="1:31" s="105" customFormat="1" x14ac:dyDescent="0.25">
      <c r="A36" s="94" t="s">
        <v>222</v>
      </c>
      <c r="B36" s="95">
        <v>291</v>
      </c>
      <c r="C36" s="96">
        <v>94.387733459472656</v>
      </c>
      <c r="D36" s="149">
        <v>-0.14412882356721091</v>
      </c>
      <c r="E36" s="150">
        <v>3.4388702821686927E-2</v>
      </c>
      <c r="F36" s="151">
        <v>-1.4212</v>
      </c>
      <c r="G36" s="150" t="s">
        <v>35</v>
      </c>
      <c r="H36" s="152">
        <v>-0.23759999999999989</v>
      </c>
      <c r="I36" s="153">
        <v>2.5043961347997429E-3</v>
      </c>
      <c r="J36" s="149">
        <v>0.83389999999999997</v>
      </c>
      <c r="K36" s="154">
        <v>3.5108334685767011E-17</v>
      </c>
      <c r="L36" s="149">
        <v>2.2551000000000001</v>
      </c>
      <c r="M36" s="154" t="s">
        <v>35</v>
      </c>
      <c r="N36" s="151">
        <v>-0.17197151038688069</v>
      </c>
      <c r="O36" s="150">
        <v>9.9759033066652944E-2</v>
      </c>
      <c r="P36" s="152">
        <v>-0.22511569963030309</v>
      </c>
      <c r="Q36" s="153">
        <v>7.5019778207656679E-2</v>
      </c>
      <c r="R36" s="149">
        <v>-6.1678104656635299E-2</v>
      </c>
      <c r="S36" s="150">
        <v>0.11171234085683107</v>
      </c>
      <c r="T36" s="152">
        <v>-0.1182158358636612</v>
      </c>
      <c r="U36" s="153">
        <v>5.3110299993419458E-2</v>
      </c>
      <c r="V36" s="149">
        <v>5.3755674523219499E-2</v>
      </c>
      <c r="W36" s="154">
        <v>0.10305805999695104</v>
      </c>
      <c r="X36" s="151">
        <v>-0.14092508546006979</v>
      </c>
      <c r="Y36" s="150">
        <v>3.489841551133132E-2</v>
      </c>
      <c r="Z36" s="152" t="s">
        <v>34</v>
      </c>
      <c r="AA36" s="153" t="s">
        <v>34</v>
      </c>
      <c r="AB36" s="152" t="s">
        <v>34</v>
      </c>
      <c r="AC36" s="155" t="s">
        <v>34</v>
      </c>
      <c r="AD36" s="149" t="s">
        <v>34</v>
      </c>
      <c r="AE36" s="156" t="s">
        <v>34</v>
      </c>
    </row>
    <row r="37" spans="1:31" s="105" customFormat="1" x14ac:dyDescent="0.25">
      <c r="A37" s="94" t="s">
        <v>223</v>
      </c>
      <c r="B37" s="95">
        <v>361</v>
      </c>
      <c r="C37" s="96">
        <v>99.794486999511719</v>
      </c>
      <c r="D37" s="149">
        <v>9.5379191620887302E-2</v>
      </c>
      <c r="E37" s="150">
        <v>2.3912421279623876E-2</v>
      </c>
      <c r="F37" s="151">
        <v>-0.68840000000000001</v>
      </c>
      <c r="G37" s="150">
        <v>1.5895974606912449E-16</v>
      </c>
      <c r="H37" s="152">
        <v>0.1</v>
      </c>
      <c r="I37" s="153" t="s">
        <v>35</v>
      </c>
      <c r="J37" s="149">
        <v>1.0245</v>
      </c>
      <c r="K37" s="154">
        <v>8.4199762469973738E-2</v>
      </c>
      <c r="L37" s="149">
        <v>1.7128999999999999</v>
      </c>
      <c r="M37" s="154">
        <v>8.4199762469973696E-2</v>
      </c>
      <c r="N37" s="151">
        <v>3.84155343240907E-2</v>
      </c>
      <c r="O37" s="150">
        <v>5.3226061451626866E-2</v>
      </c>
      <c r="P37" s="152">
        <v>7.3889821438311007E-2</v>
      </c>
      <c r="Q37" s="153">
        <v>6.0063358724268968E-2</v>
      </c>
      <c r="R37" s="149">
        <v>-5.1401267927445697E-2</v>
      </c>
      <c r="S37" s="150">
        <v>4.7624795710220685E-2</v>
      </c>
      <c r="T37" s="152">
        <v>0.31863255493982362</v>
      </c>
      <c r="U37" s="153">
        <v>3.5871245597975498E-2</v>
      </c>
      <c r="V37" s="149">
        <v>0.28021702061573289</v>
      </c>
      <c r="W37" s="154">
        <v>6.315218389337468E-2</v>
      </c>
      <c r="X37" s="151">
        <v>9.55605996436351E-2</v>
      </c>
      <c r="Y37" s="150">
        <v>2.4684922047772884E-2</v>
      </c>
      <c r="Z37" s="152">
        <v>0.14267125669313341</v>
      </c>
      <c r="AA37" s="153">
        <v>9.5780765477074384E-2</v>
      </c>
      <c r="AB37" s="152" t="s">
        <v>34</v>
      </c>
      <c r="AC37" s="155" t="s">
        <v>34</v>
      </c>
      <c r="AD37" s="149">
        <v>4.7110657049498308E-2</v>
      </c>
      <c r="AE37" s="156">
        <v>9.8518634237472175E-2</v>
      </c>
    </row>
    <row r="38" spans="1:31" s="105" customFormat="1" x14ac:dyDescent="0.25">
      <c r="A38" s="94" t="s">
        <v>224</v>
      </c>
      <c r="B38" s="95">
        <v>43</v>
      </c>
      <c r="C38" s="96">
        <v>96.65936279296875</v>
      </c>
      <c r="D38" s="149">
        <v>-0.47102032250351972</v>
      </c>
      <c r="E38" s="150">
        <v>1.5380688132678507E-3</v>
      </c>
      <c r="F38" s="151">
        <v>-1.3027999999999991</v>
      </c>
      <c r="G38" s="150" t="s">
        <v>35</v>
      </c>
      <c r="H38" s="152">
        <v>-0.55389999999999895</v>
      </c>
      <c r="I38" s="153" t="s">
        <v>35</v>
      </c>
      <c r="J38" s="149">
        <v>0.53409999999999924</v>
      </c>
      <c r="K38" s="154" t="s">
        <v>35</v>
      </c>
      <c r="L38" s="149">
        <v>1.8368999999999982</v>
      </c>
      <c r="M38" s="154" t="s">
        <v>35</v>
      </c>
      <c r="N38" s="151">
        <v>-0.63832667188344105</v>
      </c>
      <c r="O38" s="150">
        <v>3.3910781024259645E-3</v>
      </c>
      <c r="P38" s="152">
        <v>-2.2844821347122999E-3</v>
      </c>
      <c r="Q38" s="153">
        <v>2.8990375491933368E-3</v>
      </c>
      <c r="R38" s="149">
        <v>-0.33618330944155889</v>
      </c>
      <c r="S38" s="150">
        <v>2.9693923433728843E-3</v>
      </c>
      <c r="T38" s="152">
        <v>-0.9128910371252773</v>
      </c>
      <c r="U38" s="153">
        <v>2.1950925259335372E-3</v>
      </c>
      <c r="V38" s="149">
        <v>-0.27456436524183631</v>
      </c>
      <c r="W38" s="154">
        <v>4.3582772253277086E-3</v>
      </c>
      <c r="X38" s="151">
        <v>-0.36375623586870581</v>
      </c>
      <c r="Y38" s="150">
        <v>1.6234369756904278E-3</v>
      </c>
      <c r="Z38" s="152">
        <v>-0.78802475233067903</v>
      </c>
      <c r="AA38" s="153">
        <v>4.942441216802272E-3</v>
      </c>
      <c r="AB38" s="152" t="s">
        <v>34</v>
      </c>
      <c r="AC38" s="155" t="s">
        <v>34</v>
      </c>
      <c r="AD38" s="149">
        <v>-0.42426851646197322</v>
      </c>
      <c r="AE38" s="156">
        <v>5.2130232606570305E-3</v>
      </c>
    </row>
    <row r="39" spans="1:31" s="105" customFormat="1" x14ac:dyDescent="0.25">
      <c r="A39" s="94" t="s">
        <v>225</v>
      </c>
      <c r="B39" s="95">
        <v>207</v>
      </c>
      <c r="C39" s="96">
        <v>77.963554382324219</v>
      </c>
      <c r="D39" s="149">
        <v>0.45748656203197291</v>
      </c>
      <c r="E39" s="150">
        <v>8.7052892190812997E-2</v>
      </c>
      <c r="F39" s="151">
        <v>-1.4212</v>
      </c>
      <c r="G39" s="150" t="s">
        <v>35</v>
      </c>
      <c r="H39" s="152">
        <v>0.42919999999999991</v>
      </c>
      <c r="I39" s="153">
        <v>0.16226601924001213</v>
      </c>
      <c r="J39" s="149">
        <v>2.186100000000001</v>
      </c>
      <c r="K39" s="154">
        <v>0.3908020733056557</v>
      </c>
      <c r="L39" s="149">
        <v>3.6073000000000013</v>
      </c>
      <c r="M39" s="154">
        <v>0.39080207330565481</v>
      </c>
      <c r="N39" s="151">
        <v>1.087110770194875</v>
      </c>
      <c r="O39" s="150">
        <v>0.15796653667820262</v>
      </c>
      <c r="P39" s="152">
        <v>0.73391261406391428</v>
      </c>
      <c r="Q39" s="153">
        <v>0.25244508395344223</v>
      </c>
      <c r="R39" s="149">
        <v>0.47450770314190432</v>
      </c>
      <c r="S39" s="150">
        <v>0.19164556359793608</v>
      </c>
      <c r="T39" s="152">
        <v>-0.47411110021632002</v>
      </c>
      <c r="U39" s="153">
        <v>0.17161279634103549</v>
      </c>
      <c r="V39" s="149">
        <v>-1.561221870411194</v>
      </c>
      <c r="W39" s="154">
        <v>0.21981733012622839</v>
      </c>
      <c r="X39" s="151">
        <v>0.68204869965316639</v>
      </c>
      <c r="Y39" s="150">
        <v>9.0864610286396169E-2</v>
      </c>
      <c r="Z39" s="152" t="s">
        <v>34</v>
      </c>
      <c r="AA39" s="153" t="s">
        <v>34</v>
      </c>
      <c r="AB39" s="152">
        <v>-1.057497636926348</v>
      </c>
      <c r="AC39" s="155">
        <v>0.11670911069182845</v>
      </c>
      <c r="AD39" s="149">
        <v>-1.7395463365795143</v>
      </c>
      <c r="AE39" s="156">
        <v>0.13190552883256987</v>
      </c>
    </row>
    <row r="40" spans="1:31" s="105" customFormat="1" x14ac:dyDescent="0.25">
      <c r="A40" s="94" t="s">
        <v>300</v>
      </c>
      <c r="B40" s="95">
        <v>145</v>
      </c>
      <c r="C40" s="96">
        <v>93.125473022460938</v>
      </c>
      <c r="D40" s="149">
        <v>-0.40673086748756843</v>
      </c>
      <c r="E40" s="150">
        <v>7.3721635582140732E-2</v>
      </c>
      <c r="F40" s="151">
        <v>-1.4212</v>
      </c>
      <c r="G40" s="150" t="s">
        <v>35</v>
      </c>
      <c r="H40" s="152">
        <v>-0.48729999999999979</v>
      </c>
      <c r="I40" s="153">
        <v>0.1044915977483353</v>
      </c>
      <c r="J40" s="149">
        <v>0.80059999999999976</v>
      </c>
      <c r="K40" s="154">
        <v>0.37002267025143221</v>
      </c>
      <c r="L40" s="149">
        <v>2.2218</v>
      </c>
      <c r="M40" s="154">
        <v>0.37002267025143198</v>
      </c>
      <c r="N40" s="151">
        <v>-0.47572888399430668</v>
      </c>
      <c r="O40" s="150">
        <v>0.16169883209635943</v>
      </c>
      <c r="P40" s="152">
        <v>-0.40870504614563852</v>
      </c>
      <c r="Q40" s="153">
        <v>0.13792184164161264</v>
      </c>
      <c r="R40" s="149">
        <v>-0.55765027465538475</v>
      </c>
      <c r="S40" s="150">
        <v>0.14700932458816199</v>
      </c>
      <c r="T40" s="152">
        <v>-0.16165936664132211</v>
      </c>
      <c r="U40" s="153">
        <v>0.14340650992721085</v>
      </c>
      <c r="V40" s="149">
        <v>0.31406951735298461</v>
      </c>
      <c r="W40" s="154">
        <v>0.21663029546202264</v>
      </c>
      <c r="X40" s="151">
        <v>-0.51569032323790065</v>
      </c>
      <c r="Y40" s="150">
        <v>0.12416833116699676</v>
      </c>
      <c r="Z40" s="152">
        <v>-0.34333432419679061</v>
      </c>
      <c r="AA40" s="153">
        <v>9.2253321182901651E-2</v>
      </c>
      <c r="AB40" s="152" t="s">
        <v>34</v>
      </c>
      <c r="AC40" s="155" t="s">
        <v>34</v>
      </c>
      <c r="AD40" s="149">
        <v>0.17235599904111004</v>
      </c>
      <c r="AE40" s="156">
        <v>0.15473304729025669</v>
      </c>
    </row>
    <row r="41" spans="1:31" s="105" customFormat="1" x14ac:dyDescent="0.25">
      <c r="A41" s="94" t="s">
        <v>226</v>
      </c>
      <c r="B41" s="95">
        <v>184</v>
      </c>
      <c r="C41" s="96">
        <v>96.0885009765625</v>
      </c>
      <c r="D41" s="149">
        <v>-0.25250665361028191</v>
      </c>
      <c r="E41" s="150">
        <v>5.0483375205004732E-2</v>
      </c>
      <c r="F41" s="151">
        <v>-1.4212</v>
      </c>
      <c r="G41" s="150" t="s">
        <v>35</v>
      </c>
      <c r="H41" s="152">
        <v>-0.14130000000000001</v>
      </c>
      <c r="I41" s="153">
        <v>0.14361136271200825</v>
      </c>
      <c r="J41" s="149">
        <v>0.80059999999999965</v>
      </c>
      <c r="K41" s="154">
        <v>4.6457760385107141E-2</v>
      </c>
      <c r="L41" s="149">
        <v>2.2217999999999996</v>
      </c>
      <c r="M41" s="154">
        <v>4.6457760385107197E-2</v>
      </c>
      <c r="N41" s="151">
        <v>-0.14597484149161069</v>
      </c>
      <c r="O41" s="150">
        <v>0.14138938658313865</v>
      </c>
      <c r="P41" s="152">
        <v>-0.17163283869075971</v>
      </c>
      <c r="Q41" s="153">
        <v>0.14148439342666588</v>
      </c>
      <c r="R41" s="149">
        <v>5.5612933129164301E-2</v>
      </c>
      <c r="S41" s="150">
        <v>9.1122938333272563E-2</v>
      </c>
      <c r="T41" s="152">
        <v>-0.76193025500583855</v>
      </c>
      <c r="U41" s="153">
        <v>0.16440317424394774</v>
      </c>
      <c r="V41" s="149">
        <v>-0.61595541351422789</v>
      </c>
      <c r="W41" s="154">
        <v>0.21895564469417431</v>
      </c>
      <c r="X41" s="151">
        <v>-0.19690446933702069</v>
      </c>
      <c r="Y41" s="150">
        <v>5.2814606137607398E-2</v>
      </c>
      <c r="Z41" s="152" t="s">
        <v>34</v>
      </c>
      <c r="AA41" s="153" t="s">
        <v>34</v>
      </c>
      <c r="AB41" s="152">
        <v>-1.1182768804324099</v>
      </c>
      <c r="AC41" s="155">
        <v>7.9498023656437905E-2</v>
      </c>
      <c r="AD41" s="149">
        <v>-0.92137241109538925</v>
      </c>
      <c r="AE41" s="156">
        <v>9.2442332383542922E-2</v>
      </c>
    </row>
    <row r="42" spans="1:31" s="105" customFormat="1" x14ac:dyDescent="0.25">
      <c r="A42" s="94" t="s">
        <v>227</v>
      </c>
      <c r="B42" s="95">
        <v>243</v>
      </c>
      <c r="C42" s="96">
        <v>97.620384216308594</v>
      </c>
      <c r="D42" s="149">
        <v>-7.2767494414430797E-2</v>
      </c>
      <c r="E42" s="150">
        <v>6.4010402303024447E-2</v>
      </c>
      <c r="F42" s="151">
        <v>-1.4212</v>
      </c>
      <c r="G42" s="150" t="s">
        <v>35</v>
      </c>
      <c r="H42" s="152">
        <v>0.1</v>
      </c>
      <c r="I42" s="153">
        <v>8.150645373220454E-2</v>
      </c>
      <c r="J42" s="149">
        <v>1.0283</v>
      </c>
      <c r="K42" s="154">
        <v>0.20885730655162627</v>
      </c>
      <c r="L42" s="149">
        <v>2.4495</v>
      </c>
      <c r="M42" s="154">
        <v>0.20885730655162618</v>
      </c>
      <c r="N42" s="151">
        <v>-0.11613369761268059</v>
      </c>
      <c r="O42" s="150">
        <v>0.14982878541386996</v>
      </c>
      <c r="P42" s="152">
        <v>-9.4598890458318999E-3</v>
      </c>
      <c r="Q42" s="153">
        <v>0.12827462197583145</v>
      </c>
      <c r="R42" s="149">
        <v>-4.6313527949238702E-2</v>
      </c>
      <c r="S42" s="150">
        <v>0.15146660335572529</v>
      </c>
      <c r="T42" s="152">
        <v>-0.12138643723220779</v>
      </c>
      <c r="U42" s="153">
        <v>0.10945727470919933</v>
      </c>
      <c r="V42" s="149">
        <v>-5.2527396195271E-3</v>
      </c>
      <c r="W42" s="154">
        <v>0.1829285541493543</v>
      </c>
      <c r="X42" s="151" t="s">
        <v>36</v>
      </c>
      <c r="Y42" s="150" t="s">
        <v>36</v>
      </c>
      <c r="Z42" s="152" t="s">
        <v>36</v>
      </c>
      <c r="AA42" s="153" t="s">
        <v>36</v>
      </c>
      <c r="AB42" s="152" t="s">
        <v>36</v>
      </c>
      <c r="AC42" s="155" t="s">
        <v>36</v>
      </c>
      <c r="AD42" s="149" t="s">
        <v>36</v>
      </c>
      <c r="AE42" s="156" t="s">
        <v>36</v>
      </c>
    </row>
    <row r="43" spans="1:31" s="105" customFormat="1" x14ac:dyDescent="0.25">
      <c r="A43" s="94" t="s">
        <v>228</v>
      </c>
      <c r="B43" s="95">
        <v>229</v>
      </c>
      <c r="C43" s="96">
        <v>98.568817138671875</v>
      </c>
      <c r="D43" s="149">
        <v>-0.1653093490070934</v>
      </c>
      <c r="E43" s="150">
        <v>5.4322711384819845E-2</v>
      </c>
      <c r="F43" s="151">
        <v>-1.4212</v>
      </c>
      <c r="G43" s="150" t="s">
        <v>35</v>
      </c>
      <c r="H43" s="152">
        <v>-0.23759999999999981</v>
      </c>
      <c r="I43" s="153">
        <v>0.13416493394326237</v>
      </c>
      <c r="J43" s="149">
        <v>1.0245</v>
      </c>
      <c r="K43" s="154">
        <v>3.8385947949738278E-2</v>
      </c>
      <c r="L43" s="149">
        <v>2.4457</v>
      </c>
      <c r="M43" s="154">
        <v>3.8385947949738347E-2</v>
      </c>
      <c r="N43" s="151">
        <v>-0.1791398565381821</v>
      </c>
      <c r="O43" s="150">
        <v>0.12028833967350648</v>
      </c>
      <c r="P43" s="152">
        <v>8.53794337817982E-2</v>
      </c>
      <c r="Q43" s="153">
        <v>0.12670069037164197</v>
      </c>
      <c r="R43" s="149">
        <v>-0.31896340138759921</v>
      </c>
      <c r="S43" s="150">
        <v>0.13229485384142864</v>
      </c>
      <c r="T43" s="152">
        <v>-0.2389249675893752</v>
      </c>
      <c r="U43" s="153">
        <v>0.128139041390471</v>
      </c>
      <c r="V43" s="149">
        <v>-5.9785111051193197E-2</v>
      </c>
      <c r="W43" s="154">
        <v>0.16870198986326837</v>
      </c>
      <c r="X43" s="151">
        <v>-0.151554828449811</v>
      </c>
      <c r="Y43" s="150">
        <v>5.564267836166166E-2</v>
      </c>
      <c r="Z43" s="152">
        <v>-0.46757915122912991</v>
      </c>
      <c r="AA43" s="153">
        <v>0.2926566140209152</v>
      </c>
      <c r="AB43" s="152" t="s">
        <v>34</v>
      </c>
      <c r="AC43" s="155" t="s">
        <v>34</v>
      </c>
      <c r="AD43" s="149">
        <v>-0.31602432277931891</v>
      </c>
      <c r="AE43" s="156">
        <v>0.2979816538884113</v>
      </c>
    </row>
    <row r="44" spans="1:31" s="105" customFormat="1" x14ac:dyDescent="0.25">
      <c r="A44" s="94" t="s">
        <v>301</v>
      </c>
      <c r="B44" s="95">
        <v>231</v>
      </c>
      <c r="C44" s="96">
        <v>87.302383422851563</v>
      </c>
      <c r="D44" s="149">
        <v>0.47683544347407392</v>
      </c>
      <c r="E44" s="150">
        <v>7.0337060337889348E-2</v>
      </c>
      <c r="F44" s="151">
        <v>-0.64829999999999999</v>
      </c>
      <c r="G44" s="150">
        <v>0.12313964633699398</v>
      </c>
      <c r="H44" s="152">
        <v>0.42919999999999991</v>
      </c>
      <c r="I44" s="153">
        <v>8.137010814789418E-2</v>
      </c>
      <c r="J44" s="149">
        <v>1.7404999999999999</v>
      </c>
      <c r="K44" s="154">
        <v>0.15587165714137977</v>
      </c>
      <c r="L44" s="149">
        <v>2.3887999999999998</v>
      </c>
      <c r="M44" s="154">
        <v>0.19294275835076019</v>
      </c>
      <c r="N44" s="151">
        <v>0.49872283683876378</v>
      </c>
      <c r="O44" s="150">
        <v>0.12498566185650656</v>
      </c>
      <c r="P44" s="152">
        <v>0.58068865457017005</v>
      </c>
      <c r="Q44" s="153">
        <v>0.16036035699653034</v>
      </c>
      <c r="R44" s="149">
        <v>0.54859066400690315</v>
      </c>
      <c r="S44" s="150">
        <v>0.16800613146290888</v>
      </c>
      <c r="T44" s="152">
        <v>0.27762877388011969</v>
      </c>
      <c r="U44" s="153">
        <v>0.15605723474181302</v>
      </c>
      <c r="V44" s="149">
        <v>-0.22109406295864409</v>
      </c>
      <c r="W44" s="154">
        <v>0.21790967326905614</v>
      </c>
      <c r="X44" s="151">
        <v>0.53385793101291112</v>
      </c>
      <c r="Y44" s="150">
        <v>7.2081865860128227E-2</v>
      </c>
      <c r="Z44" s="152">
        <v>0.5341248875122101</v>
      </c>
      <c r="AA44" s="153">
        <v>0.34683420902791939</v>
      </c>
      <c r="AB44" s="152">
        <v>-0.18005784739207109</v>
      </c>
      <c r="AC44" s="155">
        <v>0.19908902100953912</v>
      </c>
      <c r="AD44" s="149">
        <v>-0.36420392649011002</v>
      </c>
      <c r="AE44" s="156">
        <v>0.20874423308356435</v>
      </c>
    </row>
    <row r="45" spans="1:31" s="105" customFormat="1" x14ac:dyDescent="0.25">
      <c r="A45" s="94" t="s">
        <v>229</v>
      </c>
      <c r="B45" s="95">
        <v>354</v>
      </c>
      <c r="C45" s="96">
        <v>94.707992553710938</v>
      </c>
      <c r="D45" s="149">
        <v>0.42847870835681451</v>
      </c>
      <c r="E45" s="150">
        <v>5.0750003012819345E-2</v>
      </c>
      <c r="F45" s="151">
        <v>-0.63440000000000007</v>
      </c>
      <c r="G45" s="150">
        <v>0.18178118989598446</v>
      </c>
      <c r="H45" s="152">
        <v>0.4997000000000002</v>
      </c>
      <c r="I45" s="153">
        <v>2.6698651651347369E-2</v>
      </c>
      <c r="J45" s="149">
        <v>1.3065</v>
      </c>
      <c r="K45" s="154">
        <v>4.9686965091460249E-2</v>
      </c>
      <c r="L45" s="149">
        <v>1.9409000000000001</v>
      </c>
      <c r="M45" s="154">
        <v>0.18634904748884551</v>
      </c>
      <c r="N45" s="151">
        <v>0.41559686357490971</v>
      </c>
      <c r="O45" s="150">
        <v>9.8961328063287154E-2</v>
      </c>
      <c r="P45" s="152">
        <v>0.54073717452015124</v>
      </c>
      <c r="Q45" s="153">
        <v>8.553014762937608E-2</v>
      </c>
      <c r="R45" s="149">
        <v>0.43444281032569149</v>
      </c>
      <c r="S45" s="150">
        <v>8.251521517211341E-2</v>
      </c>
      <c r="T45" s="152">
        <v>0.32009326117023551</v>
      </c>
      <c r="U45" s="153">
        <v>0.15055930545195181</v>
      </c>
      <c r="V45" s="149">
        <v>-9.5503602404674301E-2</v>
      </c>
      <c r="W45" s="154">
        <v>0.18140133103685258</v>
      </c>
      <c r="X45" s="151">
        <v>0.41511892852658883</v>
      </c>
      <c r="Y45" s="150">
        <v>4.751254619340315E-2</v>
      </c>
      <c r="Z45" s="152">
        <v>0.46329786403013667</v>
      </c>
      <c r="AA45" s="153">
        <v>0.17269534211200971</v>
      </c>
      <c r="AB45" s="152" t="s">
        <v>34</v>
      </c>
      <c r="AC45" s="155" t="s">
        <v>34</v>
      </c>
      <c r="AD45" s="149">
        <v>4.8178935503547848E-2</v>
      </c>
      <c r="AE45" s="156">
        <v>0.16754452421273253</v>
      </c>
    </row>
    <row r="46" spans="1:31" s="105" customFormat="1" x14ac:dyDescent="0.25">
      <c r="A46" s="94" t="s">
        <v>230</v>
      </c>
      <c r="B46" s="95">
        <v>276</v>
      </c>
      <c r="C46" s="96">
        <v>87.400062561035156</v>
      </c>
      <c r="D46" s="149">
        <v>-0.12350277980779729</v>
      </c>
      <c r="E46" s="150">
        <v>3.3259077408087502E-3</v>
      </c>
      <c r="F46" s="151">
        <v>-1.4212</v>
      </c>
      <c r="G46" s="150" t="s">
        <v>35</v>
      </c>
      <c r="H46" s="152">
        <v>-6.7199999999999996E-2</v>
      </c>
      <c r="I46" s="153" t="s">
        <v>35</v>
      </c>
      <c r="J46" s="149">
        <v>1.0283000000000011</v>
      </c>
      <c r="K46" s="154" t="s">
        <v>35</v>
      </c>
      <c r="L46" s="149">
        <v>2.4495000000000013</v>
      </c>
      <c r="M46" s="154" t="s">
        <v>35</v>
      </c>
      <c r="N46" s="151">
        <v>0.1203754286525988</v>
      </c>
      <c r="O46" s="150">
        <v>6.6384863616822465E-3</v>
      </c>
      <c r="P46" s="152">
        <v>5.8721996302594198E-2</v>
      </c>
      <c r="Q46" s="153">
        <v>4.0906577457398017E-3</v>
      </c>
      <c r="R46" s="149">
        <v>-0.16388687958253589</v>
      </c>
      <c r="S46" s="150">
        <v>6.9483567320110483E-3</v>
      </c>
      <c r="T46" s="152">
        <v>-0.50415557233108166</v>
      </c>
      <c r="U46" s="153">
        <v>6.2544309143289087E-3</v>
      </c>
      <c r="V46" s="149">
        <v>-0.62453100098368042</v>
      </c>
      <c r="W46" s="154">
        <v>8.2750237057670813E-3</v>
      </c>
      <c r="X46" s="151">
        <v>-0.12584368407226959</v>
      </c>
      <c r="Y46" s="150">
        <v>3.4124915288518934E-3</v>
      </c>
      <c r="Z46" s="152">
        <v>-4.72062336196531E-2</v>
      </c>
      <c r="AA46" s="153">
        <v>8.4598120813998857E-3</v>
      </c>
      <c r="AB46" s="149" t="s">
        <v>34</v>
      </c>
      <c r="AC46" s="150" t="s">
        <v>34</v>
      </c>
      <c r="AD46" s="152">
        <v>7.8637450452616497E-2</v>
      </c>
      <c r="AE46" s="156">
        <v>9.1611900469969875E-3</v>
      </c>
    </row>
    <row r="47" spans="1:31" s="105" customFormat="1" x14ac:dyDescent="0.25">
      <c r="A47" s="94" t="s">
        <v>231</v>
      </c>
      <c r="B47" s="95">
        <v>1049</v>
      </c>
      <c r="C47" s="96">
        <v>96.536102294921875</v>
      </c>
      <c r="D47" s="149">
        <v>0.21662359817564639</v>
      </c>
      <c r="E47" s="150">
        <v>4.4897661064311777E-2</v>
      </c>
      <c r="F47" s="151">
        <v>-1.4212</v>
      </c>
      <c r="G47" s="150">
        <v>1.0821115497893178E-15</v>
      </c>
      <c r="H47" s="152">
        <v>0.108</v>
      </c>
      <c r="I47" s="153">
        <v>0.12899308508598439</v>
      </c>
      <c r="J47" s="149">
        <v>1.7273000000000001</v>
      </c>
      <c r="K47" s="154">
        <v>4.182603854060328E-2</v>
      </c>
      <c r="L47" s="149">
        <v>3.1485000000000003</v>
      </c>
      <c r="M47" s="154">
        <v>4.182603854060353E-2</v>
      </c>
      <c r="N47" s="151">
        <v>0.64146514994282344</v>
      </c>
      <c r="O47" s="150">
        <v>0.11246928818283826</v>
      </c>
      <c r="P47" s="152">
        <v>0.36427695589445419</v>
      </c>
      <c r="Q47" s="153">
        <v>0.11700498248336595</v>
      </c>
      <c r="R47" s="149">
        <v>0.19560107179089031</v>
      </c>
      <c r="S47" s="150">
        <v>0.10237238815542581</v>
      </c>
      <c r="T47" s="152">
        <v>-0.34187753584318042</v>
      </c>
      <c r="U47" s="153">
        <v>8.1721246235350681E-2</v>
      </c>
      <c r="V47" s="149">
        <v>-0.98334268578600381</v>
      </c>
      <c r="W47" s="154">
        <v>0.13969992332426548</v>
      </c>
      <c r="X47" s="151">
        <v>0.46980695210626577</v>
      </c>
      <c r="Y47" s="150">
        <v>5.8407813337208229E-2</v>
      </c>
      <c r="Z47" s="152">
        <v>-0.25064281298911428</v>
      </c>
      <c r="AA47" s="153">
        <v>9.5520290602559121E-2</v>
      </c>
      <c r="AB47" s="152">
        <v>-0.58913125736260108</v>
      </c>
      <c r="AC47" s="155">
        <v>0.12093884812215767</v>
      </c>
      <c r="AD47" s="149">
        <v>-0.78859684279753095</v>
      </c>
      <c r="AE47" s="156">
        <v>0.10278068545537426</v>
      </c>
    </row>
    <row r="48" spans="1:31" s="105" customFormat="1" x14ac:dyDescent="0.25">
      <c r="A48" s="94" t="s">
        <v>232</v>
      </c>
      <c r="B48" s="95">
        <v>202</v>
      </c>
      <c r="C48" s="96">
        <v>96.362442016601563</v>
      </c>
      <c r="D48" s="149">
        <v>-0.46504651161118049</v>
      </c>
      <c r="E48" s="150">
        <v>6.5194891735929322E-2</v>
      </c>
      <c r="F48" s="151">
        <v>-1.4212</v>
      </c>
      <c r="G48" s="150" t="s">
        <v>35</v>
      </c>
      <c r="H48" s="152">
        <v>-0.68440000000000001</v>
      </c>
      <c r="I48" s="153">
        <v>9.0620050209652928E-2</v>
      </c>
      <c r="J48" s="149">
        <v>0.83389999999999997</v>
      </c>
      <c r="K48" s="154">
        <v>0.13998237924824702</v>
      </c>
      <c r="L48" s="149">
        <v>2.2551000000000001</v>
      </c>
      <c r="M48" s="154">
        <v>0.139982379248247</v>
      </c>
      <c r="N48" s="151">
        <v>-0.4226141146704922</v>
      </c>
      <c r="O48" s="150">
        <v>0.15767553552492286</v>
      </c>
      <c r="P48" s="152">
        <v>-0.14625632050471229</v>
      </c>
      <c r="Q48" s="153">
        <v>0.19593631630549804</v>
      </c>
      <c r="R48" s="149">
        <v>-0.57854591786449538</v>
      </c>
      <c r="S48" s="150">
        <v>0.13315001580269015</v>
      </c>
      <c r="T48" s="152">
        <v>-0.7188003775151427</v>
      </c>
      <c r="U48" s="153">
        <v>0.10648779665288834</v>
      </c>
      <c r="V48" s="149">
        <v>-0.29618626284465049</v>
      </c>
      <c r="W48" s="154">
        <v>0.19367808871734588</v>
      </c>
      <c r="X48" s="151">
        <v>-0.39699799268630942</v>
      </c>
      <c r="Y48" s="150">
        <v>7.3552019656024439E-2</v>
      </c>
      <c r="Z48" s="152">
        <v>-0.76541226874037471</v>
      </c>
      <c r="AA48" s="153">
        <v>0.12710185347972555</v>
      </c>
      <c r="AB48" s="152" t="s">
        <v>34</v>
      </c>
      <c r="AC48" s="155" t="s">
        <v>34</v>
      </c>
      <c r="AD48" s="149">
        <v>-0.36841427605406529</v>
      </c>
      <c r="AE48" s="156">
        <v>0.14441959116404821</v>
      </c>
    </row>
    <row r="49" spans="1:31" s="105" customFormat="1" x14ac:dyDescent="0.25">
      <c r="A49" s="94" t="s">
        <v>233</v>
      </c>
      <c r="B49" s="95">
        <v>157</v>
      </c>
      <c r="C49" s="96">
        <v>74.739677429199219</v>
      </c>
      <c r="D49" s="149">
        <v>-0.45258076170816841</v>
      </c>
      <c r="E49" s="150">
        <v>7.2919526640519247E-2</v>
      </c>
      <c r="F49" s="151">
        <v>-1.4212</v>
      </c>
      <c r="G49" s="150" t="s">
        <v>35</v>
      </c>
      <c r="H49" s="152">
        <v>-0.48729999999999979</v>
      </c>
      <c r="I49" s="153">
        <v>0.14733440874418988</v>
      </c>
      <c r="J49" s="149">
        <v>0.80059999999999953</v>
      </c>
      <c r="K49" s="154">
        <v>0.20915112717841172</v>
      </c>
      <c r="L49" s="149">
        <v>2.2217999999999996</v>
      </c>
      <c r="M49" s="154">
        <v>0.20915112717841172</v>
      </c>
      <c r="N49" s="151">
        <v>-0.27144684548085068</v>
      </c>
      <c r="O49" s="150">
        <v>0.17483515475840747</v>
      </c>
      <c r="P49" s="152">
        <v>-0.45517820131031778</v>
      </c>
      <c r="Q49" s="153">
        <v>0.15035737549220868</v>
      </c>
      <c r="R49" s="149">
        <v>-0.64246163056009109</v>
      </c>
      <c r="S49" s="150">
        <v>0.1615717175518078</v>
      </c>
      <c r="T49" s="152">
        <v>-0.44902945725124582</v>
      </c>
      <c r="U49" s="153">
        <v>0.11041377807397398</v>
      </c>
      <c r="V49" s="149">
        <v>-0.17758261177039511</v>
      </c>
      <c r="W49" s="154">
        <v>0.20843281638278444</v>
      </c>
      <c r="X49" s="151">
        <v>-0.44896765523758758</v>
      </c>
      <c r="Y49" s="150">
        <v>7.7510310832707333E-2</v>
      </c>
      <c r="Z49" s="152" t="s">
        <v>34</v>
      </c>
      <c r="AA49" s="153" t="s">
        <v>34</v>
      </c>
      <c r="AB49" s="152">
        <v>-0.59983280221157631</v>
      </c>
      <c r="AC49" s="155">
        <v>0.2273625349995366</v>
      </c>
      <c r="AD49" s="149">
        <v>-0.15086514697398873</v>
      </c>
      <c r="AE49" s="156">
        <v>0.25112381106441239</v>
      </c>
    </row>
    <row r="50" spans="1:31" s="105" customFormat="1" x14ac:dyDescent="0.25">
      <c r="A50" s="94" t="s">
        <v>234</v>
      </c>
      <c r="B50" s="95">
        <v>179</v>
      </c>
      <c r="C50" s="96">
        <v>98.9569091796875</v>
      </c>
      <c r="D50" s="149">
        <v>-0.59853623594092886</v>
      </c>
      <c r="E50" s="150">
        <v>6.7153234664417763E-2</v>
      </c>
      <c r="F50" s="151">
        <v>-1.4211999999999989</v>
      </c>
      <c r="G50" s="150">
        <v>3.5108334685767012E-16</v>
      </c>
      <c r="H50" s="152">
        <v>-0.68840000000000046</v>
      </c>
      <c r="I50" s="153">
        <v>6.9587074949303898E-2</v>
      </c>
      <c r="J50" s="149">
        <v>0.62989999999999968</v>
      </c>
      <c r="K50" s="154">
        <v>0.27234325767310574</v>
      </c>
      <c r="L50" s="149">
        <v>2.0510999999999986</v>
      </c>
      <c r="M50" s="154">
        <v>0.27234325767310574</v>
      </c>
      <c r="N50" s="151">
        <v>-0.27002466928943247</v>
      </c>
      <c r="O50" s="150">
        <v>0.16839781811610885</v>
      </c>
      <c r="P50" s="152">
        <v>-0.62084838411583554</v>
      </c>
      <c r="Q50" s="153">
        <v>0.14304955763643104</v>
      </c>
      <c r="R50" s="149">
        <v>-0.51743838977342593</v>
      </c>
      <c r="S50" s="150">
        <v>0.14267048517099051</v>
      </c>
      <c r="T50" s="152">
        <v>-0.98762558969998071</v>
      </c>
      <c r="U50" s="153">
        <v>9.8512410768253594E-2</v>
      </c>
      <c r="V50" s="149">
        <v>-0.71760092041054824</v>
      </c>
      <c r="W50" s="154">
        <v>0.19095445919655188</v>
      </c>
      <c r="X50" s="151">
        <v>-0.52313849755418174</v>
      </c>
      <c r="Y50" s="150">
        <v>7.1562296634900838E-2</v>
      </c>
      <c r="Z50" s="152" t="s">
        <v>34</v>
      </c>
      <c r="AA50" s="153" t="s">
        <v>34</v>
      </c>
      <c r="AB50" s="152">
        <v>-1.1110763796000811</v>
      </c>
      <c r="AC50" s="155">
        <v>0.13833150202456512</v>
      </c>
      <c r="AD50" s="149">
        <v>-0.58793788204589936</v>
      </c>
      <c r="AE50" s="156">
        <v>0.15316801070295577</v>
      </c>
    </row>
    <row r="51" spans="1:31" s="105" customFormat="1" x14ac:dyDescent="0.25">
      <c r="A51" s="94" t="s">
        <v>235</v>
      </c>
      <c r="B51" s="95">
        <v>383</v>
      </c>
      <c r="C51" s="96">
        <v>77.094955444335938</v>
      </c>
      <c r="D51" s="149">
        <v>-6.5682411155151804E-2</v>
      </c>
      <c r="E51" s="150">
        <v>6.8535931277491149E-2</v>
      </c>
      <c r="F51" s="151">
        <v>-1.4212</v>
      </c>
      <c r="G51" s="150" t="s">
        <v>35</v>
      </c>
      <c r="H51" s="152">
        <v>5.74E-2</v>
      </c>
      <c r="I51" s="153">
        <v>0.18355563870390909</v>
      </c>
      <c r="J51" s="149">
        <v>1.2478000000000009</v>
      </c>
      <c r="K51" s="154">
        <v>0.18083000580655775</v>
      </c>
      <c r="L51" s="149">
        <v>2.6690000000000009</v>
      </c>
      <c r="M51" s="154">
        <v>0.18083000580655761</v>
      </c>
      <c r="N51" s="151">
        <v>4.04948712288331E-2</v>
      </c>
      <c r="O51" s="150">
        <v>0.11912303796345305</v>
      </c>
      <c r="P51" s="152">
        <v>0.1057943515165318</v>
      </c>
      <c r="Q51" s="153">
        <v>0.15509405603185464</v>
      </c>
      <c r="R51" s="149">
        <v>9.5666649344444202E-2</v>
      </c>
      <c r="S51" s="150">
        <v>0.17247448265219614</v>
      </c>
      <c r="T51" s="152">
        <v>-0.49796814969537179</v>
      </c>
      <c r="U51" s="153">
        <v>0.13168428479571875</v>
      </c>
      <c r="V51" s="149">
        <v>-0.53846302092420495</v>
      </c>
      <c r="W51" s="154">
        <v>0.17991481794758488</v>
      </c>
      <c r="X51" s="151">
        <v>0.1012559317964197</v>
      </c>
      <c r="Y51" s="150">
        <v>8.1446761134407672E-2</v>
      </c>
      <c r="Z51" s="152">
        <v>4.2696864943595203E-2</v>
      </c>
      <c r="AA51" s="153">
        <v>0.11007877208786848</v>
      </c>
      <c r="AB51" s="152">
        <v>-1.326760833422246</v>
      </c>
      <c r="AC51" s="155">
        <v>6.0200517132579442E-2</v>
      </c>
      <c r="AD51" s="149">
        <v>-0.26474697186472074</v>
      </c>
      <c r="AE51" s="156">
        <v>0.12511133315489098</v>
      </c>
    </row>
    <row r="52" spans="1:31" s="105" customFormat="1" x14ac:dyDescent="0.25">
      <c r="A52" s="94" t="s">
        <v>302</v>
      </c>
      <c r="B52" s="95">
        <v>146</v>
      </c>
      <c r="C52" s="96">
        <v>89.849540710449219</v>
      </c>
      <c r="D52" s="149">
        <v>-0.48387681958361511</v>
      </c>
      <c r="E52" s="150">
        <v>8.950032481139035E-2</v>
      </c>
      <c r="F52" s="151">
        <v>-1.4212</v>
      </c>
      <c r="G52" s="150" t="s">
        <v>35</v>
      </c>
      <c r="H52" s="152">
        <v>-0.63439999999999996</v>
      </c>
      <c r="I52" s="153">
        <v>0.28410007215768174</v>
      </c>
      <c r="J52" s="149">
        <v>0.62989999999999968</v>
      </c>
      <c r="K52" s="154">
        <v>0.20663886977042861</v>
      </c>
      <c r="L52" s="149">
        <v>2.0510999999999999</v>
      </c>
      <c r="M52" s="154">
        <v>0.20663886977042856</v>
      </c>
      <c r="N52" s="151">
        <v>-0.38661062257781509</v>
      </c>
      <c r="O52" s="150">
        <v>0.16385663358805633</v>
      </c>
      <c r="P52" s="152">
        <v>-0.1475643382313542</v>
      </c>
      <c r="Q52" s="153">
        <v>0.23388982041276435</v>
      </c>
      <c r="R52" s="149">
        <v>-0.79771755935758359</v>
      </c>
      <c r="S52" s="150">
        <v>0.20415361026156012</v>
      </c>
      <c r="T52" s="152">
        <v>-0.60498266841838122</v>
      </c>
      <c r="U52" s="153">
        <v>0.17742791716150899</v>
      </c>
      <c r="V52" s="149">
        <v>-0.2183720458405661</v>
      </c>
      <c r="W52" s="154">
        <v>0.2261787167332214</v>
      </c>
      <c r="X52" s="151">
        <v>-0.47501620827530361</v>
      </c>
      <c r="Y52" s="150">
        <v>9.5358175600495143E-2</v>
      </c>
      <c r="Z52" s="152" t="s">
        <v>34</v>
      </c>
      <c r="AA52" s="153" t="s">
        <v>34</v>
      </c>
      <c r="AB52" s="152">
        <v>-0.80382246670203306</v>
      </c>
      <c r="AC52" s="155">
        <v>0.18553487018024839</v>
      </c>
      <c r="AD52" s="149">
        <v>-0.32880625842672945</v>
      </c>
      <c r="AE52" s="156">
        <v>0.20030002816072232</v>
      </c>
    </row>
    <row r="53" spans="1:31" s="105" customFormat="1" x14ac:dyDescent="0.25">
      <c r="A53" s="94" t="s">
        <v>236</v>
      </c>
      <c r="B53" s="95" t="s">
        <v>34</v>
      </c>
      <c r="C53" s="96" t="s">
        <v>34</v>
      </c>
      <c r="D53" s="149">
        <v>-1.7655086901688999E-3</v>
      </c>
      <c r="E53" s="150">
        <v>1.02110427602144E-2</v>
      </c>
      <c r="F53" s="151">
        <v>-1.2204729729729731</v>
      </c>
      <c r="G53" s="150">
        <v>4.11203430911527E-2</v>
      </c>
      <c r="H53" s="152">
        <v>-2.1175675675675701E-2</v>
      </c>
      <c r="I53" s="153">
        <v>1.84983658504384E-2</v>
      </c>
      <c r="J53" s="149">
        <v>1.186754054054054</v>
      </c>
      <c r="K53" s="154">
        <v>3.1184468782085601E-2</v>
      </c>
      <c r="L53" s="149">
        <v>2.4072270270270271</v>
      </c>
      <c r="M53" s="154">
        <v>5.1701739294466802E-2</v>
      </c>
      <c r="N53" s="151">
        <v>0.14869202502518561</v>
      </c>
      <c r="O53" s="150">
        <v>2.2716459952591601E-2</v>
      </c>
      <c r="P53" s="152">
        <v>9.0536358740472306E-2</v>
      </c>
      <c r="Q53" s="153">
        <v>2.3856473741515699E-2</v>
      </c>
      <c r="R53" s="149">
        <v>-1.1851335183764E-2</v>
      </c>
      <c r="S53" s="150">
        <v>2.39809964770137E-2</v>
      </c>
      <c r="T53" s="152">
        <v>-0.22028026676682541</v>
      </c>
      <c r="U53" s="153">
        <v>2.06632852055177E-2</v>
      </c>
      <c r="V53" s="149">
        <v>-0.36897229179201102</v>
      </c>
      <c r="W53" s="154">
        <v>3.0510338218567402E-2</v>
      </c>
      <c r="X53" s="151">
        <v>7.8236322315231005E-2</v>
      </c>
      <c r="Y53" s="150">
        <v>1.24644524166299E-2</v>
      </c>
      <c r="Z53" s="152">
        <v>-0.20759266638684859</v>
      </c>
      <c r="AA53" s="153">
        <v>5.0235711481237698E-2</v>
      </c>
      <c r="AB53" s="152">
        <v>-0.65043704309308725</v>
      </c>
      <c r="AC53" s="155">
        <v>3.7901450988211197E-2</v>
      </c>
      <c r="AD53" s="149">
        <v>-0.49453236237778131</v>
      </c>
      <c r="AE53" s="156">
        <v>3.8323334641994097E-2</v>
      </c>
    </row>
    <row r="54" spans="1:31" s="105" customFormat="1" x14ac:dyDescent="0.25">
      <c r="A54" s="180" t="s">
        <v>279</v>
      </c>
      <c r="B54" s="95"/>
      <c r="C54" s="96"/>
      <c r="D54" s="149"/>
      <c r="E54" s="150"/>
      <c r="F54" s="151"/>
      <c r="G54" s="150"/>
      <c r="H54" s="152"/>
      <c r="I54" s="153"/>
      <c r="J54" s="149"/>
      <c r="K54" s="154"/>
      <c r="L54" s="149"/>
      <c r="M54" s="154"/>
      <c r="N54" s="151"/>
      <c r="O54" s="150"/>
      <c r="P54" s="152"/>
      <c r="Q54" s="153"/>
      <c r="R54" s="149"/>
      <c r="S54" s="150"/>
      <c r="T54" s="152"/>
      <c r="U54" s="153"/>
      <c r="V54" s="149"/>
      <c r="W54" s="154"/>
      <c r="X54" s="151"/>
      <c r="Y54" s="150"/>
      <c r="Z54" s="152"/>
      <c r="AA54" s="153"/>
      <c r="AB54" s="152"/>
      <c r="AC54" s="155"/>
      <c r="AD54" s="149"/>
      <c r="AE54" s="156"/>
    </row>
    <row r="55" spans="1:31" s="105" customFormat="1" x14ac:dyDescent="0.25">
      <c r="A55" s="94" t="s">
        <v>237</v>
      </c>
      <c r="B55" s="95">
        <v>323</v>
      </c>
      <c r="C55" s="96">
        <v>98.303970336914063</v>
      </c>
      <c r="D55" s="149">
        <v>0.28051597675163159</v>
      </c>
      <c r="E55" s="150">
        <v>4.588421088827066E-2</v>
      </c>
      <c r="F55" s="151">
        <v>-1.4211999999999989</v>
      </c>
      <c r="G55" s="150">
        <v>9.288792252416251E-16</v>
      </c>
      <c r="H55" s="152">
        <v>0.42920000000000008</v>
      </c>
      <c r="I55" s="153">
        <v>0.13724318562318502</v>
      </c>
      <c r="J55" s="149">
        <v>1.3065</v>
      </c>
      <c r="K55" s="154">
        <v>0.19013222767326923</v>
      </c>
      <c r="L55" s="149">
        <v>2.7276999999999987</v>
      </c>
      <c r="M55" s="154">
        <v>0.19013222767326976</v>
      </c>
      <c r="N55" s="151">
        <v>0.80816519376438134</v>
      </c>
      <c r="O55" s="150">
        <v>0.12942573491114162</v>
      </c>
      <c r="P55" s="152">
        <v>0.14565187480977529</v>
      </c>
      <c r="Q55" s="153">
        <v>0.11526494746891715</v>
      </c>
      <c r="R55" s="149">
        <v>0.42896196717469259</v>
      </c>
      <c r="S55" s="150">
        <v>9.250937878145539E-2</v>
      </c>
      <c r="T55" s="152">
        <v>-0.27625228820854242</v>
      </c>
      <c r="U55" s="153">
        <v>0.12940350353571067</v>
      </c>
      <c r="V55" s="149">
        <v>-1.084417481972924</v>
      </c>
      <c r="W55" s="154">
        <v>0.18605874245091622</v>
      </c>
      <c r="X55" s="151">
        <v>0.45877964384529818</v>
      </c>
      <c r="Y55" s="150">
        <v>4.9131945911227291E-2</v>
      </c>
      <c r="Z55" s="152" t="s">
        <v>34</v>
      </c>
      <c r="AA55" s="153" t="s">
        <v>34</v>
      </c>
      <c r="AB55" s="152">
        <v>-1.1235878118876541</v>
      </c>
      <c r="AC55" s="155">
        <v>8.9588012597912298E-2</v>
      </c>
      <c r="AD55" s="149">
        <v>-1.5823674557329523</v>
      </c>
      <c r="AE55" s="156">
        <v>0.10065554406881673</v>
      </c>
    </row>
    <row r="56" spans="1:31" s="105" customFormat="1" x14ac:dyDescent="0.25">
      <c r="A56" s="94" t="s">
        <v>238</v>
      </c>
      <c r="B56" s="95">
        <v>437</v>
      </c>
      <c r="C56" s="96">
        <v>95.553268432617188</v>
      </c>
      <c r="D56" s="149">
        <v>0.43209129733045321</v>
      </c>
      <c r="E56" s="150">
        <v>7.5471904222445804E-2</v>
      </c>
      <c r="F56" s="151">
        <v>-1.4212</v>
      </c>
      <c r="G56" s="150" t="s">
        <v>35</v>
      </c>
      <c r="H56" s="152">
        <v>0.45909999999999979</v>
      </c>
      <c r="I56" s="153">
        <v>5.7350143853350584E-2</v>
      </c>
      <c r="J56" s="149">
        <v>1.9315</v>
      </c>
      <c r="K56" s="154">
        <v>5.591316034709512E-2</v>
      </c>
      <c r="L56" s="149">
        <v>3.3527</v>
      </c>
      <c r="M56" s="154">
        <v>5.5913160347095134E-2</v>
      </c>
      <c r="N56" s="151">
        <v>0.84064228607353231</v>
      </c>
      <c r="O56" s="150">
        <v>0.16635567764937131</v>
      </c>
      <c r="P56" s="152">
        <v>0.76683499836094071</v>
      </c>
      <c r="Q56" s="153">
        <v>0.1816027477292467</v>
      </c>
      <c r="R56" s="149">
        <v>0.4942377350180307</v>
      </c>
      <c r="S56" s="150">
        <v>0.14824784368674612</v>
      </c>
      <c r="T56" s="152">
        <v>-0.38605179473328172</v>
      </c>
      <c r="U56" s="153">
        <v>0.16204857667581157</v>
      </c>
      <c r="V56" s="149">
        <v>-1.2266940808068141</v>
      </c>
      <c r="W56" s="154">
        <v>0.22331906894531775</v>
      </c>
      <c r="X56" s="151">
        <v>0.74284274302213238</v>
      </c>
      <c r="Y56" s="150">
        <v>8.2092461707354028E-2</v>
      </c>
      <c r="Z56" s="152">
        <v>-0.14260722627421821</v>
      </c>
      <c r="AA56" s="153">
        <v>0.16314763192042228</v>
      </c>
      <c r="AB56" s="152">
        <v>-0.40429510716365452</v>
      </c>
      <c r="AC56" s="155">
        <v>0.28874489540675263</v>
      </c>
      <c r="AD56" s="149">
        <v>-0.95704765200674013</v>
      </c>
      <c r="AE56" s="156">
        <v>0.17378230377345799</v>
      </c>
    </row>
    <row r="57" spans="1:31" s="105" customFormat="1" x14ac:dyDescent="0.25">
      <c r="A57" s="94" t="s">
        <v>239</v>
      </c>
      <c r="B57" s="95">
        <v>122</v>
      </c>
      <c r="C57" s="96">
        <v>60.133590698242188</v>
      </c>
      <c r="D57" s="149">
        <v>0.1214626889581934</v>
      </c>
      <c r="E57" s="150">
        <v>7.1399162477947323E-2</v>
      </c>
      <c r="F57" s="151">
        <v>-1.208799999999999</v>
      </c>
      <c r="G57" s="150">
        <v>0.36494046911790917</v>
      </c>
      <c r="H57" s="152">
        <v>6.1000000000000004E-3</v>
      </c>
      <c r="I57" s="153">
        <v>9.7850143076032348E-2</v>
      </c>
      <c r="J57" s="149">
        <v>1.2419</v>
      </c>
      <c r="K57" s="154">
        <v>0.10339694627985892</v>
      </c>
      <c r="L57" s="149">
        <v>2.450699999999999</v>
      </c>
      <c r="M57" s="154">
        <v>0.37546995685407369</v>
      </c>
      <c r="N57" s="151">
        <v>0.15858254312458561</v>
      </c>
      <c r="O57" s="150">
        <v>0.13514344456047564</v>
      </c>
      <c r="P57" s="152">
        <v>0.118129094324325</v>
      </c>
      <c r="Q57" s="153">
        <v>0.14552964457875928</v>
      </c>
      <c r="R57" s="149">
        <v>0.23548351548601329</v>
      </c>
      <c r="S57" s="150">
        <v>0.20979783572353383</v>
      </c>
      <c r="T57" s="152">
        <v>-1.6708146142047801E-2</v>
      </c>
      <c r="U57" s="153">
        <v>0.19412677367845765</v>
      </c>
      <c r="V57" s="149">
        <v>-0.17529068926663349</v>
      </c>
      <c r="W57" s="154">
        <v>0.25417954445697466</v>
      </c>
      <c r="X57" s="151">
        <v>0.12792804144430731</v>
      </c>
      <c r="Y57" s="150">
        <v>7.1748277437414548E-2</v>
      </c>
      <c r="Z57" s="152" t="s">
        <v>34</v>
      </c>
      <c r="AA57" s="153" t="s">
        <v>34</v>
      </c>
      <c r="AB57" s="152" t="s">
        <v>34</v>
      </c>
      <c r="AC57" s="155" t="s">
        <v>34</v>
      </c>
      <c r="AD57" s="149" t="s">
        <v>34</v>
      </c>
      <c r="AE57" s="156" t="s">
        <v>34</v>
      </c>
    </row>
    <row r="58" spans="1:31" s="105" customFormat="1" x14ac:dyDescent="0.25">
      <c r="A58" s="94" t="s">
        <v>240</v>
      </c>
      <c r="B58" s="95">
        <v>234</v>
      </c>
      <c r="C58" s="96">
        <v>100</v>
      </c>
      <c r="D58" s="149">
        <v>-3.01934142729476E-2</v>
      </c>
      <c r="E58" s="150">
        <v>7.2779109639531825E-2</v>
      </c>
      <c r="F58" s="151">
        <v>-1.4212</v>
      </c>
      <c r="G58" s="150" t="s">
        <v>35</v>
      </c>
      <c r="H58" s="152">
        <v>-6.7199999999999996E-2</v>
      </c>
      <c r="I58" s="153">
        <v>0.20596944312203208</v>
      </c>
      <c r="J58" s="149">
        <v>1.2478</v>
      </c>
      <c r="K58" s="154" t="s">
        <v>35</v>
      </c>
      <c r="L58" s="149">
        <v>2.669</v>
      </c>
      <c r="M58" s="154" t="s">
        <v>35</v>
      </c>
      <c r="N58" s="151">
        <v>1.7947112376898802E-2</v>
      </c>
      <c r="O58" s="150">
        <v>0.12171109492210946</v>
      </c>
      <c r="P58" s="152">
        <v>9.4030799070694993E-3</v>
      </c>
      <c r="Q58" s="153">
        <v>0.14676691835495284</v>
      </c>
      <c r="R58" s="149">
        <v>0.22969933856128341</v>
      </c>
      <c r="S58" s="150">
        <v>0.17821217653489571</v>
      </c>
      <c r="T58" s="152">
        <v>-0.38632744922229412</v>
      </c>
      <c r="U58" s="153">
        <v>0.16745326524521464</v>
      </c>
      <c r="V58" s="149">
        <v>-0.40427456159919289</v>
      </c>
      <c r="W58" s="154">
        <v>0.21742162667249398</v>
      </c>
      <c r="X58" s="151">
        <v>-2.4748504580756E-2</v>
      </c>
      <c r="Y58" s="150">
        <v>7.2944285163979244E-2</v>
      </c>
      <c r="Z58" s="152" t="s">
        <v>34</v>
      </c>
      <c r="AA58" s="153" t="s">
        <v>34</v>
      </c>
      <c r="AB58" s="152" t="s">
        <v>34</v>
      </c>
      <c r="AC58" s="155" t="s">
        <v>34</v>
      </c>
      <c r="AD58" s="149" t="s">
        <v>34</v>
      </c>
      <c r="AE58" s="156" t="s">
        <v>34</v>
      </c>
    </row>
    <row r="59" spans="1:31" s="105" customFormat="1" x14ac:dyDescent="0.25">
      <c r="A59" s="94" t="s">
        <v>241</v>
      </c>
      <c r="B59" s="95">
        <v>129</v>
      </c>
      <c r="C59" s="96">
        <v>83.529983520507813</v>
      </c>
      <c r="D59" s="149">
        <v>0.77821669954548611</v>
      </c>
      <c r="E59" s="150">
        <v>6.985084199917839E-2</v>
      </c>
      <c r="F59" s="151">
        <v>-0.44569999999999999</v>
      </c>
      <c r="G59" s="150">
        <v>0.12917132421710284</v>
      </c>
      <c r="H59" s="152">
        <v>0.83389999999999997</v>
      </c>
      <c r="I59" s="153">
        <v>0.25250657813213517</v>
      </c>
      <c r="J59" s="149">
        <v>2.1470000000000011</v>
      </c>
      <c r="K59" s="154">
        <v>0.22575434658052707</v>
      </c>
      <c r="L59" s="149">
        <v>2.5927000000000011</v>
      </c>
      <c r="M59" s="154">
        <v>0.27224807253679623</v>
      </c>
      <c r="N59" s="151">
        <v>0.77446019263674826</v>
      </c>
      <c r="O59" s="150">
        <v>0.18154170926775168</v>
      </c>
      <c r="P59" s="152">
        <v>0.94032106577696462</v>
      </c>
      <c r="Q59" s="153">
        <v>0.14045528220083725</v>
      </c>
      <c r="R59" s="149">
        <v>0.98887044150009429</v>
      </c>
      <c r="S59" s="150">
        <v>0.20102708430056418</v>
      </c>
      <c r="T59" s="152">
        <v>0.40834447587637468</v>
      </c>
      <c r="U59" s="153">
        <v>0.21768290428586404</v>
      </c>
      <c r="V59" s="149">
        <v>-0.36611571676037358</v>
      </c>
      <c r="W59" s="154">
        <v>0.29521624764222576</v>
      </c>
      <c r="X59" s="151">
        <v>0.789025086165978</v>
      </c>
      <c r="Y59" s="150">
        <v>6.9227058575795794E-2</v>
      </c>
      <c r="Z59" s="152" t="s">
        <v>34</v>
      </c>
      <c r="AA59" s="153" t="s">
        <v>34</v>
      </c>
      <c r="AB59" s="152" t="s">
        <v>34</v>
      </c>
      <c r="AC59" s="155" t="s">
        <v>34</v>
      </c>
      <c r="AD59" s="149" t="s">
        <v>34</v>
      </c>
      <c r="AE59" s="156" t="s">
        <v>34</v>
      </c>
    </row>
    <row r="60" spans="1:31" s="105" customFormat="1" x14ac:dyDescent="0.25">
      <c r="A60" s="94" t="s">
        <v>242</v>
      </c>
      <c r="B60" s="95">
        <v>417</v>
      </c>
      <c r="C60" s="96">
        <v>77.205802917480469</v>
      </c>
      <c r="D60" s="149">
        <v>-5.1510721793163503E-2</v>
      </c>
      <c r="E60" s="150">
        <v>5.0228495721581626E-2</v>
      </c>
      <c r="F60" s="151">
        <v>-1.4212</v>
      </c>
      <c r="G60" s="150" t="s">
        <v>35</v>
      </c>
      <c r="H60" s="152">
        <v>-0.14130000000000009</v>
      </c>
      <c r="I60" s="153">
        <v>0.15690608656135674</v>
      </c>
      <c r="J60" s="149">
        <v>1.4782999999999999</v>
      </c>
      <c r="K60" s="154">
        <v>0.19640248725512524</v>
      </c>
      <c r="L60" s="149">
        <v>2.8994999999999997</v>
      </c>
      <c r="M60" s="154">
        <v>0.19640248725512541</v>
      </c>
      <c r="N60" s="151">
        <v>0.57599860870219843</v>
      </c>
      <c r="O60" s="150">
        <v>0.11190849108281087</v>
      </c>
      <c r="P60" s="152">
        <v>0.15773669697247039</v>
      </c>
      <c r="Q60" s="153">
        <v>0.13121837496147953</v>
      </c>
      <c r="R60" s="149">
        <v>-7.0876004625299402E-2</v>
      </c>
      <c r="S60" s="150">
        <v>0.11258281706432328</v>
      </c>
      <c r="T60" s="152">
        <v>-0.87138813825942651</v>
      </c>
      <c r="U60" s="153">
        <v>9.405882794136998E-2</v>
      </c>
      <c r="V60" s="149">
        <v>-1.4473867469616251</v>
      </c>
      <c r="W60" s="154">
        <v>0.14979941366120839</v>
      </c>
      <c r="X60" s="151">
        <v>0.17635119696473481</v>
      </c>
      <c r="Y60" s="150">
        <v>5.4701708013548338E-2</v>
      </c>
      <c r="Z60" s="152" t="s">
        <v>34</v>
      </c>
      <c r="AA60" s="153" t="s">
        <v>34</v>
      </c>
      <c r="AB60" s="152">
        <v>-1.0661116861469999</v>
      </c>
      <c r="AC60" s="155">
        <v>8.4692583779594557E-2</v>
      </c>
      <c r="AD60" s="149">
        <v>-1.2424628831117348</v>
      </c>
      <c r="AE60" s="156">
        <v>0.1048995641997109</v>
      </c>
    </row>
    <row r="61" spans="1:31" s="105" customFormat="1" x14ac:dyDescent="0.25">
      <c r="A61" s="94" t="s">
        <v>243</v>
      </c>
      <c r="B61" s="95">
        <v>55</v>
      </c>
      <c r="C61" s="96">
        <v>100</v>
      </c>
      <c r="D61" s="149">
        <v>0.19365161249096879</v>
      </c>
      <c r="E61" s="150">
        <v>1.3416059095912229E-3</v>
      </c>
      <c r="F61" s="151">
        <v>-1.4211999999999989</v>
      </c>
      <c r="G61" s="150" t="s">
        <v>35</v>
      </c>
      <c r="H61" s="152">
        <v>0.30960000000000132</v>
      </c>
      <c r="I61" s="153" t="s">
        <v>35</v>
      </c>
      <c r="J61" s="149">
        <v>1.247799999999998</v>
      </c>
      <c r="K61" s="154" t="s">
        <v>35</v>
      </c>
      <c r="L61" s="149">
        <v>2.6689999999999969</v>
      </c>
      <c r="M61" s="154" t="s">
        <v>35</v>
      </c>
      <c r="N61" s="151">
        <v>0.47507677381006619</v>
      </c>
      <c r="O61" s="150">
        <v>3.2448383729358201E-3</v>
      </c>
      <c r="P61" s="152">
        <v>0.46413275734850901</v>
      </c>
      <c r="Q61" s="153">
        <v>1.8399594870494407E-3</v>
      </c>
      <c r="R61" s="149">
        <v>-0.12551464485514779</v>
      </c>
      <c r="S61" s="150">
        <v>2.0309777923773471E-3</v>
      </c>
      <c r="T61" s="152">
        <v>-3.7899552386125197E-2</v>
      </c>
      <c r="U61" s="153">
        <v>2.7571004561654324E-3</v>
      </c>
      <c r="V61" s="149">
        <v>-0.51297632619619149</v>
      </c>
      <c r="W61" s="154">
        <v>4.1574657690818051E-3</v>
      </c>
      <c r="X61" s="151">
        <v>0.39928925185148878</v>
      </c>
      <c r="Y61" s="150">
        <v>1.3155595904639839E-3</v>
      </c>
      <c r="Z61" s="152" t="s">
        <v>34</v>
      </c>
      <c r="AA61" s="153" t="s">
        <v>34</v>
      </c>
      <c r="AB61" s="152">
        <v>-0.91431653856589379</v>
      </c>
      <c r="AC61" s="155">
        <v>2.8473607502751959E-3</v>
      </c>
      <c r="AD61" s="149">
        <v>-1.3136057904173826</v>
      </c>
      <c r="AE61" s="156">
        <v>2.7312638641394434E-3</v>
      </c>
    </row>
    <row r="62" spans="1:31" s="105" customFormat="1" x14ac:dyDescent="0.25">
      <c r="A62" s="94" t="s">
        <v>244</v>
      </c>
      <c r="B62" s="95">
        <v>361</v>
      </c>
      <c r="C62" s="96">
        <v>100</v>
      </c>
      <c r="D62" s="149">
        <v>-0.27079953364713011</v>
      </c>
      <c r="E62" s="150">
        <v>7.9015078504606068E-2</v>
      </c>
      <c r="F62" s="151">
        <v>-1.4212</v>
      </c>
      <c r="G62" s="150" t="s">
        <v>35</v>
      </c>
      <c r="H62" s="152">
        <v>-0.3123000000000003</v>
      </c>
      <c r="I62" s="153">
        <v>0.18921783874677331</v>
      </c>
      <c r="J62" s="149">
        <v>1.2478</v>
      </c>
      <c r="K62" s="154">
        <v>0.23477574406228521</v>
      </c>
      <c r="L62" s="149">
        <v>2.669</v>
      </c>
      <c r="M62" s="154">
        <v>0.23477574406228494</v>
      </c>
      <c r="N62" s="151">
        <v>9.2317353643894002E-3</v>
      </c>
      <c r="O62" s="150">
        <v>0.16021921586503468</v>
      </c>
      <c r="P62" s="152">
        <v>-0.24027329354485011</v>
      </c>
      <c r="Q62" s="153">
        <v>0.1695915077668125</v>
      </c>
      <c r="R62" s="149">
        <v>-0.18788735801708711</v>
      </c>
      <c r="S62" s="150">
        <v>0.23084604837686629</v>
      </c>
      <c r="T62" s="152">
        <v>-0.66824721726962155</v>
      </c>
      <c r="U62" s="153">
        <v>0.12251119559897944</v>
      </c>
      <c r="V62" s="149">
        <v>-0.67747895263401092</v>
      </c>
      <c r="W62" s="154">
        <v>0.21672743263547245</v>
      </c>
      <c r="X62" s="151">
        <v>-0.27657384480428149</v>
      </c>
      <c r="Y62" s="150">
        <v>8.6248258851227846E-2</v>
      </c>
      <c r="Z62" s="152" t="s">
        <v>34</v>
      </c>
      <c r="AA62" s="153" t="s">
        <v>34</v>
      </c>
      <c r="AB62" s="152">
        <v>-0.26140276010531288</v>
      </c>
      <c r="AC62" s="155">
        <v>0.2679251931452139</v>
      </c>
      <c r="AD62" s="149">
        <v>1.5171084698968607E-2</v>
      </c>
      <c r="AE62" s="156">
        <v>0.2910582926920407</v>
      </c>
    </row>
    <row r="63" spans="1:31" s="105" customFormat="1" x14ac:dyDescent="0.25">
      <c r="A63" s="94" t="s">
        <v>245</v>
      </c>
      <c r="B63" s="95">
        <v>190</v>
      </c>
      <c r="C63" s="96">
        <v>96.758079528808594</v>
      </c>
      <c r="D63" s="149">
        <v>-0.37736692327502502</v>
      </c>
      <c r="E63" s="150">
        <v>7.1369164765917675E-2</v>
      </c>
      <c r="F63" s="151">
        <v>-1.4212</v>
      </c>
      <c r="G63" s="150" t="s">
        <v>35</v>
      </c>
      <c r="H63" s="152">
        <v>-0.44469999999999971</v>
      </c>
      <c r="I63" s="153">
        <v>0.16195451058862123</v>
      </c>
      <c r="J63" s="149">
        <v>0.83389999999999997</v>
      </c>
      <c r="K63" s="154">
        <v>0.17434885144445311</v>
      </c>
      <c r="L63" s="149">
        <v>2.2551000000000001</v>
      </c>
      <c r="M63" s="154">
        <v>0.17434885144445283</v>
      </c>
      <c r="N63" s="151">
        <v>-0.34533190645347128</v>
      </c>
      <c r="O63" s="150">
        <v>0.1507526159728029</v>
      </c>
      <c r="P63" s="152">
        <v>-0.43096566682930121</v>
      </c>
      <c r="Q63" s="153">
        <v>0.16003109153063488</v>
      </c>
      <c r="R63" s="149">
        <v>-0.42002386013288739</v>
      </c>
      <c r="S63" s="150">
        <v>0.14126258517410692</v>
      </c>
      <c r="T63" s="152">
        <v>-0.315156378945114</v>
      </c>
      <c r="U63" s="153">
        <v>0.15601097111156373</v>
      </c>
      <c r="V63" s="149">
        <v>3.0175527508357301E-2</v>
      </c>
      <c r="W63" s="154">
        <v>0.22740648263638399</v>
      </c>
      <c r="X63" s="151">
        <v>-0.36287794695459258</v>
      </c>
      <c r="Y63" s="150">
        <v>7.1478886942679051E-2</v>
      </c>
      <c r="Z63" s="152" t="s">
        <v>34</v>
      </c>
      <c r="AA63" s="153" t="s">
        <v>34</v>
      </c>
      <c r="AB63" s="152" t="s">
        <v>34</v>
      </c>
      <c r="AC63" s="155" t="s">
        <v>34</v>
      </c>
      <c r="AD63" s="149" t="s">
        <v>34</v>
      </c>
      <c r="AE63" s="156" t="s">
        <v>34</v>
      </c>
    </row>
    <row r="64" spans="1:31" s="105" customFormat="1" x14ac:dyDescent="0.25">
      <c r="A64" s="94" t="s">
        <v>246</v>
      </c>
      <c r="B64" s="95">
        <v>205</v>
      </c>
      <c r="C64" s="96">
        <v>100</v>
      </c>
      <c r="D64" s="149">
        <v>0.82099509879971144</v>
      </c>
      <c r="E64" s="150">
        <v>9.9681958594272202E-2</v>
      </c>
      <c r="F64" s="151">
        <v>-0.68840000000000046</v>
      </c>
      <c r="G64" s="150">
        <v>0.27673714784972364</v>
      </c>
      <c r="H64" s="152">
        <v>0.75659999999999961</v>
      </c>
      <c r="I64" s="153">
        <v>0.16389948596624693</v>
      </c>
      <c r="J64" s="149">
        <v>2.9595000000000011</v>
      </c>
      <c r="K64" s="154">
        <v>0.37961803566216523</v>
      </c>
      <c r="L64" s="149">
        <v>3.6479000000000017</v>
      </c>
      <c r="M64" s="154">
        <v>0.42862984263814458</v>
      </c>
      <c r="N64" s="151">
        <v>0.7110141064987503</v>
      </c>
      <c r="O64" s="150">
        <v>0.15673908524230892</v>
      </c>
      <c r="P64" s="152">
        <v>0.6841857358968344</v>
      </c>
      <c r="Q64" s="153">
        <v>0.17705190346221314</v>
      </c>
      <c r="R64" s="149">
        <v>1.015284881719523</v>
      </c>
      <c r="S64" s="150">
        <v>0.22276608360075562</v>
      </c>
      <c r="T64" s="152">
        <v>0.87675780695099559</v>
      </c>
      <c r="U64" s="153">
        <v>0.32165231772428576</v>
      </c>
      <c r="V64" s="149">
        <v>0.16574370045224529</v>
      </c>
      <c r="W64" s="154">
        <v>0.34506136703466966</v>
      </c>
      <c r="X64" s="151">
        <v>0.82041015507926673</v>
      </c>
      <c r="Y64" s="150">
        <v>0.10007074831376415</v>
      </c>
      <c r="Z64" s="152" t="s">
        <v>34</v>
      </c>
      <c r="AA64" s="153" t="s">
        <v>34</v>
      </c>
      <c r="AB64" s="152">
        <v>0.85732471889813566</v>
      </c>
      <c r="AC64" s="155">
        <v>0.30750726167923575</v>
      </c>
      <c r="AD64" s="149">
        <v>3.6914563818868928E-2</v>
      </c>
      <c r="AE64" s="156">
        <v>0.31203917124123481</v>
      </c>
    </row>
    <row r="65" spans="1:31" s="105" customFormat="1" x14ac:dyDescent="0.25">
      <c r="A65" s="94" t="s">
        <v>247</v>
      </c>
      <c r="B65" s="95">
        <v>177</v>
      </c>
      <c r="C65" s="96">
        <v>98.361724853515625</v>
      </c>
      <c r="D65" s="149">
        <v>0.78758565878319509</v>
      </c>
      <c r="E65" s="150">
        <v>7.1242412799077587E-2</v>
      </c>
      <c r="F65" s="151">
        <v>-0.28050000000000003</v>
      </c>
      <c r="G65" s="150">
        <v>0.2830605111985775</v>
      </c>
      <c r="H65" s="152">
        <v>0.7856999999999994</v>
      </c>
      <c r="I65" s="153">
        <v>4.254897766104377E-2</v>
      </c>
      <c r="J65" s="149">
        <v>1.9358</v>
      </c>
      <c r="K65" s="154">
        <v>0.23912263485500498</v>
      </c>
      <c r="L65" s="149">
        <v>2.2162999999999999</v>
      </c>
      <c r="M65" s="154">
        <v>0.31651619942745418</v>
      </c>
      <c r="N65" s="151">
        <v>0.76654274757695862</v>
      </c>
      <c r="O65" s="150">
        <v>0.15210476955319177</v>
      </c>
      <c r="P65" s="152">
        <v>0.75167753354834044</v>
      </c>
      <c r="Q65" s="153">
        <v>0.15750191487224052</v>
      </c>
      <c r="R65" s="149">
        <v>0.76325920026917704</v>
      </c>
      <c r="S65" s="150">
        <v>0.14368817652824789</v>
      </c>
      <c r="T65" s="152">
        <v>0.86814774894045776</v>
      </c>
      <c r="U65" s="153">
        <v>0.1418220933053313</v>
      </c>
      <c r="V65" s="149">
        <v>0.10160500136349911</v>
      </c>
      <c r="W65" s="154">
        <v>0.21223809806559443</v>
      </c>
      <c r="X65" s="151">
        <v>0.81175567397931236</v>
      </c>
      <c r="Y65" s="150">
        <v>7.2883423047201565E-2</v>
      </c>
      <c r="Z65" s="152" t="s">
        <v>34</v>
      </c>
      <c r="AA65" s="153" t="s">
        <v>34</v>
      </c>
      <c r="AB65" s="152" t="s">
        <v>34</v>
      </c>
      <c r="AC65" s="155" t="s">
        <v>34</v>
      </c>
      <c r="AD65" s="149" t="s">
        <v>34</v>
      </c>
      <c r="AE65" s="156" t="s">
        <v>34</v>
      </c>
    </row>
    <row r="66" spans="1:31" s="105" customFormat="1" x14ac:dyDescent="0.25">
      <c r="A66" s="94" t="s">
        <v>248</v>
      </c>
      <c r="B66" s="95">
        <v>77</v>
      </c>
      <c r="C66" s="96">
        <v>96.037605285644531</v>
      </c>
      <c r="D66" s="149">
        <v>2.0862314018091899E-2</v>
      </c>
      <c r="E66" s="150">
        <v>1.9040975426999984E-3</v>
      </c>
      <c r="F66" s="151">
        <v>-1.4211999999999989</v>
      </c>
      <c r="G66" s="150" t="s">
        <v>35</v>
      </c>
      <c r="H66" s="152">
        <v>9.9999999999999797E-2</v>
      </c>
      <c r="I66" s="153" t="s">
        <v>35</v>
      </c>
      <c r="J66" s="149">
        <v>1.174599999999999</v>
      </c>
      <c r="K66" s="154" t="s">
        <v>35</v>
      </c>
      <c r="L66" s="149">
        <v>2.5957999999999979</v>
      </c>
      <c r="M66" s="154" t="s">
        <v>35</v>
      </c>
      <c r="N66" s="151">
        <v>0.41028230429954837</v>
      </c>
      <c r="O66" s="150">
        <v>5.6363604962972975E-3</v>
      </c>
      <c r="P66" s="152">
        <v>0.26963993583587481</v>
      </c>
      <c r="Q66" s="153">
        <v>2.6376721577512051E-3</v>
      </c>
      <c r="R66" s="149">
        <v>0.151893835330494</v>
      </c>
      <c r="S66" s="150">
        <v>1.7626960533001336E-3</v>
      </c>
      <c r="T66" s="152">
        <v>-0.78445140550081593</v>
      </c>
      <c r="U66" s="153">
        <v>2.1707790494768947E-3</v>
      </c>
      <c r="V66" s="149">
        <v>-1.1947337098003641</v>
      </c>
      <c r="W66" s="154">
        <v>6.3356965799412175E-3</v>
      </c>
      <c r="X66" s="151">
        <v>0.2038055329081026</v>
      </c>
      <c r="Y66" s="150">
        <v>2.1780464347772146E-3</v>
      </c>
      <c r="Z66" s="152" t="s">
        <v>34</v>
      </c>
      <c r="AA66" s="153" t="s">
        <v>34</v>
      </c>
      <c r="AB66" s="152">
        <v>-0.84724971229423418</v>
      </c>
      <c r="AC66" s="155">
        <v>2.5109512091945115E-3</v>
      </c>
      <c r="AD66" s="149">
        <v>-1.0510552452023367</v>
      </c>
      <c r="AE66" s="156">
        <v>3.5459414816797286E-3</v>
      </c>
    </row>
    <row r="67" spans="1:31" s="105" customFormat="1" x14ac:dyDescent="0.25">
      <c r="A67" s="94" t="s">
        <v>249</v>
      </c>
      <c r="B67" s="95">
        <v>212</v>
      </c>
      <c r="C67" s="96">
        <v>89.843269348144531</v>
      </c>
      <c r="D67" s="149">
        <v>0.3610877434833511</v>
      </c>
      <c r="E67" s="150">
        <v>8.4147216558383156E-2</v>
      </c>
      <c r="F67" s="151">
        <v>-1.4212</v>
      </c>
      <c r="G67" s="150">
        <v>0.10558712989753992</v>
      </c>
      <c r="H67" s="152">
        <v>0.46979999999999977</v>
      </c>
      <c r="I67" s="153">
        <v>0.17074368070297638</v>
      </c>
      <c r="J67" s="149">
        <v>1.740499999999999</v>
      </c>
      <c r="K67" s="154">
        <v>5.781833619190388E-2</v>
      </c>
      <c r="L67" s="149">
        <v>3.1616999999999988</v>
      </c>
      <c r="M67" s="154">
        <v>0.12038106994041872</v>
      </c>
      <c r="N67" s="151">
        <v>0.74565082595853005</v>
      </c>
      <c r="O67" s="150">
        <v>0.13021934190417142</v>
      </c>
      <c r="P67" s="152">
        <v>0.53261952766323173</v>
      </c>
      <c r="Q67" s="153">
        <v>0.16970548664486113</v>
      </c>
      <c r="R67" s="149">
        <v>0.44824918859265211</v>
      </c>
      <c r="S67" s="150">
        <v>0.16795997015707534</v>
      </c>
      <c r="T67" s="152">
        <v>-0.30048929512314942</v>
      </c>
      <c r="U67" s="153">
        <v>0.19991987369136718</v>
      </c>
      <c r="V67" s="149">
        <v>-1.046140121081679</v>
      </c>
      <c r="W67" s="154">
        <v>0.23782749045906781</v>
      </c>
      <c r="X67" s="151">
        <v>0.52281167945594065</v>
      </c>
      <c r="Y67" s="150">
        <v>9.4290430392413194E-2</v>
      </c>
      <c r="Z67" s="152">
        <v>1.037462961719491</v>
      </c>
      <c r="AA67" s="153">
        <v>0.28552414465836284</v>
      </c>
      <c r="AB67" s="152">
        <v>-0.66386194827172929</v>
      </c>
      <c r="AC67" s="155">
        <v>0.16295235468585673</v>
      </c>
      <c r="AD67" s="149">
        <v>-1.0153257159149511</v>
      </c>
      <c r="AE67" s="156">
        <v>0.19147856885710446</v>
      </c>
    </row>
    <row r="68" spans="1:31" s="105" customFormat="1" x14ac:dyDescent="0.25">
      <c r="A68" s="94" t="s">
        <v>250</v>
      </c>
      <c r="B68" s="95">
        <v>306</v>
      </c>
      <c r="C68" s="96">
        <v>97.850662231445313</v>
      </c>
      <c r="D68" s="149">
        <v>0.33251521754236812</v>
      </c>
      <c r="E68" s="150">
        <v>6.4616024817328283E-2</v>
      </c>
      <c r="F68" s="151">
        <v>-1.4212</v>
      </c>
      <c r="G68" s="150">
        <v>0.39507086452938994</v>
      </c>
      <c r="H68" s="152">
        <v>0.26810000000000023</v>
      </c>
      <c r="I68" s="153">
        <v>0.1026965724841874</v>
      </c>
      <c r="J68" s="149">
        <v>1.6862999999999999</v>
      </c>
      <c r="K68" s="154">
        <v>1.710608348016632E-15</v>
      </c>
      <c r="L68" s="149">
        <v>3.1074999999999999</v>
      </c>
      <c r="M68" s="154">
        <v>0.39507086452938933</v>
      </c>
      <c r="N68" s="151">
        <v>0.65018405681835501</v>
      </c>
      <c r="O68" s="150">
        <v>0.11691820635683832</v>
      </c>
      <c r="P68" s="152">
        <v>0.37291264259452089</v>
      </c>
      <c r="Q68" s="153">
        <v>0.15931364771559189</v>
      </c>
      <c r="R68" s="149">
        <v>0.1077827343951599</v>
      </c>
      <c r="S68" s="150">
        <v>0.17848952546297348</v>
      </c>
      <c r="T68" s="152">
        <v>0.19624252140678591</v>
      </c>
      <c r="U68" s="153">
        <v>0.14398648098841296</v>
      </c>
      <c r="V68" s="149">
        <v>-0.45394153541156912</v>
      </c>
      <c r="W68" s="154">
        <v>0.1706208436109862</v>
      </c>
      <c r="X68" s="151">
        <v>0.41809599590009622</v>
      </c>
      <c r="Y68" s="150">
        <v>7.1084897378989445E-2</v>
      </c>
      <c r="Z68" s="152" t="s">
        <v>34</v>
      </c>
      <c r="AA68" s="153" t="s">
        <v>34</v>
      </c>
      <c r="AB68" s="152">
        <v>-0.45932254163602182</v>
      </c>
      <c r="AC68" s="155">
        <v>0.10653651477811711</v>
      </c>
      <c r="AD68" s="149">
        <v>-0.87741853753611809</v>
      </c>
      <c r="AE68" s="156">
        <v>0.13085790188192931</v>
      </c>
    </row>
    <row r="69" spans="1:31" s="105" customFormat="1" x14ac:dyDescent="0.25">
      <c r="A69" s="94" t="s">
        <v>303</v>
      </c>
      <c r="B69" s="95">
        <v>112</v>
      </c>
      <c r="C69" s="96">
        <v>75.546546936035156</v>
      </c>
      <c r="D69" s="149">
        <v>-0.23740150060529119</v>
      </c>
      <c r="E69" s="150">
        <v>8.0650984365846223E-2</v>
      </c>
      <c r="F69" s="151">
        <v>-1.4212</v>
      </c>
      <c r="G69" s="150">
        <v>7.0216669371534024E-16</v>
      </c>
      <c r="H69" s="152">
        <v>-0.26009999999999972</v>
      </c>
      <c r="I69" s="153">
        <v>0.16931864486818943</v>
      </c>
      <c r="J69" s="149">
        <v>0.83389999999999997</v>
      </c>
      <c r="K69" s="154">
        <v>0.4362175294506172</v>
      </c>
      <c r="L69" s="149">
        <v>2.2551000000000001</v>
      </c>
      <c r="M69" s="154">
        <v>0.43621752945061693</v>
      </c>
      <c r="N69" s="151">
        <v>-0.2063679391161703</v>
      </c>
      <c r="O69" s="150">
        <v>0.23043370027800508</v>
      </c>
      <c r="P69" s="152">
        <v>-0.14036356460536081</v>
      </c>
      <c r="Q69" s="153">
        <v>0.18097823005025918</v>
      </c>
      <c r="R69" s="149">
        <v>-3.1927072250595998E-3</v>
      </c>
      <c r="S69" s="150">
        <v>0.16723158248357436</v>
      </c>
      <c r="T69" s="152">
        <v>-0.58357344472028772</v>
      </c>
      <c r="U69" s="153">
        <v>0.13675690236771029</v>
      </c>
      <c r="V69" s="149">
        <v>-0.37720550560411742</v>
      </c>
      <c r="W69" s="154">
        <v>0.27843641056289398</v>
      </c>
      <c r="X69" s="151">
        <v>-0.17790628528424771</v>
      </c>
      <c r="Y69" s="150">
        <v>0.25613290214696399</v>
      </c>
      <c r="Z69" s="152">
        <v>-0.21586000192248761</v>
      </c>
      <c r="AA69" s="153">
        <v>8.4959248565206827E-2</v>
      </c>
      <c r="AB69" s="152" t="s">
        <v>34</v>
      </c>
      <c r="AC69" s="155" t="s">
        <v>34</v>
      </c>
      <c r="AD69" s="149">
        <v>-3.7953716638239904E-2</v>
      </c>
      <c r="AE69" s="156">
        <v>0.2651861117215506</v>
      </c>
    </row>
    <row r="70" spans="1:31" s="105" customFormat="1" x14ac:dyDescent="0.25">
      <c r="A70" s="94" t="s">
        <v>251</v>
      </c>
      <c r="B70" s="95">
        <v>341</v>
      </c>
      <c r="C70" s="96">
        <v>89.094039916992188</v>
      </c>
      <c r="D70" s="149">
        <v>0.92571469893536462</v>
      </c>
      <c r="E70" s="150">
        <v>0.11584110260786777</v>
      </c>
      <c r="F70" s="151">
        <v>-1.4211999999999989</v>
      </c>
      <c r="G70" s="150">
        <v>0.49765411884158967</v>
      </c>
      <c r="H70" s="152">
        <v>0.97720000000000029</v>
      </c>
      <c r="I70" s="153">
        <v>0.22059430069700359</v>
      </c>
      <c r="J70" s="149">
        <v>2.9594999999999989</v>
      </c>
      <c r="K70" s="154">
        <v>0.44851881119970777</v>
      </c>
      <c r="L70" s="149">
        <v>4.3806999999999974</v>
      </c>
      <c r="M70" s="154">
        <v>0.73868390127306605</v>
      </c>
      <c r="N70" s="151">
        <v>1.276850088060312</v>
      </c>
      <c r="O70" s="150">
        <v>0.19289199409784061</v>
      </c>
      <c r="P70" s="152">
        <v>1.0052204748370139</v>
      </c>
      <c r="Q70" s="153">
        <v>0.20426902522503199</v>
      </c>
      <c r="R70" s="149">
        <v>1.226768252830386</v>
      </c>
      <c r="S70" s="150">
        <v>0.28258921691609362</v>
      </c>
      <c r="T70" s="152">
        <v>0.18936750710637451</v>
      </c>
      <c r="U70" s="153">
        <v>0.35627891975755549</v>
      </c>
      <c r="V70" s="149">
        <v>-1.0874825809539379</v>
      </c>
      <c r="W70" s="154">
        <v>0.45002084223514388</v>
      </c>
      <c r="X70" s="151">
        <v>0.92973576287455806</v>
      </c>
      <c r="Y70" s="150">
        <v>0.13638273377642224</v>
      </c>
      <c r="Z70" s="152">
        <v>1.380097524793239</v>
      </c>
      <c r="AA70" s="153">
        <v>0.19679370794241721</v>
      </c>
      <c r="AB70" s="152">
        <v>0.34119226000760933</v>
      </c>
      <c r="AC70" s="155">
        <v>0.39030214842406508</v>
      </c>
      <c r="AD70" s="149">
        <v>-6.7871943841146809E-4</v>
      </c>
      <c r="AE70" s="156">
        <v>0.2523463133106994</v>
      </c>
    </row>
    <row r="71" spans="1:31" s="105" customFormat="1" x14ac:dyDescent="0.25">
      <c r="A71" s="94" t="s">
        <v>252</v>
      </c>
      <c r="B71" s="95">
        <v>311</v>
      </c>
      <c r="C71" s="96">
        <v>99.521980285644531</v>
      </c>
      <c r="D71" s="149">
        <v>0.55977309453288349</v>
      </c>
      <c r="E71" s="150">
        <v>7.3403549910676699E-2</v>
      </c>
      <c r="F71" s="151">
        <v>-1.4212</v>
      </c>
      <c r="G71" s="150">
        <v>0.10558712989753992</v>
      </c>
      <c r="H71" s="152">
        <v>0.46979999999999977</v>
      </c>
      <c r="I71" s="153">
        <v>0.10119529880384777</v>
      </c>
      <c r="J71" s="149">
        <v>2.1432000000000002</v>
      </c>
      <c r="K71" s="154">
        <v>0.18268506780796342</v>
      </c>
      <c r="L71" s="149">
        <v>3.5644</v>
      </c>
      <c r="M71" s="154">
        <v>0.21100349760134338</v>
      </c>
      <c r="N71" s="151">
        <v>1.0408710437490341</v>
      </c>
      <c r="O71" s="150">
        <v>0.16745216878112373</v>
      </c>
      <c r="P71" s="152">
        <v>0.61125174163576179</v>
      </c>
      <c r="Q71" s="153">
        <v>0.13862732872577735</v>
      </c>
      <c r="R71" s="149">
        <v>0.47682574788434212</v>
      </c>
      <c r="S71" s="150">
        <v>0.17590349699473767</v>
      </c>
      <c r="T71" s="152">
        <v>9.7481945036398093E-2</v>
      </c>
      <c r="U71" s="153">
        <v>0.15434030600913434</v>
      </c>
      <c r="V71" s="149">
        <v>-0.94338909871263599</v>
      </c>
      <c r="W71" s="154">
        <v>0.22977482884267442</v>
      </c>
      <c r="X71" s="151">
        <v>0.69048414539929048</v>
      </c>
      <c r="Y71" s="150">
        <v>8.4770969817681646E-2</v>
      </c>
      <c r="Z71" s="152" t="s">
        <v>34</v>
      </c>
      <c r="AA71" s="153" t="s">
        <v>34</v>
      </c>
      <c r="AB71" s="152">
        <v>4.6906951983820097E-2</v>
      </c>
      <c r="AC71" s="155">
        <v>0.16308045279413191</v>
      </c>
      <c r="AD71" s="149">
        <v>-0.64357719341547037</v>
      </c>
      <c r="AE71" s="156">
        <v>0.18417828964222202</v>
      </c>
    </row>
    <row r="72" spans="1:31" s="105" customFormat="1" x14ac:dyDescent="0.25">
      <c r="A72" s="94" t="s">
        <v>253</v>
      </c>
      <c r="B72" s="95">
        <v>516</v>
      </c>
      <c r="C72" s="96">
        <v>80.3912353515625</v>
      </c>
      <c r="D72" s="149">
        <v>0.19970317807524121</v>
      </c>
      <c r="E72" s="150">
        <v>6.3490345706303894E-2</v>
      </c>
      <c r="F72" s="151">
        <v>-1.4211999999999989</v>
      </c>
      <c r="G72" s="150" t="s">
        <v>35</v>
      </c>
      <c r="H72" s="152">
        <v>0.26500000000000012</v>
      </c>
      <c r="I72" s="153">
        <v>0.14394001181047616</v>
      </c>
      <c r="J72" s="149">
        <v>1.4782999999999999</v>
      </c>
      <c r="K72" s="154">
        <v>0.16474791804450842</v>
      </c>
      <c r="L72" s="149">
        <v>2.8994999999999989</v>
      </c>
      <c r="M72" s="154">
        <v>0.16474791804450853</v>
      </c>
      <c r="N72" s="151">
        <v>0.51595269713023251</v>
      </c>
      <c r="O72" s="150">
        <v>0.1241576804283754</v>
      </c>
      <c r="P72" s="152">
        <v>0.206278845296197</v>
      </c>
      <c r="Q72" s="153">
        <v>0.12784429951348916</v>
      </c>
      <c r="R72" s="149">
        <v>8.4043085885680602E-2</v>
      </c>
      <c r="S72" s="150">
        <v>0.13726280696448559</v>
      </c>
      <c r="T72" s="152">
        <v>-1.15322693394124E-2</v>
      </c>
      <c r="U72" s="153">
        <v>0.16272685478283602</v>
      </c>
      <c r="V72" s="149">
        <v>-0.52748496646964493</v>
      </c>
      <c r="W72" s="154">
        <v>0.21272044148216646</v>
      </c>
      <c r="X72" s="151">
        <v>0.21148062687284591</v>
      </c>
      <c r="Y72" s="150">
        <v>6.4666682246864157E-2</v>
      </c>
      <c r="Z72" s="152">
        <v>-0.58355963782260734</v>
      </c>
      <c r="AA72" s="153">
        <v>0.2988885758909533</v>
      </c>
      <c r="AB72" s="152" t="s">
        <v>34</v>
      </c>
      <c r="AC72" s="155" t="s">
        <v>34</v>
      </c>
      <c r="AD72" s="149">
        <v>-0.7950402646954533</v>
      </c>
      <c r="AE72" s="156">
        <v>0.30550057532525315</v>
      </c>
    </row>
    <row r="73" spans="1:31" s="105" customFormat="1" x14ac:dyDescent="0.25">
      <c r="A73" s="94" t="s">
        <v>254</v>
      </c>
      <c r="B73" s="95">
        <v>88</v>
      </c>
      <c r="C73" s="96">
        <v>73.040199279785156</v>
      </c>
      <c r="D73" s="149">
        <v>1.1365168951748961</v>
      </c>
      <c r="E73" s="150">
        <v>3.0828141041818375E-2</v>
      </c>
      <c r="F73" s="151">
        <v>0.13120000000000001</v>
      </c>
      <c r="G73" s="150">
        <v>1.1099999999999891E-2</v>
      </c>
      <c r="H73" s="152">
        <v>1.0780999999999989</v>
      </c>
      <c r="I73" s="153">
        <v>0.16285720585838387</v>
      </c>
      <c r="J73" s="149">
        <v>2.1861000000000002</v>
      </c>
      <c r="K73" s="154">
        <v>1.9860273225978183E-16</v>
      </c>
      <c r="L73" s="149">
        <v>2.0548999999999999</v>
      </c>
      <c r="M73" s="154">
        <v>1.1099999999999891E-2</v>
      </c>
      <c r="N73" s="151">
        <v>1.256649069045622</v>
      </c>
      <c r="O73" s="150">
        <v>4.6568785399869264E-2</v>
      </c>
      <c r="P73" s="152">
        <v>1.200000651227046</v>
      </c>
      <c r="Q73" s="153">
        <v>8.2184776213734101E-2</v>
      </c>
      <c r="R73" s="149">
        <v>1.3794872833508529</v>
      </c>
      <c r="S73" s="150">
        <v>7.0040604404769405E-2</v>
      </c>
      <c r="T73" s="152">
        <v>0.70483093956533682</v>
      </c>
      <c r="U73" s="153">
        <v>8.3025728341177649E-2</v>
      </c>
      <c r="V73" s="149">
        <v>-0.55181812948028475</v>
      </c>
      <c r="W73" s="154">
        <v>9.9044277167097156E-2</v>
      </c>
      <c r="X73" s="151">
        <v>1.1471381715944939</v>
      </c>
      <c r="Y73" s="150">
        <v>2.8420483770491983E-2</v>
      </c>
      <c r="Z73" s="152" t="s">
        <v>34</v>
      </c>
      <c r="AA73" s="153" t="s">
        <v>34</v>
      </c>
      <c r="AB73" s="152" t="s">
        <v>34</v>
      </c>
      <c r="AC73" s="155" t="s">
        <v>34</v>
      </c>
      <c r="AD73" s="149" t="s">
        <v>34</v>
      </c>
      <c r="AE73" s="156" t="s">
        <v>34</v>
      </c>
    </row>
    <row r="74" spans="1:31" s="105" customFormat="1" x14ac:dyDescent="0.25">
      <c r="A74" s="94" t="s">
        <v>255</v>
      </c>
      <c r="B74" s="95">
        <v>202</v>
      </c>
      <c r="C74" s="96">
        <v>75.117317199707031</v>
      </c>
      <c r="D74" s="149">
        <v>-8.3644688360736505E-2</v>
      </c>
      <c r="E74" s="150">
        <v>6.5991281852412889E-2</v>
      </c>
      <c r="F74" s="151">
        <v>-1.4212</v>
      </c>
      <c r="G74" s="150" t="s">
        <v>35</v>
      </c>
      <c r="H74" s="152">
        <v>-0.22639999999999999</v>
      </c>
      <c r="I74" s="153">
        <v>0.17039079640637872</v>
      </c>
      <c r="J74" s="149">
        <v>1.2478000000000009</v>
      </c>
      <c r="K74" s="154">
        <v>0.23246692345363812</v>
      </c>
      <c r="L74" s="149">
        <v>2.6690000000000009</v>
      </c>
      <c r="M74" s="154">
        <v>0.23246692345363812</v>
      </c>
      <c r="N74" s="151">
        <v>0.16358152566604139</v>
      </c>
      <c r="O74" s="150">
        <v>0.15068301758664224</v>
      </c>
      <c r="P74" s="152">
        <v>0.5113873375887229</v>
      </c>
      <c r="Q74" s="153">
        <v>0.1391184355421887</v>
      </c>
      <c r="R74" s="149">
        <v>-0.33904440297925442</v>
      </c>
      <c r="S74" s="150">
        <v>0.18233740778485191</v>
      </c>
      <c r="T74" s="152">
        <v>-0.68078359850164005</v>
      </c>
      <c r="U74" s="153">
        <v>0.14255407176753179</v>
      </c>
      <c r="V74" s="149">
        <v>-0.8443651241676815</v>
      </c>
      <c r="W74" s="154">
        <v>0.20797257222213622</v>
      </c>
      <c r="X74" s="151">
        <v>0.50427218619819647</v>
      </c>
      <c r="Y74" s="150">
        <v>9.424601453222381E-2</v>
      </c>
      <c r="Z74" s="152" t="s">
        <v>34</v>
      </c>
      <c r="AA74" s="153" t="s">
        <v>34</v>
      </c>
      <c r="AB74" s="152">
        <v>-0.53973134536823686</v>
      </c>
      <c r="AC74" s="155">
        <v>9.2328623881831204E-2</v>
      </c>
      <c r="AD74" s="149">
        <v>-1.0440035315664333</v>
      </c>
      <c r="AE74" s="156">
        <v>0.12541194097361105</v>
      </c>
    </row>
    <row r="75" spans="1:31" s="105" customFormat="1" x14ac:dyDescent="0.25">
      <c r="A75" s="94" t="s">
        <v>256</v>
      </c>
      <c r="B75" s="95">
        <v>45</v>
      </c>
      <c r="C75" s="96">
        <v>100</v>
      </c>
      <c r="D75" s="149">
        <v>-7.1267818371422806E-2</v>
      </c>
      <c r="E75" s="150">
        <v>9.4589939285498546E-4</v>
      </c>
      <c r="F75" s="151">
        <v>-1.373099999999998</v>
      </c>
      <c r="G75" s="150" t="s">
        <v>35</v>
      </c>
      <c r="H75" s="152">
        <v>2.5899999999999999E-2</v>
      </c>
      <c r="I75" s="153" t="s">
        <v>35</v>
      </c>
      <c r="J75" s="149">
        <v>1.2477999999999989</v>
      </c>
      <c r="K75" s="154" t="s">
        <v>35</v>
      </c>
      <c r="L75" s="149">
        <v>2.6208999999999971</v>
      </c>
      <c r="M75" s="154" t="s">
        <v>35</v>
      </c>
      <c r="N75" s="151">
        <v>0.15103657012278471</v>
      </c>
      <c r="O75" s="150">
        <v>1.2360858416873405E-3</v>
      </c>
      <c r="P75" s="152">
        <v>0.25789901671346271</v>
      </c>
      <c r="Q75" s="153">
        <v>3.5152835190450636E-3</v>
      </c>
      <c r="R75" s="149">
        <v>-8.5241200725463304E-2</v>
      </c>
      <c r="S75" s="150">
        <v>1.7617750346233467E-3</v>
      </c>
      <c r="T75" s="152">
        <v>-0.66121351606352108</v>
      </c>
      <c r="U75" s="153">
        <v>2.395937394774319E-3</v>
      </c>
      <c r="V75" s="149">
        <v>-0.81225008618630579</v>
      </c>
      <c r="W75" s="154">
        <v>2.86159535991977E-3</v>
      </c>
      <c r="X75" s="151">
        <v>0.14144012384194499</v>
      </c>
      <c r="Y75" s="150">
        <v>1.9427602404881091E-4</v>
      </c>
      <c r="Z75" s="152">
        <v>2.9189821147375099E-2</v>
      </c>
      <c r="AA75" s="153">
        <v>1.1313352579753256E-3</v>
      </c>
      <c r="AB75" s="152" t="s">
        <v>34</v>
      </c>
      <c r="AC75" s="155" t="s">
        <v>34</v>
      </c>
      <c r="AD75" s="149">
        <v>-0.11225030269456988</v>
      </c>
      <c r="AE75" s="156">
        <v>1.1300456458150725E-3</v>
      </c>
    </row>
    <row r="76" spans="1:31" s="105" customFormat="1" x14ac:dyDescent="0.25">
      <c r="A76" s="94" t="s">
        <v>257</v>
      </c>
      <c r="B76" s="95">
        <v>190</v>
      </c>
      <c r="C76" s="96">
        <v>99.531219482421875</v>
      </c>
      <c r="D76" s="149">
        <v>-5.5552806539187698E-2</v>
      </c>
      <c r="E76" s="150">
        <v>5.2615168682042295E-2</v>
      </c>
      <c r="F76" s="151">
        <v>-1.4212</v>
      </c>
      <c r="G76" s="150">
        <v>0.2360999999999997</v>
      </c>
      <c r="H76" s="152">
        <v>0.1</v>
      </c>
      <c r="I76" s="153">
        <v>9.5256495841491064E-3</v>
      </c>
      <c r="J76" s="149">
        <v>0.83389999999999997</v>
      </c>
      <c r="K76" s="154">
        <v>0.12486816647969144</v>
      </c>
      <c r="L76" s="149">
        <v>2.2551000000000001</v>
      </c>
      <c r="M76" s="154">
        <v>0.27103536485115703</v>
      </c>
      <c r="N76" s="151">
        <v>0.17687739514639031</v>
      </c>
      <c r="O76" s="150">
        <v>0.12511233621099085</v>
      </c>
      <c r="P76" s="152">
        <v>-9.0270766717424303E-2</v>
      </c>
      <c r="Q76" s="153">
        <v>0.11018559407386067</v>
      </c>
      <c r="R76" s="149">
        <v>-8.1067059544200903E-2</v>
      </c>
      <c r="S76" s="150">
        <v>0.11478605551955541</v>
      </c>
      <c r="T76" s="152">
        <v>-0.22656205536156809</v>
      </c>
      <c r="U76" s="153">
        <v>0.14430879233397581</v>
      </c>
      <c r="V76" s="149">
        <v>-0.40343945050795849</v>
      </c>
      <c r="W76" s="154">
        <v>0.1964221201855651</v>
      </c>
      <c r="X76" s="151">
        <v>-4.0147666162148501E-2</v>
      </c>
      <c r="Y76" s="150">
        <v>5.4626357721405741E-2</v>
      </c>
      <c r="Z76" s="152" t="s">
        <v>34</v>
      </c>
      <c r="AA76" s="153" t="s">
        <v>34</v>
      </c>
      <c r="AB76" s="152">
        <v>-0.34152292634269588</v>
      </c>
      <c r="AC76" s="155">
        <v>0.16753334140134415</v>
      </c>
      <c r="AD76" s="149">
        <v>-0.30137526018054739</v>
      </c>
      <c r="AE76" s="156">
        <v>0.17433574525043771</v>
      </c>
    </row>
    <row r="77" spans="1:31" s="105" customFormat="1" x14ac:dyDescent="0.25">
      <c r="A77" s="94" t="s">
        <v>258</v>
      </c>
      <c r="B77" s="95">
        <v>49</v>
      </c>
      <c r="C77" s="96">
        <v>99.911201477050781</v>
      </c>
      <c r="D77" s="149">
        <v>-0.44162060362660249</v>
      </c>
      <c r="E77" s="150">
        <v>2.2849117656347285E-3</v>
      </c>
      <c r="F77" s="151">
        <v>-1.4211999999999989</v>
      </c>
      <c r="G77" s="150" t="s">
        <v>35</v>
      </c>
      <c r="H77" s="152">
        <v>-0.44129999999999892</v>
      </c>
      <c r="I77" s="153" t="s">
        <v>35</v>
      </c>
      <c r="J77" s="149">
        <v>0.27589999999999998</v>
      </c>
      <c r="K77" s="154" t="s">
        <v>35</v>
      </c>
      <c r="L77" s="149">
        <v>1.6970999999999989</v>
      </c>
      <c r="M77" s="154" t="s">
        <v>35</v>
      </c>
      <c r="N77" s="151">
        <v>3.0776428098517199E-2</v>
      </c>
      <c r="O77" s="150">
        <v>6.7322558482007938E-3</v>
      </c>
      <c r="P77" s="152">
        <v>-0.59779703229990722</v>
      </c>
      <c r="Q77" s="153">
        <v>3.4344867235971228E-3</v>
      </c>
      <c r="R77" s="149">
        <v>-0.54757661677051839</v>
      </c>
      <c r="S77" s="150">
        <v>3.3540578801452238E-3</v>
      </c>
      <c r="T77" s="152">
        <v>-0.63155304022368375</v>
      </c>
      <c r="U77" s="153">
        <v>3.9092987142604081E-3</v>
      </c>
      <c r="V77" s="149">
        <v>-0.66232946832220096</v>
      </c>
      <c r="W77" s="154">
        <v>7.8404695034298404E-3</v>
      </c>
      <c r="X77" s="151">
        <v>-0.29486389307886163</v>
      </c>
      <c r="Y77" s="150">
        <v>3.234478139887054E-3</v>
      </c>
      <c r="Z77" s="152">
        <v>-0.60913860162676625</v>
      </c>
      <c r="AA77" s="153">
        <v>1.8920343375247479E-3</v>
      </c>
      <c r="AB77" s="152">
        <v>-0.64636231059639948</v>
      </c>
      <c r="AC77" s="155">
        <v>7.2278506149107023E-3</v>
      </c>
      <c r="AD77" s="149">
        <v>-0.32563811697881906</v>
      </c>
      <c r="AE77" s="156">
        <v>3.7117384257138327E-3</v>
      </c>
    </row>
    <row r="78" spans="1:31" s="105" customFormat="1" x14ac:dyDescent="0.25">
      <c r="A78" s="94" t="s">
        <v>259</v>
      </c>
      <c r="B78" s="95">
        <v>174</v>
      </c>
      <c r="C78" s="96">
        <v>77.329078674316406</v>
      </c>
      <c r="D78" s="149">
        <v>0.33467508407704288</v>
      </c>
      <c r="E78" s="150">
        <v>7.5129482402627262E-2</v>
      </c>
      <c r="F78" s="151">
        <v>-0.63439999999999985</v>
      </c>
      <c r="G78" s="150">
        <v>0.12751948478565925</v>
      </c>
      <c r="H78" s="152">
        <v>0.42919999999999991</v>
      </c>
      <c r="I78" s="153">
        <v>0.13816201178326842</v>
      </c>
      <c r="J78" s="149">
        <v>1.2478000000000009</v>
      </c>
      <c r="K78" s="154">
        <v>0.12424770822836075</v>
      </c>
      <c r="L78" s="149">
        <v>1.8822000000000008</v>
      </c>
      <c r="M78" s="154">
        <v>0.18144368823411816</v>
      </c>
      <c r="N78" s="151">
        <v>0.37635245621921842</v>
      </c>
      <c r="O78" s="150">
        <v>0.1006259804416305</v>
      </c>
      <c r="P78" s="152">
        <v>0.3557676316365781</v>
      </c>
      <c r="Q78" s="153">
        <v>0.15820409554082235</v>
      </c>
      <c r="R78" s="149">
        <v>0.28884168377462782</v>
      </c>
      <c r="S78" s="150">
        <v>0.18159014701200862</v>
      </c>
      <c r="T78" s="152">
        <v>0.31721356228832709</v>
      </c>
      <c r="U78" s="153">
        <v>0.1531966675194357</v>
      </c>
      <c r="V78" s="149">
        <v>-5.9138893930891202E-2</v>
      </c>
      <c r="W78" s="154">
        <v>0.18478344954168979</v>
      </c>
      <c r="X78" s="151">
        <v>0.33425734194667872</v>
      </c>
      <c r="Y78" s="150">
        <v>7.581033612560914E-2</v>
      </c>
      <c r="Z78" s="152" t="s">
        <v>34</v>
      </c>
      <c r="AA78" s="153" t="s">
        <v>34</v>
      </c>
      <c r="AB78" s="152" t="s">
        <v>34</v>
      </c>
      <c r="AC78" s="155" t="s">
        <v>34</v>
      </c>
      <c r="AD78" s="149" t="s">
        <v>34</v>
      </c>
      <c r="AE78" s="156" t="s">
        <v>34</v>
      </c>
    </row>
    <row r="79" spans="1:31" s="105" customFormat="1" x14ac:dyDescent="0.25">
      <c r="A79" s="94" t="s">
        <v>260</v>
      </c>
      <c r="B79" s="95">
        <v>49</v>
      </c>
      <c r="C79" s="96">
        <v>96.651611328125</v>
      </c>
      <c r="D79" s="149">
        <v>0.22710844624766061</v>
      </c>
      <c r="E79" s="150">
        <v>1.2926593360839287E-3</v>
      </c>
      <c r="F79" s="151">
        <v>-1.2210999999999921</v>
      </c>
      <c r="G79" s="150" t="s">
        <v>35</v>
      </c>
      <c r="H79" s="152">
        <v>3.39E-2</v>
      </c>
      <c r="I79" s="153" t="s">
        <v>35</v>
      </c>
      <c r="J79" s="149">
        <v>1.2322000000000031</v>
      </c>
      <c r="K79" s="154" t="s">
        <v>35</v>
      </c>
      <c r="L79" s="149">
        <v>2.4532999999999952</v>
      </c>
      <c r="M79" s="154" t="s">
        <v>35</v>
      </c>
      <c r="N79" s="151">
        <v>0.31460185437320332</v>
      </c>
      <c r="O79" s="150">
        <v>1.8813048734888501E-3</v>
      </c>
      <c r="P79" s="152">
        <v>0.3306050754377996</v>
      </c>
      <c r="Q79" s="153">
        <v>2.929167131632702E-3</v>
      </c>
      <c r="R79" s="149">
        <v>5.5416945390861901E-2</v>
      </c>
      <c r="S79" s="150">
        <v>1.1280245444055858E-3</v>
      </c>
      <c r="T79" s="152">
        <v>0.21328032211065329</v>
      </c>
      <c r="U79" s="153">
        <v>3.5471046695696846E-3</v>
      </c>
      <c r="V79" s="149">
        <v>-0.10132153226255</v>
      </c>
      <c r="W79" s="154">
        <v>3.8708674635244754E-3</v>
      </c>
      <c r="X79" s="151">
        <v>0.22684796786434719</v>
      </c>
      <c r="Y79" s="150">
        <v>1.2949254002149388E-3</v>
      </c>
      <c r="Z79" s="152" t="s">
        <v>34</v>
      </c>
      <c r="AA79" s="153" t="s">
        <v>34</v>
      </c>
      <c r="AB79" s="152" t="s">
        <v>34</v>
      </c>
      <c r="AC79" s="155" t="s">
        <v>34</v>
      </c>
      <c r="AD79" s="149" t="s">
        <v>34</v>
      </c>
      <c r="AE79" s="156" t="s">
        <v>34</v>
      </c>
    </row>
    <row r="80" spans="1:31" s="105" customFormat="1" x14ac:dyDescent="0.25">
      <c r="A80" s="94" t="s">
        <v>261</v>
      </c>
      <c r="B80" s="95">
        <v>173</v>
      </c>
      <c r="C80" s="96">
        <v>96.38726806640625</v>
      </c>
      <c r="D80" s="149">
        <v>1.003520991099591</v>
      </c>
      <c r="E80" s="150">
        <v>8.2211377532637839E-2</v>
      </c>
      <c r="F80" s="151">
        <v>-0.28050000000000003</v>
      </c>
      <c r="G80" s="150">
        <v>0.21551097071843012</v>
      </c>
      <c r="H80" s="152">
        <v>1.232500000000001</v>
      </c>
      <c r="I80" s="153">
        <v>0.203687872736695</v>
      </c>
      <c r="J80" s="149">
        <v>2.186100000000001</v>
      </c>
      <c r="K80" s="154">
        <v>0.10414452217951671</v>
      </c>
      <c r="L80" s="149">
        <v>2.466600000000001</v>
      </c>
      <c r="M80" s="154">
        <v>0.24607481992272143</v>
      </c>
      <c r="N80" s="151">
        <v>1.1763854914384591</v>
      </c>
      <c r="O80" s="150">
        <v>0.15554149147251783</v>
      </c>
      <c r="P80" s="152">
        <v>1.3585485669412449</v>
      </c>
      <c r="Q80" s="153">
        <v>0.21238813542089705</v>
      </c>
      <c r="R80" s="149">
        <v>1.0270779132932979</v>
      </c>
      <c r="S80" s="150">
        <v>0.20093705056292877</v>
      </c>
      <c r="T80" s="152">
        <v>0.45469656163603089</v>
      </c>
      <c r="U80" s="153">
        <v>0.16675297171365847</v>
      </c>
      <c r="V80" s="149">
        <v>-0.7216889298024286</v>
      </c>
      <c r="W80" s="154">
        <v>0.22888034754382577</v>
      </c>
      <c r="X80" s="151">
        <v>1.136723436930793</v>
      </c>
      <c r="Y80" s="150">
        <v>8.220980237302726E-2</v>
      </c>
      <c r="Z80" s="152" t="s">
        <v>34</v>
      </c>
      <c r="AA80" s="153" t="s">
        <v>34</v>
      </c>
      <c r="AB80" s="152">
        <v>-0.93647219993539765</v>
      </c>
      <c r="AC80" s="155">
        <v>0.17604245403027358</v>
      </c>
      <c r="AD80" s="149">
        <v>-2.0731956368661906</v>
      </c>
      <c r="AE80" s="156">
        <v>0.18532678708261174</v>
      </c>
    </row>
    <row r="81" spans="1:31" s="105" customFormat="1" x14ac:dyDescent="0.25">
      <c r="A81" s="94" t="s">
        <v>262</v>
      </c>
      <c r="B81" s="95">
        <v>83</v>
      </c>
      <c r="C81" s="96">
        <v>71.055572509765625</v>
      </c>
      <c r="D81" s="149">
        <v>0.42239417867548062</v>
      </c>
      <c r="E81" s="150">
        <v>3.0183383721411145E-3</v>
      </c>
      <c r="F81" s="151">
        <v>-1.4211999999999989</v>
      </c>
      <c r="G81" s="150" t="s">
        <v>35</v>
      </c>
      <c r="H81" s="152">
        <v>0.46979999999999961</v>
      </c>
      <c r="I81" s="153" t="s">
        <v>35</v>
      </c>
      <c r="J81" s="149">
        <v>1.9315</v>
      </c>
      <c r="K81" s="154" t="s">
        <v>35</v>
      </c>
      <c r="L81" s="149">
        <v>3.3526999999999987</v>
      </c>
      <c r="M81" s="154" t="s">
        <v>35</v>
      </c>
      <c r="N81" s="151">
        <v>0.47917480712987082</v>
      </c>
      <c r="O81" s="150">
        <v>4.1910178953961158E-3</v>
      </c>
      <c r="P81" s="152">
        <v>0.7046899920349573</v>
      </c>
      <c r="Q81" s="153">
        <v>3.5838197591497732E-3</v>
      </c>
      <c r="R81" s="149">
        <v>0.46992272578383132</v>
      </c>
      <c r="S81" s="150">
        <v>3.2040788785497897E-3</v>
      </c>
      <c r="T81" s="152">
        <v>2.9607000349902698E-2</v>
      </c>
      <c r="U81" s="153">
        <v>9.4848009302231518E-3</v>
      </c>
      <c r="V81" s="149">
        <v>-0.4495678067799681</v>
      </c>
      <c r="W81" s="154">
        <v>1.0351391386933037E-2</v>
      </c>
      <c r="X81" s="151">
        <v>0.4444455022908807</v>
      </c>
      <c r="Y81" s="150">
        <v>3.1459684156231785E-3</v>
      </c>
      <c r="Z81" s="152" t="s">
        <v>34</v>
      </c>
      <c r="AA81" s="153" t="s">
        <v>34</v>
      </c>
      <c r="AB81" s="152">
        <v>-0.93278481162804006</v>
      </c>
      <c r="AC81" s="155">
        <v>1.6911538275098954E-2</v>
      </c>
      <c r="AD81" s="149">
        <v>-1.3772303139189208</v>
      </c>
      <c r="AE81" s="156">
        <v>1.780406665753179E-2</v>
      </c>
    </row>
    <row r="82" spans="1:31" s="105" customFormat="1" x14ac:dyDescent="0.25">
      <c r="A82" s="94" t="s">
        <v>263</v>
      </c>
      <c r="B82" s="95">
        <v>141</v>
      </c>
      <c r="C82" s="96">
        <v>69.820892333984375</v>
      </c>
      <c r="D82" s="149">
        <v>0.49666092042369753</v>
      </c>
      <c r="E82" s="150">
        <v>6.6158238879343675E-2</v>
      </c>
      <c r="F82" s="151">
        <v>-1.4211999999999989</v>
      </c>
      <c r="G82" s="150">
        <v>0.21117425979507934</v>
      </c>
      <c r="H82" s="152">
        <v>0.45909999999999979</v>
      </c>
      <c r="I82" s="153">
        <v>1.9791513332739246E-2</v>
      </c>
      <c r="J82" s="149">
        <v>2.1432000000000011</v>
      </c>
      <c r="K82" s="154">
        <v>0.31692202195492974</v>
      </c>
      <c r="L82" s="149">
        <v>3.5644</v>
      </c>
      <c r="M82" s="154">
        <v>0.39115837201829251</v>
      </c>
      <c r="N82" s="151">
        <v>1.183094696713904</v>
      </c>
      <c r="O82" s="150">
        <v>0.19205805810889862</v>
      </c>
      <c r="P82" s="152">
        <v>0.73798653455057173</v>
      </c>
      <c r="Q82" s="153">
        <v>0.13097675655926175</v>
      </c>
      <c r="R82" s="149">
        <v>0.3481083183353787</v>
      </c>
      <c r="S82" s="150">
        <v>0.14282300644627557</v>
      </c>
      <c r="T82" s="152">
        <v>-0.32185642112952167</v>
      </c>
      <c r="U82" s="153">
        <v>0.17969188055474147</v>
      </c>
      <c r="V82" s="149">
        <v>-1.5049511178434261</v>
      </c>
      <c r="W82" s="154">
        <v>0.26649222557356173</v>
      </c>
      <c r="X82" s="151">
        <v>0.83371675096633591</v>
      </c>
      <c r="Y82" s="150">
        <v>5.41563601660782E-2</v>
      </c>
      <c r="Z82" s="152" t="s">
        <v>34</v>
      </c>
      <c r="AA82" s="153" t="s">
        <v>34</v>
      </c>
      <c r="AB82" s="152">
        <v>-0.82897807583372374</v>
      </c>
      <c r="AC82" s="155">
        <v>0.13398079706988705</v>
      </c>
      <c r="AD82" s="149">
        <v>-1.6626948268000596</v>
      </c>
      <c r="AE82" s="156">
        <v>0.14589859011946266</v>
      </c>
    </row>
    <row r="83" spans="1:31" s="105" customFormat="1" x14ac:dyDescent="0.25">
      <c r="A83" s="94" t="s">
        <v>264</v>
      </c>
      <c r="B83" s="95">
        <v>323</v>
      </c>
      <c r="C83" s="96">
        <v>97.6805419921875</v>
      </c>
      <c r="D83" s="149">
        <v>0.62564648773894738</v>
      </c>
      <c r="E83" s="150">
        <v>5.5919559391420681E-2</v>
      </c>
      <c r="F83" s="151">
        <v>-1.4212</v>
      </c>
      <c r="G83" s="150">
        <v>0.38038230308467286</v>
      </c>
      <c r="H83" s="152">
        <v>0.61909999999999998</v>
      </c>
      <c r="I83" s="153">
        <v>0.17242809370865284</v>
      </c>
      <c r="J83" s="149">
        <v>2.1432000000000002</v>
      </c>
      <c r="K83" s="154">
        <v>4.110018248134667E-2</v>
      </c>
      <c r="L83" s="149">
        <v>3.5644</v>
      </c>
      <c r="M83" s="154">
        <v>0.37574670923376019</v>
      </c>
      <c r="N83" s="151">
        <v>1.2198003248527289</v>
      </c>
      <c r="O83" s="150">
        <v>9.2101540237362223E-2</v>
      </c>
      <c r="P83" s="152">
        <v>0.92903143473707916</v>
      </c>
      <c r="Q83" s="153">
        <v>0.12068957659423989</v>
      </c>
      <c r="R83" s="149">
        <v>0.72438924303672481</v>
      </c>
      <c r="S83" s="150">
        <v>0.14195508039883592</v>
      </c>
      <c r="T83" s="152">
        <v>-0.38072287158766488</v>
      </c>
      <c r="U83" s="153">
        <v>0.13656402791105732</v>
      </c>
      <c r="V83" s="149">
        <v>-1.6005231964403941</v>
      </c>
      <c r="W83" s="154">
        <v>0.15844029418422031</v>
      </c>
      <c r="X83" s="151">
        <v>1.0058959660464679</v>
      </c>
      <c r="Y83" s="150">
        <v>5.8193223392807206E-2</v>
      </c>
      <c r="Z83" s="152" t="s">
        <v>34</v>
      </c>
      <c r="AA83" s="153" t="s">
        <v>34</v>
      </c>
      <c r="AB83" s="152">
        <v>-0.57434503123532266</v>
      </c>
      <c r="AC83" s="155">
        <v>0.10193783713747497</v>
      </c>
      <c r="AD83" s="149">
        <v>-1.5802409972817906</v>
      </c>
      <c r="AE83" s="156">
        <v>0.11410063056815549</v>
      </c>
    </row>
    <row r="84" spans="1:31" s="105" customFormat="1" x14ac:dyDescent="0.25">
      <c r="A84" s="94" t="s">
        <v>265</v>
      </c>
      <c r="B84" s="95">
        <v>186</v>
      </c>
      <c r="C84" s="96">
        <v>99.705375671386719</v>
      </c>
      <c r="D84" s="149">
        <v>0.7116680246443633</v>
      </c>
      <c r="E84" s="150">
        <v>6.5975451216491107E-2</v>
      </c>
      <c r="F84" s="151">
        <v>-0.68840000000000057</v>
      </c>
      <c r="G84" s="150">
        <v>0.34382601123242507</v>
      </c>
      <c r="H84" s="152">
        <v>0.78890000000000071</v>
      </c>
      <c r="I84" s="153">
        <v>0.11109395123047958</v>
      </c>
      <c r="J84" s="149">
        <v>2.1432000000000011</v>
      </c>
      <c r="K84" s="154">
        <v>0.21048410628833766</v>
      </c>
      <c r="L84" s="149">
        <v>2.8316000000000017</v>
      </c>
      <c r="M84" s="154">
        <v>0.37182012721206986</v>
      </c>
      <c r="N84" s="151">
        <v>1.0986442779656169</v>
      </c>
      <c r="O84" s="150">
        <v>0.17039699187940444</v>
      </c>
      <c r="P84" s="152">
        <v>1.132851565062742</v>
      </c>
      <c r="Q84" s="153">
        <v>0.16378679363531201</v>
      </c>
      <c r="R84" s="149">
        <v>0.80391824094264208</v>
      </c>
      <c r="S84" s="150">
        <v>0.20674940127290417</v>
      </c>
      <c r="T84" s="152">
        <v>-0.1829805776586331</v>
      </c>
      <c r="U84" s="153">
        <v>0.14578771171784904</v>
      </c>
      <c r="V84" s="149">
        <v>-1.28162485562425</v>
      </c>
      <c r="W84" s="154">
        <v>0.23344551504906422</v>
      </c>
      <c r="X84" s="151">
        <v>0.98413470584765461</v>
      </c>
      <c r="Y84" s="150">
        <v>6.8416357926526741E-2</v>
      </c>
      <c r="Z84" s="152">
        <v>-0.24424378207965741</v>
      </c>
      <c r="AA84" s="153">
        <v>0.12652032959445961</v>
      </c>
      <c r="AB84" s="152">
        <v>-0.94027065364452511</v>
      </c>
      <c r="AC84" s="155">
        <v>0.20245624856630881</v>
      </c>
      <c r="AD84" s="149">
        <v>-1.560787899151598</v>
      </c>
      <c r="AE84" s="156">
        <v>0.15623598400368516</v>
      </c>
    </row>
    <row r="85" spans="1:31" s="105" customFormat="1" x14ac:dyDescent="0.25">
      <c r="A85" s="94" t="s">
        <v>266</v>
      </c>
      <c r="B85" s="95">
        <v>137</v>
      </c>
      <c r="C85" s="96">
        <v>86.319252014160156</v>
      </c>
      <c r="D85" s="149">
        <v>-1.055460292760636</v>
      </c>
      <c r="E85" s="150">
        <v>1.0532307606988056E-3</v>
      </c>
      <c r="F85" s="151">
        <v>-1.4211999999999989</v>
      </c>
      <c r="G85" s="150" t="s">
        <v>35</v>
      </c>
      <c r="H85" s="152">
        <v>-1.4211999999999989</v>
      </c>
      <c r="I85" s="153" t="s">
        <v>35</v>
      </c>
      <c r="J85" s="149">
        <v>6.8599999999999994E-2</v>
      </c>
      <c r="K85" s="154" t="s">
        <v>35</v>
      </c>
      <c r="L85" s="149">
        <v>1.4897999999999989</v>
      </c>
      <c r="M85" s="154" t="s">
        <v>35</v>
      </c>
      <c r="N85" s="151">
        <v>-1.0808118481580911</v>
      </c>
      <c r="O85" s="150">
        <v>1.7015027897013012E-3</v>
      </c>
      <c r="P85" s="152">
        <v>-1.1571680042121251</v>
      </c>
      <c r="Q85" s="153">
        <v>1.2871273336848416E-3</v>
      </c>
      <c r="R85" s="149">
        <v>-0.95692756167706738</v>
      </c>
      <c r="S85" s="150">
        <v>1.9784983812311365E-3</v>
      </c>
      <c r="T85" s="152">
        <v>-1.0200450636379119</v>
      </c>
      <c r="U85" s="153">
        <v>2.9661409187012704E-3</v>
      </c>
      <c r="V85" s="149">
        <v>6.0766784520179598E-2</v>
      </c>
      <c r="W85" s="154">
        <v>3.1939950908885322E-3</v>
      </c>
      <c r="X85" s="151">
        <v>-1.0761311308178909</v>
      </c>
      <c r="Y85" s="150">
        <v>1.2227403589197875E-3</v>
      </c>
      <c r="Z85" s="152" t="s">
        <v>34</v>
      </c>
      <c r="AA85" s="153" t="s">
        <v>34</v>
      </c>
      <c r="AB85" s="152">
        <v>-1.028196673544046</v>
      </c>
      <c r="AC85" s="155">
        <v>1.7719793958153594E-3</v>
      </c>
      <c r="AD85" s="149">
        <v>4.7934457273844933E-2</v>
      </c>
      <c r="AE85" s="156">
        <v>2.1479667318380475E-3</v>
      </c>
    </row>
    <row r="86" spans="1:31" s="105" customFormat="1" x14ac:dyDescent="0.25">
      <c r="A86" s="94" t="s">
        <v>267</v>
      </c>
      <c r="B86" s="95">
        <v>141</v>
      </c>
      <c r="C86" s="96">
        <v>93.061271667480469</v>
      </c>
      <c r="D86" s="149">
        <v>0.36229052671384249</v>
      </c>
      <c r="E86" s="150">
        <v>7.7739759920972595E-2</v>
      </c>
      <c r="F86" s="151">
        <v>-0.69239999999999957</v>
      </c>
      <c r="G86" s="150">
        <v>0.53960423182180484</v>
      </c>
      <c r="H86" s="152">
        <v>0.42919999999999991</v>
      </c>
      <c r="I86" s="153">
        <v>0.13949652325416581</v>
      </c>
      <c r="J86" s="149">
        <v>1.5740000000000001</v>
      </c>
      <c r="K86" s="154">
        <v>0.31281226318672412</v>
      </c>
      <c r="L86" s="149">
        <v>2.2663999999999995</v>
      </c>
      <c r="M86" s="154">
        <v>0.56382118087209199</v>
      </c>
      <c r="N86" s="151">
        <v>0.41351549144941718</v>
      </c>
      <c r="O86" s="150">
        <v>0.14531114588797067</v>
      </c>
      <c r="P86" s="152">
        <v>0.41559290022538858</v>
      </c>
      <c r="Q86" s="153">
        <v>0.20502475485342622</v>
      </c>
      <c r="R86" s="149">
        <v>0.58773320379377669</v>
      </c>
      <c r="S86" s="150">
        <v>0.20303001030687157</v>
      </c>
      <c r="T86" s="152">
        <v>3.3013810071040803E-2</v>
      </c>
      <c r="U86" s="153">
        <v>0.22082794666639186</v>
      </c>
      <c r="V86" s="149">
        <v>-0.38050168137837642</v>
      </c>
      <c r="W86" s="154">
        <v>0.29254073581880519</v>
      </c>
      <c r="X86" s="151">
        <v>0.36977432873502458</v>
      </c>
      <c r="Y86" s="150">
        <v>8.0576119247192324E-2</v>
      </c>
      <c r="Z86" s="152" t="s">
        <v>34</v>
      </c>
      <c r="AA86" s="153" t="s">
        <v>34</v>
      </c>
      <c r="AB86" s="152" t="s">
        <v>34</v>
      </c>
      <c r="AC86" s="155" t="s">
        <v>34</v>
      </c>
      <c r="AD86" s="149" t="s">
        <v>34</v>
      </c>
      <c r="AE86" s="156" t="s">
        <v>34</v>
      </c>
    </row>
    <row r="87" spans="1:31" s="105" customFormat="1" x14ac:dyDescent="0.25">
      <c r="A87" s="94" t="s">
        <v>268</v>
      </c>
      <c r="B87" s="95">
        <v>235</v>
      </c>
      <c r="C87" s="96">
        <v>91.496650695800781</v>
      </c>
      <c r="D87" s="149">
        <v>0.29866952576391398</v>
      </c>
      <c r="E87" s="150">
        <v>8.2446665636508806E-2</v>
      </c>
      <c r="F87" s="151">
        <v>-1.4211999999999989</v>
      </c>
      <c r="G87" s="150">
        <v>6.0809419444881176E-16</v>
      </c>
      <c r="H87" s="152">
        <v>0.30659999999999998</v>
      </c>
      <c r="I87" s="153">
        <v>0.28713092135818458</v>
      </c>
      <c r="J87" s="149">
        <v>1.7773000000000001</v>
      </c>
      <c r="K87" s="154">
        <v>0.22516443213793752</v>
      </c>
      <c r="L87" s="149">
        <v>3.1984999999999992</v>
      </c>
      <c r="M87" s="154">
        <v>0.2251644321379371</v>
      </c>
      <c r="N87" s="151">
        <v>0.59265398551059212</v>
      </c>
      <c r="O87" s="150">
        <v>0.15224367321125451</v>
      </c>
      <c r="P87" s="152">
        <v>0.4096374789082643</v>
      </c>
      <c r="Q87" s="153">
        <v>0.15183589636841049</v>
      </c>
      <c r="R87" s="149">
        <v>0.42192144335008258</v>
      </c>
      <c r="S87" s="150">
        <v>0.20380495330496387</v>
      </c>
      <c r="T87" s="152">
        <v>-0.24326789381483979</v>
      </c>
      <c r="U87" s="153">
        <v>0.21428012212738873</v>
      </c>
      <c r="V87" s="149">
        <v>-0.83592187932543194</v>
      </c>
      <c r="W87" s="154">
        <v>0.28741373484158445</v>
      </c>
      <c r="X87" s="151">
        <v>0.29866952576391398</v>
      </c>
      <c r="Y87" s="150">
        <v>8.2446665636508806E-2</v>
      </c>
      <c r="Z87" s="152" t="s">
        <v>34</v>
      </c>
      <c r="AA87" s="153" t="s">
        <v>34</v>
      </c>
      <c r="AB87" s="152" t="s">
        <v>34</v>
      </c>
      <c r="AC87" s="155" t="s">
        <v>34</v>
      </c>
      <c r="AD87" s="149" t="s">
        <v>34</v>
      </c>
      <c r="AE87" s="156" t="s">
        <v>34</v>
      </c>
    </row>
    <row r="88" spans="1:31" s="105" customFormat="1" x14ac:dyDescent="0.25">
      <c r="A88" s="94" t="s">
        <v>269</v>
      </c>
      <c r="B88" s="95">
        <v>169</v>
      </c>
      <c r="C88" s="96">
        <v>80.722206115722656</v>
      </c>
      <c r="D88" s="149">
        <v>0.40720355070070602</v>
      </c>
      <c r="E88" s="150">
        <v>0.10117187717893793</v>
      </c>
      <c r="F88" s="151">
        <v>-1.4212</v>
      </c>
      <c r="G88" s="150" t="s">
        <v>35</v>
      </c>
      <c r="H88" s="152">
        <v>0.1</v>
      </c>
      <c r="I88" s="153">
        <v>0.11504282463500277</v>
      </c>
      <c r="J88" s="149">
        <v>2.186100000000001</v>
      </c>
      <c r="K88" s="154">
        <v>0.62302009758915333</v>
      </c>
      <c r="L88" s="149">
        <v>3.6073000000000013</v>
      </c>
      <c r="M88" s="154">
        <v>0.62302009758915322</v>
      </c>
      <c r="N88" s="151">
        <v>0.61269535190945479</v>
      </c>
      <c r="O88" s="150">
        <v>0.25202178647725898</v>
      </c>
      <c r="P88" s="152">
        <v>0.71222782651229855</v>
      </c>
      <c r="Q88" s="153">
        <v>0.24927774440951153</v>
      </c>
      <c r="R88" s="149">
        <v>0.44444878401041382</v>
      </c>
      <c r="S88" s="150">
        <v>0.28664801881945073</v>
      </c>
      <c r="T88" s="152">
        <v>-0.13562841825767849</v>
      </c>
      <c r="U88" s="153">
        <v>0.23147664891960162</v>
      </c>
      <c r="V88" s="149">
        <v>-0.74832377016713325</v>
      </c>
      <c r="W88" s="154">
        <v>0.34781328393902994</v>
      </c>
      <c r="X88" s="151">
        <v>0.54288961240820122</v>
      </c>
      <c r="Y88" s="150">
        <v>0.10898407347452048</v>
      </c>
      <c r="Z88" s="152" t="s">
        <v>34</v>
      </c>
      <c r="AA88" s="153" t="s">
        <v>34</v>
      </c>
      <c r="AB88" s="152">
        <v>-0.54150959056563186</v>
      </c>
      <c r="AC88" s="155">
        <v>0.24780882292327622</v>
      </c>
      <c r="AD88" s="149">
        <v>-1.0843992029738332</v>
      </c>
      <c r="AE88" s="156">
        <v>0.27582616981278696</v>
      </c>
    </row>
    <row r="89" spans="1:31" s="105" customFormat="1" x14ac:dyDescent="0.25">
      <c r="A89" s="94" t="s">
        <v>270</v>
      </c>
      <c r="B89" s="95">
        <v>177</v>
      </c>
      <c r="C89" s="96">
        <v>98.513496398925781</v>
      </c>
      <c r="D89" s="149">
        <v>0.26384284030841731</v>
      </c>
      <c r="E89" s="150">
        <v>5.1233858849676468E-2</v>
      </c>
      <c r="F89" s="151">
        <v>-0.50120000000000042</v>
      </c>
      <c r="G89" s="150">
        <v>0.1128452901099551</v>
      </c>
      <c r="H89" s="152">
        <v>-1.34E-2</v>
      </c>
      <c r="I89" s="153">
        <v>3.3630298838993385E-2</v>
      </c>
      <c r="J89" s="149">
        <v>1.2806</v>
      </c>
      <c r="K89" s="154">
        <v>4.8096652690181492E-2</v>
      </c>
      <c r="L89" s="149">
        <v>1.7818000000000005</v>
      </c>
      <c r="M89" s="154">
        <v>0.12070904481437945</v>
      </c>
      <c r="N89" s="151">
        <v>0.51985330007116437</v>
      </c>
      <c r="O89" s="150">
        <v>9.2490534300842128E-2</v>
      </c>
      <c r="P89" s="152">
        <v>0.2224182411920014</v>
      </c>
      <c r="Q89" s="153">
        <v>9.996633341847784E-2</v>
      </c>
      <c r="R89" s="149">
        <v>0.16479468658308949</v>
      </c>
      <c r="S89" s="150">
        <v>9.276402785399053E-2</v>
      </c>
      <c r="T89" s="152">
        <v>0.14362457158297209</v>
      </c>
      <c r="U89" s="153">
        <v>0.11441540971469372</v>
      </c>
      <c r="V89" s="149">
        <v>-0.37622872848819228</v>
      </c>
      <c r="W89" s="154">
        <v>0.1433747409240316</v>
      </c>
      <c r="X89" s="151">
        <v>0.2867620786730159</v>
      </c>
      <c r="Y89" s="150">
        <v>5.1340809989030782E-2</v>
      </c>
      <c r="Z89" s="152" t="s">
        <v>34</v>
      </c>
      <c r="AA89" s="153" t="s">
        <v>34</v>
      </c>
      <c r="AB89" s="152">
        <v>-0.42230230340953218</v>
      </c>
      <c r="AC89" s="155">
        <v>7.6028115514766695E-2</v>
      </c>
      <c r="AD89" s="149">
        <v>-0.70906438208254807</v>
      </c>
      <c r="AE89" s="156">
        <v>8.8328329970805738E-2</v>
      </c>
    </row>
    <row r="90" spans="1:31" s="105" customFormat="1" x14ac:dyDescent="0.25">
      <c r="A90" s="94" t="s">
        <v>271</v>
      </c>
      <c r="B90" s="95">
        <v>166</v>
      </c>
      <c r="C90" s="96">
        <v>100</v>
      </c>
      <c r="D90" s="149">
        <v>-1.0728255496807551</v>
      </c>
      <c r="E90" s="150">
        <v>1.0543022354496936E-2</v>
      </c>
      <c r="F90" s="151">
        <v>-1.4212</v>
      </c>
      <c r="G90" s="150" t="s">
        <v>35</v>
      </c>
      <c r="H90" s="152">
        <v>-1.4211999999999989</v>
      </c>
      <c r="I90" s="153" t="s">
        <v>35</v>
      </c>
      <c r="J90" s="149">
        <v>-0.28050000000000003</v>
      </c>
      <c r="K90" s="154" t="s">
        <v>35</v>
      </c>
      <c r="L90" s="149">
        <v>1.1407</v>
      </c>
      <c r="M90" s="154" t="s">
        <v>35</v>
      </c>
      <c r="N90" s="151">
        <v>-1.0250326451779479</v>
      </c>
      <c r="O90" s="150">
        <v>6.5863260929760062E-3</v>
      </c>
      <c r="P90" s="152">
        <v>-0.9433360185963342</v>
      </c>
      <c r="Q90" s="153">
        <v>2.906704959486283E-2</v>
      </c>
      <c r="R90" s="149">
        <v>-1.08194710377291</v>
      </c>
      <c r="S90" s="150">
        <v>1.6001995452683181E-2</v>
      </c>
      <c r="T90" s="152">
        <v>-1.242378683223996</v>
      </c>
      <c r="U90" s="153">
        <v>2.3265323955158176E-2</v>
      </c>
      <c r="V90" s="149">
        <v>-0.21734603804604749</v>
      </c>
      <c r="W90" s="154">
        <v>2.255904961808736E-2</v>
      </c>
      <c r="X90" s="151">
        <v>-1.068093093863371</v>
      </c>
      <c r="Y90" s="150">
        <v>2.1019027582129973E-3</v>
      </c>
      <c r="Z90" s="152" t="s">
        <v>34</v>
      </c>
      <c r="AA90" s="153" t="s">
        <v>34</v>
      </c>
      <c r="AB90" s="152">
        <v>-1.19510173912732</v>
      </c>
      <c r="AC90" s="155">
        <v>0.13361993981922166</v>
      </c>
      <c r="AD90" s="149">
        <v>-0.12700864526394895</v>
      </c>
      <c r="AE90" s="156">
        <v>0.1338902823955925</v>
      </c>
    </row>
    <row r="91" spans="1:31" s="105" customFormat="1" x14ac:dyDescent="0.25">
      <c r="A91" s="94" t="s">
        <v>272</v>
      </c>
      <c r="B91" s="95">
        <v>185</v>
      </c>
      <c r="C91" s="96">
        <v>96.139122009277344</v>
      </c>
      <c r="D91" s="149">
        <v>-0.17461264595477341</v>
      </c>
      <c r="E91" s="150">
        <v>6.2051136173781697E-2</v>
      </c>
      <c r="F91" s="151">
        <v>-1.4211999999999989</v>
      </c>
      <c r="G91" s="150" t="s">
        <v>35</v>
      </c>
      <c r="H91" s="152">
        <v>5.7399999999999902E-2</v>
      </c>
      <c r="I91" s="153">
        <v>0.20533866903240591</v>
      </c>
      <c r="J91" s="149">
        <v>0.62989999999999946</v>
      </c>
      <c r="K91" s="154">
        <v>0.19423925066783021</v>
      </c>
      <c r="L91" s="149">
        <v>2.0510999999999981</v>
      </c>
      <c r="M91" s="154">
        <v>0.19423925066783063</v>
      </c>
      <c r="N91" s="151">
        <v>-0.15380995124362809</v>
      </c>
      <c r="O91" s="150">
        <v>0.13090036505490402</v>
      </c>
      <c r="P91" s="152">
        <v>-9.4458447296914605E-2</v>
      </c>
      <c r="Q91" s="153">
        <v>0.13022151560610656</v>
      </c>
      <c r="R91" s="149">
        <v>-0.14098477080987129</v>
      </c>
      <c r="S91" s="150">
        <v>0.18318039191914059</v>
      </c>
      <c r="T91" s="152">
        <v>-0.31099162167964489</v>
      </c>
      <c r="U91" s="153">
        <v>0.13727067657293812</v>
      </c>
      <c r="V91" s="149">
        <v>-0.1571816704360168</v>
      </c>
      <c r="W91" s="154">
        <v>0.18456586006270997</v>
      </c>
      <c r="X91" s="151">
        <v>-0.17558088490779311</v>
      </c>
      <c r="Y91" s="150">
        <v>8.567373147844777E-2</v>
      </c>
      <c r="Z91" s="152">
        <v>-3.09907232776035E-2</v>
      </c>
      <c r="AA91" s="153">
        <v>0.15760574381527773</v>
      </c>
      <c r="AB91" s="152">
        <v>-0.3306501896168732</v>
      </c>
      <c r="AC91" s="155">
        <v>0.10334329853341875</v>
      </c>
      <c r="AD91" s="149">
        <v>-4.8082713440430802E-2</v>
      </c>
      <c r="AE91" s="156">
        <v>0.1175106800913702</v>
      </c>
    </row>
    <row r="92" spans="1:31" s="105" customFormat="1" x14ac:dyDescent="0.25">
      <c r="A92" s="94" t="s">
        <v>273</v>
      </c>
      <c r="B92" s="95">
        <v>204</v>
      </c>
      <c r="C92" s="96">
        <v>92.950508117675781</v>
      </c>
      <c r="D92" s="149">
        <v>0.4279447195779657</v>
      </c>
      <c r="E92" s="150">
        <v>8.3039318568286377E-2</v>
      </c>
      <c r="F92" s="151">
        <v>-1.4211999999999989</v>
      </c>
      <c r="G92" s="150" t="s">
        <v>35</v>
      </c>
      <c r="H92" s="152">
        <v>0.46979999999999972</v>
      </c>
      <c r="I92" s="153">
        <v>9.5009065356943728E-2</v>
      </c>
      <c r="J92" s="149">
        <v>1.9220999999999999</v>
      </c>
      <c r="K92" s="154">
        <v>0.27295679053652411</v>
      </c>
      <c r="L92" s="149">
        <v>3.3432999999999988</v>
      </c>
      <c r="M92" s="154">
        <v>0.27295679053652411</v>
      </c>
      <c r="N92" s="151">
        <v>0.96359851384256734</v>
      </c>
      <c r="O92" s="150">
        <v>0.16942542809138797</v>
      </c>
      <c r="P92" s="152">
        <v>0.6695754098355049</v>
      </c>
      <c r="Q92" s="153">
        <v>0.16539759540295762</v>
      </c>
      <c r="R92" s="149">
        <v>0.46184311507229853</v>
      </c>
      <c r="S92" s="150">
        <v>0.16629339486962311</v>
      </c>
      <c r="T92" s="152">
        <v>-0.40650930233531379</v>
      </c>
      <c r="U92" s="153">
        <v>0.19076034516856655</v>
      </c>
      <c r="V92" s="149">
        <v>-1.370107816177881</v>
      </c>
      <c r="W92" s="154">
        <v>0.26141342955225899</v>
      </c>
      <c r="X92" s="151">
        <v>0.56018999986592266</v>
      </c>
      <c r="Y92" s="150">
        <v>8.6352234975894823E-2</v>
      </c>
      <c r="Z92" s="152">
        <v>0.17800157472035669</v>
      </c>
      <c r="AA92" s="153">
        <v>0.23529892188370796</v>
      </c>
      <c r="AB92" s="152">
        <v>-0.71328910814569835</v>
      </c>
      <c r="AC92" s="155">
        <v>0.25856946059690977</v>
      </c>
      <c r="AD92" s="149">
        <v>-0.79042522275045113</v>
      </c>
      <c r="AE92" s="156">
        <v>0.22387019038879188</v>
      </c>
    </row>
    <row r="93" spans="1:31" s="105" customFormat="1" x14ac:dyDescent="0.25">
      <c r="A93" s="94" t="s">
        <v>274</v>
      </c>
      <c r="B93" s="95">
        <v>250</v>
      </c>
      <c r="C93" s="96">
        <v>100</v>
      </c>
      <c r="D93" s="149">
        <v>0.74691546875869974</v>
      </c>
      <c r="E93" s="150">
        <v>6.3284413763707026E-2</v>
      </c>
      <c r="F93" s="151">
        <v>-0.23760000000000001</v>
      </c>
      <c r="G93" s="150">
        <v>3.9247178242518159E-2</v>
      </c>
      <c r="H93" s="152">
        <v>0.80059999999999965</v>
      </c>
      <c r="I93" s="153">
        <v>4.7875484331754023E-2</v>
      </c>
      <c r="J93" s="149">
        <v>1.77</v>
      </c>
      <c r="K93" s="154">
        <v>0.25368960266435764</v>
      </c>
      <c r="L93" s="149">
        <v>2.0076000000000001</v>
      </c>
      <c r="M93" s="154">
        <v>0.26651576219803513</v>
      </c>
      <c r="N93" s="151">
        <v>0.81148205160052045</v>
      </c>
      <c r="O93" s="150">
        <v>0.13362453516578579</v>
      </c>
      <c r="P93" s="152">
        <v>0.72076042384926342</v>
      </c>
      <c r="Q93" s="153">
        <v>0.14115586363696564</v>
      </c>
      <c r="R93" s="149">
        <v>0.76497667798843172</v>
      </c>
      <c r="S93" s="150">
        <v>0.13958855023958117</v>
      </c>
      <c r="T93" s="152">
        <v>0.68815345152686036</v>
      </c>
      <c r="U93" s="153">
        <v>0.16253775052434843</v>
      </c>
      <c r="V93" s="149">
        <v>-0.1233286000736601</v>
      </c>
      <c r="W93" s="154">
        <v>0.19433235467900481</v>
      </c>
      <c r="X93" s="151">
        <v>0.75643506912534864</v>
      </c>
      <c r="Y93" s="150">
        <v>6.2406292937223454E-2</v>
      </c>
      <c r="Z93" s="152" t="s">
        <v>34</v>
      </c>
      <c r="AA93" s="153" t="s">
        <v>34</v>
      </c>
      <c r="AB93" s="152" t="s">
        <v>34</v>
      </c>
      <c r="AC93" s="155" t="s">
        <v>34</v>
      </c>
      <c r="AD93" s="149" t="s">
        <v>34</v>
      </c>
      <c r="AE93" s="156" t="s">
        <v>34</v>
      </c>
    </row>
    <row r="94" spans="1:31" s="105" customFormat="1" x14ac:dyDescent="0.25">
      <c r="A94" s="94" t="s">
        <v>275</v>
      </c>
      <c r="B94" s="95">
        <v>594</v>
      </c>
      <c r="C94" s="96">
        <v>91.59527587890625</v>
      </c>
      <c r="D94" s="149">
        <v>-0.34710371283408298</v>
      </c>
      <c r="E94" s="150">
        <v>3.4922906393630458E-2</v>
      </c>
      <c r="F94" s="151">
        <v>-1.4212</v>
      </c>
      <c r="G94" s="150" t="s">
        <v>35</v>
      </c>
      <c r="H94" s="152">
        <v>-0.68840000000000023</v>
      </c>
      <c r="I94" s="153">
        <v>1.5491933384829397E-3</v>
      </c>
      <c r="J94" s="149">
        <v>1.686300000000001</v>
      </c>
      <c r="K94" s="154" t="s">
        <v>35</v>
      </c>
      <c r="L94" s="149">
        <v>3.1075000000000008</v>
      </c>
      <c r="M94" s="154" t="s">
        <v>35</v>
      </c>
      <c r="N94" s="151">
        <v>6.5268141505848004E-3</v>
      </c>
      <c r="O94" s="150">
        <v>3.5437769111168652E-2</v>
      </c>
      <c r="P94" s="152">
        <v>0.24208854654267559</v>
      </c>
      <c r="Q94" s="153">
        <v>5.7790875856372999E-2</v>
      </c>
      <c r="R94" s="149">
        <v>-0.67053055404222195</v>
      </c>
      <c r="S94" s="150">
        <v>9.1626220211980455E-2</v>
      </c>
      <c r="T94" s="152">
        <v>-0.97784305647357783</v>
      </c>
      <c r="U94" s="153">
        <v>7.9543467508159368E-2</v>
      </c>
      <c r="V94" s="149">
        <v>-0.9843698706241627</v>
      </c>
      <c r="W94" s="154">
        <v>8.4931909054617019E-2</v>
      </c>
      <c r="X94" s="151">
        <v>8.6884690279971005E-2</v>
      </c>
      <c r="Y94" s="150">
        <v>1.8420161466061371E-2</v>
      </c>
      <c r="Z94" s="152" t="s">
        <v>34</v>
      </c>
      <c r="AA94" s="153" t="s">
        <v>34</v>
      </c>
      <c r="AB94" s="152">
        <v>-0.59987149132641959</v>
      </c>
      <c r="AC94" s="155">
        <v>5.013101945978652E-2</v>
      </c>
      <c r="AD94" s="149">
        <v>-0.68675618160639063</v>
      </c>
      <c r="AE94" s="156">
        <v>5.2340984233768671E-2</v>
      </c>
    </row>
    <row r="95" spans="1:31" s="105" customFormat="1" x14ac:dyDescent="0.25">
      <c r="A95" s="94" t="s">
        <v>276</v>
      </c>
      <c r="B95" s="95">
        <v>189</v>
      </c>
      <c r="C95" s="96">
        <v>100</v>
      </c>
      <c r="D95" s="149">
        <v>0.12622171759251721</v>
      </c>
      <c r="E95" s="150">
        <v>7.7098148993975421E-2</v>
      </c>
      <c r="F95" s="151">
        <v>-1.4212</v>
      </c>
      <c r="G95" s="150" t="s">
        <v>35</v>
      </c>
      <c r="H95" s="152">
        <v>0.1</v>
      </c>
      <c r="I95" s="153">
        <v>8.7101750843481859E-2</v>
      </c>
      <c r="J95" s="149">
        <v>1.686300000000001</v>
      </c>
      <c r="K95" s="154">
        <v>7.7259086844202199E-2</v>
      </c>
      <c r="L95" s="149">
        <v>3.1075000000000008</v>
      </c>
      <c r="M95" s="154">
        <v>7.7259086844202268E-2</v>
      </c>
      <c r="N95" s="151">
        <v>0.3509675380194604</v>
      </c>
      <c r="O95" s="150">
        <v>0.16923200325389598</v>
      </c>
      <c r="P95" s="152">
        <v>0.39097981034133689</v>
      </c>
      <c r="Q95" s="153">
        <v>0.15963300196456634</v>
      </c>
      <c r="R95" s="149">
        <v>0.33479834897185362</v>
      </c>
      <c r="S95" s="150">
        <v>0.21669694036926423</v>
      </c>
      <c r="T95" s="152">
        <v>-0.58793029918131168</v>
      </c>
      <c r="U95" s="153">
        <v>0.1948906251299842</v>
      </c>
      <c r="V95" s="149">
        <v>-0.93889783720077213</v>
      </c>
      <c r="W95" s="154">
        <v>0.2582027055398175</v>
      </c>
      <c r="X95" s="151">
        <v>0.32992633516978992</v>
      </c>
      <c r="Y95" s="150">
        <v>8.7888026728728599E-2</v>
      </c>
      <c r="Z95" s="152" t="s">
        <v>34</v>
      </c>
      <c r="AA95" s="153" t="s">
        <v>34</v>
      </c>
      <c r="AB95" s="152">
        <v>-0.95236702444694854</v>
      </c>
      <c r="AC95" s="155">
        <v>0.11861050691800727</v>
      </c>
      <c r="AD95" s="149">
        <v>-1.2822933596167385</v>
      </c>
      <c r="AE95" s="156">
        <v>0.14842425778037835</v>
      </c>
    </row>
    <row r="96" spans="1:31" s="105" customFormat="1" ht="13.8" thickBot="1" x14ac:dyDescent="0.3">
      <c r="A96" s="107" t="s">
        <v>277</v>
      </c>
      <c r="B96" s="108">
        <v>122</v>
      </c>
      <c r="C96" s="109">
        <v>94.736846923828125</v>
      </c>
      <c r="D96" s="157">
        <v>0.38689207313719348</v>
      </c>
      <c r="E96" s="158">
        <v>0.10952229613476387</v>
      </c>
      <c r="F96" s="159">
        <v>-1.4012999999999991</v>
      </c>
      <c r="G96" s="158">
        <v>0.12575646305458799</v>
      </c>
      <c r="H96" s="160">
        <v>0.21499999999999991</v>
      </c>
      <c r="I96" s="161">
        <v>0.20408494309968098</v>
      </c>
      <c r="J96" s="157">
        <v>1.787700000000001</v>
      </c>
      <c r="K96" s="162">
        <v>0.18807722217217035</v>
      </c>
      <c r="L96" s="157">
        <v>3.1890000000000001</v>
      </c>
      <c r="M96" s="162">
        <v>0.21899669746368297</v>
      </c>
      <c r="N96" s="159">
        <v>0.67471099048165861</v>
      </c>
      <c r="O96" s="158">
        <v>0.18956569697369102</v>
      </c>
      <c r="P96" s="160">
        <v>0.54257605742756609</v>
      </c>
      <c r="Q96" s="161">
        <v>0.22631712416654914</v>
      </c>
      <c r="R96" s="157">
        <v>0.28531734119822999</v>
      </c>
      <c r="S96" s="158">
        <v>0.24290194373036567</v>
      </c>
      <c r="T96" s="160">
        <v>4.8618255850552898E-2</v>
      </c>
      <c r="U96" s="161">
        <v>0.22758949684627114</v>
      </c>
      <c r="V96" s="157">
        <v>-0.62609273463110571</v>
      </c>
      <c r="W96" s="162">
        <v>0.2695134060553086</v>
      </c>
      <c r="X96" s="159">
        <v>0.37589752736771992</v>
      </c>
      <c r="Y96" s="158">
        <v>0.10294633833798837</v>
      </c>
      <c r="Z96" s="160" t="s">
        <v>34</v>
      </c>
      <c r="AA96" s="161" t="s">
        <v>34</v>
      </c>
      <c r="AB96" s="160">
        <v>0.60831958035733735</v>
      </c>
      <c r="AC96" s="163">
        <v>0.74513248298019619</v>
      </c>
      <c r="AD96" s="157">
        <v>0.23242205298961743</v>
      </c>
      <c r="AE96" s="164">
        <v>0.7356920352219164</v>
      </c>
    </row>
    <row r="97" spans="1:21" s="105" customFormat="1" x14ac:dyDescent="0.25"/>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8">
    <mergeCell ref="B11:K11"/>
    <mergeCell ref="N11:W12"/>
    <mergeCell ref="L13:M13"/>
    <mergeCell ref="B12:B13"/>
    <mergeCell ref="C12:C13"/>
    <mergeCell ref="D12:E13"/>
    <mergeCell ref="F12:K13"/>
    <mergeCell ref="L12:M12"/>
    <mergeCell ref="N13:O13"/>
    <mergeCell ref="P13:Q13"/>
    <mergeCell ref="R13:S13"/>
    <mergeCell ref="T13:U13"/>
    <mergeCell ref="V13:W13"/>
    <mergeCell ref="X11:AE12"/>
    <mergeCell ref="AD13:AE13"/>
    <mergeCell ref="X13:Y13"/>
    <mergeCell ref="Z13:AA13"/>
    <mergeCell ref="AB13:AC13"/>
  </mergeCells>
  <conditionalFormatting sqref="V16:V96 AD16:AD96">
    <cfRule type="expression" dxfId="12" priority="3">
      <formula>ABS(V16/W16)&gt;1.96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145</v>
      </c>
      <c r="B6" s="51"/>
    </row>
    <row r="7" spans="1:31" x14ac:dyDescent="0.25">
      <c r="A7" s="51" t="s">
        <v>146</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147</v>
      </c>
      <c r="G11" s="202"/>
      <c r="H11" s="202"/>
      <c r="I11" s="202"/>
      <c r="J11" s="202"/>
      <c r="K11" s="202"/>
      <c r="L11" s="202"/>
      <c r="M11" s="202"/>
      <c r="N11" s="202"/>
      <c r="O11" s="202"/>
      <c r="P11" s="201" t="s">
        <v>148</v>
      </c>
      <c r="Q11" s="202"/>
      <c r="R11" s="202"/>
      <c r="S11" s="202"/>
      <c r="T11" s="202"/>
      <c r="U11" s="202"/>
      <c r="V11" s="202"/>
      <c r="W11" s="203"/>
    </row>
    <row r="12" spans="1:31" ht="70.5" customHeight="1" x14ac:dyDescent="0.25">
      <c r="A12" s="31"/>
      <c r="B12" s="215" t="s">
        <v>10</v>
      </c>
      <c r="C12" s="217" t="s">
        <v>11</v>
      </c>
      <c r="D12" s="218" t="s">
        <v>149</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694</v>
      </c>
      <c r="C16" s="96">
        <v>91.276588439941406</v>
      </c>
      <c r="D16" s="97">
        <v>9.840886697240272</v>
      </c>
      <c r="E16" s="98">
        <v>1.1973979987329033</v>
      </c>
      <c r="F16" s="99">
        <v>20.922638516688149</v>
      </c>
      <c r="G16" s="98">
        <v>3.2278501563048914</v>
      </c>
      <c r="H16" s="100">
        <v>11.41663580202871</v>
      </c>
      <c r="I16" s="101">
        <v>3.4013446768160942</v>
      </c>
      <c r="J16" s="97">
        <v>6.6921559058984696</v>
      </c>
      <c r="K16" s="98">
        <v>2.4576046052722296</v>
      </c>
      <c r="L16" s="100">
        <v>1.3440003797637501</v>
      </c>
      <c r="M16" s="101">
        <v>0.99144195838342231</v>
      </c>
      <c r="N16" s="97">
        <v>-19.5786381369244</v>
      </c>
      <c r="O16" s="102">
        <v>3.3442555792657322</v>
      </c>
      <c r="P16" s="99">
        <v>15.83781602296501</v>
      </c>
      <c r="Q16" s="98">
        <v>1.9894395602481698</v>
      </c>
      <c r="R16" s="100">
        <v>2.3440905461734181</v>
      </c>
      <c r="S16" s="101">
        <v>1.1165818499111155</v>
      </c>
      <c r="T16" s="97">
        <v>0.68698049394126293</v>
      </c>
      <c r="U16" s="101">
        <v>0.54669892242375118</v>
      </c>
      <c r="V16" s="97">
        <v>-14.132709407086413</v>
      </c>
      <c r="W16" s="104">
        <v>2.0994908435013317</v>
      </c>
      <c r="X16" s="124"/>
      <c r="Y16" s="124"/>
      <c r="Z16" s="124"/>
      <c r="AA16" s="124"/>
      <c r="AB16" s="124"/>
      <c r="AC16" s="124"/>
      <c r="AD16" s="124"/>
      <c r="AE16" s="124"/>
    </row>
    <row r="17" spans="1:31" s="105" customFormat="1" x14ac:dyDescent="0.25">
      <c r="A17" s="118" t="s">
        <v>203</v>
      </c>
      <c r="B17" s="95">
        <v>291</v>
      </c>
      <c r="C17" s="96" t="s">
        <v>34</v>
      </c>
      <c r="D17" s="97">
        <v>29.498767880651869</v>
      </c>
      <c r="E17" s="98">
        <v>2.8829310767486871</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248</v>
      </c>
      <c r="C18" s="96">
        <v>89.503120422363281</v>
      </c>
      <c r="D18" s="97">
        <v>23.806453275387991</v>
      </c>
      <c r="E18" s="98">
        <v>2.6408534553623291</v>
      </c>
      <c r="F18" s="99">
        <v>36.653255226535023</v>
      </c>
      <c r="G18" s="98">
        <v>4.9086723216371251</v>
      </c>
      <c r="H18" s="100">
        <v>14.2805411735256</v>
      </c>
      <c r="I18" s="101">
        <v>5.6296728617759983</v>
      </c>
      <c r="J18" s="97">
        <v>25.96963180282528</v>
      </c>
      <c r="K18" s="98">
        <v>6.8028673771140431</v>
      </c>
      <c r="L18" s="100">
        <v>17.95208773404822</v>
      </c>
      <c r="M18" s="101">
        <v>5.3215485160752189</v>
      </c>
      <c r="N18" s="97">
        <v>-18.7011674924868</v>
      </c>
      <c r="O18" s="102">
        <v>7.0829849233156992</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770</v>
      </c>
      <c r="C19" s="96">
        <v>96.498023986816406</v>
      </c>
      <c r="D19" s="97">
        <v>10.598160108792539</v>
      </c>
      <c r="E19" s="98">
        <v>1.4331420888706232</v>
      </c>
      <c r="F19" s="99">
        <v>21.10481330660582</v>
      </c>
      <c r="G19" s="98">
        <v>4.1334780408786553</v>
      </c>
      <c r="H19" s="100">
        <v>9.8932214409057551</v>
      </c>
      <c r="I19" s="101">
        <v>3.5448986180769966</v>
      </c>
      <c r="J19" s="97">
        <v>8.2194609042837659</v>
      </c>
      <c r="K19" s="98">
        <v>2.3202363036771652</v>
      </c>
      <c r="L19" s="100">
        <v>3.05436164819919</v>
      </c>
      <c r="M19" s="101">
        <v>1.3268856031745446</v>
      </c>
      <c r="N19" s="97">
        <v>-18.050451658406629</v>
      </c>
      <c r="O19" s="102">
        <v>3.9664435306594217</v>
      </c>
      <c r="P19" s="99">
        <v>10.97478076462205</v>
      </c>
      <c r="Q19" s="98">
        <v>1.5179819644049113</v>
      </c>
      <c r="R19" s="100">
        <v>8.5588134453045033</v>
      </c>
      <c r="S19" s="101">
        <v>5.5938094603590427</v>
      </c>
      <c r="T19" s="97">
        <v>5.2448789462139649</v>
      </c>
      <c r="U19" s="101">
        <v>3.6257315368718319</v>
      </c>
      <c r="V19" s="97">
        <v>-4.4356540631660417</v>
      </c>
      <c r="W19" s="104">
        <v>3.412033121679944</v>
      </c>
      <c r="X19" s="124"/>
      <c r="Y19" s="124"/>
      <c r="Z19" s="124"/>
      <c r="AA19" s="124"/>
      <c r="AB19" s="124"/>
      <c r="AC19" s="124"/>
      <c r="AD19" s="124"/>
      <c r="AE19" s="124"/>
    </row>
    <row r="20" spans="1:31" s="105" customFormat="1" x14ac:dyDescent="0.25">
      <c r="A20" s="118" t="s">
        <v>206</v>
      </c>
      <c r="B20" s="95">
        <v>207</v>
      </c>
      <c r="C20" s="96">
        <v>86.347007751464844</v>
      </c>
      <c r="D20" s="97">
        <v>19.680668952539111</v>
      </c>
      <c r="E20" s="98">
        <v>2.9705981680168452</v>
      </c>
      <c r="F20" s="99">
        <v>25.573218440005821</v>
      </c>
      <c r="G20" s="98">
        <v>7.4006503681364713</v>
      </c>
      <c r="H20" s="100">
        <v>20.909754194991709</v>
      </c>
      <c r="I20" s="101">
        <v>7.3731493676354063</v>
      </c>
      <c r="J20" s="97">
        <v>13.945922327313029</v>
      </c>
      <c r="K20" s="98">
        <v>5.9057883816204546</v>
      </c>
      <c r="L20" s="100">
        <v>17.968985308215121</v>
      </c>
      <c r="M20" s="101">
        <v>6.2669485056433079</v>
      </c>
      <c r="N20" s="97">
        <v>-7.6042331317906999</v>
      </c>
      <c r="O20" s="102">
        <v>9.6193018921095828</v>
      </c>
      <c r="P20" s="99">
        <v>19.887463650324051</v>
      </c>
      <c r="Q20" s="98">
        <v>4.8090560535049161</v>
      </c>
      <c r="R20" s="100">
        <v>18.768118442396322</v>
      </c>
      <c r="S20" s="101">
        <v>4.4760515164048602</v>
      </c>
      <c r="T20" s="97">
        <v>18.793504734857091</v>
      </c>
      <c r="U20" s="101">
        <v>7.3476174404530594</v>
      </c>
      <c r="V20" s="97">
        <v>-1.1136787153849497</v>
      </c>
      <c r="W20" s="104">
        <v>5.9967723078604349</v>
      </c>
      <c r="X20" s="124"/>
      <c r="Y20" s="124"/>
      <c r="Z20" s="124"/>
      <c r="AA20" s="124"/>
      <c r="AB20" s="124"/>
      <c r="AC20" s="124"/>
      <c r="AD20" s="124"/>
      <c r="AE20" s="124"/>
    </row>
    <row r="21" spans="1:31" s="105" customFormat="1" x14ac:dyDescent="0.25">
      <c r="A21" s="118" t="s">
        <v>207</v>
      </c>
      <c r="B21" s="95">
        <v>245</v>
      </c>
      <c r="C21" s="96">
        <v>98.989761352539063</v>
      </c>
      <c r="D21" s="97">
        <v>61.581352786715229</v>
      </c>
      <c r="E21" s="98">
        <v>3.2043441581553407</v>
      </c>
      <c r="F21" s="99">
        <v>85.177724039968695</v>
      </c>
      <c r="G21" s="98">
        <v>6.9758109863286668</v>
      </c>
      <c r="H21" s="100">
        <v>71.323597746785765</v>
      </c>
      <c r="I21" s="101">
        <v>5.8077015385690745</v>
      </c>
      <c r="J21" s="97">
        <v>60.266059545016823</v>
      </c>
      <c r="K21" s="98">
        <v>9.6963411342826511</v>
      </c>
      <c r="L21" s="100">
        <v>29.01215934963238</v>
      </c>
      <c r="M21" s="101">
        <v>6.4853992028819407</v>
      </c>
      <c r="N21" s="97">
        <v>-56.165564690336311</v>
      </c>
      <c r="O21" s="102">
        <v>9.524056344802851</v>
      </c>
      <c r="P21" s="99">
        <v>71.991933781907676</v>
      </c>
      <c r="Q21" s="98">
        <v>3.5430653269374952</v>
      </c>
      <c r="R21" s="100" t="s">
        <v>34</v>
      </c>
      <c r="S21" s="101" t="s">
        <v>34</v>
      </c>
      <c r="T21" s="97">
        <v>17.5011261071833</v>
      </c>
      <c r="U21" s="101">
        <v>6.0159389128612801</v>
      </c>
      <c r="V21" s="97">
        <v>-54.49080767472438</v>
      </c>
      <c r="W21" s="104">
        <v>6.8202896649528322</v>
      </c>
      <c r="X21" s="124"/>
      <c r="Y21" s="124"/>
      <c r="Z21" s="124"/>
      <c r="AA21" s="124"/>
      <c r="AB21" s="124"/>
      <c r="AC21" s="124"/>
      <c r="AD21" s="124"/>
      <c r="AE21" s="124"/>
    </row>
    <row r="22" spans="1:31" s="105" customFormat="1" x14ac:dyDescent="0.25">
      <c r="A22" s="118" t="s">
        <v>208</v>
      </c>
      <c r="B22" s="95">
        <v>324</v>
      </c>
      <c r="C22" s="96">
        <v>97.015785217285156</v>
      </c>
      <c r="D22" s="97">
        <v>30.74677286527082</v>
      </c>
      <c r="E22" s="98">
        <v>2.8777905119888976</v>
      </c>
      <c r="F22" s="99">
        <v>37.86306175746688</v>
      </c>
      <c r="G22" s="98">
        <v>5.3384238064007494</v>
      </c>
      <c r="H22" s="100">
        <v>32.773070919379222</v>
      </c>
      <c r="I22" s="101">
        <v>7.2533104224736302</v>
      </c>
      <c r="J22" s="97">
        <v>27.36498053690255</v>
      </c>
      <c r="K22" s="98">
        <v>6.4575774696855719</v>
      </c>
      <c r="L22" s="100">
        <v>24.99535342172171</v>
      </c>
      <c r="M22" s="101">
        <v>4.1649929873818223</v>
      </c>
      <c r="N22" s="97">
        <v>-12.867708335745171</v>
      </c>
      <c r="O22" s="102">
        <v>6.9473671479998771</v>
      </c>
      <c r="P22" s="99">
        <v>31.260607962583691</v>
      </c>
      <c r="Q22" s="98">
        <v>3.1293831624872515</v>
      </c>
      <c r="R22" s="100">
        <v>16.176686593567979</v>
      </c>
      <c r="S22" s="101">
        <v>8.8833691400451578</v>
      </c>
      <c r="T22" s="97" t="s">
        <v>34</v>
      </c>
      <c r="U22" s="101" t="s">
        <v>34</v>
      </c>
      <c r="V22" s="97">
        <v>-15.083921369015712</v>
      </c>
      <c r="W22" s="104">
        <v>9.7823490994781963</v>
      </c>
      <c r="X22" s="124"/>
      <c r="Y22" s="124"/>
      <c r="Z22" s="124"/>
      <c r="AA22" s="124"/>
      <c r="AB22" s="124"/>
      <c r="AC22" s="124"/>
      <c r="AD22" s="124"/>
      <c r="AE22" s="124"/>
    </row>
    <row r="23" spans="1:31" s="105" customFormat="1" x14ac:dyDescent="0.25">
      <c r="A23" s="118" t="s">
        <v>209</v>
      </c>
      <c r="B23" s="95">
        <v>266</v>
      </c>
      <c r="C23" s="96">
        <v>80.158035278320313</v>
      </c>
      <c r="D23" s="97">
        <v>12.892790768773629</v>
      </c>
      <c r="E23" s="98">
        <v>2.3675038553405412</v>
      </c>
      <c r="F23" s="99">
        <v>13.89516607427446</v>
      </c>
      <c r="G23" s="98">
        <v>5.3969730356627039</v>
      </c>
      <c r="H23" s="100">
        <v>18.329392296556779</v>
      </c>
      <c r="I23" s="101">
        <v>4.4079258816292555</v>
      </c>
      <c r="J23" s="97">
        <v>16.42447442681696</v>
      </c>
      <c r="K23" s="98">
        <v>6.2679534997425153</v>
      </c>
      <c r="L23" s="100">
        <v>2.6962609384522889</v>
      </c>
      <c r="M23" s="101">
        <v>2.1309874121694277</v>
      </c>
      <c r="N23" s="97">
        <v>-11.198905135822169</v>
      </c>
      <c r="O23" s="102">
        <v>5.684064880347047</v>
      </c>
      <c r="P23" s="99">
        <v>17.95051905314131</v>
      </c>
      <c r="Q23" s="98">
        <v>3.1307091491744243</v>
      </c>
      <c r="R23" s="100">
        <v>0</v>
      </c>
      <c r="S23" s="101" t="s">
        <v>35</v>
      </c>
      <c r="T23" s="97">
        <v>0</v>
      </c>
      <c r="U23" s="101" t="s">
        <v>35</v>
      </c>
      <c r="V23" s="97">
        <v>-17.95051905314131</v>
      </c>
      <c r="W23" s="104">
        <v>3.1307091491744243</v>
      </c>
      <c r="X23" s="124"/>
      <c r="Y23" s="124"/>
      <c r="Z23" s="124"/>
      <c r="AA23" s="124"/>
      <c r="AB23" s="124"/>
      <c r="AC23" s="124"/>
      <c r="AD23" s="124"/>
      <c r="AE23" s="124"/>
    </row>
    <row r="24" spans="1:31" s="105" customFormat="1" x14ac:dyDescent="0.25">
      <c r="A24" s="118" t="s">
        <v>210</v>
      </c>
      <c r="B24" s="95">
        <v>224</v>
      </c>
      <c r="C24" s="96">
        <v>99.549774169921875</v>
      </c>
      <c r="D24" s="97">
        <v>27.743762294965428</v>
      </c>
      <c r="E24" s="98">
        <v>1.8096143549987924</v>
      </c>
      <c r="F24" s="99">
        <v>39.323587623489509</v>
      </c>
      <c r="G24" s="98">
        <v>5.9735176565756811</v>
      </c>
      <c r="H24" s="100">
        <v>36.128970124409783</v>
      </c>
      <c r="I24" s="101">
        <v>6.4796070646051245</v>
      </c>
      <c r="J24" s="97">
        <v>15.432363950003021</v>
      </c>
      <c r="K24" s="98">
        <v>6.7697603255767413</v>
      </c>
      <c r="L24" s="100">
        <v>19.78656634582072</v>
      </c>
      <c r="M24" s="101">
        <v>1.6311242268353481</v>
      </c>
      <c r="N24" s="97">
        <v>-19.537021277668789</v>
      </c>
      <c r="O24" s="102">
        <v>5.992821687977453</v>
      </c>
      <c r="P24" s="99">
        <v>28.73377116283633</v>
      </c>
      <c r="Q24" s="98">
        <v>1.8560454723215032</v>
      </c>
      <c r="R24" s="100">
        <v>0</v>
      </c>
      <c r="S24" s="101" t="s">
        <v>35</v>
      </c>
      <c r="T24" s="97">
        <v>8.9365521395550385</v>
      </c>
      <c r="U24" s="101">
        <v>10.512021073351702</v>
      </c>
      <c r="V24" s="97">
        <v>-25.025468204137454</v>
      </c>
      <c r="W24" s="104">
        <v>4.6527283757447879</v>
      </c>
      <c r="X24" s="124"/>
      <c r="Y24" s="124"/>
      <c r="Z24" s="124"/>
      <c r="AA24" s="124"/>
      <c r="AB24" s="124"/>
      <c r="AC24" s="124"/>
      <c r="AD24" s="124"/>
      <c r="AE24" s="124"/>
    </row>
    <row r="25" spans="1:31" s="105" customFormat="1" x14ac:dyDescent="0.25">
      <c r="A25" s="118" t="s">
        <v>211</v>
      </c>
      <c r="B25" s="95">
        <v>210</v>
      </c>
      <c r="C25" s="96">
        <v>99.331733703613281</v>
      </c>
      <c r="D25" s="97">
        <v>27.527566711127641</v>
      </c>
      <c r="E25" s="98">
        <v>3.3055397314760038</v>
      </c>
      <c r="F25" s="99">
        <v>19.192343483655058</v>
      </c>
      <c r="G25" s="98">
        <v>6.0332017263134299</v>
      </c>
      <c r="H25" s="100">
        <v>32.484826140220108</v>
      </c>
      <c r="I25" s="101">
        <v>8.1207414633086579</v>
      </c>
      <c r="J25" s="97">
        <v>37.807070511241619</v>
      </c>
      <c r="K25" s="98">
        <v>6.6537683976361537</v>
      </c>
      <c r="L25" s="100">
        <v>20.5739064511768</v>
      </c>
      <c r="M25" s="101">
        <v>6.9193864651331776</v>
      </c>
      <c r="N25" s="97">
        <v>1.381562967521742</v>
      </c>
      <c r="O25" s="102">
        <v>9.3252396150841079</v>
      </c>
      <c r="P25" s="99">
        <v>28.144484968451831</v>
      </c>
      <c r="Q25" s="98">
        <v>3.412346221284746</v>
      </c>
      <c r="R25" s="100">
        <v>12.728191042229071</v>
      </c>
      <c r="S25" s="101">
        <v>13.137686543495946</v>
      </c>
      <c r="T25" s="97" t="s">
        <v>34</v>
      </c>
      <c r="U25" s="101" t="s">
        <v>34</v>
      </c>
      <c r="V25" s="97">
        <v>-15.41629392622276</v>
      </c>
      <c r="W25" s="104">
        <v>13.750951333910349</v>
      </c>
      <c r="X25" s="124"/>
      <c r="Y25" s="124"/>
      <c r="Z25" s="124"/>
      <c r="AA25" s="124"/>
      <c r="AB25" s="124"/>
      <c r="AC25" s="124"/>
      <c r="AD25" s="124"/>
      <c r="AE25" s="124"/>
    </row>
    <row r="26" spans="1:31" s="105" customFormat="1" x14ac:dyDescent="0.25">
      <c r="A26" s="118" t="s">
        <v>212</v>
      </c>
      <c r="B26" s="95">
        <v>164</v>
      </c>
      <c r="C26" s="96">
        <v>76.662361145019531</v>
      </c>
      <c r="D26" s="97">
        <v>15.00689900628992</v>
      </c>
      <c r="E26" s="98">
        <v>2.5773575918764848</v>
      </c>
      <c r="F26" s="99">
        <v>16.28294802791995</v>
      </c>
      <c r="G26" s="98">
        <v>5.3125008896161701</v>
      </c>
      <c r="H26" s="100">
        <v>13.0830296618827</v>
      </c>
      <c r="I26" s="101">
        <v>6.9765966344942463</v>
      </c>
      <c r="J26" s="97">
        <v>19.668401034643441</v>
      </c>
      <c r="K26" s="98">
        <v>6.8840586538914197</v>
      </c>
      <c r="L26" s="100">
        <v>10.952498178756681</v>
      </c>
      <c r="M26" s="101">
        <v>5.1884083331210826</v>
      </c>
      <c r="N26" s="97">
        <v>-5.3304498491632657</v>
      </c>
      <c r="O26" s="102">
        <v>7.1222147791633894</v>
      </c>
      <c r="P26" s="99">
        <v>13.11319667983518</v>
      </c>
      <c r="Q26" s="98">
        <v>3.0015651823307872</v>
      </c>
      <c r="R26" s="100">
        <v>37.495481005261603</v>
      </c>
      <c r="S26" s="101">
        <v>11.9271894319007</v>
      </c>
      <c r="T26" s="97">
        <v>6.8698419451273374</v>
      </c>
      <c r="U26" s="101">
        <v>6.5573552298837612</v>
      </c>
      <c r="V26" s="97">
        <v>9.6614711433942091</v>
      </c>
      <c r="W26" s="104">
        <v>7.4711976675965071</v>
      </c>
      <c r="X26" s="124"/>
      <c r="Y26" s="124"/>
      <c r="Z26" s="124"/>
      <c r="AA26" s="124"/>
      <c r="AB26" s="124"/>
      <c r="AC26" s="124"/>
      <c r="AD26" s="124"/>
      <c r="AE26" s="124"/>
    </row>
    <row r="27" spans="1:31" s="105" customFormat="1" x14ac:dyDescent="0.25">
      <c r="A27" s="118" t="s">
        <v>213</v>
      </c>
      <c r="B27" s="95">
        <v>186</v>
      </c>
      <c r="C27" s="96">
        <v>82.665573120117188</v>
      </c>
      <c r="D27" s="97">
        <v>39.856836175573633</v>
      </c>
      <c r="E27" s="98">
        <v>3.7412457391956666</v>
      </c>
      <c r="F27" s="99">
        <v>42.883664452222632</v>
      </c>
      <c r="G27" s="98">
        <v>7.7805978147714736</v>
      </c>
      <c r="H27" s="100">
        <v>36.330398220511647</v>
      </c>
      <c r="I27" s="101">
        <v>7.9347195183323374</v>
      </c>
      <c r="J27" s="97">
        <v>41.921822812405189</v>
      </c>
      <c r="K27" s="98">
        <v>9.8755539517258573</v>
      </c>
      <c r="L27" s="100">
        <v>37.491748696868079</v>
      </c>
      <c r="M27" s="101">
        <v>7.8659406850510845</v>
      </c>
      <c r="N27" s="97">
        <v>-5.3919157553545531</v>
      </c>
      <c r="O27" s="102">
        <v>10.638537716498613</v>
      </c>
      <c r="P27" s="99">
        <v>39.991867433824638</v>
      </c>
      <c r="Q27" s="98">
        <v>3.8851561406289381</v>
      </c>
      <c r="R27" s="100">
        <v>34.548441675448437</v>
      </c>
      <c r="S27" s="101">
        <v>23.032546291670425</v>
      </c>
      <c r="T27" s="97" t="s">
        <v>34</v>
      </c>
      <c r="U27" s="101" t="s">
        <v>34</v>
      </c>
      <c r="V27" s="97">
        <v>-5.4434257583762005</v>
      </c>
      <c r="W27" s="104">
        <v>23.681702086610134</v>
      </c>
      <c r="X27" s="124"/>
      <c r="Y27" s="124"/>
      <c r="Z27" s="124"/>
      <c r="AA27" s="124"/>
      <c r="AB27" s="124"/>
      <c r="AC27" s="124"/>
      <c r="AD27" s="124"/>
      <c r="AE27" s="124"/>
    </row>
    <row r="28" spans="1:31" s="105" customFormat="1" x14ac:dyDescent="0.25">
      <c r="A28" s="118" t="s">
        <v>214</v>
      </c>
      <c r="B28" s="95">
        <v>198</v>
      </c>
      <c r="C28" s="96">
        <v>91.346954345703125</v>
      </c>
      <c r="D28" s="97">
        <v>59.882455088185438</v>
      </c>
      <c r="E28" s="98">
        <v>3.6431876795601355</v>
      </c>
      <c r="F28" s="99">
        <v>62.599205114027477</v>
      </c>
      <c r="G28" s="98">
        <v>8.7985921928742261</v>
      </c>
      <c r="H28" s="100">
        <v>65.273054344920766</v>
      </c>
      <c r="I28" s="101">
        <v>9.3607318016369891</v>
      </c>
      <c r="J28" s="97">
        <v>65.509745932465819</v>
      </c>
      <c r="K28" s="98">
        <v>10.01021177993511</v>
      </c>
      <c r="L28" s="100">
        <v>46.286161096725927</v>
      </c>
      <c r="M28" s="101">
        <v>7.6292813145686527</v>
      </c>
      <c r="N28" s="97">
        <v>-16.313044017301539</v>
      </c>
      <c r="O28" s="102">
        <v>11.626876438451152</v>
      </c>
      <c r="P28" s="99">
        <v>62.363364150323129</v>
      </c>
      <c r="Q28" s="98">
        <v>3.708152401964762</v>
      </c>
      <c r="R28" s="100" t="s">
        <v>34</v>
      </c>
      <c r="S28" s="101" t="s">
        <v>34</v>
      </c>
      <c r="T28" s="97">
        <v>9.696452181090482</v>
      </c>
      <c r="U28" s="101">
        <v>10.21147097650319</v>
      </c>
      <c r="V28" s="97">
        <v>-52.666911969232643</v>
      </c>
      <c r="W28" s="104">
        <v>10.912077996736013</v>
      </c>
      <c r="X28" s="124"/>
      <c r="Y28" s="124"/>
      <c r="Z28" s="124"/>
      <c r="AA28" s="124"/>
      <c r="AB28" s="124"/>
      <c r="AC28" s="124"/>
      <c r="AD28" s="124"/>
      <c r="AE28" s="124"/>
    </row>
    <row r="29" spans="1:31" s="105" customFormat="1" x14ac:dyDescent="0.25">
      <c r="A29" s="118" t="s">
        <v>215</v>
      </c>
      <c r="B29" s="95">
        <v>161</v>
      </c>
      <c r="C29" s="96">
        <v>89.597335815429688</v>
      </c>
      <c r="D29" s="97">
        <v>47.497476294122379</v>
      </c>
      <c r="E29" s="98">
        <v>4.1604794560981038</v>
      </c>
      <c r="F29" s="99">
        <v>52.614305294407373</v>
      </c>
      <c r="G29" s="98">
        <v>8.25354044062375</v>
      </c>
      <c r="H29" s="100">
        <v>53.978282431629417</v>
      </c>
      <c r="I29" s="101">
        <v>8.9164672027306064</v>
      </c>
      <c r="J29" s="97">
        <v>37.648331215436087</v>
      </c>
      <c r="K29" s="98">
        <v>8.1983146101510886</v>
      </c>
      <c r="L29" s="100">
        <v>45.794011574627298</v>
      </c>
      <c r="M29" s="101">
        <v>8.6337957706411377</v>
      </c>
      <c r="N29" s="97">
        <v>-6.8202937197800679</v>
      </c>
      <c r="O29" s="102">
        <v>12.0897325057916</v>
      </c>
      <c r="P29" s="99">
        <v>54.883448622039531</v>
      </c>
      <c r="Q29" s="98">
        <v>4.8406290581645193</v>
      </c>
      <c r="R29" s="100">
        <v>23.015155415812739</v>
      </c>
      <c r="S29" s="101">
        <v>7.8842994045572476</v>
      </c>
      <c r="T29" s="97" t="s">
        <v>34</v>
      </c>
      <c r="U29" s="101" t="s">
        <v>34</v>
      </c>
      <c r="V29" s="97">
        <v>-31.868293206226792</v>
      </c>
      <c r="W29" s="104">
        <v>9.2704759901866503</v>
      </c>
      <c r="X29" s="124"/>
      <c r="Y29" s="124"/>
      <c r="Z29" s="124"/>
      <c r="AA29" s="124"/>
      <c r="AB29" s="124"/>
      <c r="AC29" s="124"/>
      <c r="AD29" s="124"/>
      <c r="AE29" s="124"/>
    </row>
    <row r="30" spans="1:31" s="105" customFormat="1" x14ac:dyDescent="0.25">
      <c r="A30" s="118" t="s">
        <v>216</v>
      </c>
      <c r="B30" s="95">
        <v>128</v>
      </c>
      <c r="C30" s="96">
        <v>96.729972839355469</v>
      </c>
      <c r="D30" s="97">
        <v>22.66456018645437</v>
      </c>
      <c r="E30" s="98">
        <v>0.21718104951360859</v>
      </c>
      <c r="F30" s="99">
        <v>21.633780543930509</v>
      </c>
      <c r="G30" s="98">
        <v>1.1266628429755876</v>
      </c>
      <c r="H30" s="100">
        <v>18.267044678350089</v>
      </c>
      <c r="I30" s="101">
        <v>0.96997137577843751</v>
      </c>
      <c r="J30" s="97">
        <v>40.012809242886718</v>
      </c>
      <c r="K30" s="98">
        <v>0.40241765038538896</v>
      </c>
      <c r="L30" s="100">
        <v>10.9074810510203</v>
      </c>
      <c r="M30" s="101">
        <v>0.32714798119586808</v>
      </c>
      <c r="N30" s="97">
        <v>-10.72629949291021</v>
      </c>
      <c r="O30" s="102">
        <v>1.1375401203732163</v>
      </c>
      <c r="P30" s="99">
        <v>22.68877509326305</v>
      </c>
      <c r="Q30" s="98">
        <v>0.21279683708285757</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31.173213801213681</v>
      </c>
      <c r="E31" s="98">
        <v>3.855793132129361</v>
      </c>
      <c r="F31" s="99">
        <v>40.867716996228381</v>
      </c>
      <c r="G31" s="98">
        <v>9.2705379965061816</v>
      </c>
      <c r="H31" s="100">
        <v>31.504647200320949</v>
      </c>
      <c r="I31" s="101">
        <v>8.745394669848606</v>
      </c>
      <c r="J31" s="97">
        <v>37.541154556847793</v>
      </c>
      <c r="K31" s="98">
        <v>9.7969020884862204</v>
      </c>
      <c r="L31" s="100">
        <v>15.25804105251116</v>
      </c>
      <c r="M31" s="101">
        <v>5.6663622490666343</v>
      </c>
      <c r="N31" s="97">
        <v>-25.609675943717221</v>
      </c>
      <c r="O31" s="102">
        <v>9.7517068466923345</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164</v>
      </c>
      <c r="C32" s="96">
        <v>95.554672241210938</v>
      </c>
      <c r="D32" s="97">
        <v>32.541388862595809</v>
      </c>
      <c r="E32" s="98">
        <v>3.6622372509195875</v>
      </c>
      <c r="F32" s="99">
        <v>37.222227319662068</v>
      </c>
      <c r="G32" s="98">
        <v>7.9451122048892051</v>
      </c>
      <c r="H32" s="100">
        <v>26.033085791509599</v>
      </c>
      <c r="I32" s="101">
        <v>6.6680495226847052</v>
      </c>
      <c r="J32" s="97">
        <v>35.494464846285467</v>
      </c>
      <c r="K32" s="98">
        <v>8.1173646429022988</v>
      </c>
      <c r="L32" s="100">
        <v>31.82380856597343</v>
      </c>
      <c r="M32" s="101">
        <v>8.3096233317092523</v>
      </c>
      <c r="N32" s="97">
        <v>-5.3984187536886488</v>
      </c>
      <c r="O32" s="102">
        <v>12.355444225229526</v>
      </c>
      <c r="P32" s="99">
        <v>32.541388862595809</v>
      </c>
      <c r="Q32" s="98">
        <v>3.6622372509195875</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488</v>
      </c>
      <c r="C33" s="96">
        <v>93.935043334960938</v>
      </c>
      <c r="D33" s="97">
        <v>28.312921508349898</v>
      </c>
      <c r="E33" s="98">
        <v>2.7376765672156549</v>
      </c>
      <c r="F33" s="99">
        <v>40.815986089128558</v>
      </c>
      <c r="G33" s="98">
        <v>6.1064083476475899</v>
      </c>
      <c r="H33" s="100">
        <v>31.797691585134309</v>
      </c>
      <c r="I33" s="101">
        <v>7.5802116086888001</v>
      </c>
      <c r="J33" s="97">
        <v>25.426559387134191</v>
      </c>
      <c r="K33" s="98">
        <v>6.0182202259447504</v>
      </c>
      <c r="L33" s="100">
        <v>15.15358005126164</v>
      </c>
      <c r="M33" s="101">
        <v>3.6536935690950014</v>
      </c>
      <c r="N33" s="97">
        <v>-25.662406037866919</v>
      </c>
      <c r="O33" s="102">
        <v>6.1592333342716827</v>
      </c>
      <c r="P33" s="99">
        <v>28.979183439542879</v>
      </c>
      <c r="Q33" s="98">
        <v>2.855270787481647</v>
      </c>
      <c r="R33" s="100">
        <v>6.1458692353639863</v>
      </c>
      <c r="S33" s="101">
        <v>4.6661128048475922</v>
      </c>
      <c r="T33" s="97">
        <v>17.083478757089459</v>
      </c>
      <c r="U33" s="101">
        <v>15.122401919454301</v>
      </c>
      <c r="V33" s="97">
        <v>-16.392770815245662</v>
      </c>
      <c r="W33" s="104">
        <v>10.449471126223388</v>
      </c>
      <c r="X33" s="124"/>
      <c r="Y33" s="124"/>
      <c r="Z33" s="124"/>
      <c r="AA33" s="124"/>
      <c r="AB33" s="124"/>
      <c r="AC33" s="124"/>
      <c r="AD33" s="124"/>
      <c r="AE33" s="124"/>
    </row>
    <row r="34" spans="1:31" s="105" customFormat="1" x14ac:dyDescent="0.25">
      <c r="A34" s="118" t="s">
        <v>220</v>
      </c>
      <c r="B34" s="95">
        <v>183</v>
      </c>
      <c r="C34" s="96">
        <v>100</v>
      </c>
      <c r="D34" s="97">
        <v>53.531972482028202</v>
      </c>
      <c r="E34" s="98">
        <v>3.7175277788016055</v>
      </c>
      <c r="F34" s="99">
        <v>67.420705800911492</v>
      </c>
      <c r="G34" s="98">
        <v>6.785327409422556</v>
      </c>
      <c r="H34" s="100">
        <v>57.673270830490708</v>
      </c>
      <c r="I34" s="101">
        <v>8.1242649116046906</v>
      </c>
      <c r="J34" s="97">
        <v>47.417553964198923</v>
      </c>
      <c r="K34" s="98">
        <v>9.8307912590255082</v>
      </c>
      <c r="L34" s="100">
        <v>42.174978003140332</v>
      </c>
      <c r="M34" s="101">
        <v>8.4268740805323379</v>
      </c>
      <c r="N34" s="97">
        <v>-25.24572779777116</v>
      </c>
      <c r="O34" s="102">
        <v>11.885872790912797</v>
      </c>
      <c r="P34" s="99">
        <v>57.020051898393767</v>
      </c>
      <c r="Q34" s="98">
        <v>4.4385582091234372</v>
      </c>
      <c r="R34" s="100">
        <v>41.921437873399157</v>
      </c>
      <c r="S34" s="101">
        <v>18.612741982086163</v>
      </c>
      <c r="T34" s="97">
        <v>47.244666672055452</v>
      </c>
      <c r="U34" s="101">
        <v>8.0283128779944501</v>
      </c>
      <c r="V34" s="97">
        <v>-10.347949846497087</v>
      </c>
      <c r="W34" s="104">
        <v>8.9024173695492834</v>
      </c>
      <c r="X34" s="124"/>
      <c r="Y34" s="124"/>
      <c r="Z34" s="124"/>
      <c r="AA34" s="124"/>
      <c r="AB34" s="124"/>
      <c r="AC34" s="124"/>
      <c r="AD34" s="124"/>
      <c r="AE34" s="124"/>
    </row>
    <row r="35" spans="1:31" s="105" customFormat="1" x14ac:dyDescent="0.25">
      <c r="A35" s="118" t="s">
        <v>221</v>
      </c>
      <c r="B35" s="95">
        <v>153</v>
      </c>
      <c r="C35" s="96">
        <v>83.323898315429688</v>
      </c>
      <c r="D35" s="97">
        <v>39.777857726669623</v>
      </c>
      <c r="E35" s="98">
        <v>3.8982499219553817</v>
      </c>
      <c r="F35" s="99">
        <v>53.684120316231038</v>
      </c>
      <c r="G35" s="98">
        <v>12.157881768455754</v>
      </c>
      <c r="H35" s="100">
        <v>29.931253434634101</v>
      </c>
      <c r="I35" s="101">
        <v>7.9327434063368152</v>
      </c>
      <c r="J35" s="97">
        <v>34.094897510526117</v>
      </c>
      <c r="K35" s="98">
        <v>9.4323079760037452</v>
      </c>
      <c r="L35" s="100">
        <v>41.786315760449028</v>
      </c>
      <c r="M35" s="101">
        <v>8.5185004169835157</v>
      </c>
      <c r="N35" s="97">
        <v>-11.89780455578201</v>
      </c>
      <c r="O35" s="102">
        <v>13.89889187753985</v>
      </c>
      <c r="P35" s="99">
        <v>38.38406154836715</v>
      </c>
      <c r="Q35" s="98">
        <v>5.2712186898865445</v>
      </c>
      <c r="R35" s="100">
        <v>43.120428248035743</v>
      </c>
      <c r="S35" s="101">
        <v>6.7187465825952621</v>
      </c>
      <c r="T35" s="97">
        <v>33.091976444276121</v>
      </c>
      <c r="U35" s="101">
        <v>16.376438722247361</v>
      </c>
      <c r="V35" s="97">
        <v>3.2703661259607131</v>
      </c>
      <c r="W35" s="104">
        <v>8.2484418330955833</v>
      </c>
      <c r="X35" s="124"/>
      <c r="Y35" s="124"/>
      <c r="Z35" s="124"/>
      <c r="AA35" s="124"/>
      <c r="AB35" s="124"/>
      <c r="AC35" s="124"/>
      <c r="AD35" s="124"/>
      <c r="AE35" s="124"/>
    </row>
    <row r="36" spans="1:31" s="105" customFormat="1" x14ac:dyDescent="0.25">
      <c r="A36" s="118" t="s">
        <v>222</v>
      </c>
      <c r="B36" s="95">
        <v>290</v>
      </c>
      <c r="C36" s="96">
        <v>93.976417541503906</v>
      </c>
      <c r="D36" s="97">
        <v>23.027110544232151</v>
      </c>
      <c r="E36" s="98">
        <v>1.8099532009176875</v>
      </c>
      <c r="F36" s="99">
        <v>22.777576851006891</v>
      </c>
      <c r="G36" s="98">
        <v>4.8393227265453733</v>
      </c>
      <c r="H36" s="100">
        <v>25.672313753148611</v>
      </c>
      <c r="I36" s="101">
        <v>5.9030419319457517</v>
      </c>
      <c r="J36" s="97">
        <v>28.368943535538751</v>
      </c>
      <c r="K36" s="98">
        <v>5.282855055123818</v>
      </c>
      <c r="L36" s="100">
        <v>15.071355892161179</v>
      </c>
      <c r="M36" s="101">
        <v>3.3656917272257534</v>
      </c>
      <c r="N36" s="97">
        <v>-7.7062209588457069</v>
      </c>
      <c r="O36" s="102">
        <v>5.751024599430588</v>
      </c>
      <c r="P36" s="99">
        <v>23.352670550428108</v>
      </c>
      <c r="Q36" s="98">
        <v>1.8536174629885283</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23.735091874638758</v>
      </c>
      <c r="E37" s="98">
        <v>1.5618383461503991</v>
      </c>
      <c r="F37" s="99">
        <v>21.882400280954919</v>
      </c>
      <c r="G37" s="98">
        <v>3.679013775772598</v>
      </c>
      <c r="H37" s="100">
        <v>27.80150141245015</v>
      </c>
      <c r="I37" s="101">
        <v>3.3893646504463635</v>
      </c>
      <c r="J37" s="97">
        <v>13.409569586594429</v>
      </c>
      <c r="K37" s="98">
        <v>3.4334639308320369</v>
      </c>
      <c r="L37" s="100">
        <v>31.883647112075909</v>
      </c>
      <c r="M37" s="101">
        <v>3.187665998962955</v>
      </c>
      <c r="N37" s="97">
        <v>10.001246831120991</v>
      </c>
      <c r="O37" s="102">
        <v>4.7402324749854312</v>
      </c>
      <c r="P37" s="99">
        <v>23.637424571645461</v>
      </c>
      <c r="Q37" s="98">
        <v>1.5925648143758191</v>
      </c>
      <c r="R37" s="100">
        <v>26.867468441859089</v>
      </c>
      <c r="S37" s="101">
        <v>9.7499430897024713</v>
      </c>
      <c r="T37" s="97" t="s">
        <v>34</v>
      </c>
      <c r="U37" s="101" t="s">
        <v>34</v>
      </c>
      <c r="V37" s="97">
        <v>3.2300438702136276</v>
      </c>
      <c r="W37" s="104">
        <v>9.8479732697608711</v>
      </c>
      <c r="X37" s="124"/>
      <c r="Y37" s="124"/>
      <c r="Z37" s="124"/>
      <c r="AA37" s="124"/>
      <c r="AB37" s="124"/>
      <c r="AC37" s="124"/>
      <c r="AD37" s="124"/>
      <c r="AE37" s="124"/>
    </row>
    <row r="38" spans="1:31" s="105" customFormat="1" x14ac:dyDescent="0.25">
      <c r="A38" s="118" t="s">
        <v>224</v>
      </c>
      <c r="B38" s="95">
        <v>43</v>
      </c>
      <c r="C38" s="96">
        <v>96.65936279296875</v>
      </c>
      <c r="D38" s="97">
        <v>12.069324590524699</v>
      </c>
      <c r="E38" s="98">
        <v>7.0092950143622837E-2</v>
      </c>
      <c r="F38" s="99">
        <v>0</v>
      </c>
      <c r="G38" s="98" t="s">
        <v>35</v>
      </c>
      <c r="H38" s="100">
        <v>34.634899161814943</v>
      </c>
      <c r="I38" s="101">
        <v>0.20558720769110936</v>
      </c>
      <c r="J38" s="97">
        <v>14.43850577645081</v>
      </c>
      <c r="K38" s="98">
        <v>0.14323398637606774</v>
      </c>
      <c r="L38" s="100">
        <v>0</v>
      </c>
      <c r="M38" s="101" t="s">
        <v>35</v>
      </c>
      <c r="N38" s="97">
        <v>0</v>
      </c>
      <c r="O38" s="102" t="s">
        <v>35</v>
      </c>
      <c r="P38" s="99">
        <v>14.772026278055201</v>
      </c>
      <c r="Q38" s="98">
        <v>8.4139524787680608E-2</v>
      </c>
      <c r="R38" s="100">
        <v>0</v>
      </c>
      <c r="S38" s="101" t="s">
        <v>35</v>
      </c>
      <c r="T38" s="97" t="s">
        <v>34</v>
      </c>
      <c r="U38" s="101" t="s">
        <v>34</v>
      </c>
      <c r="V38" s="97">
        <v>-14.772026278055201</v>
      </c>
      <c r="W38" s="104">
        <v>8.4139524787680608E-2</v>
      </c>
      <c r="X38" s="124"/>
      <c r="Y38" s="124"/>
      <c r="Z38" s="124"/>
      <c r="AA38" s="124"/>
      <c r="AB38" s="124"/>
      <c r="AC38" s="124"/>
      <c r="AD38" s="124"/>
      <c r="AE38" s="124"/>
    </row>
    <row r="39" spans="1:31" s="105" customFormat="1" x14ac:dyDescent="0.25">
      <c r="A39" s="118" t="s">
        <v>225</v>
      </c>
      <c r="B39" s="95">
        <v>207</v>
      </c>
      <c r="C39" s="96">
        <v>77.963554382324219</v>
      </c>
      <c r="D39" s="97">
        <v>48.256050191010679</v>
      </c>
      <c r="E39" s="98">
        <v>3.1640594704377709</v>
      </c>
      <c r="F39" s="99">
        <v>69.201796030930211</v>
      </c>
      <c r="G39" s="98">
        <v>6.4365198107887638</v>
      </c>
      <c r="H39" s="100">
        <v>51.401959982098013</v>
      </c>
      <c r="I39" s="101">
        <v>9.4417004842513688</v>
      </c>
      <c r="J39" s="97">
        <v>47.342451529592687</v>
      </c>
      <c r="K39" s="98">
        <v>7.9449042527989748</v>
      </c>
      <c r="L39" s="100">
        <v>24.732891892670931</v>
      </c>
      <c r="M39" s="101">
        <v>6.2652172001995563</v>
      </c>
      <c r="N39" s="97">
        <v>-44.468904138259283</v>
      </c>
      <c r="O39" s="102">
        <v>8.9950068877717158</v>
      </c>
      <c r="P39" s="99">
        <v>54.248820908520393</v>
      </c>
      <c r="Q39" s="98">
        <v>3.4682521600453398</v>
      </c>
      <c r="R39" s="100" t="s">
        <v>34</v>
      </c>
      <c r="S39" s="101" t="s">
        <v>34</v>
      </c>
      <c r="T39" s="97">
        <v>7.8264700258881028</v>
      </c>
      <c r="U39" s="101">
        <v>4.6035873575923478</v>
      </c>
      <c r="V39" s="97">
        <v>-46.422350882632287</v>
      </c>
      <c r="W39" s="104">
        <v>5.5430140112942432</v>
      </c>
      <c r="X39" s="124"/>
      <c r="Y39" s="124"/>
      <c r="Z39" s="124"/>
      <c r="AA39" s="124"/>
      <c r="AB39" s="124"/>
      <c r="AC39" s="124"/>
      <c r="AD39" s="124"/>
      <c r="AE39" s="124"/>
    </row>
    <row r="40" spans="1:31" s="105" customFormat="1" x14ac:dyDescent="0.25">
      <c r="A40" s="118" t="s">
        <v>300</v>
      </c>
      <c r="B40" s="95">
        <v>145</v>
      </c>
      <c r="C40" s="96">
        <v>93.125473022460938</v>
      </c>
      <c r="D40" s="97">
        <v>11.99950201204835</v>
      </c>
      <c r="E40" s="98">
        <v>2.9533167466461707</v>
      </c>
      <c r="F40" s="99">
        <v>7.1292605752783897</v>
      </c>
      <c r="G40" s="98">
        <v>4.9893327179961773</v>
      </c>
      <c r="H40" s="100">
        <v>5.2991613536891844</v>
      </c>
      <c r="I40" s="101">
        <v>5.6118384827760259</v>
      </c>
      <c r="J40" s="97">
        <v>14.810741608288261</v>
      </c>
      <c r="K40" s="98">
        <v>6.6753943729144885</v>
      </c>
      <c r="L40" s="100">
        <v>20.925701062932379</v>
      </c>
      <c r="M40" s="101">
        <v>6.5394109885716336</v>
      </c>
      <c r="N40" s="97">
        <v>13.796440487653991</v>
      </c>
      <c r="O40" s="102">
        <v>8.2847945957327234</v>
      </c>
      <c r="P40" s="99">
        <v>7.1758999989140531</v>
      </c>
      <c r="Q40" s="98">
        <v>4.3271191584387934</v>
      </c>
      <c r="R40" s="100">
        <v>14.93019419722731</v>
      </c>
      <c r="S40" s="101">
        <v>3.8757941112479988</v>
      </c>
      <c r="T40" s="97" t="s">
        <v>34</v>
      </c>
      <c r="U40" s="101" t="s">
        <v>34</v>
      </c>
      <c r="V40" s="97">
        <v>7.7542941983132572</v>
      </c>
      <c r="W40" s="104">
        <v>5.632072100312965</v>
      </c>
      <c r="X40" s="124"/>
      <c r="Y40" s="124"/>
      <c r="Z40" s="124"/>
      <c r="AA40" s="124"/>
      <c r="AB40" s="124"/>
      <c r="AC40" s="124"/>
      <c r="AD40" s="124"/>
      <c r="AE40" s="124"/>
    </row>
    <row r="41" spans="1:31" s="105" customFormat="1" x14ac:dyDescent="0.25">
      <c r="A41" s="118" t="s">
        <v>226</v>
      </c>
      <c r="B41" s="95">
        <v>182</v>
      </c>
      <c r="C41" s="96">
        <v>94.877471923828125</v>
      </c>
      <c r="D41" s="97">
        <v>13.27452984720891</v>
      </c>
      <c r="E41" s="98">
        <v>2.2232931092880981</v>
      </c>
      <c r="F41" s="99">
        <v>16.744631597974141</v>
      </c>
      <c r="G41" s="98">
        <v>6.1298294950070389</v>
      </c>
      <c r="H41" s="100">
        <v>13.76713598724916</v>
      </c>
      <c r="I41" s="101">
        <v>7.7166322879017404</v>
      </c>
      <c r="J41" s="97">
        <v>18.186187165448509</v>
      </c>
      <c r="K41" s="98">
        <v>6.6739041941977248</v>
      </c>
      <c r="L41" s="100">
        <v>4.3774681713485304</v>
      </c>
      <c r="M41" s="101">
        <v>2.7280392250868832</v>
      </c>
      <c r="N41" s="97">
        <v>-12.367163426625609</v>
      </c>
      <c r="O41" s="102">
        <v>6.7586158870616533</v>
      </c>
      <c r="P41" s="99">
        <v>13.887572409292581</v>
      </c>
      <c r="Q41" s="98">
        <v>2.3567781171631075</v>
      </c>
      <c r="R41" s="100" t="s">
        <v>34</v>
      </c>
      <c r="S41" s="101" t="s">
        <v>34</v>
      </c>
      <c r="T41" s="97">
        <v>3.8570016334939861</v>
      </c>
      <c r="U41" s="101">
        <v>3.8913061208104311</v>
      </c>
      <c r="V41" s="97">
        <v>-10.030570775798594</v>
      </c>
      <c r="W41" s="104">
        <v>4.6037894155807884</v>
      </c>
      <c r="X41" s="124"/>
      <c r="Y41" s="124"/>
      <c r="Z41" s="124"/>
      <c r="AA41" s="124"/>
      <c r="AB41" s="124"/>
      <c r="AC41" s="124"/>
      <c r="AD41" s="124"/>
      <c r="AE41" s="124"/>
    </row>
    <row r="42" spans="1:31" s="105" customFormat="1" x14ac:dyDescent="0.25">
      <c r="A42" s="118" t="s">
        <v>227</v>
      </c>
      <c r="B42" s="95">
        <v>243</v>
      </c>
      <c r="C42" s="96">
        <v>97.620384216308594</v>
      </c>
      <c r="D42" s="97">
        <v>22.59562817504742</v>
      </c>
      <c r="E42" s="98">
        <v>2.9528483608910907</v>
      </c>
      <c r="F42" s="99">
        <v>24.018192825856179</v>
      </c>
      <c r="G42" s="98">
        <v>7.6745287534129281</v>
      </c>
      <c r="H42" s="100">
        <v>21.172249579396869</v>
      </c>
      <c r="I42" s="101">
        <v>6.9871338615330467</v>
      </c>
      <c r="J42" s="97">
        <v>28.55133988217499</v>
      </c>
      <c r="K42" s="98">
        <v>7.0227278495106571</v>
      </c>
      <c r="L42" s="100">
        <v>16.715374649223211</v>
      </c>
      <c r="M42" s="101">
        <v>5.1552438892824437</v>
      </c>
      <c r="N42" s="97">
        <v>-7.3028181766329654</v>
      </c>
      <c r="O42" s="102">
        <v>8.6789293938738012</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26.112070821892178</v>
      </c>
      <c r="E43" s="98">
        <v>3.0608997112193377</v>
      </c>
      <c r="F43" s="99">
        <v>27.23260997819138</v>
      </c>
      <c r="G43" s="98">
        <v>5.684403141070538</v>
      </c>
      <c r="H43" s="100">
        <v>32.063395123385853</v>
      </c>
      <c r="I43" s="101">
        <v>7.8708633819506337</v>
      </c>
      <c r="J43" s="97">
        <v>27.187483860502802</v>
      </c>
      <c r="K43" s="98">
        <v>7.1996518368569635</v>
      </c>
      <c r="L43" s="100">
        <v>17.988542468675661</v>
      </c>
      <c r="M43" s="101">
        <v>5.0452394403822236</v>
      </c>
      <c r="N43" s="97">
        <v>-9.2440675095157196</v>
      </c>
      <c r="O43" s="102">
        <v>7.0881181697278857</v>
      </c>
      <c r="P43" s="99">
        <v>26.285751849757069</v>
      </c>
      <c r="Q43" s="98">
        <v>3.1327005716868497</v>
      </c>
      <c r="R43" s="100">
        <v>15.862391946883101</v>
      </c>
      <c r="S43" s="101">
        <v>14.839732675785422</v>
      </c>
      <c r="T43" s="97" t="s">
        <v>34</v>
      </c>
      <c r="U43" s="101" t="s">
        <v>34</v>
      </c>
      <c r="V43" s="97">
        <v>-10.423359902873969</v>
      </c>
      <c r="W43" s="104">
        <v>15.176195928833842</v>
      </c>
      <c r="X43" s="124"/>
      <c r="Y43" s="124"/>
      <c r="Z43" s="124"/>
      <c r="AA43" s="124"/>
      <c r="AB43" s="124"/>
      <c r="AC43" s="124"/>
      <c r="AD43" s="124"/>
      <c r="AE43" s="124"/>
    </row>
    <row r="44" spans="1:31" s="105" customFormat="1" x14ac:dyDescent="0.25">
      <c r="A44" s="118" t="s">
        <v>301</v>
      </c>
      <c r="B44" s="95">
        <v>231</v>
      </c>
      <c r="C44" s="96">
        <v>87.302383422851563</v>
      </c>
      <c r="D44" s="97">
        <v>38.767939165137733</v>
      </c>
      <c r="E44" s="98">
        <v>3.3813367539155559</v>
      </c>
      <c r="F44" s="99">
        <v>39.702346494504773</v>
      </c>
      <c r="G44" s="98">
        <v>6.3928378846754184</v>
      </c>
      <c r="H44" s="100">
        <v>43.396623443103053</v>
      </c>
      <c r="I44" s="101">
        <v>7.5091784159997301</v>
      </c>
      <c r="J44" s="97">
        <v>36.927198477879493</v>
      </c>
      <c r="K44" s="98">
        <v>8.1088610510091375</v>
      </c>
      <c r="L44" s="100">
        <v>34.78545982883103</v>
      </c>
      <c r="M44" s="101">
        <v>7.0803417534997477</v>
      </c>
      <c r="N44" s="97">
        <v>-4.9168866656737444</v>
      </c>
      <c r="O44" s="102">
        <v>10.984332424566833</v>
      </c>
      <c r="P44" s="99">
        <v>41.021879625861168</v>
      </c>
      <c r="Q44" s="98">
        <v>3.8299104012176719</v>
      </c>
      <c r="R44" s="100">
        <v>34.641121939433972</v>
      </c>
      <c r="S44" s="101">
        <v>9.9031177567609596</v>
      </c>
      <c r="T44" s="97">
        <v>19.538225322635181</v>
      </c>
      <c r="U44" s="101">
        <v>9.8255472819503726</v>
      </c>
      <c r="V44" s="97">
        <v>-14.088261377846127</v>
      </c>
      <c r="W44" s="104">
        <v>7.9062385001056104</v>
      </c>
      <c r="X44" s="124"/>
      <c r="Y44" s="124"/>
      <c r="Z44" s="124"/>
      <c r="AA44" s="124"/>
      <c r="AB44" s="124"/>
      <c r="AC44" s="124"/>
      <c r="AD44" s="124"/>
      <c r="AE44" s="124"/>
    </row>
    <row r="45" spans="1:31" s="105" customFormat="1" x14ac:dyDescent="0.25">
      <c r="A45" s="118" t="s">
        <v>229</v>
      </c>
      <c r="B45" s="95">
        <v>354</v>
      </c>
      <c r="C45" s="96">
        <v>94.783416748046875</v>
      </c>
      <c r="D45" s="97">
        <v>56.724430566300519</v>
      </c>
      <c r="E45" s="98">
        <v>2.8545300541118293</v>
      </c>
      <c r="F45" s="99">
        <v>63.23039016004693</v>
      </c>
      <c r="G45" s="98">
        <v>6.0472441802252606</v>
      </c>
      <c r="H45" s="100">
        <v>61.895294059331491</v>
      </c>
      <c r="I45" s="101">
        <v>6.2400415129918496</v>
      </c>
      <c r="J45" s="97">
        <v>52.347650337543669</v>
      </c>
      <c r="K45" s="98">
        <v>6.0822908049347948</v>
      </c>
      <c r="L45" s="100">
        <v>49.785554256501598</v>
      </c>
      <c r="M45" s="101">
        <v>6.9290991426263968</v>
      </c>
      <c r="N45" s="97">
        <v>-13.44483590354533</v>
      </c>
      <c r="O45" s="102">
        <v>8.7697138703700332</v>
      </c>
      <c r="P45" s="99">
        <v>55.325529397826912</v>
      </c>
      <c r="Q45" s="98">
        <v>2.8411596141524771</v>
      </c>
      <c r="R45" s="100">
        <v>63.955897045120352</v>
      </c>
      <c r="S45" s="101">
        <v>7.6971860137596666</v>
      </c>
      <c r="T45" s="97" t="s">
        <v>34</v>
      </c>
      <c r="U45" s="101" t="s">
        <v>34</v>
      </c>
      <c r="V45" s="97">
        <v>8.6303676472934399</v>
      </c>
      <c r="W45" s="104">
        <v>7.5658205458660754</v>
      </c>
      <c r="X45" s="124"/>
      <c r="Y45" s="124"/>
      <c r="Z45" s="124"/>
      <c r="AA45" s="124"/>
      <c r="AB45" s="124"/>
      <c r="AC45" s="124"/>
      <c r="AD45" s="124"/>
      <c r="AE45" s="124"/>
    </row>
    <row r="46" spans="1:31" s="105" customFormat="1" x14ac:dyDescent="0.25">
      <c r="A46" s="118" t="s">
        <v>230</v>
      </c>
      <c r="B46" s="95">
        <v>276</v>
      </c>
      <c r="C46" s="96">
        <v>87.400062561035156</v>
      </c>
      <c r="D46" s="97">
        <v>25.759994459840549</v>
      </c>
      <c r="E46" s="98">
        <v>0.12657667982526843</v>
      </c>
      <c r="F46" s="99">
        <v>40.986066992813043</v>
      </c>
      <c r="G46" s="98">
        <v>0.43687409036676622</v>
      </c>
      <c r="H46" s="100">
        <v>27.161475347271491</v>
      </c>
      <c r="I46" s="101">
        <v>0.44222425466859888</v>
      </c>
      <c r="J46" s="97">
        <v>22.729574386461799</v>
      </c>
      <c r="K46" s="98">
        <v>0.24547055314580071</v>
      </c>
      <c r="L46" s="100">
        <v>12.338825918737291</v>
      </c>
      <c r="M46" s="101">
        <v>0.1391862702810524</v>
      </c>
      <c r="N46" s="97">
        <v>-28.647241074075751</v>
      </c>
      <c r="O46" s="102">
        <v>0.4367916223118023</v>
      </c>
      <c r="P46" s="99">
        <v>26.413522260231218</v>
      </c>
      <c r="Q46" s="98">
        <v>0.1290873623437524</v>
      </c>
      <c r="R46" s="100">
        <v>0</v>
      </c>
      <c r="S46" s="101" t="s">
        <v>35</v>
      </c>
      <c r="T46" s="97" t="s">
        <v>34</v>
      </c>
      <c r="U46" s="101" t="s">
        <v>34</v>
      </c>
      <c r="V46" s="97">
        <v>-26.413522260231218</v>
      </c>
      <c r="W46" s="104">
        <v>0.1290873623437524</v>
      </c>
      <c r="X46" s="124"/>
      <c r="Y46" s="124"/>
      <c r="Z46" s="124"/>
      <c r="AA46" s="124"/>
      <c r="AB46" s="124"/>
      <c r="AC46" s="124"/>
      <c r="AD46" s="124"/>
      <c r="AE46" s="124"/>
    </row>
    <row r="47" spans="1:31" s="105" customFormat="1" x14ac:dyDescent="0.25">
      <c r="A47" s="118" t="s">
        <v>231</v>
      </c>
      <c r="B47" s="95">
        <v>1050</v>
      </c>
      <c r="C47" s="96">
        <v>96.48858642578125</v>
      </c>
      <c r="D47" s="97">
        <v>38.732571194526876</v>
      </c>
      <c r="E47" s="98">
        <v>2.205914091402275</v>
      </c>
      <c r="F47" s="99">
        <v>52.954405071764747</v>
      </c>
      <c r="G47" s="98">
        <v>5.106716118937495</v>
      </c>
      <c r="H47" s="100">
        <v>40.644364529045951</v>
      </c>
      <c r="I47" s="101">
        <v>4.3864833702735586</v>
      </c>
      <c r="J47" s="97">
        <v>38.801171367751692</v>
      </c>
      <c r="K47" s="98">
        <v>5.2419832788843781</v>
      </c>
      <c r="L47" s="100">
        <v>22.564282758153318</v>
      </c>
      <c r="M47" s="101">
        <v>3.3957240173496546</v>
      </c>
      <c r="N47" s="97">
        <v>-30.390122313611428</v>
      </c>
      <c r="O47" s="102">
        <v>5.495423955538115</v>
      </c>
      <c r="P47" s="99">
        <v>46.538457910568447</v>
      </c>
      <c r="Q47" s="98">
        <v>2.784737966116297</v>
      </c>
      <c r="R47" s="100">
        <v>25.68840623609433</v>
      </c>
      <c r="S47" s="101">
        <v>3.9004846811730651</v>
      </c>
      <c r="T47" s="97">
        <v>9.243578268676508</v>
      </c>
      <c r="U47" s="101">
        <v>4.2190524216216376</v>
      </c>
      <c r="V47" s="97">
        <v>-24.086960136385986</v>
      </c>
      <c r="W47" s="104">
        <v>3.922581419632829</v>
      </c>
      <c r="X47" s="124"/>
      <c r="Y47" s="124"/>
      <c r="Z47" s="124"/>
      <c r="AA47" s="124"/>
      <c r="AB47" s="124"/>
      <c r="AC47" s="124"/>
      <c r="AD47" s="124"/>
      <c r="AE47" s="124"/>
    </row>
    <row r="48" spans="1:31" s="105" customFormat="1" x14ac:dyDescent="0.25">
      <c r="A48" s="118" t="s">
        <v>232</v>
      </c>
      <c r="B48" s="95">
        <v>201</v>
      </c>
      <c r="C48" s="96">
        <v>96.295379638671875</v>
      </c>
      <c r="D48" s="97">
        <v>14.59083538637133</v>
      </c>
      <c r="E48" s="98">
        <v>2.299619320252015</v>
      </c>
      <c r="F48" s="99">
        <v>11.62221452428253</v>
      </c>
      <c r="G48" s="98">
        <v>5.3271725085722688</v>
      </c>
      <c r="H48" s="100">
        <v>27.97086124975533</v>
      </c>
      <c r="I48" s="101">
        <v>7.6845928235643886</v>
      </c>
      <c r="J48" s="97">
        <v>12.90096564747855</v>
      </c>
      <c r="K48" s="98">
        <v>5.0354600176368427</v>
      </c>
      <c r="L48" s="100">
        <v>5.8162999954359531</v>
      </c>
      <c r="M48" s="101">
        <v>3.4145610232651755</v>
      </c>
      <c r="N48" s="97">
        <v>-5.8059145288465794</v>
      </c>
      <c r="O48" s="102">
        <v>6.2388479739786904</v>
      </c>
      <c r="P48" s="99">
        <v>16.318723491553762</v>
      </c>
      <c r="Q48" s="98">
        <v>2.7557211635787318</v>
      </c>
      <c r="R48" s="100">
        <v>7.1283569469969716</v>
      </c>
      <c r="S48" s="101">
        <v>3.8812424656437194</v>
      </c>
      <c r="T48" s="97" t="s">
        <v>34</v>
      </c>
      <c r="U48" s="101" t="s">
        <v>34</v>
      </c>
      <c r="V48" s="97">
        <v>-9.1903665445567899</v>
      </c>
      <c r="W48" s="104">
        <v>4.9808365903365051</v>
      </c>
      <c r="X48" s="124"/>
      <c r="Y48" s="124"/>
      <c r="Z48" s="124"/>
      <c r="AA48" s="124"/>
      <c r="AB48" s="124"/>
      <c r="AC48" s="124"/>
      <c r="AD48" s="124"/>
      <c r="AE48" s="124"/>
    </row>
    <row r="49" spans="1:31" s="105" customFormat="1" x14ac:dyDescent="0.25">
      <c r="A49" s="118" t="s">
        <v>233</v>
      </c>
      <c r="B49" s="95">
        <v>157</v>
      </c>
      <c r="C49" s="96">
        <v>74.739677429199219</v>
      </c>
      <c r="D49" s="97">
        <v>16.58011248443476</v>
      </c>
      <c r="E49" s="98">
        <v>3.0164174082165287</v>
      </c>
      <c r="F49" s="99">
        <v>21.035158391693521</v>
      </c>
      <c r="G49" s="98">
        <v>7.2781850824675436</v>
      </c>
      <c r="H49" s="100">
        <v>15.925774004489391</v>
      </c>
      <c r="I49" s="101">
        <v>7.6261220940699754</v>
      </c>
      <c r="J49" s="97">
        <v>15.070542097311881</v>
      </c>
      <c r="K49" s="98">
        <v>7.8044183211784288</v>
      </c>
      <c r="L49" s="100">
        <v>14.18150963282322</v>
      </c>
      <c r="M49" s="101">
        <v>5.7068767813109886</v>
      </c>
      <c r="N49" s="97">
        <v>-6.8536487588703032</v>
      </c>
      <c r="O49" s="102">
        <v>10.288753716466335</v>
      </c>
      <c r="P49" s="99">
        <v>16.009272352538289</v>
      </c>
      <c r="Q49" s="98">
        <v>3.2032572498020189</v>
      </c>
      <c r="R49" s="100" t="s">
        <v>34</v>
      </c>
      <c r="S49" s="101" t="s">
        <v>34</v>
      </c>
      <c r="T49" s="97">
        <v>30.39082438657843</v>
      </c>
      <c r="U49" s="101">
        <v>22.770248684875224</v>
      </c>
      <c r="V49" s="97">
        <v>14.381552034040141</v>
      </c>
      <c r="W49" s="104">
        <v>23.605285550786061</v>
      </c>
      <c r="X49" s="124"/>
      <c r="Y49" s="124"/>
      <c r="Z49" s="124"/>
      <c r="AA49" s="124"/>
      <c r="AB49" s="124"/>
      <c r="AC49" s="124"/>
      <c r="AD49" s="124"/>
      <c r="AE49" s="124"/>
    </row>
    <row r="50" spans="1:31" s="105" customFormat="1" x14ac:dyDescent="0.25">
      <c r="A50" s="118" t="s">
        <v>234</v>
      </c>
      <c r="B50" s="95">
        <v>179</v>
      </c>
      <c r="C50" s="96">
        <v>98.9569091796875</v>
      </c>
      <c r="D50" s="97">
        <v>13.051088210172971</v>
      </c>
      <c r="E50" s="98">
        <v>2.358824288651264</v>
      </c>
      <c r="F50" s="99">
        <v>26.986496449404271</v>
      </c>
      <c r="G50" s="98">
        <v>6.4520519396720255</v>
      </c>
      <c r="H50" s="100">
        <v>9.8633238667401137</v>
      </c>
      <c r="I50" s="101">
        <v>6.7980047346019079</v>
      </c>
      <c r="J50" s="97">
        <v>12.539843475572811</v>
      </c>
      <c r="K50" s="98">
        <v>6.0188628261303316</v>
      </c>
      <c r="L50" s="100">
        <v>2.682104877252101</v>
      </c>
      <c r="M50" s="101">
        <v>2.7403225531159578</v>
      </c>
      <c r="N50" s="97">
        <v>-24.30439157215217</v>
      </c>
      <c r="O50" s="102">
        <v>6.9325906119435379</v>
      </c>
      <c r="P50" s="99">
        <v>14.86947516859766</v>
      </c>
      <c r="Q50" s="98">
        <v>2.6560839433970709</v>
      </c>
      <c r="R50" s="100" t="s">
        <v>34</v>
      </c>
      <c r="S50" s="101" t="s">
        <v>34</v>
      </c>
      <c r="T50" s="97">
        <v>0</v>
      </c>
      <c r="U50" s="101" t="s">
        <v>35</v>
      </c>
      <c r="V50" s="97">
        <v>-14.86947516859766</v>
      </c>
      <c r="W50" s="104">
        <v>2.6560839433970709</v>
      </c>
      <c r="X50" s="124"/>
      <c r="Y50" s="124"/>
      <c r="Z50" s="124"/>
      <c r="AA50" s="124"/>
      <c r="AB50" s="124"/>
      <c r="AC50" s="124"/>
      <c r="AD50" s="124"/>
      <c r="AE50" s="124"/>
    </row>
    <row r="51" spans="1:31" s="105" customFormat="1" x14ac:dyDescent="0.25">
      <c r="A51" s="118" t="s">
        <v>235</v>
      </c>
      <c r="B51" s="95">
        <v>381</v>
      </c>
      <c r="C51" s="96">
        <v>77.006050109863281</v>
      </c>
      <c r="D51" s="97">
        <v>27.269380090168049</v>
      </c>
      <c r="E51" s="98">
        <v>3.06832317886336</v>
      </c>
      <c r="F51" s="99">
        <v>26.296267298927312</v>
      </c>
      <c r="G51" s="98">
        <v>7.4315125722163362</v>
      </c>
      <c r="H51" s="100">
        <v>34.614437984901727</v>
      </c>
      <c r="I51" s="101">
        <v>8.1240585895844486</v>
      </c>
      <c r="J51" s="97">
        <v>28.53090947137278</v>
      </c>
      <c r="K51" s="98">
        <v>8.1344043508429671</v>
      </c>
      <c r="L51" s="100">
        <v>18.541633694893871</v>
      </c>
      <c r="M51" s="101">
        <v>5.6118973840403674</v>
      </c>
      <c r="N51" s="97">
        <v>-7.7546336040334367</v>
      </c>
      <c r="O51" s="102">
        <v>8.5797843362430974</v>
      </c>
      <c r="P51" s="99">
        <v>32.484626390978882</v>
      </c>
      <c r="Q51" s="98">
        <v>4.21166091321167</v>
      </c>
      <c r="R51" s="100">
        <v>28.250723753860989</v>
      </c>
      <c r="S51" s="101">
        <v>4.9641025026922412</v>
      </c>
      <c r="T51" s="97">
        <v>0.38703230425955981</v>
      </c>
      <c r="U51" s="101">
        <v>0.40282435958412105</v>
      </c>
      <c r="V51" s="97">
        <v>-8.4291079163659006</v>
      </c>
      <c r="W51" s="104">
        <v>6.1000924709914992</v>
      </c>
      <c r="X51" s="124"/>
      <c r="Y51" s="124"/>
      <c r="Z51" s="124"/>
      <c r="AA51" s="124"/>
      <c r="AB51" s="124"/>
      <c r="AC51" s="124"/>
      <c r="AD51" s="124"/>
      <c r="AE51" s="124"/>
    </row>
    <row r="52" spans="1:31" s="105" customFormat="1" x14ac:dyDescent="0.25">
      <c r="A52" s="118" t="s">
        <v>302</v>
      </c>
      <c r="B52" s="95">
        <v>146</v>
      </c>
      <c r="C52" s="96">
        <v>89.849540710449219</v>
      </c>
      <c r="D52" s="97">
        <v>15.06375997649088</v>
      </c>
      <c r="E52" s="98">
        <v>3.4779018589551249</v>
      </c>
      <c r="F52" s="99">
        <v>17.563163614713559</v>
      </c>
      <c r="G52" s="98">
        <v>6.5084178865713467</v>
      </c>
      <c r="H52" s="100">
        <v>21.719294556947709</v>
      </c>
      <c r="I52" s="101">
        <v>7.7919517959958045</v>
      </c>
      <c r="J52" s="97">
        <v>7.8002522034812918</v>
      </c>
      <c r="K52" s="98">
        <v>5.5114125240319796</v>
      </c>
      <c r="L52" s="100">
        <v>13.147385373340009</v>
      </c>
      <c r="M52" s="101">
        <v>5.7055521191284244</v>
      </c>
      <c r="N52" s="97">
        <v>-4.4157782413735482</v>
      </c>
      <c r="O52" s="102">
        <v>7.9334608900738299</v>
      </c>
      <c r="P52" s="99">
        <v>15.582597200490509</v>
      </c>
      <c r="Q52" s="98">
        <v>3.7212189294917675</v>
      </c>
      <c r="R52" s="100" t="s">
        <v>34</v>
      </c>
      <c r="S52" s="101" t="s">
        <v>34</v>
      </c>
      <c r="T52" s="97">
        <v>0</v>
      </c>
      <c r="U52" s="101" t="s">
        <v>35</v>
      </c>
      <c r="V52" s="97">
        <v>-15.582597200490509</v>
      </c>
      <c r="W52" s="104">
        <v>3.7212189294917675</v>
      </c>
      <c r="X52" s="124"/>
      <c r="Y52" s="124"/>
      <c r="Z52" s="124"/>
      <c r="AA52" s="124"/>
      <c r="AB52" s="124"/>
      <c r="AC52" s="124"/>
      <c r="AD52" s="124"/>
      <c r="AE52" s="124"/>
    </row>
    <row r="53" spans="1:31" s="105" customFormat="1" x14ac:dyDescent="0.25">
      <c r="A53" s="118" t="s">
        <v>236</v>
      </c>
      <c r="B53" s="95" t="s">
        <v>34</v>
      </c>
      <c r="C53" s="96" t="s">
        <v>34</v>
      </c>
      <c r="D53" s="97">
        <v>28.426275217918771</v>
      </c>
      <c r="E53" s="98">
        <v>0.46453739073785982</v>
      </c>
      <c r="F53" s="99">
        <v>34.030373487825052</v>
      </c>
      <c r="G53" s="98">
        <v>1.060242505557113</v>
      </c>
      <c r="H53" s="100">
        <v>30.733773150361301</v>
      </c>
      <c r="I53" s="101">
        <v>1.1294195138018031</v>
      </c>
      <c r="J53" s="97">
        <v>28.244477522849351</v>
      </c>
      <c r="K53" s="98">
        <v>1.1440617079378039</v>
      </c>
      <c r="L53" s="100">
        <v>20.5708428664839</v>
      </c>
      <c r="M53" s="101">
        <v>0.90139343700716834</v>
      </c>
      <c r="N53" s="97">
        <v>-13.45953062134115</v>
      </c>
      <c r="O53" s="102">
        <v>1.37889292520294</v>
      </c>
      <c r="P53" s="99">
        <v>30.38396865031142</v>
      </c>
      <c r="Q53" s="98">
        <v>0.56376291696860337</v>
      </c>
      <c r="R53" s="100">
        <v>20.093359740455181</v>
      </c>
      <c r="S53" s="101">
        <v>1.941922079416716</v>
      </c>
      <c r="T53" s="97">
        <v>12.441715282259009</v>
      </c>
      <c r="U53" s="101">
        <v>2.1000274502554199</v>
      </c>
      <c r="V53" s="97">
        <v>-13.724963581102539</v>
      </c>
      <c r="W53" s="104">
        <v>1.7253437133942029</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323</v>
      </c>
      <c r="C55" s="96">
        <v>98.303970336914063</v>
      </c>
      <c r="D55" s="97">
        <v>49.644085536672307</v>
      </c>
      <c r="E55" s="98">
        <v>2.7410368785294663</v>
      </c>
      <c r="F55" s="99">
        <v>70.740227835437807</v>
      </c>
      <c r="G55" s="98">
        <v>7.2648124935494973</v>
      </c>
      <c r="H55" s="100">
        <v>40.477654407659578</v>
      </c>
      <c r="I55" s="101">
        <v>6.5542420409080986</v>
      </c>
      <c r="J55" s="97">
        <v>46.325121122661123</v>
      </c>
      <c r="K55" s="98">
        <v>5.0333584484846625</v>
      </c>
      <c r="L55" s="100">
        <v>40.743796760717863</v>
      </c>
      <c r="M55" s="101">
        <v>6.1315281075086796</v>
      </c>
      <c r="N55" s="97">
        <v>-29.996431074719951</v>
      </c>
      <c r="O55" s="102">
        <v>9.6951303415126269</v>
      </c>
      <c r="P55" s="99">
        <v>55.942105950908278</v>
      </c>
      <c r="Q55" s="98">
        <v>3.0505928983908364</v>
      </c>
      <c r="R55" s="100" t="s">
        <v>34</v>
      </c>
      <c r="S55" s="101" t="s">
        <v>34</v>
      </c>
      <c r="T55" s="97">
        <v>0</v>
      </c>
      <c r="U55" s="101" t="s">
        <v>35</v>
      </c>
      <c r="V55" s="97">
        <v>-55.942105950908278</v>
      </c>
      <c r="W55" s="104">
        <v>3.0505928983908364</v>
      </c>
      <c r="X55" s="124"/>
      <c r="Y55" s="124"/>
      <c r="Z55" s="124"/>
      <c r="AA55" s="124"/>
      <c r="AB55" s="124"/>
      <c r="AC55" s="124"/>
      <c r="AD55" s="124"/>
      <c r="AE55" s="124"/>
    </row>
    <row r="56" spans="1:31" s="105" customFormat="1" x14ac:dyDescent="0.25">
      <c r="A56" s="118" t="s">
        <v>238</v>
      </c>
      <c r="B56" s="95">
        <v>438</v>
      </c>
      <c r="C56" s="96">
        <v>95.923492431640625</v>
      </c>
      <c r="D56" s="97">
        <v>47.469239403998223</v>
      </c>
      <c r="E56" s="98">
        <v>3.1315001306113976</v>
      </c>
      <c r="F56" s="99">
        <v>58.241388580910289</v>
      </c>
      <c r="G56" s="98">
        <v>6.421557218892918</v>
      </c>
      <c r="H56" s="100">
        <v>59.069727798455673</v>
      </c>
      <c r="I56" s="101">
        <v>6.1832100046985374</v>
      </c>
      <c r="J56" s="97">
        <v>49.264399539179557</v>
      </c>
      <c r="K56" s="98">
        <v>7.1951237624657223</v>
      </c>
      <c r="L56" s="100">
        <v>23.04283907165107</v>
      </c>
      <c r="M56" s="101">
        <v>5.744946857417327</v>
      </c>
      <c r="N56" s="97">
        <v>-35.198549509259223</v>
      </c>
      <c r="O56" s="102">
        <v>8.4641303083635737</v>
      </c>
      <c r="P56" s="99">
        <v>55.452156354883137</v>
      </c>
      <c r="Q56" s="98">
        <v>3.8081839357601077</v>
      </c>
      <c r="R56" s="100">
        <v>35.213563664629731</v>
      </c>
      <c r="S56" s="101">
        <v>6.6879508144887039</v>
      </c>
      <c r="T56" s="97">
        <v>19.307347966628619</v>
      </c>
      <c r="U56" s="101">
        <v>10.284354932443389</v>
      </c>
      <c r="V56" s="97">
        <v>-24.590525920014507</v>
      </c>
      <c r="W56" s="104">
        <v>7.5078054893281987</v>
      </c>
      <c r="X56" s="124"/>
      <c r="Y56" s="124"/>
      <c r="Z56" s="124"/>
      <c r="AA56" s="124"/>
      <c r="AB56" s="124"/>
      <c r="AC56" s="124"/>
      <c r="AD56" s="124"/>
      <c r="AE56" s="124"/>
    </row>
    <row r="57" spans="1:31" s="105" customFormat="1" x14ac:dyDescent="0.25">
      <c r="A57" s="118" t="s">
        <v>239</v>
      </c>
      <c r="B57" s="95">
        <v>119</v>
      </c>
      <c r="C57" s="96">
        <v>58.487148284912109</v>
      </c>
      <c r="D57" s="97">
        <v>24.185218406586038</v>
      </c>
      <c r="E57" s="98">
        <v>3.4395580669814323</v>
      </c>
      <c r="F57" s="99">
        <v>17.761274026627319</v>
      </c>
      <c r="G57" s="98">
        <v>6.1121276168612297</v>
      </c>
      <c r="H57" s="100">
        <v>27.89954959420675</v>
      </c>
      <c r="I57" s="101">
        <v>9.4653175904904305</v>
      </c>
      <c r="J57" s="97">
        <v>35.941296520131601</v>
      </c>
      <c r="K57" s="98">
        <v>11.199866708301284</v>
      </c>
      <c r="L57" s="100">
        <v>15.10069694442965</v>
      </c>
      <c r="M57" s="101">
        <v>6.7990718242384292</v>
      </c>
      <c r="N57" s="97">
        <v>-2.660577082197662</v>
      </c>
      <c r="O57" s="102">
        <v>8.6349369235350508</v>
      </c>
      <c r="P57" s="99">
        <v>24.30608907178523</v>
      </c>
      <c r="Q57" s="98">
        <v>3.4615819579026557</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42.668832747360327</v>
      </c>
      <c r="E58" s="98">
        <v>3.5703442031211616</v>
      </c>
      <c r="F58" s="99">
        <v>48.996367147257438</v>
      </c>
      <c r="G58" s="98">
        <v>7.0785400871332973</v>
      </c>
      <c r="H58" s="100">
        <v>46.46676661734503</v>
      </c>
      <c r="I58" s="101">
        <v>8.7858565128197483</v>
      </c>
      <c r="J58" s="97">
        <v>49.295253349506822</v>
      </c>
      <c r="K58" s="98">
        <v>10.189865113152495</v>
      </c>
      <c r="L58" s="100">
        <v>25.590449278850581</v>
      </c>
      <c r="M58" s="101">
        <v>6.8407148142651462</v>
      </c>
      <c r="N58" s="97">
        <v>-23.40591786840687</v>
      </c>
      <c r="O58" s="102">
        <v>10.715427025798659</v>
      </c>
      <c r="P58" s="99">
        <v>42.83585420028836</v>
      </c>
      <c r="Q58" s="98">
        <v>3.587890079202058</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65.395289687421595</v>
      </c>
      <c r="E59" s="98">
        <v>3.6021896711235719</v>
      </c>
      <c r="F59" s="99">
        <v>66.753664444298224</v>
      </c>
      <c r="G59" s="98">
        <v>8.1228554042349081</v>
      </c>
      <c r="H59" s="100">
        <v>71.052369189935575</v>
      </c>
      <c r="I59" s="101">
        <v>7.2299754709349209</v>
      </c>
      <c r="J59" s="97">
        <v>76.249675905636792</v>
      </c>
      <c r="K59" s="98">
        <v>7.7888754503002327</v>
      </c>
      <c r="L59" s="100">
        <v>47.42977312944025</v>
      </c>
      <c r="M59" s="101">
        <v>9.5328417231865572</v>
      </c>
      <c r="N59" s="97">
        <v>-19.323891314857971</v>
      </c>
      <c r="O59" s="102">
        <v>12.555317119259925</v>
      </c>
      <c r="P59" s="99">
        <v>65.85159291147383</v>
      </c>
      <c r="Q59" s="98">
        <v>3.6164620497706479</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418</v>
      </c>
      <c r="C60" s="96">
        <v>77.225883483886719</v>
      </c>
      <c r="D60" s="97">
        <v>30.841817656658169</v>
      </c>
      <c r="E60" s="98">
        <v>2.3133192404337239</v>
      </c>
      <c r="F60" s="99">
        <v>52.025918094299293</v>
      </c>
      <c r="G60" s="98">
        <v>5.2706295696964061</v>
      </c>
      <c r="H60" s="100">
        <v>38.136748667484127</v>
      </c>
      <c r="I60" s="101">
        <v>5.2691502782849486</v>
      </c>
      <c r="J60" s="97">
        <v>26.981077392174139</v>
      </c>
      <c r="K60" s="98">
        <v>5.4762717680074795</v>
      </c>
      <c r="L60" s="100">
        <v>6.2210574485540437</v>
      </c>
      <c r="M60" s="101">
        <v>2.3603026348177769</v>
      </c>
      <c r="N60" s="97">
        <v>-45.804860645745251</v>
      </c>
      <c r="O60" s="102">
        <v>5.1919413936130221</v>
      </c>
      <c r="P60" s="99">
        <v>36.999489510658456</v>
      </c>
      <c r="Q60" s="98">
        <v>2.7522068185278163</v>
      </c>
      <c r="R60" s="100" t="s">
        <v>34</v>
      </c>
      <c r="S60" s="101" t="s">
        <v>34</v>
      </c>
      <c r="T60" s="97">
        <v>3.3316849139463871</v>
      </c>
      <c r="U60" s="101">
        <v>0.55011684152979179</v>
      </c>
      <c r="V60" s="97">
        <v>-33.667804596712067</v>
      </c>
      <c r="W60" s="104">
        <v>2.8020712255334055</v>
      </c>
      <c r="X60" s="124"/>
      <c r="Y60" s="124"/>
      <c r="Z60" s="124"/>
      <c r="AA60" s="124"/>
      <c r="AB60" s="124"/>
      <c r="AC60" s="124"/>
      <c r="AD60" s="124"/>
      <c r="AE60" s="124"/>
    </row>
    <row r="61" spans="1:31" s="105" customFormat="1" x14ac:dyDescent="0.25">
      <c r="A61" s="118" t="s">
        <v>243</v>
      </c>
      <c r="B61" s="95">
        <v>55</v>
      </c>
      <c r="C61" s="96">
        <v>100</v>
      </c>
      <c r="D61" s="97">
        <v>37.552931813614322</v>
      </c>
      <c r="E61" s="98">
        <v>7.5248953682178835E-2</v>
      </c>
      <c r="F61" s="99">
        <v>43.957097782879998</v>
      </c>
      <c r="G61" s="98">
        <v>0.16869590231122186</v>
      </c>
      <c r="H61" s="100">
        <v>50.462495864559862</v>
      </c>
      <c r="I61" s="101">
        <v>0.15923473273530842</v>
      </c>
      <c r="J61" s="97">
        <v>19.116267385720619</v>
      </c>
      <c r="K61" s="98">
        <v>0.14546765498211606</v>
      </c>
      <c r="L61" s="100">
        <v>37.822781745054918</v>
      </c>
      <c r="M61" s="101">
        <v>0.13451052722340939</v>
      </c>
      <c r="N61" s="97">
        <v>-6.1343160378250801</v>
      </c>
      <c r="O61" s="102">
        <v>0.22418027491010348</v>
      </c>
      <c r="P61" s="99">
        <v>44.048833627763599</v>
      </c>
      <c r="Q61" s="98">
        <v>7.7890111547862531E-2</v>
      </c>
      <c r="R61" s="100" t="s">
        <v>34</v>
      </c>
      <c r="S61" s="101" t="s">
        <v>34</v>
      </c>
      <c r="T61" s="97">
        <v>2.5532481717893352</v>
      </c>
      <c r="U61" s="101">
        <v>0.15518837524291812</v>
      </c>
      <c r="V61" s="97">
        <v>-41.495585455974265</v>
      </c>
      <c r="W61" s="104">
        <v>0.16910107726257748</v>
      </c>
      <c r="X61" s="124"/>
      <c r="Y61" s="124"/>
      <c r="Z61" s="124"/>
      <c r="AA61" s="124"/>
      <c r="AB61" s="124"/>
      <c r="AC61" s="124"/>
      <c r="AD61" s="124"/>
      <c r="AE61" s="124"/>
    </row>
    <row r="62" spans="1:31" s="105" customFormat="1" x14ac:dyDescent="0.25">
      <c r="A62" s="118" t="s">
        <v>244</v>
      </c>
      <c r="B62" s="95">
        <v>361</v>
      </c>
      <c r="C62" s="96">
        <v>100</v>
      </c>
      <c r="D62" s="97">
        <v>20.40194159967897</v>
      </c>
      <c r="E62" s="98">
        <v>2.8707401659960565</v>
      </c>
      <c r="F62" s="99">
        <v>32.431297849802263</v>
      </c>
      <c r="G62" s="98">
        <v>7.8684724961215151</v>
      </c>
      <c r="H62" s="100">
        <v>15.60636566134184</v>
      </c>
      <c r="I62" s="101">
        <v>4.8283807869870135</v>
      </c>
      <c r="J62" s="97">
        <v>21.051337502538001</v>
      </c>
      <c r="K62" s="98">
        <v>7.1636310100355542</v>
      </c>
      <c r="L62" s="100">
        <v>12.509552604578969</v>
      </c>
      <c r="M62" s="101">
        <v>3.7539836986128519</v>
      </c>
      <c r="N62" s="97">
        <v>-19.921745245223281</v>
      </c>
      <c r="O62" s="102">
        <v>9.0780437538954981</v>
      </c>
      <c r="P62" s="99">
        <v>20.399462052958821</v>
      </c>
      <c r="Q62" s="98">
        <v>3.2668113569984678</v>
      </c>
      <c r="R62" s="100" t="s">
        <v>34</v>
      </c>
      <c r="S62" s="101" t="s">
        <v>34</v>
      </c>
      <c r="T62" s="97">
        <v>19.331489306232928</v>
      </c>
      <c r="U62" s="101">
        <v>6.3437340257826493</v>
      </c>
      <c r="V62" s="97">
        <v>-1.0679727467258928</v>
      </c>
      <c r="W62" s="104">
        <v>7.4103457337130951</v>
      </c>
      <c r="X62" s="124"/>
      <c r="Y62" s="124"/>
      <c r="Z62" s="124"/>
      <c r="AA62" s="124"/>
      <c r="AB62" s="124"/>
      <c r="AC62" s="124"/>
      <c r="AD62" s="124"/>
      <c r="AE62" s="124"/>
    </row>
    <row r="63" spans="1:31" s="105" customFormat="1" x14ac:dyDescent="0.25">
      <c r="A63" s="118" t="s">
        <v>245</v>
      </c>
      <c r="B63" s="95">
        <v>191</v>
      </c>
      <c r="C63" s="96">
        <v>97.145454406738281</v>
      </c>
      <c r="D63" s="97">
        <v>21.962614461530251</v>
      </c>
      <c r="E63" s="98">
        <v>3.3567965172670697</v>
      </c>
      <c r="F63" s="99">
        <v>29.484431888076351</v>
      </c>
      <c r="G63" s="98">
        <v>7.1420663024408064</v>
      </c>
      <c r="H63" s="100">
        <v>24.467727519487049</v>
      </c>
      <c r="I63" s="101">
        <v>7.3109892680721966</v>
      </c>
      <c r="J63" s="97">
        <v>16.576796193338541</v>
      </c>
      <c r="K63" s="98">
        <v>6.8862752802012466</v>
      </c>
      <c r="L63" s="100">
        <v>17.200493121718779</v>
      </c>
      <c r="M63" s="101">
        <v>6.2900151913359039</v>
      </c>
      <c r="N63" s="97">
        <v>-12.28393876635757</v>
      </c>
      <c r="O63" s="102">
        <v>10.016746111486331</v>
      </c>
      <c r="P63" s="99">
        <v>22.271582928669641</v>
      </c>
      <c r="Q63" s="98">
        <v>3.3827656230179732</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52.666857168955453</v>
      </c>
      <c r="E64" s="98">
        <v>3.7420417549963982</v>
      </c>
      <c r="F64" s="99">
        <v>56.677515224211042</v>
      </c>
      <c r="G64" s="98">
        <v>8.624330983645633</v>
      </c>
      <c r="H64" s="100">
        <v>45.999297711644473</v>
      </c>
      <c r="I64" s="101">
        <v>8.5543799630121438</v>
      </c>
      <c r="J64" s="97">
        <v>57.058626337032763</v>
      </c>
      <c r="K64" s="98">
        <v>8.1348072428553166</v>
      </c>
      <c r="L64" s="100">
        <v>51.068012851278219</v>
      </c>
      <c r="M64" s="101">
        <v>8.6251126170581482</v>
      </c>
      <c r="N64" s="97">
        <v>-5.6095023729328233</v>
      </c>
      <c r="O64" s="102">
        <v>12.421147629387219</v>
      </c>
      <c r="P64" s="99">
        <v>53.425412965087148</v>
      </c>
      <c r="Q64" s="98">
        <v>3.9816238207140673</v>
      </c>
      <c r="R64" s="100" t="s">
        <v>34</v>
      </c>
      <c r="S64" s="101" t="s">
        <v>34</v>
      </c>
      <c r="T64" s="97">
        <v>48.771421747885817</v>
      </c>
      <c r="U64" s="101">
        <v>9.1266100852571252</v>
      </c>
      <c r="V64" s="97">
        <v>-4.6539912172013302</v>
      </c>
      <c r="W64" s="104">
        <v>9.6545183251787208</v>
      </c>
      <c r="X64" s="124"/>
      <c r="Y64" s="124"/>
      <c r="Z64" s="124"/>
      <c r="AA64" s="124"/>
      <c r="AB64" s="124"/>
      <c r="AC64" s="124"/>
      <c r="AD64" s="124"/>
      <c r="AE64" s="124"/>
    </row>
    <row r="65" spans="1:31" s="105" customFormat="1" x14ac:dyDescent="0.25">
      <c r="A65" s="118" t="s">
        <v>247</v>
      </c>
      <c r="B65" s="95">
        <v>177</v>
      </c>
      <c r="C65" s="96">
        <v>98.361724853515625</v>
      </c>
      <c r="D65" s="97">
        <v>52.590982372407893</v>
      </c>
      <c r="E65" s="98">
        <v>3.5223479411496839</v>
      </c>
      <c r="F65" s="99">
        <v>56.215436296684032</v>
      </c>
      <c r="G65" s="98">
        <v>7.540023212612728</v>
      </c>
      <c r="H65" s="100">
        <v>48.145201062800517</v>
      </c>
      <c r="I65" s="101">
        <v>9.376130886203617</v>
      </c>
      <c r="J65" s="97">
        <v>53.104760594811722</v>
      </c>
      <c r="K65" s="98">
        <v>7.411826731784747</v>
      </c>
      <c r="L65" s="100">
        <v>52.793141914096417</v>
      </c>
      <c r="M65" s="101">
        <v>6.4735653669944853</v>
      </c>
      <c r="N65" s="97">
        <v>-3.4222943825876091</v>
      </c>
      <c r="O65" s="102">
        <v>10.576632831065824</v>
      </c>
      <c r="P65" s="99">
        <v>52.910093216591463</v>
      </c>
      <c r="Q65" s="98">
        <v>3.6394104035807517</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23.79608103534046</v>
      </c>
      <c r="E66" s="98">
        <v>9.9526972808787154E-2</v>
      </c>
      <c r="F66" s="99">
        <v>53.409630087685223</v>
      </c>
      <c r="G66" s="98">
        <v>0.30407504263551621</v>
      </c>
      <c r="H66" s="100">
        <v>32.073312232350723</v>
      </c>
      <c r="I66" s="101">
        <v>0.11291110414265683</v>
      </c>
      <c r="J66" s="97">
        <v>8.3028801820803704</v>
      </c>
      <c r="K66" s="98">
        <v>4.3519888203987361E-2</v>
      </c>
      <c r="L66" s="100">
        <v>0</v>
      </c>
      <c r="M66" s="101" t="s">
        <v>35</v>
      </c>
      <c r="N66" s="97">
        <v>-53.409630087685223</v>
      </c>
      <c r="O66" s="102">
        <v>0.30407504263551621</v>
      </c>
      <c r="P66" s="99">
        <v>28.81079288084425</v>
      </c>
      <c r="Q66" s="98">
        <v>0.11488796193117311</v>
      </c>
      <c r="R66" s="100" t="s">
        <v>34</v>
      </c>
      <c r="S66" s="101" t="s">
        <v>34</v>
      </c>
      <c r="T66" s="97">
        <v>0</v>
      </c>
      <c r="U66" s="101" t="s">
        <v>35</v>
      </c>
      <c r="V66" s="97">
        <v>-28.81079288084425</v>
      </c>
      <c r="W66" s="104">
        <v>0.11488796193117311</v>
      </c>
      <c r="X66" s="124"/>
      <c r="Y66" s="124"/>
      <c r="Z66" s="124"/>
      <c r="AA66" s="124"/>
      <c r="AB66" s="124"/>
      <c r="AC66" s="124"/>
      <c r="AD66" s="124"/>
      <c r="AE66" s="124"/>
    </row>
    <row r="67" spans="1:31" s="105" customFormat="1" x14ac:dyDescent="0.25">
      <c r="A67" s="118" t="s">
        <v>249</v>
      </c>
      <c r="B67" s="95">
        <v>212</v>
      </c>
      <c r="C67" s="96">
        <v>89.873741149902344</v>
      </c>
      <c r="D67" s="97">
        <v>45.954448873189321</v>
      </c>
      <c r="E67" s="98">
        <v>3.4496451519440612</v>
      </c>
      <c r="F67" s="99">
        <v>69.716289879639419</v>
      </c>
      <c r="G67" s="98">
        <v>6.4369714912879568</v>
      </c>
      <c r="H67" s="100">
        <v>45.308881865700307</v>
      </c>
      <c r="I67" s="101">
        <v>9.0770308815147587</v>
      </c>
      <c r="J67" s="97">
        <v>47.820945706628869</v>
      </c>
      <c r="K67" s="98">
        <v>8.6428852262133944</v>
      </c>
      <c r="L67" s="100">
        <v>19.813666222426878</v>
      </c>
      <c r="M67" s="101">
        <v>7.8937896775453451</v>
      </c>
      <c r="N67" s="97">
        <v>-49.902623657212537</v>
      </c>
      <c r="O67" s="102">
        <v>11.13496718170561</v>
      </c>
      <c r="P67" s="99">
        <v>52.239737330077681</v>
      </c>
      <c r="Q67" s="98">
        <v>4.141288414828435</v>
      </c>
      <c r="R67" s="100">
        <v>68.362407377666401</v>
      </c>
      <c r="S67" s="101">
        <v>23.290694639424583</v>
      </c>
      <c r="T67" s="97">
        <v>7.1825160829566093</v>
      </c>
      <c r="U67" s="101">
        <v>4.3866013060349287</v>
      </c>
      <c r="V67" s="97">
        <v>-38.895525408357528</v>
      </c>
      <c r="W67" s="104">
        <v>7.4011944541949299</v>
      </c>
      <c r="X67" s="124"/>
      <c r="Y67" s="124"/>
      <c r="Z67" s="124"/>
      <c r="AA67" s="124"/>
      <c r="AB67" s="124"/>
      <c r="AC67" s="124"/>
      <c r="AD67" s="124"/>
      <c r="AE67" s="124"/>
    </row>
    <row r="68" spans="1:31" s="105" customFormat="1" x14ac:dyDescent="0.25">
      <c r="A68" s="118" t="s">
        <v>250</v>
      </c>
      <c r="B68" s="95">
        <v>306</v>
      </c>
      <c r="C68" s="96">
        <v>97.850662231445313</v>
      </c>
      <c r="D68" s="97">
        <v>37.772098194158083</v>
      </c>
      <c r="E68" s="98">
        <v>3.2517879727237049</v>
      </c>
      <c r="F68" s="99">
        <v>47.77878421825875</v>
      </c>
      <c r="G68" s="98">
        <v>5.4442673662805747</v>
      </c>
      <c r="H68" s="100">
        <v>40.150659780894763</v>
      </c>
      <c r="I68" s="101">
        <v>6.9751033626981247</v>
      </c>
      <c r="J68" s="97">
        <v>30.42067357144267</v>
      </c>
      <c r="K68" s="98">
        <v>7.4010838129974434</v>
      </c>
      <c r="L68" s="100">
        <v>32.615750735892739</v>
      </c>
      <c r="M68" s="101">
        <v>7.0902025795895396</v>
      </c>
      <c r="N68" s="97">
        <v>-15.163033482366011</v>
      </c>
      <c r="O68" s="102">
        <v>8.51543294815691</v>
      </c>
      <c r="P68" s="99">
        <v>40.083789858585988</v>
      </c>
      <c r="Q68" s="98">
        <v>3.6179201868401702</v>
      </c>
      <c r="R68" s="100" t="s">
        <v>34</v>
      </c>
      <c r="S68" s="101" t="s">
        <v>34</v>
      </c>
      <c r="T68" s="97">
        <v>14.2482443352499</v>
      </c>
      <c r="U68" s="101">
        <v>3.5433688438033251</v>
      </c>
      <c r="V68" s="97">
        <v>-25.835545523336087</v>
      </c>
      <c r="W68" s="104">
        <v>5.1545668777476328</v>
      </c>
      <c r="X68" s="124"/>
      <c r="Y68" s="124"/>
      <c r="Z68" s="124"/>
      <c r="AA68" s="124"/>
      <c r="AB68" s="124"/>
      <c r="AC68" s="124"/>
      <c r="AD68" s="124"/>
      <c r="AE68" s="124"/>
    </row>
    <row r="69" spans="1:31" s="105" customFormat="1" x14ac:dyDescent="0.25">
      <c r="A69" s="118" t="s">
        <v>303</v>
      </c>
      <c r="B69" s="95">
        <v>112</v>
      </c>
      <c r="C69" s="96">
        <v>75.546546936035156</v>
      </c>
      <c r="D69" s="97">
        <v>17.690803313736382</v>
      </c>
      <c r="E69" s="98">
        <v>3.2234168408837065</v>
      </c>
      <c r="F69" s="99">
        <v>24.101975681936342</v>
      </c>
      <c r="G69" s="98">
        <v>9.2484590953964769</v>
      </c>
      <c r="H69" s="100">
        <v>13.87147246878337</v>
      </c>
      <c r="I69" s="101">
        <v>6.9117105683806495</v>
      </c>
      <c r="J69" s="97">
        <v>26.697099621694701</v>
      </c>
      <c r="K69" s="98">
        <v>8.6153178403063837</v>
      </c>
      <c r="L69" s="100">
        <v>6.5170987236078846</v>
      </c>
      <c r="M69" s="101">
        <v>4.2328900562187863</v>
      </c>
      <c r="N69" s="97">
        <v>-17.584876958328461</v>
      </c>
      <c r="O69" s="102">
        <v>10.161831246834554</v>
      </c>
      <c r="P69" s="99">
        <v>19.104551870140838</v>
      </c>
      <c r="Q69" s="98">
        <v>11.7123733587785</v>
      </c>
      <c r="R69" s="100">
        <v>18.219880352621189</v>
      </c>
      <c r="S69" s="101">
        <v>3.431046227069781</v>
      </c>
      <c r="T69" s="97" t="s">
        <v>34</v>
      </c>
      <c r="U69" s="101" t="s">
        <v>34</v>
      </c>
      <c r="V69" s="97">
        <v>-0.88467151751964934</v>
      </c>
      <c r="W69" s="104">
        <v>12.082812402368512</v>
      </c>
      <c r="X69" s="124"/>
      <c r="Y69" s="124"/>
      <c r="Z69" s="124"/>
      <c r="AA69" s="124"/>
      <c r="AB69" s="124"/>
      <c r="AC69" s="124"/>
      <c r="AD69" s="124"/>
      <c r="AE69" s="124"/>
    </row>
    <row r="70" spans="1:31" s="105" customFormat="1" x14ac:dyDescent="0.25">
      <c r="A70" s="118" t="s">
        <v>251</v>
      </c>
      <c r="B70" s="95">
        <v>343</v>
      </c>
      <c r="C70" s="96">
        <v>89.890380859375</v>
      </c>
      <c r="D70" s="97">
        <v>59.202669471113161</v>
      </c>
      <c r="E70" s="98">
        <v>4.250039347888686</v>
      </c>
      <c r="F70" s="99">
        <v>69.415568613716445</v>
      </c>
      <c r="G70" s="98">
        <v>8.3075017334166681</v>
      </c>
      <c r="H70" s="100">
        <v>66.397482666996268</v>
      </c>
      <c r="I70" s="101">
        <v>8.7612923296638048</v>
      </c>
      <c r="J70" s="97">
        <v>63.926173897477767</v>
      </c>
      <c r="K70" s="98">
        <v>10.46494385118725</v>
      </c>
      <c r="L70" s="100">
        <v>36.937136139099231</v>
      </c>
      <c r="M70" s="101">
        <v>11.579558360782732</v>
      </c>
      <c r="N70" s="97">
        <v>-32.478432474617208</v>
      </c>
      <c r="O70" s="102">
        <v>14.94753481360123</v>
      </c>
      <c r="P70" s="99">
        <v>57.670956946263672</v>
      </c>
      <c r="Q70" s="98">
        <v>5.5957933289008981</v>
      </c>
      <c r="R70" s="100">
        <v>72.92826136751664</v>
      </c>
      <c r="S70" s="101">
        <v>7.8782218959554831</v>
      </c>
      <c r="T70" s="97">
        <v>42.455018555835267</v>
      </c>
      <c r="U70" s="101">
        <v>11.975705877205625</v>
      </c>
      <c r="V70" s="97">
        <v>2.0273530751805851</v>
      </c>
      <c r="W70" s="104">
        <v>9.6002179888483958</v>
      </c>
      <c r="X70" s="124"/>
      <c r="Y70" s="124"/>
      <c r="Z70" s="124"/>
      <c r="AA70" s="124"/>
      <c r="AB70" s="124"/>
      <c r="AC70" s="124"/>
      <c r="AD70" s="124"/>
      <c r="AE70" s="124"/>
    </row>
    <row r="71" spans="1:31" s="105" customFormat="1" x14ac:dyDescent="0.25">
      <c r="A71" s="118" t="s">
        <v>252</v>
      </c>
      <c r="B71" s="95">
        <v>311</v>
      </c>
      <c r="C71" s="96">
        <v>99.521980285644531</v>
      </c>
      <c r="D71" s="97">
        <v>45.091959353328519</v>
      </c>
      <c r="E71" s="98">
        <v>3.5759644859439033</v>
      </c>
      <c r="F71" s="99">
        <v>62.147962406015317</v>
      </c>
      <c r="G71" s="98">
        <v>7.7565998842527106</v>
      </c>
      <c r="H71" s="100">
        <v>41.425925606982553</v>
      </c>
      <c r="I71" s="101">
        <v>8.5792983153621538</v>
      </c>
      <c r="J71" s="97">
        <v>41.910210901044763</v>
      </c>
      <c r="K71" s="98">
        <v>6.5007789615868097</v>
      </c>
      <c r="L71" s="100">
        <v>34.504848333096923</v>
      </c>
      <c r="M71" s="101">
        <v>6.4343441189253934</v>
      </c>
      <c r="N71" s="97">
        <v>-27.643114072918411</v>
      </c>
      <c r="O71" s="102">
        <v>9.9850732546900343</v>
      </c>
      <c r="P71" s="99">
        <v>49.026089577839556</v>
      </c>
      <c r="Q71" s="98">
        <v>4.0540745312962763</v>
      </c>
      <c r="R71" s="100" t="s">
        <v>34</v>
      </c>
      <c r="S71" s="101" t="s">
        <v>34</v>
      </c>
      <c r="T71" s="97">
        <v>29.61594527088376</v>
      </c>
      <c r="U71" s="101">
        <v>7.1533911528905945</v>
      </c>
      <c r="V71" s="97">
        <v>-19.410144306955797</v>
      </c>
      <c r="W71" s="104">
        <v>7.9886594671350153</v>
      </c>
      <c r="X71" s="124"/>
      <c r="Y71" s="124"/>
      <c r="Z71" s="124"/>
      <c r="AA71" s="124"/>
      <c r="AB71" s="124"/>
      <c r="AC71" s="124"/>
      <c r="AD71" s="124"/>
      <c r="AE71" s="124"/>
    </row>
    <row r="72" spans="1:31" s="105" customFormat="1" x14ac:dyDescent="0.25">
      <c r="A72" s="118" t="s">
        <v>253</v>
      </c>
      <c r="B72" s="95">
        <v>516</v>
      </c>
      <c r="C72" s="96">
        <v>80.3912353515625</v>
      </c>
      <c r="D72" s="97">
        <v>45.470541133403088</v>
      </c>
      <c r="E72" s="98">
        <v>3.1926516818811406</v>
      </c>
      <c r="F72" s="99">
        <v>57.449884830914307</v>
      </c>
      <c r="G72" s="98">
        <v>6.0382331721794165</v>
      </c>
      <c r="H72" s="100">
        <v>48.74760131611044</v>
      </c>
      <c r="I72" s="101">
        <v>6.3087100125959346</v>
      </c>
      <c r="J72" s="97">
        <v>40.210671775400733</v>
      </c>
      <c r="K72" s="98">
        <v>5.8273547439051931</v>
      </c>
      <c r="L72" s="100">
        <v>35.227579012784922</v>
      </c>
      <c r="M72" s="101">
        <v>6.4903754648156067</v>
      </c>
      <c r="N72" s="97">
        <v>-22.222305818129389</v>
      </c>
      <c r="O72" s="102">
        <v>8.7142918922473189</v>
      </c>
      <c r="P72" s="99">
        <v>45.343176743190227</v>
      </c>
      <c r="Q72" s="98">
        <v>3.1935370087851807</v>
      </c>
      <c r="R72" s="100">
        <v>65.802594270365745</v>
      </c>
      <c r="S72" s="101">
        <v>27.77834056570763</v>
      </c>
      <c r="T72" s="97" t="s">
        <v>34</v>
      </c>
      <c r="U72" s="101" t="s">
        <v>34</v>
      </c>
      <c r="V72" s="97">
        <v>20.459417527175518</v>
      </c>
      <c r="W72" s="104">
        <v>27.775761611464194</v>
      </c>
      <c r="X72" s="124"/>
      <c r="Y72" s="124"/>
      <c r="Z72" s="124"/>
      <c r="AA72" s="124"/>
      <c r="AB72" s="124"/>
      <c r="AC72" s="124"/>
      <c r="AD72" s="124"/>
      <c r="AE72" s="124"/>
    </row>
    <row r="73" spans="1:31" s="105" customFormat="1" x14ac:dyDescent="0.25">
      <c r="A73" s="118" t="s">
        <v>254</v>
      </c>
      <c r="B73" s="95">
        <v>88</v>
      </c>
      <c r="C73" s="96">
        <v>73.040199279785156</v>
      </c>
      <c r="D73" s="97">
        <v>86.370116107323426</v>
      </c>
      <c r="E73" s="98">
        <v>0.95941251834322117</v>
      </c>
      <c r="F73" s="99">
        <v>94.093536201947515</v>
      </c>
      <c r="G73" s="98">
        <v>2.1323537115791917</v>
      </c>
      <c r="H73" s="100">
        <v>85.556346346084126</v>
      </c>
      <c r="I73" s="101">
        <v>2.3526099427871623</v>
      </c>
      <c r="J73" s="97">
        <v>90.248097056097933</v>
      </c>
      <c r="K73" s="98">
        <v>0.79938112707156805</v>
      </c>
      <c r="L73" s="100">
        <v>75.28173796766572</v>
      </c>
      <c r="M73" s="101">
        <v>2.4777753907383135</v>
      </c>
      <c r="N73" s="97">
        <v>-18.811798234281799</v>
      </c>
      <c r="O73" s="102">
        <v>3.3350432545452526</v>
      </c>
      <c r="P73" s="99">
        <v>86.681400561736055</v>
      </c>
      <c r="Q73" s="98">
        <v>0.82332966003190355</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205</v>
      </c>
      <c r="C74" s="96">
        <v>75.891738891601563</v>
      </c>
      <c r="D74" s="97">
        <v>30.90463704785229</v>
      </c>
      <c r="E74" s="98">
        <v>2.7794218056849918</v>
      </c>
      <c r="F74" s="99">
        <v>39.795540013975547</v>
      </c>
      <c r="G74" s="98">
        <v>6.7774812399866802</v>
      </c>
      <c r="H74" s="100">
        <v>54.615228315074113</v>
      </c>
      <c r="I74" s="101">
        <v>7.8148921197437629</v>
      </c>
      <c r="J74" s="97">
        <v>24.17498998816475</v>
      </c>
      <c r="K74" s="98">
        <v>7.0358932487402441</v>
      </c>
      <c r="L74" s="100">
        <v>5.206345662394285</v>
      </c>
      <c r="M74" s="101">
        <v>5.1895338252473593</v>
      </c>
      <c r="N74" s="97">
        <v>-34.589194351581263</v>
      </c>
      <c r="O74" s="102">
        <v>8.8360887411114675</v>
      </c>
      <c r="P74" s="99">
        <v>49.551071983933923</v>
      </c>
      <c r="Q74" s="98">
        <v>4.6200136169044272</v>
      </c>
      <c r="R74" s="100" t="s">
        <v>34</v>
      </c>
      <c r="S74" s="101" t="s">
        <v>34</v>
      </c>
      <c r="T74" s="97">
        <v>16.422269873515141</v>
      </c>
      <c r="U74" s="101">
        <v>4.9200439213947869</v>
      </c>
      <c r="V74" s="97">
        <v>-33.128802110418782</v>
      </c>
      <c r="W74" s="104">
        <v>6.5083165051926404</v>
      </c>
      <c r="X74" s="124"/>
      <c r="Y74" s="124"/>
      <c r="Z74" s="124"/>
      <c r="AA74" s="124"/>
      <c r="AB74" s="124"/>
      <c r="AC74" s="124"/>
      <c r="AD74" s="124"/>
      <c r="AE74" s="124"/>
    </row>
    <row r="75" spans="1:31" s="105" customFormat="1" x14ac:dyDescent="0.25">
      <c r="A75" s="118" t="s">
        <v>256</v>
      </c>
      <c r="B75" s="95">
        <v>45</v>
      </c>
      <c r="C75" s="96">
        <v>100</v>
      </c>
      <c r="D75" s="97">
        <v>12.977098022983141</v>
      </c>
      <c r="E75" s="98">
        <v>3.4062739363391457E-2</v>
      </c>
      <c r="F75" s="99">
        <v>10.57829526867515</v>
      </c>
      <c r="G75" s="98">
        <v>9.1318657698217523E-2</v>
      </c>
      <c r="H75" s="100">
        <v>14.3290093635307</v>
      </c>
      <c r="I75" s="101">
        <v>0.11280932787176688</v>
      </c>
      <c r="J75" s="97">
        <v>11.569657735680231</v>
      </c>
      <c r="K75" s="98">
        <v>9.8264802662290873E-2</v>
      </c>
      <c r="L75" s="100">
        <v>16.158193733601621</v>
      </c>
      <c r="M75" s="101">
        <v>9.7339169214783777E-2</v>
      </c>
      <c r="N75" s="97">
        <v>5.5798984649264654</v>
      </c>
      <c r="O75" s="102">
        <v>0.13978929749439511</v>
      </c>
      <c r="P75" s="99">
        <v>3.675162325028968</v>
      </c>
      <c r="Q75" s="98">
        <v>5.7785413353882214E-3</v>
      </c>
      <c r="R75" s="100">
        <v>14.970671525437201</v>
      </c>
      <c r="S75" s="101">
        <v>3.9839721504314494E-2</v>
      </c>
      <c r="T75" s="97" t="s">
        <v>34</v>
      </c>
      <c r="U75" s="101" t="s">
        <v>34</v>
      </c>
      <c r="V75" s="97">
        <v>11.295509200408233</v>
      </c>
      <c r="W75" s="104">
        <v>4.0549396773468416E-2</v>
      </c>
      <c r="X75" s="124"/>
      <c r="Y75" s="124"/>
      <c r="Z75" s="124"/>
      <c r="AA75" s="124"/>
      <c r="AB75" s="124"/>
      <c r="AC75" s="124"/>
      <c r="AD75" s="124"/>
      <c r="AE75" s="124"/>
    </row>
    <row r="76" spans="1:31" s="105" customFormat="1" x14ac:dyDescent="0.25">
      <c r="A76" s="118" t="s">
        <v>257</v>
      </c>
      <c r="B76" s="95">
        <v>190</v>
      </c>
      <c r="C76" s="96">
        <v>99.531219482421875</v>
      </c>
      <c r="D76" s="97">
        <v>13.413129342065639</v>
      </c>
      <c r="E76" s="98">
        <v>2.3789624410129391</v>
      </c>
      <c r="F76" s="99">
        <v>27.847402570294349</v>
      </c>
      <c r="G76" s="98">
        <v>8.2424601172577088</v>
      </c>
      <c r="H76" s="100">
        <v>4.0297177158008566</v>
      </c>
      <c r="I76" s="101">
        <v>5.767554439999234</v>
      </c>
      <c r="J76" s="97">
        <v>8.5030688120995954</v>
      </c>
      <c r="K76" s="98">
        <v>4.7522268464917623</v>
      </c>
      <c r="L76" s="100">
        <v>13.5017189536084</v>
      </c>
      <c r="M76" s="101">
        <v>5.4606327703840192</v>
      </c>
      <c r="N76" s="97">
        <v>-14.34568361668595</v>
      </c>
      <c r="O76" s="102">
        <v>9.2620675707565905</v>
      </c>
      <c r="P76" s="99">
        <v>13.201024491722681</v>
      </c>
      <c r="Q76" s="98">
        <v>2.5347163148671896</v>
      </c>
      <c r="R76" s="100" t="s">
        <v>34</v>
      </c>
      <c r="S76" s="101" t="s">
        <v>34</v>
      </c>
      <c r="T76" s="97">
        <v>18.094765893137971</v>
      </c>
      <c r="U76" s="101">
        <v>10.768659331649223</v>
      </c>
      <c r="V76" s="97">
        <v>4.8937414014152907</v>
      </c>
      <c r="W76" s="104">
        <v>11.439167031850779</v>
      </c>
      <c r="X76" s="124"/>
      <c r="Y76" s="124"/>
      <c r="Z76" s="124"/>
      <c r="AA76" s="124"/>
      <c r="AB76" s="124"/>
      <c r="AC76" s="124"/>
      <c r="AD76" s="124"/>
      <c r="AE76" s="124"/>
    </row>
    <row r="77" spans="1:31" s="105" customFormat="1" x14ac:dyDescent="0.25">
      <c r="A77" s="118" t="s">
        <v>258</v>
      </c>
      <c r="B77" s="95">
        <v>49</v>
      </c>
      <c r="C77" s="96">
        <v>99.911201477050781</v>
      </c>
      <c r="D77" s="97">
        <v>10.098507961955731</v>
      </c>
      <c r="E77" s="98">
        <v>5.6987600506353889E-2</v>
      </c>
      <c r="F77" s="99">
        <v>40.629315189778232</v>
      </c>
      <c r="G77" s="98">
        <v>0.23040367906447909</v>
      </c>
      <c r="H77" s="100">
        <v>0</v>
      </c>
      <c r="I77" s="101" t="s">
        <v>35</v>
      </c>
      <c r="J77" s="97">
        <v>0</v>
      </c>
      <c r="K77" s="98" t="s">
        <v>35</v>
      </c>
      <c r="L77" s="100">
        <v>0.69556369864474321</v>
      </c>
      <c r="M77" s="101">
        <v>4.5925743230427675E-2</v>
      </c>
      <c r="N77" s="97">
        <v>-39.933751491133478</v>
      </c>
      <c r="O77" s="102">
        <v>0.23455861246970544</v>
      </c>
      <c r="P77" s="99">
        <v>18.057162446458332</v>
      </c>
      <c r="Q77" s="98">
        <v>0.10858783661838703</v>
      </c>
      <c r="R77" s="100">
        <v>0</v>
      </c>
      <c r="S77" s="101" t="s">
        <v>35</v>
      </c>
      <c r="T77" s="97">
        <v>1.302841576694427</v>
      </c>
      <c r="U77" s="101">
        <v>8.5664651069739695E-2</v>
      </c>
      <c r="V77" s="97">
        <v>-17.659439560519345</v>
      </c>
      <c r="W77" s="104">
        <v>0.11187101654568911</v>
      </c>
      <c r="X77" s="124"/>
      <c r="Y77" s="124"/>
      <c r="Z77" s="124"/>
      <c r="AA77" s="124"/>
      <c r="AB77" s="124"/>
      <c r="AC77" s="124"/>
      <c r="AD77" s="124"/>
      <c r="AE77" s="124"/>
    </row>
    <row r="78" spans="1:31" s="105" customFormat="1" x14ac:dyDescent="0.25">
      <c r="A78" s="118" t="s">
        <v>259</v>
      </c>
      <c r="B78" s="95">
        <v>217</v>
      </c>
      <c r="C78" s="96">
        <v>94.7230224609375</v>
      </c>
      <c r="D78" s="97">
        <v>57.512691274572418</v>
      </c>
      <c r="E78" s="98">
        <v>3.8107517380616898</v>
      </c>
      <c r="F78" s="99">
        <v>65.321260615299266</v>
      </c>
      <c r="G78" s="98">
        <v>6.6360150809469287</v>
      </c>
      <c r="H78" s="100">
        <v>51.874103480563093</v>
      </c>
      <c r="I78" s="101">
        <v>7.3550847674945183</v>
      </c>
      <c r="J78" s="97">
        <v>53.960946120162099</v>
      </c>
      <c r="K78" s="98">
        <v>8.6896438912671172</v>
      </c>
      <c r="L78" s="100">
        <v>58.939197854552219</v>
      </c>
      <c r="M78" s="101">
        <v>8.0499534743240329</v>
      </c>
      <c r="N78" s="97">
        <v>-6.382062760747047</v>
      </c>
      <c r="O78" s="102">
        <v>10.368057217685365</v>
      </c>
      <c r="P78" s="99">
        <v>57.959465850899363</v>
      </c>
      <c r="Q78" s="98">
        <v>3.7934760141445354</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36.122077436211796</v>
      </c>
      <c r="E79" s="98">
        <v>5.5645708693300627E-2</v>
      </c>
      <c r="F79" s="99">
        <v>31.656698284644811</v>
      </c>
      <c r="G79" s="98">
        <v>0.12719472468381218</v>
      </c>
      <c r="H79" s="100">
        <v>48.687960215768513</v>
      </c>
      <c r="I79" s="101">
        <v>0.13632685984606141</v>
      </c>
      <c r="J79" s="97">
        <v>22.52524428995121</v>
      </c>
      <c r="K79" s="98">
        <v>5.8853690870069426E-2</v>
      </c>
      <c r="L79" s="100">
        <v>43.700730622071823</v>
      </c>
      <c r="M79" s="101">
        <v>0.10956809884710178</v>
      </c>
      <c r="N79" s="97">
        <v>12.04403233742701</v>
      </c>
      <c r="O79" s="102">
        <v>0.1756708209182043</v>
      </c>
      <c r="P79" s="99">
        <v>36.000618721837988</v>
      </c>
      <c r="Q79" s="98">
        <v>5.4917859518805408E-2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174</v>
      </c>
      <c r="C80" s="96">
        <v>96.947052001953125</v>
      </c>
      <c r="D80" s="97">
        <v>68.759518900811798</v>
      </c>
      <c r="E80" s="98">
        <v>3.5478401567951456</v>
      </c>
      <c r="F80" s="99">
        <v>75.132740682591887</v>
      </c>
      <c r="G80" s="98">
        <v>7.0839848587099814</v>
      </c>
      <c r="H80" s="100">
        <v>76.584367868909752</v>
      </c>
      <c r="I80" s="101">
        <v>7.1166300097030906</v>
      </c>
      <c r="J80" s="97">
        <v>68.795643242740127</v>
      </c>
      <c r="K80" s="98">
        <v>8.5172179954935014</v>
      </c>
      <c r="L80" s="100">
        <v>54.273234098686913</v>
      </c>
      <c r="M80" s="101">
        <v>6.9573412018495109</v>
      </c>
      <c r="N80" s="97">
        <v>-20.859506583904981</v>
      </c>
      <c r="O80" s="102">
        <v>10.770936961038238</v>
      </c>
      <c r="P80" s="99">
        <v>73.528495811488867</v>
      </c>
      <c r="Q80" s="98">
        <v>3.7503718921156173</v>
      </c>
      <c r="R80" s="100" t="s">
        <v>34</v>
      </c>
      <c r="S80" s="101" t="s">
        <v>34</v>
      </c>
      <c r="T80" s="97">
        <v>0</v>
      </c>
      <c r="U80" s="101" t="s">
        <v>35</v>
      </c>
      <c r="V80" s="97">
        <v>-73.528495811488867</v>
      </c>
      <c r="W80" s="104">
        <v>3.7503718921156173</v>
      </c>
      <c r="X80" s="124"/>
      <c r="Y80" s="124"/>
      <c r="Z80" s="124"/>
      <c r="AA80" s="124"/>
      <c r="AB80" s="124"/>
      <c r="AC80" s="124"/>
      <c r="AD80" s="124"/>
      <c r="AE80" s="124"/>
    </row>
    <row r="81" spans="1:31" s="105" customFormat="1" x14ac:dyDescent="0.25">
      <c r="A81" s="118" t="s">
        <v>262</v>
      </c>
      <c r="B81" s="95">
        <v>95</v>
      </c>
      <c r="C81" s="96">
        <v>88.729988098144531</v>
      </c>
      <c r="D81" s="97">
        <v>65.343334592268647</v>
      </c>
      <c r="E81" s="98">
        <v>0.10246453827179557</v>
      </c>
      <c r="F81" s="99">
        <v>81.936336995109599</v>
      </c>
      <c r="G81" s="98">
        <v>1.2928777612769216</v>
      </c>
      <c r="H81" s="100">
        <v>66.922818609215241</v>
      </c>
      <c r="I81" s="101">
        <v>1.0285739369597013</v>
      </c>
      <c r="J81" s="97">
        <v>62.716249940611391</v>
      </c>
      <c r="K81" s="98">
        <v>0.25743334071751883</v>
      </c>
      <c r="L81" s="100">
        <v>48.755912670162161</v>
      </c>
      <c r="M81" s="101">
        <v>0.27972928687538207</v>
      </c>
      <c r="N81" s="97">
        <v>-33.180424324947438</v>
      </c>
      <c r="O81" s="102">
        <v>1.3412838699457912</v>
      </c>
      <c r="P81" s="99">
        <v>65.726026323508876</v>
      </c>
      <c r="Q81" s="98">
        <v>0.10377960674607103</v>
      </c>
      <c r="R81" s="100" t="s">
        <v>34</v>
      </c>
      <c r="S81" s="101" t="s">
        <v>34</v>
      </c>
      <c r="T81" s="97">
        <v>0</v>
      </c>
      <c r="U81" s="101" t="s">
        <v>35</v>
      </c>
      <c r="V81" s="97">
        <v>-65.726026323508876</v>
      </c>
      <c r="W81" s="104">
        <v>0.10377960674607103</v>
      </c>
      <c r="X81" s="124"/>
      <c r="Y81" s="124"/>
      <c r="Z81" s="124"/>
      <c r="AA81" s="124"/>
      <c r="AB81" s="124"/>
      <c r="AC81" s="124"/>
      <c r="AD81" s="124"/>
      <c r="AE81" s="124"/>
    </row>
    <row r="82" spans="1:31" s="105" customFormat="1" x14ac:dyDescent="0.25">
      <c r="A82" s="118" t="s">
        <v>263</v>
      </c>
      <c r="B82" s="95">
        <v>140</v>
      </c>
      <c r="C82" s="96">
        <v>69.046791076660156</v>
      </c>
      <c r="D82" s="97">
        <v>48.467796917674193</v>
      </c>
      <c r="E82" s="98">
        <v>2.720242780480425</v>
      </c>
      <c r="F82" s="99">
        <v>71.333777385676299</v>
      </c>
      <c r="G82" s="98">
        <v>8.1006938019776307</v>
      </c>
      <c r="H82" s="100">
        <v>56.381386233575832</v>
      </c>
      <c r="I82" s="101">
        <v>6.2925512703577713</v>
      </c>
      <c r="J82" s="97">
        <v>39.253360929079918</v>
      </c>
      <c r="K82" s="98">
        <v>5.1801772593480848</v>
      </c>
      <c r="L82" s="100">
        <v>26.602504993042821</v>
      </c>
      <c r="M82" s="101">
        <v>8.3251505236363297</v>
      </c>
      <c r="N82" s="97">
        <v>-44.731272392633471</v>
      </c>
      <c r="O82" s="102">
        <v>10.838770275140849</v>
      </c>
      <c r="P82" s="99">
        <v>57.8299540891731</v>
      </c>
      <c r="Q82" s="98">
        <v>2.4503978390281089</v>
      </c>
      <c r="R82" s="100" t="s">
        <v>34</v>
      </c>
      <c r="S82" s="101" t="s">
        <v>34</v>
      </c>
      <c r="T82" s="97">
        <v>13.28208353548567</v>
      </c>
      <c r="U82" s="101">
        <v>6.2218153622318315</v>
      </c>
      <c r="V82" s="97">
        <v>-44.547870553687432</v>
      </c>
      <c r="W82" s="104">
        <v>6.7822938848962888</v>
      </c>
      <c r="X82" s="124"/>
      <c r="Y82" s="124"/>
      <c r="Z82" s="124"/>
      <c r="AA82" s="124"/>
      <c r="AB82" s="124"/>
      <c r="AC82" s="124"/>
      <c r="AD82" s="124"/>
      <c r="AE82" s="124"/>
    </row>
    <row r="83" spans="1:31" s="105" customFormat="1" x14ac:dyDescent="0.25">
      <c r="A83" s="118" t="s">
        <v>264</v>
      </c>
      <c r="B83" s="95">
        <v>323</v>
      </c>
      <c r="C83" s="96">
        <v>97.6805419921875</v>
      </c>
      <c r="D83" s="97">
        <v>54.519309344222592</v>
      </c>
      <c r="E83" s="98">
        <v>2.5925093503468357</v>
      </c>
      <c r="F83" s="99">
        <v>74.603110109318649</v>
      </c>
      <c r="G83" s="98">
        <v>5.596415463147971</v>
      </c>
      <c r="H83" s="100">
        <v>62.332864609582288</v>
      </c>
      <c r="I83" s="101">
        <v>6.8887669063760484</v>
      </c>
      <c r="J83" s="97">
        <v>61.135314322705582</v>
      </c>
      <c r="K83" s="98">
        <v>6.3624484756888533</v>
      </c>
      <c r="L83" s="100">
        <v>19.577169432025329</v>
      </c>
      <c r="M83" s="101">
        <v>4.8658819408331082</v>
      </c>
      <c r="N83" s="97">
        <v>-55.02594067729332</v>
      </c>
      <c r="O83" s="102">
        <v>7.6662415693683199</v>
      </c>
      <c r="P83" s="99">
        <v>67.369322430185775</v>
      </c>
      <c r="Q83" s="98">
        <v>3.0237587249728817</v>
      </c>
      <c r="R83" s="100" t="s">
        <v>34</v>
      </c>
      <c r="S83" s="101" t="s">
        <v>34</v>
      </c>
      <c r="T83" s="97">
        <v>14.099251523740341</v>
      </c>
      <c r="U83" s="101">
        <v>3.7854343692284007</v>
      </c>
      <c r="V83" s="97">
        <v>-53.270070906445433</v>
      </c>
      <c r="W83" s="104">
        <v>4.7608848966456421</v>
      </c>
      <c r="X83" s="124"/>
      <c r="Y83" s="124"/>
      <c r="Z83" s="124"/>
      <c r="AA83" s="124"/>
      <c r="AB83" s="124"/>
      <c r="AC83" s="124"/>
      <c r="AD83" s="124"/>
      <c r="AE83" s="124"/>
    </row>
    <row r="84" spans="1:31" s="105" customFormat="1" x14ac:dyDescent="0.25">
      <c r="A84" s="118" t="s">
        <v>265</v>
      </c>
      <c r="B84" s="95">
        <v>186</v>
      </c>
      <c r="C84" s="96">
        <v>99.705375671386719</v>
      </c>
      <c r="D84" s="97">
        <v>51.278051655940331</v>
      </c>
      <c r="E84" s="98">
        <v>3.4661684924911165</v>
      </c>
      <c r="F84" s="99">
        <v>70.031780329080263</v>
      </c>
      <c r="G84" s="98">
        <v>8.0922986969024429</v>
      </c>
      <c r="H84" s="100">
        <v>59.048252909797696</v>
      </c>
      <c r="I84" s="101">
        <v>8.3454712779189464</v>
      </c>
      <c r="J84" s="97">
        <v>60.111378208809143</v>
      </c>
      <c r="K84" s="98">
        <v>10.032312956376593</v>
      </c>
      <c r="L84" s="100">
        <v>15.905054844915091</v>
      </c>
      <c r="M84" s="101">
        <v>5.0806740818011198</v>
      </c>
      <c r="N84" s="97">
        <v>-54.126725484165171</v>
      </c>
      <c r="O84" s="102">
        <v>9.0709900455532466</v>
      </c>
      <c r="P84" s="99">
        <v>60.954991077247293</v>
      </c>
      <c r="Q84" s="98">
        <v>4.0176306503026877</v>
      </c>
      <c r="R84" s="100">
        <v>5.3893918229518292</v>
      </c>
      <c r="S84" s="101">
        <v>5.2702584720873951</v>
      </c>
      <c r="T84" s="97">
        <v>5.6670054353742039</v>
      </c>
      <c r="U84" s="101">
        <v>5.7277284477923835</v>
      </c>
      <c r="V84" s="97">
        <v>-55.433016187142186</v>
      </c>
      <c r="W84" s="104">
        <v>5.32218349485278</v>
      </c>
      <c r="X84" s="124"/>
      <c r="Y84" s="124"/>
      <c r="Z84" s="124"/>
      <c r="AA84" s="124"/>
      <c r="AB84" s="124"/>
      <c r="AC84" s="124"/>
      <c r="AD84" s="124"/>
      <c r="AE84" s="124"/>
    </row>
    <row r="85" spans="1:31" s="105" customFormat="1" x14ac:dyDescent="0.25">
      <c r="A85" s="118" t="s">
        <v>266</v>
      </c>
      <c r="B85" s="95">
        <v>137</v>
      </c>
      <c r="C85" s="96">
        <v>86.319252014160156</v>
      </c>
      <c r="D85" s="97">
        <v>3.0405518088342949</v>
      </c>
      <c r="E85" s="98">
        <v>2.9362936052022552E-2</v>
      </c>
      <c r="F85" s="99">
        <v>0</v>
      </c>
      <c r="G85" s="98" t="s">
        <v>35</v>
      </c>
      <c r="H85" s="100">
        <v>0</v>
      </c>
      <c r="I85" s="101" t="s">
        <v>35</v>
      </c>
      <c r="J85" s="97">
        <v>7.0079546770412611</v>
      </c>
      <c r="K85" s="98">
        <v>8.1216704926301633E-2</v>
      </c>
      <c r="L85" s="100">
        <v>5.3285409022864796</v>
      </c>
      <c r="M85" s="101">
        <v>8.7118368727785458E-2</v>
      </c>
      <c r="N85" s="97">
        <v>5.3285409022864796</v>
      </c>
      <c r="O85" s="102">
        <v>8.7118368727785458E-2</v>
      </c>
      <c r="P85" s="99">
        <v>3.5115163983435571</v>
      </c>
      <c r="Q85" s="98">
        <v>4.9947696833078217E-2</v>
      </c>
      <c r="R85" s="100" t="s">
        <v>34</v>
      </c>
      <c r="S85" s="101" t="s">
        <v>34</v>
      </c>
      <c r="T85" s="97">
        <v>2.646935504086795</v>
      </c>
      <c r="U85" s="101">
        <v>3.1087146832846791E-2</v>
      </c>
      <c r="V85" s="97">
        <v>-0.8645808942567621</v>
      </c>
      <c r="W85" s="104">
        <v>5.8935991550748738E-2</v>
      </c>
      <c r="X85" s="124"/>
      <c r="Y85" s="124"/>
      <c r="Z85" s="124"/>
      <c r="AA85" s="124"/>
      <c r="AB85" s="124"/>
      <c r="AC85" s="124"/>
      <c r="AD85" s="124"/>
      <c r="AE85" s="124"/>
    </row>
    <row r="86" spans="1:31" s="105" customFormat="1" x14ac:dyDescent="0.25">
      <c r="A86" s="118" t="s">
        <v>267</v>
      </c>
      <c r="B86" s="95">
        <v>141</v>
      </c>
      <c r="C86" s="96">
        <v>93.061271667480469</v>
      </c>
      <c r="D86" s="97">
        <v>47.973901431148313</v>
      </c>
      <c r="E86" s="98">
        <v>4.4579067421395191</v>
      </c>
      <c r="F86" s="99">
        <v>51.622835421354807</v>
      </c>
      <c r="G86" s="98">
        <v>8.6488130990597085</v>
      </c>
      <c r="H86" s="100">
        <v>54.4085440604794</v>
      </c>
      <c r="I86" s="101">
        <v>8.8840176765519221</v>
      </c>
      <c r="J86" s="97">
        <v>63.247680441435563</v>
      </c>
      <c r="K86" s="98">
        <v>12.199870543765002</v>
      </c>
      <c r="L86" s="100">
        <v>22.59044007884437</v>
      </c>
      <c r="M86" s="101">
        <v>9.6814059734114171</v>
      </c>
      <c r="N86" s="97">
        <v>-29.032395342510441</v>
      </c>
      <c r="O86" s="102">
        <v>13.541020600649691</v>
      </c>
      <c r="P86" s="99">
        <v>47.779509538319743</v>
      </c>
      <c r="Q86" s="98">
        <v>4.485777169504467</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47.231168563837912</v>
      </c>
      <c r="E87" s="98">
        <v>3.5340994227532825</v>
      </c>
      <c r="F87" s="99">
        <v>55.046529518179057</v>
      </c>
      <c r="G87" s="98">
        <v>6.4125682226744383</v>
      </c>
      <c r="H87" s="100">
        <v>60.132939407680681</v>
      </c>
      <c r="I87" s="101">
        <v>6.691803648097828</v>
      </c>
      <c r="J87" s="97">
        <v>47.12942093386863</v>
      </c>
      <c r="K87" s="98">
        <v>10.204574688043005</v>
      </c>
      <c r="L87" s="100">
        <v>26.195272014612971</v>
      </c>
      <c r="M87" s="101">
        <v>7.245775201306123</v>
      </c>
      <c r="N87" s="97">
        <v>-28.851257503566089</v>
      </c>
      <c r="O87" s="102">
        <v>9.552362009434102</v>
      </c>
      <c r="P87" s="99">
        <v>47.231168563837912</v>
      </c>
      <c r="Q87" s="98">
        <v>3.5340994227532825</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169</v>
      </c>
      <c r="C88" s="96">
        <v>80.722206115722656</v>
      </c>
      <c r="D88" s="97">
        <v>43.024215187263287</v>
      </c>
      <c r="E88" s="98">
        <v>3.6367652458193125</v>
      </c>
      <c r="F88" s="99">
        <v>50.534487658860051</v>
      </c>
      <c r="G88" s="98">
        <v>8.4096678533637963</v>
      </c>
      <c r="H88" s="100">
        <v>46.721891817882373</v>
      </c>
      <c r="I88" s="101">
        <v>10.011376643232081</v>
      </c>
      <c r="J88" s="97">
        <v>49.611144553835089</v>
      </c>
      <c r="K88" s="98">
        <v>13.13719448896334</v>
      </c>
      <c r="L88" s="100">
        <v>25.589984019847279</v>
      </c>
      <c r="M88" s="101">
        <v>6.9455205607980997</v>
      </c>
      <c r="N88" s="97">
        <v>-24.944503639012769</v>
      </c>
      <c r="O88" s="102">
        <v>10.975898831592923</v>
      </c>
      <c r="P88" s="99">
        <v>47.130896445090507</v>
      </c>
      <c r="Q88" s="98">
        <v>4.1115200495603617</v>
      </c>
      <c r="R88" s="100" t="s">
        <v>34</v>
      </c>
      <c r="S88" s="101" t="s">
        <v>34</v>
      </c>
      <c r="T88" s="97">
        <v>15.44654115222208</v>
      </c>
      <c r="U88" s="101">
        <v>10.153715602176865</v>
      </c>
      <c r="V88" s="97">
        <v>-31.684355292868425</v>
      </c>
      <c r="W88" s="104">
        <v>11.441769515165126</v>
      </c>
      <c r="X88" s="124"/>
      <c r="Y88" s="124"/>
      <c r="Z88" s="124"/>
      <c r="AA88" s="124"/>
      <c r="AB88" s="124"/>
      <c r="AC88" s="124"/>
      <c r="AD88" s="124"/>
      <c r="AE88" s="124"/>
    </row>
    <row r="89" spans="1:31" s="105" customFormat="1" x14ac:dyDescent="0.25">
      <c r="A89" s="118" t="s">
        <v>270</v>
      </c>
      <c r="B89" s="95">
        <v>177</v>
      </c>
      <c r="C89" s="96">
        <v>98.513496398925781</v>
      </c>
      <c r="D89" s="97">
        <v>48.838981986810637</v>
      </c>
      <c r="E89" s="98">
        <v>3.6151902914918499</v>
      </c>
      <c r="F89" s="99">
        <v>68.294880474328565</v>
      </c>
      <c r="G89" s="98">
        <v>7.6772453463079477</v>
      </c>
      <c r="H89" s="100">
        <v>43.669555903145493</v>
      </c>
      <c r="I89" s="101">
        <v>7.7036881219719824</v>
      </c>
      <c r="J89" s="97">
        <v>43.056023160340487</v>
      </c>
      <c r="K89" s="98">
        <v>8.228210650051226</v>
      </c>
      <c r="L89" s="100">
        <v>40.035471225697421</v>
      </c>
      <c r="M89" s="101">
        <v>8.4670338983502997</v>
      </c>
      <c r="N89" s="97">
        <v>-28.25940924863114</v>
      </c>
      <c r="O89" s="102">
        <v>11.106332058059921</v>
      </c>
      <c r="P89" s="99">
        <v>50.147620658687202</v>
      </c>
      <c r="Q89" s="98">
        <v>3.6353841539031602</v>
      </c>
      <c r="R89" s="100" t="s">
        <v>34</v>
      </c>
      <c r="S89" s="101" t="s">
        <v>34</v>
      </c>
      <c r="T89" s="97">
        <v>9.6615863288230202</v>
      </c>
      <c r="U89" s="101">
        <v>11.358773027289031</v>
      </c>
      <c r="V89" s="97">
        <v>-40.486034329864182</v>
      </c>
      <c r="W89" s="104">
        <v>11.807476807096682</v>
      </c>
      <c r="X89" s="124"/>
      <c r="Y89" s="124"/>
      <c r="Z89" s="124"/>
      <c r="AA89" s="124"/>
      <c r="AB89" s="124"/>
      <c r="AC89" s="124"/>
      <c r="AD89" s="124"/>
      <c r="AE89" s="124"/>
    </row>
    <row r="90" spans="1:31" s="105" customFormat="1" x14ac:dyDescent="0.25">
      <c r="A90" s="118" t="s">
        <v>271</v>
      </c>
      <c r="B90" s="95">
        <v>166</v>
      </c>
      <c r="C90" s="96">
        <v>100</v>
      </c>
      <c r="D90" s="97">
        <v>0.65091272999596594</v>
      </c>
      <c r="E90" s="98">
        <v>7.3264971644632733E-3</v>
      </c>
      <c r="F90" s="99">
        <v>0</v>
      </c>
      <c r="G90" s="98" t="s">
        <v>35</v>
      </c>
      <c r="H90" s="100">
        <v>2.589599126343348</v>
      </c>
      <c r="I90" s="101">
        <v>0.11557900057741617</v>
      </c>
      <c r="J90" s="97">
        <v>0</v>
      </c>
      <c r="K90" s="98" t="s">
        <v>35</v>
      </c>
      <c r="L90" s="100">
        <v>0</v>
      </c>
      <c r="M90" s="101" t="s">
        <v>35</v>
      </c>
      <c r="N90" s="97">
        <v>0</v>
      </c>
      <c r="O90" s="102" t="s">
        <v>35</v>
      </c>
      <c r="P90" s="99">
        <v>0.71948147702338094</v>
      </c>
      <c r="Q90" s="98">
        <v>7.03687679810524E-3</v>
      </c>
      <c r="R90" s="100" t="s">
        <v>34</v>
      </c>
      <c r="S90" s="101" t="s">
        <v>34</v>
      </c>
      <c r="T90" s="97">
        <v>0</v>
      </c>
      <c r="U90" s="101" t="s">
        <v>35</v>
      </c>
      <c r="V90" s="97">
        <v>-0.71948147702338094</v>
      </c>
      <c r="W90" s="104">
        <v>7.03687679810524E-3</v>
      </c>
      <c r="X90" s="124"/>
      <c r="Y90" s="124"/>
      <c r="Z90" s="124"/>
      <c r="AA90" s="124"/>
      <c r="AB90" s="124"/>
      <c r="AC90" s="124"/>
      <c r="AD90" s="124"/>
      <c r="AE90" s="124"/>
    </row>
    <row r="91" spans="1:31" s="105" customFormat="1" x14ac:dyDescent="0.25">
      <c r="A91" s="118" t="s">
        <v>272</v>
      </c>
      <c r="B91" s="95">
        <v>185</v>
      </c>
      <c r="C91" s="96">
        <v>96.139122009277344</v>
      </c>
      <c r="D91" s="97">
        <v>11.20186932879461</v>
      </c>
      <c r="E91" s="98">
        <v>2.3744637963447315</v>
      </c>
      <c r="F91" s="99">
        <v>15.71630080774159</v>
      </c>
      <c r="G91" s="98">
        <v>6.3831428645492263</v>
      </c>
      <c r="H91" s="100">
        <v>12.473924433742541</v>
      </c>
      <c r="I91" s="101">
        <v>6.4500057935083168</v>
      </c>
      <c r="J91" s="97">
        <v>11.09277384211423</v>
      </c>
      <c r="K91" s="98">
        <v>5.2181397100832418</v>
      </c>
      <c r="L91" s="100">
        <v>5.4544939564460257</v>
      </c>
      <c r="M91" s="101">
        <v>3.9837663741149649</v>
      </c>
      <c r="N91" s="97">
        <v>-10.26180685129556</v>
      </c>
      <c r="O91" s="102">
        <v>6.9308279872334957</v>
      </c>
      <c r="P91" s="99">
        <v>12.587452296916741</v>
      </c>
      <c r="Q91" s="98">
        <v>3.2841186487174614</v>
      </c>
      <c r="R91" s="100">
        <v>11.240018614136041</v>
      </c>
      <c r="S91" s="101">
        <v>5.6408187376197834</v>
      </c>
      <c r="T91" s="97">
        <v>6.2490192802184623</v>
      </c>
      <c r="U91" s="101">
        <v>3.9752653823706661</v>
      </c>
      <c r="V91" s="97">
        <v>-4.55651031529632</v>
      </c>
      <c r="W91" s="104">
        <v>4.1210747194163169</v>
      </c>
      <c r="X91" s="124"/>
      <c r="Y91" s="124"/>
      <c r="Z91" s="124"/>
      <c r="AA91" s="124"/>
      <c r="AB91" s="124"/>
      <c r="AC91" s="124"/>
      <c r="AD91" s="124"/>
      <c r="AE91" s="124"/>
    </row>
    <row r="92" spans="1:31" s="105" customFormat="1" x14ac:dyDescent="0.25">
      <c r="A92" s="118" t="s">
        <v>273</v>
      </c>
      <c r="B92" s="95">
        <v>204</v>
      </c>
      <c r="C92" s="96">
        <v>92.950508117675781</v>
      </c>
      <c r="D92" s="97">
        <v>56.172833349827833</v>
      </c>
      <c r="E92" s="98">
        <v>3.450070887621381</v>
      </c>
      <c r="F92" s="99">
        <v>84.281941154367473</v>
      </c>
      <c r="G92" s="98">
        <v>6.1417586132604427</v>
      </c>
      <c r="H92" s="100">
        <v>56.331574315640253</v>
      </c>
      <c r="I92" s="101">
        <v>10.135789191783848</v>
      </c>
      <c r="J92" s="97">
        <v>58.90163806032956</v>
      </c>
      <c r="K92" s="98">
        <v>7.7097610021461591</v>
      </c>
      <c r="L92" s="100">
        <v>23.855727130313198</v>
      </c>
      <c r="M92" s="101">
        <v>8.2753670512157083</v>
      </c>
      <c r="N92" s="97">
        <v>-60.426214024054268</v>
      </c>
      <c r="O92" s="102">
        <v>10.451112032144412</v>
      </c>
      <c r="P92" s="99">
        <v>59.796702631893517</v>
      </c>
      <c r="Q92" s="98">
        <v>3.8115229112756976</v>
      </c>
      <c r="R92" s="100">
        <v>53.191955923228043</v>
      </c>
      <c r="S92" s="101">
        <v>12.125375945715383</v>
      </c>
      <c r="T92" s="97">
        <v>20.322869663817901</v>
      </c>
      <c r="U92" s="101">
        <v>13.277798639662096</v>
      </c>
      <c r="V92" s="97">
        <v>-21.65973468586715</v>
      </c>
      <c r="W92" s="104">
        <v>11.126060320189891</v>
      </c>
      <c r="X92" s="124"/>
      <c r="Y92" s="124"/>
      <c r="Z92" s="124"/>
      <c r="AA92" s="124"/>
      <c r="AB92" s="124"/>
      <c r="AC92" s="124"/>
      <c r="AD92" s="124"/>
      <c r="AE92" s="124"/>
    </row>
    <row r="93" spans="1:31" s="105" customFormat="1" x14ac:dyDescent="0.25">
      <c r="A93" s="118" t="s">
        <v>274</v>
      </c>
      <c r="B93" s="95">
        <v>250</v>
      </c>
      <c r="C93" s="96">
        <v>100</v>
      </c>
      <c r="D93" s="97">
        <v>73.670828955945254</v>
      </c>
      <c r="E93" s="98">
        <v>2.8004172204934319</v>
      </c>
      <c r="F93" s="99">
        <v>80.802940735096712</v>
      </c>
      <c r="G93" s="98">
        <v>6.5615247127613081</v>
      </c>
      <c r="H93" s="100">
        <v>68.28033612316743</v>
      </c>
      <c r="I93" s="101">
        <v>7.5024285830600688</v>
      </c>
      <c r="J93" s="97">
        <v>71.889042725560046</v>
      </c>
      <c r="K93" s="98">
        <v>8.0517967359938112</v>
      </c>
      <c r="L93" s="100">
        <v>73.441556312232592</v>
      </c>
      <c r="M93" s="101">
        <v>8.0581498291942122</v>
      </c>
      <c r="N93" s="97">
        <v>-7.3613844228641199</v>
      </c>
      <c r="O93" s="102">
        <v>9.8565984056327771</v>
      </c>
      <c r="P93" s="99">
        <v>73.897770946990079</v>
      </c>
      <c r="Q93" s="98">
        <v>2.78275863063697</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592</v>
      </c>
      <c r="C94" s="96">
        <v>91.31793212890625</v>
      </c>
      <c r="D94" s="97">
        <v>21.733864630665931</v>
      </c>
      <c r="E94" s="98">
        <v>1.0559455775162647</v>
      </c>
      <c r="F94" s="99">
        <v>30.606798082227559</v>
      </c>
      <c r="G94" s="98">
        <v>1.5705514223232777</v>
      </c>
      <c r="H94" s="100">
        <v>35.651988993288832</v>
      </c>
      <c r="I94" s="101">
        <v>2.6690312391322313</v>
      </c>
      <c r="J94" s="97">
        <v>16.178617589635621</v>
      </c>
      <c r="K94" s="98">
        <v>4.3019957760822187</v>
      </c>
      <c r="L94" s="100">
        <v>4.5476137538229677</v>
      </c>
      <c r="M94" s="101">
        <v>1.4383366404005558</v>
      </c>
      <c r="N94" s="97">
        <v>-26.059184328404591</v>
      </c>
      <c r="O94" s="102">
        <v>2.0139651417034163</v>
      </c>
      <c r="P94" s="99">
        <v>32.13920779228215</v>
      </c>
      <c r="Q94" s="98">
        <v>0.40662682721437865</v>
      </c>
      <c r="R94" s="100" t="s">
        <v>34</v>
      </c>
      <c r="S94" s="101" t="s">
        <v>34</v>
      </c>
      <c r="T94" s="97">
        <v>15.52581720483092</v>
      </c>
      <c r="U94" s="101">
        <v>1.6138114848505565</v>
      </c>
      <c r="V94" s="97">
        <v>-16.613390587451228</v>
      </c>
      <c r="W94" s="104">
        <v>1.6954024675546393</v>
      </c>
      <c r="X94" s="124"/>
      <c r="Y94" s="124"/>
      <c r="Z94" s="124"/>
      <c r="AA94" s="124"/>
      <c r="AB94" s="124"/>
      <c r="AC94" s="124"/>
      <c r="AD94" s="124"/>
      <c r="AE94" s="124"/>
    </row>
    <row r="95" spans="1:31" s="105" customFormat="1" x14ac:dyDescent="0.25">
      <c r="A95" s="118" t="s">
        <v>276</v>
      </c>
      <c r="B95" s="95">
        <v>189</v>
      </c>
      <c r="C95" s="96">
        <v>100</v>
      </c>
      <c r="D95" s="97">
        <v>30.748044717899688</v>
      </c>
      <c r="E95" s="98">
        <v>3.4539489213806172</v>
      </c>
      <c r="F95" s="99">
        <v>35.835585131305471</v>
      </c>
      <c r="G95" s="98">
        <v>7.5173013225828402</v>
      </c>
      <c r="H95" s="100">
        <v>41.257205672840627</v>
      </c>
      <c r="I95" s="101">
        <v>7.3709448632415855</v>
      </c>
      <c r="J95" s="97">
        <v>30.991950193998179</v>
      </c>
      <c r="K95" s="98">
        <v>9.3417648352541462</v>
      </c>
      <c r="L95" s="100">
        <v>14.490859724149541</v>
      </c>
      <c r="M95" s="101">
        <v>7.3640759572858174</v>
      </c>
      <c r="N95" s="97">
        <v>-21.344725407155931</v>
      </c>
      <c r="O95" s="102">
        <v>10.826260707233462</v>
      </c>
      <c r="P95" s="99">
        <v>36.399690611800871</v>
      </c>
      <c r="Q95" s="98">
        <v>4.0683434867929895</v>
      </c>
      <c r="R95" s="100" t="s">
        <v>34</v>
      </c>
      <c r="S95" s="101" t="s">
        <v>34</v>
      </c>
      <c r="T95" s="97">
        <v>0.86183934800982132</v>
      </c>
      <c r="U95" s="101">
        <v>0.92905869996228363</v>
      </c>
      <c r="V95" s="97">
        <v>-35.537851263791048</v>
      </c>
      <c r="W95" s="104">
        <v>4.1702114792965821</v>
      </c>
      <c r="X95" s="124"/>
      <c r="Y95" s="124"/>
      <c r="Z95" s="124"/>
      <c r="AA95" s="124"/>
      <c r="AB95" s="124"/>
      <c r="AC95" s="124"/>
      <c r="AD95" s="124"/>
      <c r="AE95" s="124"/>
    </row>
    <row r="96" spans="1:31" s="105" customFormat="1" ht="13.8" thickBot="1" x14ac:dyDescent="0.3">
      <c r="A96" s="125" t="s">
        <v>277</v>
      </c>
      <c r="B96" s="108">
        <v>122</v>
      </c>
      <c r="C96" s="109">
        <v>94.736846923828125</v>
      </c>
      <c r="D96" s="110">
        <v>43.901157415968846</v>
      </c>
      <c r="E96" s="111">
        <v>5.2422799472609096</v>
      </c>
      <c r="F96" s="112">
        <v>62.149431936040358</v>
      </c>
      <c r="G96" s="111">
        <v>11.840640175988609</v>
      </c>
      <c r="H96" s="113">
        <v>45.253655525381618</v>
      </c>
      <c r="I96" s="114">
        <v>9.6312585706683453</v>
      </c>
      <c r="J96" s="110">
        <v>42.632908252366398</v>
      </c>
      <c r="K96" s="111">
        <v>11.367569014274775</v>
      </c>
      <c r="L96" s="113">
        <v>25.81505882106822</v>
      </c>
      <c r="M96" s="114">
        <v>9.0639816493142238</v>
      </c>
      <c r="N96" s="110">
        <v>-36.334373114972138</v>
      </c>
      <c r="O96" s="115">
        <v>14.086445602033868</v>
      </c>
      <c r="P96" s="112">
        <v>43.954094074916462</v>
      </c>
      <c r="Q96" s="111">
        <v>5.2001827184518623</v>
      </c>
      <c r="R96" s="113" t="s">
        <v>34</v>
      </c>
      <c r="S96" s="114" t="s">
        <v>34</v>
      </c>
      <c r="T96" s="110">
        <v>42.835025837902137</v>
      </c>
      <c r="U96" s="114">
        <v>21.687682603407453</v>
      </c>
      <c r="V96" s="110">
        <v>-1.119068237014325</v>
      </c>
      <c r="W96" s="117">
        <v>21.30614007434091</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5:N96 V15:V96">
    <cfRule type="expression" dxfId="11"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150</v>
      </c>
      <c r="B6" s="51"/>
    </row>
    <row r="7" spans="1:31" x14ac:dyDescent="0.25">
      <c r="A7" s="51" t="s">
        <v>151</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152</v>
      </c>
      <c r="G11" s="202"/>
      <c r="H11" s="202"/>
      <c r="I11" s="202"/>
      <c r="J11" s="202"/>
      <c r="K11" s="202"/>
      <c r="L11" s="202"/>
      <c r="M11" s="202"/>
      <c r="N11" s="202"/>
      <c r="O11" s="202"/>
      <c r="P11" s="201" t="s">
        <v>153</v>
      </c>
      <c r="Q11" s="202"/>
      <c r="R11" s="202"/>
      <c r="S11" s="202"/>
      <c r="T11" s="202"/>
      <c r="U11" s="202"/>
      <c r="V11" s="202"/>
      <c r="W11" s="203"/>
    </row>
    <row r="12" spans="1:31" ht="70.5" customHeight="1" x14ac:dyDescent="0.25">
      <c r="A12" s="31"/>
      <c r="B12" s="215" t="s">
        <v>10</v>
      </c>
      <c r="C12" s="217" t="s">
        <v>11</v>
      </c>
      <c r="D12" s="218" t="s">
        <v>154</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35.25" customHeight="1"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694</v>
      </c>
      <c r="C16" s="96">
        <v>91.700614929199219</v>
      </c>
      <c r="D16" s="97">
        <v>17.045394949486059</v>
      </c>
      <c r="E16" s="98">
        <v>1.1856583403685079</v>
      </c>
      <c r="F16" s="99">
        <v>34.092386471410542</v>
      </c>
      <c r="G16" s="98">
        <v>2.9883558283260543</v>
      </c>
      <c r="H16" s="100">
        <v>18.462110778667231</v>
      </c>
      <c r="I16" s="101">
        <v>2.8940358550522864</v>
      </c>
      <c r="J16" s="97">
        <v>12.35335223873072</v>
      </c>
      <c r="K16" s="98">
        <v>2.6619297213864268</v>
      </c>
      <c r="L16" s="100">
        <v>3.0706834342073819</v>
      </c>
      <c r="M16" s="101">
        <v>1.6368809810190332</v>
      </c>
      <c r="N16" s="97">
        <v>-31.02170303720316</v>
      </c>
      <c r="O16" s="102">
        <v>3.2957706436474994</v>
      </c>
      <c r="P16" s="99">
        <v>23.73553359720794</v>
      </c>
      <c r="Q16" s="98">
        <v>1.7841712140175157</v>
      </c>
      <c r="R16" s="100">
        <v>11.66451547001777</v>
      </c>
      <c r="S16" s="101">
        <v>1.972231105304399</v>
      </c>
      <c r="T16" s="97">
        <v>2.4375594819212951</v>
      </c>
      <c r="U16" s="101">
        <v>1.5188496947331136</v>
      </c>
      <c r="V16" s="97">
        <v>-15.628945130281712</v>
      </c>
      <c r="W16" s="104">
        <v>2.1469755544127396</v>
      </c>
      <c r="X16" s="124"/>
      <c r="Y16" s="124"/>
      <c r="Z16" s="124"/>
      <c r="AA16" s="124"/>
      <c r="AB16" s="124"/>
      <c r="AC16" s="124"/>
      <c r="AD16" s="124"/>
      <c r="AE16" s="124"/>
    </row>
    <row r="17" spans="1:31" s="105" customFormat="1" x14ac:dyDescent="0.25">
      <c r="A17" s="118" t="s">
        <v>203</v>
      </c>
      <c r="B17" s="95">
        <v>291</v>
      </c>
      <c r="C17" s="96"/>
      <c r="D17" s="97">
        <v>11.94011801626228</v>
      </c>
      <c r="E17" s="98">
        <v>1.9239173024700063</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249</v>
      </c>
      <c r="C18" s="96">
        <v>89.844497680664063</v>
      </c>
      <c r="D18" s="97">
        <v>43.450500950757828</v>
      </c>
      <c r="E18" s="98">
        <v>3.0926716466362141</v>
      </c>
      <c r="F18" s="99">
        <v>68.139574313746849</v>
      </c>
      <c r="G18" s="98">
        <v>5.3514727871771317</v>
      </c>
      <c r="H18" s="100">
        <v>36.379422773277682</v>
      </c>
      <c r="I18" s="101">
        <v>7.9383075526559832</v>
      </c>
      <c r="J18" s="97">
        <v>45.665674322353652</v>
      </c>
      <c r="K18" s="98">
        <v>7.4034553825371372</v>
      </c>
      <c r="L18" s="100">
        <v>23.271139857657889</v>
      </c>
      <c r="M18" s="101">
        <v>6.4107386615151274</v>
      </c>
      <c r="N18" s="97">
        <v>-44.868434456088963</v>
      </c>
      <c r="O18" s="102">
        <v>8.3899322282134108</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768</v>
      </c>
      <c r="C19" s="96">
        <v>95.894615173339844</v>
      </c>
      <c r="D19" s="97">
        <v>19.440027163520451</v>
      </c>
      <c r="E19" s="98">
        <v>1.6995980590933104</v>
      </c>
      <c r="F19" s="99">
        <v>33.10983571693324</v>
      </c>
      <c r="G19" s="98">
        <v>4.6067774598029194</v>
      </c>
      <c r="H19" s="100">
        <v>18.590263716804099</v>
      </c>
      <c r="I19" s="101">
        <v>4.7818623724502674</v>
      </c>
      <c r="J19" s="97">
        <v>18.07146472154697</v>
      </c>
      <c r="K19" s="98">
        <v>3.9977399186725466</v>
      </c>
      <c r="L19" s="100">
        <v>7.6805881811984689</v>
      </c>
      <c r="M19" s="101">
        <v>2.474903402764129</v>
      </c>
      <c r="N19" s="97">
        <v>-25.42924753573477</v>
      </c>
      <c r="O19" s="102">
        <v>5.3658526019103334</v>
      </c>
      <c r="P19" s="99">
        <v>19.834149122175099</v>
      </c>
      <c r="Q19" s="98">
        <v>1.741913032598384</v>
      </c>
      <c r="R19" s="100">
        <v>7.8106524888951077</v>
      </c>
      <c r="S19" s="101">
        <v>6.370983632058187</v>
      </c>
      <c r="T19" s="97">
        <v>20.09122684386994</v>
      </c>
      <c r="U19" s="101">
        <v>7.2725933511587968</v>
      </c>
      <c r="V19" s="97">
        <v>-4.5390658944119586</v>
      </c>
      <c r="W19" s="104">
        <v>5.3636035824288655</v>
      </c>
      <c r="X19" s="124"/>
      <c r="Y19" s="124"/>
      <c r="Z19" s="124"/>
      <c r="AA19" s="124"/>
      <c r="AB19" s="124"/>
      <c r="AC19" s="124"/>
      <c r="AD19" s="124"/>
      <c r="AE19" s="124"/>
    </row>
    <row r="20" spans="1:31" s="105" customFormat="1" x14ac:dyDescent="0.25">
      <c r="A20" s="118" t="s">
        <v>206</v>
      </c>
      <c r="B20" s="95">
        <v>210</v>
      </c>
      <c r="C20" s="96">
        <v>87.641273498535156</v>
      </c>
      <c r="D20" s="97">
        <v>12.49867803818886</v>
      </c>
      <c r="E20" s="98">
        <v>2.6607535184484763</v>
      </c>
      <c r="F20" s="99">
        <v>16.548185926368749</v>
      </c>
      <c r="G20" s="98">
        <v>6.9431358204564217</v>
      </c>
      <c r="H20" s="100">
        <v>19.61985881682315</v>
      </c>
      <c r="I20" s="101">
        <v>6.7872302186691842</v>
      </c>
      <c r="J20" s="97">
        <v>1.8739702015783899</v>
      </c>
      <c r="K20" s="98">
        <v>2.2941224045477724</v>
      </c>
      <c r="L20" s="100">
        <v>11.76189820274789</v>
      </c>
      <c r="M20" s="101">
        <v>4.9490114289342388</v>
      </c>
      <c r="N20" s="97">
        <v>-4.7862877236208643</v>
      </c>
      <c r="O20" s="102">
        <v>8.435305825229559</v>
      </c>
      <c r="P20" s="99">
        <v>23.831946575933561</v>
      </c>
      <c r="Q20" s="98">
        <v>6.8225378126803484</v>
      </c>
      <c r="R20" s="100">
        <v>6.8017965813603727</v>
      </c>
      <c r="S20" s="101">
        <v>2.2815974631712943</v>
      </c>
      <c r="T20" s="97">
        <v>8.4668244773516346</v>
      </c>
      <c r="U20" s="101">
        <v>5.2017469704927013</v>
      </c>
      <c r="V20" s="97">
        <v>-16.660101514897519</v>
      </c>
      <c r="W20" s="104">
        <v>7.1123999812224268</v>
      </c>
      <c r="X20" s="124"/>
      <c r="Y20" s="124"/>
      <c r="Z20" s="124"/>
      <c r="AA20" s="124"/>
      <c r="AB20" s="124"/>
      <c r="AC20" s="124"/>
      <c r="AD20" s="124"/>
      <c r="AE20" s="124"/>
    </row>
    <row r="21" spans="1:31" s="105" customFormat="1" x14ac:dyDescent="0.25">
      <c r="A21" s="118" t="s">
        <v>207</v>
      </c>
      <c r="B21" s="95">
        <v>245</v>
      </c>
      <c r="C21" s="96">
        <v>98.989761352539063</v>
      </c>
      <c r="D21" s="97">
        <v>30.62963007113482</v>
      </c>
      <c r="E21" s="98">
        <v>2.8824506850488198</v>
      </c>
      <c r="F21" s="99">
        <v>33.698966323054279</v>
      </c>
      <c r="G21" s="98">
        <v>7.9868078186732934</v>
      </c>
      <c r="H21" s="100">
        <v>41.524914476236937</v>
      </c>
      <c r="I21" s="101">
        <v>7.1531045016731261</v>
      </c>
      <c r="J21" s="97">
        <v>27.782915786660421</v>
      </c>
      <c r="K21" s="98">
        <v>6.9318512314230984</v>
      </c>
      <c r="L21" s="100">
        <v>18.246887682798651</v>
      </c>
      <c r="M21" s="101">
        <v>5.7684692015809107</v>
      </c>
      <c r="N21" s="97">
        <v>-15.45207864025563</v>
      </c>
      <c r="O21" s="102">
        <v>10.700905913530855</v>
      </c>
      <c r="P21" s="99">
        <v>37.647740803925558</v>
      </c>
      <c r="Q21" s="98">
        <v>3.4173428584460037</v>
      </c>
      <c r="R21" s="100" t="s">
        <v>34</v>
      </c>
      <c r="S21" s="101" t="s">
        <v>34</v>
      </c>
      <c r="T21" s="97">
        <v>0</v>
      </c>
      <c r="U21" s="101" t="s">
        <v>35</v>
      </c>
      <c r="V21" s="97">
        <v>-37.647740803925558</v>
      </c>
      <c r="W21" s="104">
        <v>3.4173428584460037</v>
      </c>
      <c r="X21" s="124"/>
      <c r="Y21" s="124"/>
      <c r="Z21" s="124"/>
      <c r="AA21" s="124"/>
      <c r="AB21" s="124"/>
      <c r="AC21" s="124"/>
      <c r="AD21" s="124"/>
      <c r="AE21" s="124"/>
    </row>
    <row r="22" spans="1:31" s="105" customFormat="1" x14ac:dyDescent="0.25">
      <c r="A22" s="118" t="s">
        <v>208</v>
      </c>
      <c r="B22" s="95">
        <v>323</v>
      </c>
      <c r="C22" s="96">
        <v>96.668991088867188</v>
      </c>
      <c r="D22" s="97">
        <v>35.228345901687092</v>
      </c>
      <c r="E22" s="98">
        <v>2.8356230831517033</v>
      </c>
      <c r="F22" s="99">
        <v>45.493541276286983</v>
      </c>
      <c r="G22" s="98">
        <v>5.906986807095584</v>
      </c>
      <c r="H22" s="100">
        <v>23.71341154104412</v>
      </c>
      <c r="I22" s="101">
        <v>7.1708343754776056</v>
      </c>
      <c r="J22" s="97">
        <v>45.044510976723927</v>
      </c>
      <c r="K22" s="98">
        <v>8.3143157377578447</v>
      </c>
      <c r="L22" s="100">
        <v>27.264482327140229</v>
      </c>
      <c r="M22" s="101">
        <v>4.8171636920288821</v>
      </c>
      <c r="N22" s="97">
        <v>-18.229058949146761</v>
      </c>
      <c r="O22" s="102">
        <v>8.0893385822436628</v>
      </c>
      <c r="P22" s="99">
        <v>35.486107385412318</v>
      </c>
      <c r="Q22" s="98">
        <v>3.0370684250992852</v>
      </c>
      <c r="R22" s="100">
        <v>25.587599133684019</v>
      </c>
      <c r="S22" s="101">
        <v>10.323776021243825</v>
      </c>
      <c r="T22" s="97" t="s">
        <v>34</v>
      </c>
      <c r="U22" s="101" t="s">
        <v>34</v>
      </c>
      <c r="V22" s="97">
        <v>-9.8985082517282983</v>
      </c>
      <c r="W22" s="104">
        <v>11.056172058181904</v>
      </c>
      <c r="X22" s="124"/>
      <c r="Y22" s="124"/>
      <c r="Z22" s="124"/>
      <c r="AA22" s="124"/>
      <c r="AB22" s="124"/>
      <c r="AC22" s="124"/>
      <c r="AD22" s="124"/>
      <c r="AE22" s="124"/>
    </row>
    <row r="23" spans="1:31" s="105" customFormat="1" x14ac:dyDescent="0.25">
      <c r="A23" s="118" t="s">
        <v>209</v>
      </c>
      <c r="B23" s="95">
        <v>266</v>
      </c>
      <c r="C23" s="96">
        <v>80.007835388183594</v>
      </c>
      <c r="D23" s="97">
        <v>5.3444374079621806</v>
      </c>
      <c r="E23" s="98">
        <v>1.2753582115098989</v>
      </c>
      <c r="F23" s="99">
        <v>10.82002252842636</v>
      </c>
      <c r="G23" s="98">
        <v>4.47660750218843</v>
      </c>
      <c r="H23" s="100">
        <v>7.7939824657955228</v>
      </c>
      <c r="I23" s="101">
        <v>3.6903821360664697</v>
      </c>
      <c r="J23" s="97">
        <v>2.6821891208072719</v>
      </c>
      <c r="K23" s="98">
        <v>1.8305841163532437</v>
      </c>
      <c r="L23" s="100">
        <v>0</v>
      </c>
      <c r="M23" s="101" t="s">
        <v>35</v>
      </c>
      <c r="N23" s="97">
        <v>-10.82002252842636</v>
      </c>
      <c r="O23" s="102">
        <v>4.47660750218843</v>
      </c>
      <c r="P23" s="99">
        <v>6.4770450009433409</v>
      </c>
      <c r="Q23" s="98">
        <v>1.4725646839867914</v>
      </c>
      <c r="R23" s="100">
        <v>0</v>
      </c>
      <c r="S23" s="101" t="s">
        <v>35</v>
      </c>
      <c r="T23" s="97">
        <v>11.001415273185289</v>
      </c>
      <c r="U23" s="101">
        <v>10.132362128127872</v>
      </c>
      <c r="V23" s="97">
        <v>-3.9430015184223928</v>
      </c>
      <c r="W23" s="104">
        <v>2.9387482797720756</v>
      </c>
      <c r="X23" s="124"/>
      <c r="Y23" s="124"/>
      <c r="Z23" s="124"/>
      <c r="AA23" s="124"/>
      <c r="AB23" s="124"/>
      <c r="AC23" s="124"/>
      <c r="AD23" s="124"/>
      <c r="AE23" s="124"/>
    </row>
    <row r="24" spans="1:31" s="105" customFormat="1" x14ac:dyDescent="0.25">
      <c r="A24" s="118" t="s">
        <v>210</v>
      </c>
      <c r="B24" s="95">
        <v>224</v>
      </c>
      <c r="C24" s="96">
        <v>99.549774169921875</v>
      </c>
      <c r="D24" s="97">
        <v>43.6540931753336</v>
      </c>
      <c r="E24" s="98">
        <v>2.081649932933439</v>
      </c>
      <c r="F24" s="99">
        <v>48.382206969103507</v>
      </c>
      <c r="G24" s="98">
        <v>5.8868812993064576</v>
      </c>
      <c r="H24" s="100">
        <v>40.603035771146999</v>
      </c>
      <c r="I24" s="101">
        <v>4.6008499329633352</v>
      </c>
      <c r="J24" s="97">
        <v>43.838684976959172</v>
      </c>
      <c r="K24" s="98">
        <v>4.7293907143349472</v>
      </c>
      <c r="L24" s="100">
        <v>41.668362713019242</v>
      </c>
      <c r="M24" s="101">
        <v>4.1137503815901697</v>
      </c>
      <c r="N24" s="97">
        <v>-6.7138442560842719</v>
      </c>
      <c r="O24" s="102">
        <v>7.3084854269424682</v>
      </c>
      <c r="P24" s="99">
        <v>44.211801727519237</v>
      </c>
      <c r="Q24" s="98">
        <v>2.0172946506050859</v>
      </c>
      <c r="R24" s="100">
        <v>19.933479021617192</v>
      </c>
      <c r="S24" s="101">
        <v>17.091326170762265</v>
      </c>
      <c r="T24" s="97">
        <v>44.467352916547704</v>
      </c>
      <c r="U24" s="101">
        <v>25.80788301233402</v>
      </c>
      <c r="V24" s="97">
        <v>-14.097770325949636</v>
      </c>
      <c r="W24" s="104">
        <v>14.193852283585176</v>
      </c>
      <c r="X24" s="124"/>
      <c r="Y24" s="124"/>
      <c r="Z24" s="124"/>
      <c r="AA24" s="124"/>
      <c r="AB24" s="124"/>
      <c r="AC24" s="124"/>
      <c r="AD24" s="124"/>
      <c r="AE24" s="124"/>
    </row>
    <row r="25" spans="1:31" s="105" customFormat="1" x14ac:dyDescent="0.25">
      <c r="A25" s="118" t="s">
        <v>211</v>
      </c>
      <c r="B25" s="95">
        <v>210</v>
      </c>
      <c r="C25" s="96">
        <v>99.331733703613281</v>
      </c>
      <c r="D25" s="97">
        <v>7.3215119009537704</v>
      </c>
      <c r="E25" s="98">
        <v>2.1115078260115054</v>
      </c>
      <c r="F25" s="99">
        <v>4.0582609056865611</v>
      </c>
      <c r="G25" s="98">
        <v>3.7210576412111478</v>
      </c>
      <c r="H25" s="100">
        <v>6.3984634369521061</v>
      </c>
      <c r="I25" s="101">
        <v>4.2415877900319252</v>
      </c>
      <c r="J25" s="97">
        <v>10.257012801614509</v>
      </c>
      <c r="K25" s="98">
        <v>5.7912995470091548</v>
      </c>
      <c r="L25" s="100">
        <v>8.5903165115606797</v>
      </c>
      <c r="M25" s="101">
        <v>4.0638295671715614</v>
      </c>
      <c r="N25" s="97">
        <v>4.5320556058741186</v>
      </c>
      <c r="O25" s="102">
        <v>5.2612106526963389</v>
      </c>
      <c r="P25" s="99">
        <v>7.6267122326411956</v>
      </c>
      <c r="Q25" s="98">
        <v>2.1922343238240889</v>
      </c>
      <c r="R25" s="100">
        <v>0</v>
      </c>
      <c r="S25" s="101" t="s">
        <v>35</v>
      </c>
      <c r="T25" s="97" t="s">
        <v>34</v>
      </c>
      <c r="U25" s="101" t="s">
        <v>34</v>
      </c>
      <c r="V25" s="97">
        <v>-7.6267122326411956</v>
      </c>
      <c r="W25" s="104">
        <v>2.1922343238240889</v>
      </c>
      <c r="X25" s="124"/>
      <c r="Y25" s="124"/>
      <c r="Z25" s="124"/>
      <c r="AA25" s="124"/>
      <c r="AB25" s="124"/>
      <c r="AC25" s="124"/>
      <c r="AD25" s="124"/>
      <c r="AE25" s="124"/>
    </row>
    <row r="26" spans="1:31" s="105" customFormat="1" x14ac:dyDescent="0.25">
      <c r="A26" s="118" t="s">
        <v>212</v>
      </c>
      <c r="B26" s="95">
        <v>164</v>
      </c>
      <c r="C26" s="96">
        <v>76.662361145019531</v>
      </c>
      <c r="D26" s="97">
        <v>18.169063893217881</v>
      </c>
      <c r="E26" s="98">
        <v>2.7662194873439225</v>
      </c>
      <c r="F26" s="99">
        <v>22.979625232995819</v>
      </c>
      <c r="G26" s="98">
        <v>7.0603140200545393</v>
      </c>
      <c r="H26" s="100">
        <v>10.53442093403153</v>
      </c>
      <c r="I26" s="101">
        <v>6.0091203858818174</v>
      </c>
      <c r="J26" s="97">
        <v>23.18704139243782</v>
      </c>
      <c r="K26" s="98">
        <v>6.7875665971887305</v>
      </c>
      <c r="L26" s="100">
        <v>16.268088746287422</v>
      </c>
      <c r="M26" s="101">
        <v>5.1869013646580493</v>
      </c>
      <c r="N26" s="97">
        <v>-6.7115364867084004</v>
      </c>
      <c r="O26" s="102">
        <v>9.2426511526739219</v>
      </c>
      <c r="P26" s="99">
        <v>18.047223426940111</v>
      </c>
      <c r="Q26" s="98">
        <v>2.9415443989428298</v>
      </c>
      <c r="R26" s="100">
        <v>8.4035240777851232</v>
      </c>
      <c r="S26" s="101">
        <v>7.6810016078244301</v>
      </c>
      <c r="T26" s="97">
        <v>21.14010505907455</v>
      </c>
      <c r="U26" s="101">
        <v>11.150336944476788</v>
      </c>
      <c r="V26" s="97">
        <v>-3.5216122692661713</v>
      </c>
      <c r="W26" s="104">
        <v>6.9563463816757709</v>
      </c>
      <c r="X26" s="124"/>
      <c r="Y26" s="124"/>
      <c r="Z26" s="124"/>
      <c r="AA26" s="124"/>
      <c r="AB26" s="124"/>
      <c r="AC26" s="124"/>
      <c r="AD26" s="124"/>
      <c r="AE26" s="124"/>
    </row>
    <row r="27" spans="1:31" s="105" customFormat="1" x14ac:dyDescent="0.25">
      <c r="A27" s="118" t="s">
        <v>213</v>
      </c>
      <c r="B27" s="95">
        <v>186</v>
      </c>
      <c r="C27" s="96">
        <v>82.665573120117188</v>
      </c>
      <c r="D27" s="97">
        <v>56.360489244479417</v>
      </c>
      <c r="E27" s="98">
        <v>3.5926751958382384</v>
      </c>
      <c r="F27" s="99">
        <v>69.654230743741607</v>
      </c>
      <c r="G27" s="98">
        <v>6.8617608787178126</v>
      </c>
      <c r="H27" s="100">
        <v>73.01260645590591</v>
      </c>
      <c r="I27" s="101">
        <v>9.0033727959322896</v>
      </c>
      <c r="J27" s="97">
        <v>49.526782758453344</v>
      </c>
      <c r="K27" s="98">
        <v>8.4914714848532498</v>
      </c>
      <c r="L27" s="100">
        <v>33.744431150108859</v>
      </c>
      <c r="M27" s="101">
        <v>9.3110022366128469</v>
      </c>
      <c r="N27" s="97">
        <v>-35.909799593632748</v>
      </c>
      <c r="O27" s="102">
        <v>12.422033518131315</v>
      </c>
      <c r="P27" s="99">
        <v>57.757309702991193</v>
      </c>
      <c r="Q27" s="98">
        <v>3.8037460786670128</v>
      </c>
      <c r="R27" s="100">
        <v>33.93390353601113</v>
      </c>
      <c r="S27" s="101">
        <v>21.55694945537218</v>
      </c>
      <c r="T27" s="97" t="s">
        <v>34</v>
      </c>
      <c r="U27" s="101" t="s">
        <v>34</v>
      </c>
      <c r="V27" s="97">
        <v>-23.823406166980064</v>
      </c>
      <c r="W27" s="104">
        <v>22.091840398559725</v>
      </c>
      <c r="X27" s="124"/>
      <c r="Y27" s="124"/>
      <c r="Z27" s="124"/>
      <c r="AA27" s="124"/>
      <c r="AB27" s="124"/>
      <c r="AC27" s="124"/>
      <c r="AD27" s="124"/>
      <c r="AE27" s="124"/>
    </row>
    <row r="28" spans="1:31" s="105" customFormat="1" x14ac:dyDescent="0.25">
      <c r="A28" s="118" t="s">
        <v>214</v>
      </c>
      <c r="B28" s="95">
        <v>197</v>
      </c>
      <c r="C28" s="96">
        <v>90.869132995605469</v>
      </c>
      <c r="D28" s="97">
        <v>26.156046949928889</v>
      </c>
      <c r="E28" s="98">
        <v>3.2395770865432088</v>
      </c>
      <c r="F28" s="99">
        <v>36.254202499068192</v>
      </c>
      <c r="G28" s="98">
        <v>8.576089694202544</v>
      </c>
      <c r="H28" s="100">
        <v>26.129172714995661</v>
      </c>
      <c r="I28" s="101">
        <v>6.8812484584471845</v>
      </c>
      <c r="J28" s="97">
        <v>31.919678132429169</v>
      </c>
      <c r="K28" s="98">
        <v>7.7581861049443273</v>
      </c>
      <c r="L28" s="100">
        <v>9.9650934933555657</v>
      </c>
      <c r="M28" s="101">
        <v>7.2265880631583466</v>
      </c>
      <c r="N28" s="97">
        <v>-26.289109005712621</v>
      </c>
      <c r="O28" s="102">
        <v>11.346836719647984</v>
      </c>
      <c r="P28" s="99">
        <v>27.45618942060814</v>
      </c>
      <c r="Q28" s="98">
        <v>3.3801853325242281</v>
      </c>
      <c r="R28" s="100" t="s">
        <v>34</v>
      </c>
      <c r="S28" s="101" t="s">
        <v>34</v>
      </c>
      <c r="T28" s="97">
        <v>0</v>
      </c>
      <c r="U28" s="101" t="s">
        <v>35</v>
      </c>
      <c r="V28" s="97">
        <v>-27.45618942060814</v>
      </c>
      <c r="W28" s="104">
        <v>3.3801853325242281</v>
      </c>
      <c r="X28" s="124"/>
      <c r="Y28" s="124"/>
      <c r="Z28" s="124"/>
      <c r="AA28" s="124"/>
      <c r="AB28" s="124"/>
      <c r="AC28" s="124"/>
      <c r="AD28" s="124"/>
      <c r="AE28" s="124"/>
    </row>
    <row r="29" spans="1:31" s="105" customFormat="1" x14ac:dyDescent="0.25">
      <c r="A29" s="118" t="s">
        <v>215</v>
      </c>
      <c r="B29" s="95">
        <v>161</v>
      </c>
      <c r="C29" s="96">
        <v>89.597335815429688</v>
      </c>
      <c r="D29" s="97">
        <v>33.180177810467633</v>
      </c>
      <c r="E29" s="98">
        <v>3.6928058554273155</v>
      </c>
      <c r="F29" s="99">
        <v>44.336815089019723</v>
      </c>
      <c r="G29" s="98">
        <v>10.418312985673923</v>
      </c>
      <c r="H29" s="100">
        <v>44.996922038816507</v>
      </c>
      <c r="I29" s="101">
        <v>9.561788091378105</v>
      </c>
      <c r="J29" s="97">
        <v>29.793085070313229</v>
      </c>
      <c r="K29" s="98">
        <v>7.2795076987596552</v>
      </c>
      <c r="L29" s="100">
        <v>13.48526311963229</v>
      </c>
      <c r="M29" s="101">
        <v>5.4304170852121372</v>
      </c>
      <c r="N29" s="97">
        <v>-30.85155196938743</v>
      </c>
      <c r="O29" s="102">
        <v>11.649802419752358</v>
      </c>
      <c r="P29" s="99">
        <v>37.051818957146807</v>
      </c>
      <c r="Q29" s="98">
        <v>4.298022189443345</v>
      </c>
      <c r="R29" s="100">
        <v>15.80382221821338</v>
      </c>
      <c r="S29" s="101">
        <v>6.0277555565693319</v>
      </c>
      <c r="T29" s="97" t="s">
        <v>34</v>
      </c>
      <c r="U29" s="101" t="s">
        <v>34</v>
      </c>
      <c r="V29" s="97">
        <v>-21.247996738933427</v>
      </c>
      <c r="W29" s="104">
        <v>6.9584333436407722</v>
      </c>
      <c r="X29" s="124"/>
      <c r="Y29" s="124"/>
      <c r="Z29" s="124"/>
      <c r="AA29" s="124"/>
      <c r="AB29" s="124"/>
      <c r="AC29" s="124"/>
      <c r="AD29" s="124"/>
      <c r="AE29" s="124"/>
    </row>
    <row r="30" spans="1:31" s="105" customFormat="1" x14ac:dyDescent="0.25">
      <c r="A30" s="118" t="s">
        <v>216</v>
      </c>
      <c r="B30" s="95">
        <v>129</v>
      </c>
      <c r="C30" s="96">
        <v>98.818824768066406</v>
      </c>
      <c r="D30" s="97">
        <v>9.9244951221530791</v>
      </c>
      <c r="E30" s="98">
        <v>0.18239217979567213</v>
      </c>
      <c r="F30" s="99">
        <v>16.539099257932861</v>
      </c>
      <c r="G30" s="98">
        <v>0.54915563051378635</v>
      </c>
      <c r="H30" s="100">
        <v>10.1611006513424</v>
      </c>
      <c r="I30" s="101">
        <v>0.313180408203098</v>
      </c>
      <c r="J30" s="97">
        <v>11.377735469226259</v>
      </c>
      <c r="K30" s="98">
        <v>0.29088756022275208</v>
      </c>
      <c r="L30" s="100">
        <v>1.2107216089148809</v>
      </c>
      <c r="M30" s="101">
        <v>0.23220607843341701</v>
      </c>
      <c r="N30" s="97">
        <v>-15.32837764901798</v>
      </c>
      <c r="O30" s="102">
        <v>0.61978833279488599</v>
      </c>
      <c r="P30" s="99">
        <v>10.14202156621541</v>
      </c>
      <c r="Q30" s="98">
        <v>0.18661389029656164</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44.765538511010348</v>
      </c>
      <c r="E31" s="98">
        <v>3.9891161290179018</v>
      </c>
      <c r="F31" s="99">
        <v>57.238034569970303</v>
      </c>
      <c r="G31" s="98">
        <v>9.1983951209998249</v>
      </c>
      <c r="H31" s="100">
        <v>38.042453724408247</v>
      </c>
      <c r="I31" s="101">
        <v>8.5190655170499792</v>
      </c>
      <c r="J31" s="97">
        <v>47.55468080687676</v>
      </c>
      <c r="K31" s="98">
        <v>8.7582350663157928</v>
      </c>
      <c r="L31" s="100">
        <v>36.624844135430799</v>
      </c>
      <c r="M31" s="101">
        <v>7.7977659357612552</v>
      </c>
      <c r="N31" s="97">
        <v>-20.613190434539501</v>
      </c>
      <c r="O31" s="102">
        <v>11.986501380614085</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163</v>
      </c>
      <c r="C32" s="96">
        <v>94.956565856933594</v>
      </c>
      <c r="D32" s="97">
        <v>38.008014867664812</v>
      </c>
      <c r="E32" s="98">
        <v>3.5588793050371144</v>
      </c>
      <c r="F32" s="99">
        <v>40.783735251664829</v>
      </c>
      <c r="G32" s="98">
        <v>8.543083233028284</v>
      </c>
      <c r="H32" s="100">
        <v>42.960055377459092</v>
      </c>
      <c r="I32" s="101">
        <v>8.7631687141710035</v>
      </c>
      <c r="J32" s="97">
        <v>47.326698506857753</v>
      </c>
      <c r="K32" s="98">
        <v>8.5297634008304151</v>
      </c>
      <c r="L32" s="100">
        <v>20.466158064726809</v>
      </c>
      <c r="M32" s="101">
        <v>6.9126538479519137</v>
      </c>
      <c r="N32" s="97">
        <v>-20.317577186938021</v>
      </c>
      <c r="O32" s="102">
        <v>10.743068831533106</v>
      </c>
      <c r="P32" s="99">
        <v>38.008014867664812</v>
      </c>
      <c r="Q32" s="98">
        <v>3.5588793050371144</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492</v>
      </c>
      <c r="C33" s="96">
        <v>95.018714904785156</v>
      </c>
      <c r="D33" s="97">
        <v>22.344027410942971</v>
      </c>
      <c r="E33" s="98">
        <v>2.8128286392805388</v>
      </c>
      <c r="F33" s="99">
        <v>26.760635048222628</v>
      </c>
      <c r="G33" s="98">
        <v>6.494989147150533</v>
      </c>
      <c r="H33" s="100">
        <v>31.332329925346642</v>
      </c>
      <c r="I33" s="101">
        <v>7.4096462274263342</v>
      </c>
      <c r="J33" s="97">
        <v>12.9147967829033</v>
      </c>
      <c r="K33" s="98">
        <v>4.931959144736374</v>
      </c>
      <c r="L33" s="100">
        <v>18.454104685560701</v>
      </c>
      <c r="M33" s="101">
        <v>4.8787575239974155</v>
      </c>
      <c r="N33" s="97">
        <v>-8.3065303626619311</v>
      </c>
      <c r="O33" s="102">
        <v>8.5242663127291092</v>
      </c>
      <c r="P33" s="99">
        <v>22.28614220119313</v>
      </c>
      <c r="Q33" s="98">
        <v>2.8239447035106329</v>
      </c>
      <c r="R33" s="100">
        <v>2.3086732131064132</v>
      </c>
      <c r="S33" s="101">
        <v>1.6327084878795299</v>
      </c>
      <c r="T33" s="97">
        <v>23.797182996094861</v>
      </c>
      <c r="U33" s="101">
        <v>21.811564859805934</v>
      </c>
      <c r="V33" s="97">
        <v>-7.3240935548210793</v>
      </c>
      <c r="W33" s="104">
        <v>12.812349398779297</v>
      </c>
      <c r="X33" s="124"/>
      <c r="Y33" s="124"/>
      <c r="Z33" s="124"/>
      <c r="AA33" s="124"/>
      <c r="AB33" s="124"/>
      <c r="AC33" s="124"/>
      <c r="AD33" s="124"/>
      <c r="AE33" s="124"/>
    </row>
    <row r="34" spans="1:31" s="105" customFormat="1" x14ac:dyDescent="0.25">
      <c r="A34" s="118" t="s">
        <v>220</v>
      </c>
      <c r="B34" s="95">
        <v>183</v>
      </c>
      <c r="C34" s="96">
        <v>100</v>
      </c>
      <c r="D34" s="97">
        <v>52.828093361330083</v>
      </c>
      <c r="E34" s="98">
        <v>3.6651224176352191</v>
      </c>
      <c r="F34" s="99">
        <v>60.915713631179038</v>
      </c>
      <c r="G34" s="98">
        <v>8.1723289547138585</v>
      </c>
      <c r="H34" s="100">
        <v>50.410583948492061</v>
      </c>
      <c r="I34" s="101">
        <v>9.1624889597530412</v>
      </c>
      <c r="J34" s="97">
        <v>60.283608448629842</v>
      </c>
      <c r="K34" s="98">
        <v>9.2250255109437589</v>
      </c>
      <c r="L34" s="100">
        <v>39.890251276357972</v>
      </c>
      <c r="M34" s="101">
        <v>7.2316530489750992</v>
      </c>
      <c r="N34" s="97">
        <v>-21.02546235482107</v>
      </c>
      <c r="O34" s="102">
        <v>11.812279837095684</v>
      </c>
      <c r="P34" s="99">
        <v>52.911614807346368</v>
      </c>
      <c r="Q34" s="98">
        <v>4.3611364569024529</v>
      </c>
      <c r="R34" s="100">
        <v>56.562742437065992</v>
      </c>
      <c r="S34" s="101">
        <v>18.637923805446302</v>
      </c>
      <c r="T34" s="97">
        <v>52.193926686718257</v>
      </c>
      <c r="U34" s="101">
        <v>7.6973684271858609</v>
      </c>
      <c r="V34" s="97">
        <v>-0.24777983277226667</v>
      </c>
      <c r="W34" s="104">
        <v>8.5169913829805441</v>
      </c>
      <c r="X34" s="124"/>
      <c r="Y34" s="124"/>
      <c r="Z34" s="124"/>
      <c r="AA34" s="124"/>
      <c r="AB34" s="124"/>
      <c r="AC34" s="124"/>
      <c r="AD34" s="124"/>
      <c r="AE34" s="124"/>
    </row>
    <row r="35" spans="1:31" s="105" customFormat="1" x14ac:dyDescent="0.25">
      <c r="A35" s="118" t="s">
        <v>221</v>
      </c>
      <c r="B35" s="95">
        <v>153</v>
      </c>
      <c r="C35" s="96">
        <v>83.323898315429688</v>
      </c>
      <c r="D35" s="97">
        <v>30.721238171328501</v>
      </c>
      <c r="E35" s="98">
        <v>3.7313344965292865</v>
      </c>
      <c r="F35" s="99">
        <v>33.110231241394651</v>
      </c>
      <c r="G35" s="98">
        <v>9.175704785949705</v>
      </c>
      <c r="H35" s="100">
        <v>28.663315034644619</v>
      </c>
      <c r="I35" s="101">
        <v>7.1955756676868416</v>
      </c>
      <c r="J35" s="97">
        <v>29.209430854141122</v>
      </c>
      <c r="K35" s="98">
        <v>9.0930704985720698</v>
      </c>
      <c r="L35" s="100">
        <v>31.949149481376729</v>
      </c>
      <c r="M35" s="101">
        <v>8.2632613173435203</v>
      </c>
      <c r="N35" s="97">
        <v>-1.161081760017918</v>
      </c>
      <c r="O35" s="102">
        <v>12.245534770156146</v>
      </c>
      <c r="P35" s="99">
        <v>30.360866640431901</v>
      </c>
      <c r="Q35" s="98">
        <v>5.0660768658280357</v>
      </c>
      <c r="R35" s="100">
        <v>32.743621412029341</v>
      </c>
      <c r="S35" s="101">
        <v>6.7776799342110952</v>
      </c>
      <c r="T35" s="97">
        <v>22.228194315812559</v>
      </c>
      <c r="U35" s="101">
        <v>13.811147528781532</v>
      </c>
      <c r="V35" s="97">
        <v>0.84556613495682953</v>
      </c>
      <c r="W35" s="104">
        <v>8.3703281424275939</v>
      </c>
      <c r="X35" s="124"/>
      <c r="Y35" s="124"/>
      <c r="Z35" s="124"/>
      <c r="AA35" s="124"/>
      <c r="AB35" s="124"/>
      <c r="AC35" s="124"/>
      <c r="AD35" s="124"/>
      <c r="AE35" s="124"/>
    </row>
    <row r="36" spans="1:31" s="105" customFormat="1" x14ac:dyDescent="0.25">
      <c r="A36" s="118" t="s">
        <v>222</v>
      </c>
      <c r="B36" s="95">
        <v>289</v>
      </c>
      <c r="C36" s="96">
        <v>93.844192504882813</v>
      </c>
      <c r="D36" s="97">
        <v>28.11156575146056</v>
      </c>
      <c r="E36" s="98">
        <v>1.6050453472513964</v>
      </c>
      <c r="F36" s="99">
        <v>18.90244669763872</v>
      </c>
      <c r="G36" s="98">
        <v>3.5280434003123085</v>
      </c>
      <c r="H36" s="100">
        <v>22.214765124270819</v>
      </c>
      <c r="I36" s="101">
        <v>4.4265102543209318</v>
      </c>
      <c r="J36" s="97">
        <v>35.28452155776337</v>
      </c>
      <c r="K36" s="98">
        <v>4.170075094778749</v>
      </c>
      <c r="L36" s="100">
        <v>35.857351904084773</v>
      </c>
      <c r="M36" s="101">
        <v>3.5142322343786283</v>
      </c>
      <c r="N36" s="97">
        <v>16.95490520644605</v>
      </c>
      <c r="O36" s="102">
        <v>5.0577639588552588</v>
      </c>
      <c r="P36" s="99">
        <v>28.318127225578099</v>
      </c>
      <c r="Q36" s="98">
        <v>1.5975573167320725</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7.2187483470024922</v>
      </c>
      <c r="E37" s="98">
        <v>0.53073689302859928</v>
      </c>
      <c r="F37" s="99">
        <v>4.5127493389031637</v>
      </c>
      <c r="G37" s="98">
        <v>2.3058984535621558</v>
      </c>
      <c r="H37" s="100">
        <v>7.9281123069331034</v>
      </c>
      <c r="I37" s="101">
        <v>4.4784221870689542</v>
      </c>
      <c r="J37" s="97">
        <v>4.6702993347608652</v>
      </c>
      <c r="K37" s="98">
        <v>3.4813105509629865</v>
      </c>
      <c r="L37" s="100">
        <v>11.751424136296389</v>
      </c>
      <c r="M37" s="101">
        <v>0.96643294141753677</v>
      </c>
      <c r="N37" s="97">
        <v>7.2386747973932257</v>
      </c>
      <c r="O37" s="102">
        <v>2.6877923751727573</v>
      </c>
      <c r="P37" s="99">
        <v>7.5328103919218501</v>
      </c>
      <c r="Q37" s="98">
        <v>0.55498481213823125</v>
      </c>
      <c r="R37" s="100">
        <v>0</v>
      </c>
      <c r="S37" s="101" t="s">
        <v>35</v>
      </c>
      <c r="T37" s="97" t="s">
        <v>34</v>
      </c>
      <c r="U37" s="101" t="s">
        <v>34</v>
      </c>
      <c r="V37" s="97">
        <v>-7.5328103919218501</v>
      </c>
      <c r="W37" s="104">
        <v>0.55498481213823125</v>
      </c>
      <c r="X37" s="124"/>
      <c r="Y37" s="124"/>
      <c r="Z37" s="124"/>
      <c r="AA37" s="124"/>
      <c r="AB37" s="124"/>
      <c r="AC37" s="124"/>
      <c r="AD37" s="124"/>
      <c r="AE37" s="124"/>
    </row>
    <row r="38" spans="1:31" s="105" customFormat="1" x14ac:dyDescent="0.25">
      <c r="A38" s="118" t="s">
        <v>224</v>
      </c>
      <c r="B38" s="95">
        <v>43</v>
      </c>
      <c r="C38" s="96">
        <v>96.65936279296875</v>
      </c>
      <c r="D38" s="97">
        <v>75.339024492084093</v>
      </c>
      <c r="E38" s="98">
        <v>9.227140130241003E-2</v>
      </c>
      <c r="F38" s="99">
        <v>83.841151459936299</v>
      </c>
      <c r="G38" s="98">
        <v>0.19225721899960585</v>
      </c>
      <c r="H38" s="100">
        <v>82.412388341897937</v>
      </c>
      <c r="I38" s="101">
        <v>0.20038029873040536</v>
      </c>
      <c r="J38" s="97">
        <v>83.07837766796429</v>
      </c>
      <c r="K38" s="98">
        <v>0.14545810440618287</v>
      </c>
      <c r="L38" s="100">
        <v>49.752911860366567</v>
      </c>
      <c r="M38" s="101">
        <v>0.18220661601859375</v>
      </c>
      <c r="N38" s="97">
        <v>-34.088239599569732</v>
      </c>
      <c r="O38" s="102">
        <v>0.26985527664145115</v>
      </c>
      <c r="P38" s="99">
        <v>84.075257530544988</v>
      </c>
      <c r="Q38" s="98">
        <v>0.10080843701025927</v>
      </c>
      <c r="R38" s="100">
        <v>57.132186444545098</v>
      </c>
      <c r="S38" s="101">
        <v>0.39631681119171747</v>
      </c>
      <c r="T38" s="97" t="s">
        <v>34</v>
      </c>
      <c r="U38" s="101" t="s">
        <v>34</v>
      </c>
      <c r="V38" s="97">
        <v>-26.94307108599989</v>
      </c>
      <c r="W38" s="104">
        <v>0.415389795516871</v>
      </c>
      <c r="X38" s="124"/>
      <c r="Y38" s="124"/>
      <c r="Z38" s="124"/>
      <c r="AA38" s="124"/>
      <c r="AB38" s="124"/>
      <c r="AC38" s="124"/>
      <c r="AD38" s="124"/>
      <c r="AE38" s="124"/>
    </row>
    <row r="39" spans="1:31" s="105" customFormat="1" x14ac:dyDescent="0.25">
      <c r="A39" s="118" t="s">
        <v>225</v>
      </c>
      <c r="B39" s="95">
        <v>205</v>
      </c>
      <c r="C39" s="96">
        <v>77.152496337890625</v>
      </c>
      <c r="D39" s="97">
        <v>22.940784655348729</v>
      </c>
      <c r="E39" s="98">
        <v>2.7718681327535992</v>
      </c>
      <c r="F39" s="99">
        <v>27.355884489459228</v>
      </c>
      <c r="G39" s="98">
        <v>6.6899750792576036</v>
      </c>
      <c r="H39" s="100">
        <v>19.689676729392659</v>
      </c>
      <c r="I39" s="101">
        <v>6.5381703638557891</v>
      </c>
      <c r="J39" s="97">
        <v>27.775436820550201</v>
      </c>
      <c r="K39" s="98">
        <v>7.5245917293407407</v>
      </c>
      <c r="L39" s="100">
        <v>17.017010710144611</v>
      </c>
      <c r="M39" s="101">
        <v>5.4421742676513096</v>
      </c>
      <c r="N39" s="97">
        <v>-10.338873779314619</v>
      </c>
      <c r="O39" s="102">
        <v>8.5994786756002668</v>
      </c>
      <c r="P39" s="99">
        <v>25.913946289298941</v>
      </c>
      <c r="Q39" s="98">
        <v>3.1496627446582157</v>
      </c>
      <c r="R39" s="100" t="s">
        <v>34</v>
      </c>
      <c r="S39" s="101" t="s">
        <v>34</v>
      </c>
      <c r="T39" s="97">
        <v>2.1017316442278489</v>
      </c>
      <c r="U39" s="101">
        <v>2.1815901564999765</v>
      </c>
      <c r="V39" s="97">
        <v>-23.812214645071094</v>
      </c>
      <c r="W39" s="104">
        <v>3.8650441911593987</v>
      </c>
      <c r="X39" s="124"/>
      <c r="Y39" s="124"/>
      <c r="Z39" s="124"/>
      <c r="AA39" s="124"/>
      <c r="AB39" s="124"/>
      <c r="AC39" s="124"/>
      <c r="AD39" s="124"/>
      <c r="AE39" s="124"/>
    </row>
    <row r="40" spans="1:31" s="105" customFormat="1" x14ac:dyDescent="0.25">
      <c r="A40" s="118" t="s">
        <v>300</v>
      </c>
      <c r="B40" s="95">
        <v>145</v>
      </c>
      <c r="C40" s="96">
        <v>93.125473022460938</v>
      </c>
      <c r="D40" s="97">
        <v>35.004786339607293</v>
      </c>
      <c r="E40" s="98">
        <v>4.086517591842596</v>
      </c>
      <c r="F40" s="99">
        <v>41.837349431510319</v>
      </c>
      <c r="G40" s="98">
        <v>9.1294223042411637</v>
      </c>
      <c r="H40" s="100">
        <v>46.173327261753968</v>
      </c>
      <c r="I40" s="101">
        <v>8.4412303953182128</v>
      </c>
      <c r="J40" s="97">
        <v>27.4189906169821</v>
      </c>
      <c r="K40" s="98">
        <v>10.219839898521615</v>
      </c>
      <c r="L40" s="100">
        <v>24.753007332447119</v>
      </c>
      <c r="M40" s="101">
        <v>7.8887970679353403</v>
      </c>
      <c r="N40" s="97">
        <v>-17.0843420990632</v>
      </c>
      <c r="O40" s="102">
        <v>12.005933575754717</v>
      </c>
      <c r="P40" s="99">
        <v>34.711084518621377</v>
      </c>
      <c r="Q40" s="98">
        <v>7.1551298649264874</v>
      </c>
      <c r="R40" s="100">
        <v>35.38034390459169</v>
      </c>
      <c r="S40" s="101">
        <v>5.4573637155704233</v>
      </c>
      <c r="T40" s="97" t="s">
        <v>34</v>
      </c>
      <c r="U40" s="101" t="s">
        <v>34</v>
      </c>
      <c r="V40" s="97">
        <v>0.66925938597031376</v>
      </c>
      <c r="W40" s="104">
        <v>9.4636714008006599</v>
      </c>
      <c r="X40" s="124"/>
      <c r="Y40" s="124"/>
      <c r="Z40" s="124"/>
      <c r="AA40" s="124"/>
      <c r="AB40" s="124"/>
      <c r="AC40" s="124"/>
      <c r="AD40" s="124"/>
      <c r="AE40" s="124"/>
    </row>
    <row r="41" spans="1:31" s="105" customFormat="1" x14ac:dyDescent="0.25">
      <c r="A41" s="118" t="s">
        <v>226</v>
      </c>
      <c r="B41" s="95">
        <v>184</v>
      </c>
      <c r="C41" s="96">
        <v>96.0885009765625</v>
      </c>
      <c r="D41" s="97">
        <v>36.903926794437623</v>
      </c>
      <c r="E41" s="98">
        <v>3.1024180517724793</v>
      </c>
      <c r="F41" s="99">
        <v>49.946429673180283</v>
      </c>
      <c r="G41" s="98">
        <v>6.8967951354179924</v>
      </c>
      <c r="H41" s="100">
        <v>37.211263214198318</v>
      </c>
      <c r="I41" s="101">
        <v>6.7433608692304849</v>
      </c>
      <c r="J41" s="97">
        <v>31.632056075261179</v>
      </c>
      <c r="K41" s="98">
        <v>6.833383327551501</v>
      </c>
      <c r="L41" s="100">
        <v>28.675278978998762</v>
      </c>
      <c r="M41" s="101">
        <v>5.7996541756420381</v>
      </c>
      <c r="N41" s="97">
        <v>-21.271150694181522</v>
      </c>
      <c r="O41" s="102">
        <v>8.7281053428339277</v>
      </c>
      <c r="P41" s="99">
        <v>39.274000140067741</v>
      </c>
      <c r="Q41" s="98">
        <v>3.2915088838556805</v>
      </c>
      <c r="R41" s="100" t="s">
        <v>34</v>
      </c>
      <c r="S41" s="101" t="s">
        <v>34</v>
      </c>
      <c r="T41" s="97">
        <v>0</v>
      </c>
      <c r="U41" s="101" t="s">
        <v>35</v>
      </c>
      <c r="V41" s="97">
        <v>-39.274000140067741</v>
      </c>
      <c r="W41" s="104">
        <v>3.2915088838556805</v>
      </c>
      <c r="X41" s="124"/>
      <c r="Y41" s="124"/>
      <c r="Z41" s="124"/>
      <c r="AA41" s="124"/>
      <c r="AB41" s="124"/>
      <c r="AC41" s="124"/>
      <c r="AD41" s="124"/>
      <c r="AE41" s="124"/>
    </row>
    <row r="42" spans="1:31" s="105" customFormat="1" x14ac:dyDescent="0.25">
      <c r="A42" s="118" t="s">
        <v>227</v>
      </c>
      <c r="B42" s="95">
        <v>242</v>
      </c>
      <c r="C42" s="96">
        <v>97.24652099609375</v>
      </c>
      <c r="D42" s="97">
        <v>11.318379361454619</v>
      </c>
      <c r="E42" s="98">
        <v>1.7264627877257921</v>
      </c>
      <c r="F42" s="99">
        <v>16.68909120683529</v>
      </c>
      <c r="G42" s="98">
        <v>4.8835079339035756</v>
      </c>
      <c r="H42" s="100">
        <v>6.5078164096037758</v>
      </c>
      <c r="I42" s="101">
        <v>4.9416227135656889</v>
      </c>
      <c r="J42" s="97">
        <v>18.92972864279507</v>
      </c>
      <c r="K42" s="98">
        <v>6.4416816457409585</v>
      </c>
      <c r="L42" s="100">
        <v>3.354849386663572</v>
      </c>
      <c r="M42" s="101">
        <v>3.5289859327296456</v>
      </c>
      <c r="N42" s="97">
        <v>-13.334241820171719</v>
      </c>
      <c r="O42" s="102">
        <v>6.2951938544372297</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2.413825352345623</v>
      </c>
      <c r="E43" s="98">
        <v>1.0701317580317191</v>
      </c>
      <c r="F43" s="99">
        <v>3.3234807830308131</v>
      </c>
      <c r="G43" s="98">
        <v>2.5109084410292075</v>
      </c>
      <c r="H43" s="100">
        <v>4.6639169578490893</v>
      </c>
      <c r="I43" s="101">
        <v>3.2156314556375287</v>
      </c>
      <c r="J43" s="97">
        <v>0</v>
      </c>
      <c r="K43" s="98">
        <v>1.2872366053033253</v>
      </c>
      <c r="L43" s="100">
        <v>1.7541212019632</v>
      </c>
      <c r="M43" s="101">
        <v>1.6962036253018558</v>
      </c>
      <c r="N43" s="97">
        <v>-1.569359581067612</v>
      </c>
      <c r="O43" s="102">
        <v>3.0549712777588258</v>
      </c>
      <c r="P43" s="99">
        <v>2.528944566050821</v>
      </c>
      <c r="Q43" s="98">
        <v>1.1220081645456201</v>
      </c>
      <c r="R43" s="100">
        <v>0</v>
      </c>
      <c r="S43" s="101" t="s">
        <v>35</v>
      </c>
      <c r="T43" s="97" t="s">
        <v>34</v>
      </c>
      <c r="U43" s="101" t="s">
        <v>34</v>
      </c>
      <c r="V43" s="97">
        <v>-2.528944566050821</v>
      </c>
      <c r="W43" s="104">
        <v>1.1220081645456201</v>
      </c>
      <c r="X43" s="124"/>
      <c r="Y43" s="124"/>
      <c r="Z43" s="124"/>
      <c r="AA43" s="124"/>
      <c r="AB43" s="124"/>
      <c r="AC43" s="124"/>
      <c r="AD43" s="124"/>
      <c r="AE43" s="124"/>
    </row>
    <row r="44" spans="1:31" s="105" customFormat="1" x14ac:dyDescent="0.25">
      <c r="A44" s="118" t="s">
        <v>301</v>
      </c>
      <c r="B44" s="95">
        <v>232</v>
      </c>
      <c r="C44" s="96">
        <v>87.693832397460938</v>
      </c>
      <c r="D44" s="97">
        <v>30.760770944213839</v>
      </c>
      <c r="E44" s="98">
        <v>3.1986818973291884</v>
      </c>
      <c r="F44" s="99">
        <v>18.386798018727799</v>
      </c>
      <c r="G44" s="98">
        <v>5.9102802230568674</v>
      </c>
      <c r="H44" s="100">
        <v>46.674021383684327</v>
      </c>
      <c r="I44" s="101">
        <v>7.5546480444962043</v>
      </c>
      <c r="J44" s="97">
        <v>29.12224125113751</v>
      </c>
      <c r="K44" s="98">
        <v>8.7756528291510083</v>
      </c>
      <c r="L44" s="100">
        <v>29.0536498922494</v>
      </c>
      <c r="M44" s="101">
        <v>7.8799784574526006</v>
      </c>
      <c r="N44" s="97">
        <v>10.66685187352159</v>
      </c>
      <c r="O44" s="102">
        <v>9.3827168637554177</v>
      </c>
      <c r="P44" s="99">
        <v>34.06807573342207</v>
      </c>
      <c r="Q44" s="98">
        <v>3.6329583383971333</v>
      </c>
      <c r="R44" s="100">
        <v>10.529104428827999</v>
      </c>
      <c r="S44" s="101">
        <v>6.8391320194571863</v>
      </c>
      <c r="T44" s="97">
        <v>15.59060043841046</v>
      </c>
      <c r="U44" s="101">
        <v>12.657156205996547</v>
      </c>
      <c r="V44" s="97">
        <v>-20.95592381590459</v>
      </c>
      <c r="W44" s="104">
        <v>8.3787100646899209</v>
      </c>
      <c r="X44" s="124"/>
      <c r="Y44" s="124"/>
      <c r="Z44" s="124"/>
      <c r="AA44" s="124"/>
      <c r="AB44" s="124"/>
      <c r="AC44" s="124"/>
      <c r="AD44" s="124"/>
      <c r="AE44" s="124"/>
    </row>
    <row r="45" spans="1:31" s="105" customFormat="1" x14ac:dyDescent="0.25">
      <c r="A45" s="118" t="s">
        <v>229</v>
      </c>
      <c r="B45" s="95">
        <v>352</v>
      </c>
      <c r="C45" s="96">
        <v>94.08685302734375</v>
      </c>
      <c r="D45" s="97">
        <v>11.39182400474564</v>
      </c>
      <c r="E45" s="98">
        <v>1.9419897586373982</v>
      </c>
      <c r="F45" s="99">
        <v>7.3565000755654557</v>
      </c>
      <c r="G45" s="98">
        <v>3.0231070295114737</v>
      </c>
      <c r="H45" s="100">
        <v>8.826272161137334</v>
      </c>
      <c r="I45" s="101">
        <v>4.1124566135464802</v>
      </c>
      <c r="J45" s="97">
        <v>14.750144947864721</v>
      </c>
      <c r="K45" s="98">
        <v>5.1420447653197829</v>
      </c>
      <c r="L45" s="100">
        <v>14.755247215538949</v>
      </c>
      <c r="M45" s="101">
        <v>4.4794334733473651</v>
      </c>
      <c r="N45" s="97">
        <v>7.398747139973497</v>
      </c>
      <c r="O45" s="102">
        <v>5.4086865583104791</v>
      </c>
      <c r="P45" s="99">
        <v>11.353046484025329</v>
      </c>
      <c r="Q45" s="98">
        <v>2.0057692927234037</v>
      </c>
      <c r="R45" s="100">
        <v>12.603731361266901</v>
      </c>
      <c r="S45" s="101">
        <v>5.0899766782647875</v>
      </c>
      <c r="T45" s="97" t="s">
        <v>34</v>
      </c>
      <c r="U45" s="101" t="s">
        <v>34</v>
      </c>
      <c r="V45" s="97">
        <v>1.2506848772415715</v>
      </c>
      <c r="W45" s="104">
        <v>5.2106983931753348</v>
      </c>
      <c r="X45" s="124"/>
      <c r="Y45" s="124"/>
      <c r="Z45" s="124"/>
      <c r="AA45" s="124"/>
      <c r="AB45" s="124"/>
      <c r="AC45" s="124"/>
      <c r="AD45" s="124"/>
      <c r="AE45" s="124"/>
    </row>
    <row r="46" spans="1:31" s="105" customFormat="1" x14ac:dyDescent="0.25">
      <c r="A46" s="118" t="s">
        <v>230</v>
      </c>
      <c r="B46" s="95">
        <v>276</v>
      </c>
      <c r="C46" s="96">
        <v>87.400062561035156</v>
      </c>
      <c r="D46" s="97">
        <v>23.32952949409956</v>
      </c>
      <c r="E46" s="98">
        <v>0.1046999521193656</v>
      </c>
      <c r="F46" s="99">
        <v>32.368395340419902</v>
      </c>
      <c r="G46" s="98">
        <v>0.39431079955634829</v>
      </c>
      <c r="H46" s="100">
        <v>23.873769293358009</v>
      </c>
      <c r="I46" s="101">
        <v>0.45293361416106043</v>
      </c>
      <c r="J46" s="97">
        <v>30.187047508586879</v>
      </c>
      <c r="K46" s="98">
        <v>0.2935873899920472</v>
      </c>
      <c r="L46" s="100">
        <v>7.1145971006433317</v>
      </c>
      <c r="M46" s="101">
        <v>0.25740185940493332</v>
      </c>
      <c r="N46" s="97">
        <v>-25.253798239776572</v>
      </c>
      <c r="O46" s="102">
        <v>0.47363967789318634</v>
      </c>
      <c r="P46" s="99">
        <v>23.893824411540439</v>
      </c>
      <c r="Q46" s="98">
        <v>0.10534524967621167</v>
      </c>
      <c r="R46" s="100">
        <v>3.877258874890392</v>
      </c>
      <c r="S46" s="101">
        <v>0.57472039737980574</v>
      </c>
      <c r="T46" s="97" t="s">
        <v>34</v>
      </c>
      <c r="U46" s="101" t="s">
        <v>34</v>
      </c>
      <c r="V46" s="97">
        <v>-20.016565536650049</v>
      </c>
      <c r="W46" s="104">
        <v>0.58288524077116</v>
      </c>
      <c r="X46" s="124"/>
      <c r="Y46" s="124"/>
      <c r="Z46" s="124"/>
      <c r="AA46" s="124"/>
      <c r="AB46" s="124"/>
      <c r="AC46" s="124"/>
      <c r="AD46" s="124"/>
      <c r="AE46" s="124"/>
    </row>
    <row r="47" spans="1:31" s="105" customFormat="1" x14ac:dyDescent="0.25">
      <c r="A47" s="118" t="s">
        <v>231</v>
      </c>
      <c r="B47" s="95">
        <v>1045</v>
      </c>
      <c r="C47" s="96">
        <v>96.219818115234375</v>
      </c>
      <c r="D47" s="97">
        <v>42.694362702062769</v>
      </c>
      <c r="E47" s="98">
        <v>2.3636192346697524</v>
      </c>
      <c r="F47" s="99">
        <v>49.375619255248473</v>
      </c>
      <c r="G47" s="98">
        <v>5.4662371316029628</v>
      </c>
      <c r="H47" s="100">
        <v>50.799625549131903</v>
      </c>
      <c r="I47" s="101">
        <v>5.0482324782141301</v>
      </c>
      <c r="J47" s="97">
        <v>39.798165525673632</v>
      </c>
      <c r="K47" s="98">
        <v>4.4042048881558031</v>
      </c>
      <c r="L47" s="100">
        <v>30.876991550998181</v>
      </c>
      <c r="M47" s="101">
        <v>4.0388321754746155</v>
      </c>
      <c r="N47" s="97">
        <v>-18.498627704250289</v>
      </c>
      <c r="O47" s="102">
        <v>6.6806440925140844</v>
      </c>
      <c r="P47" s="99">
        <v>48.817418965145002</v>
      </c>
      <c r="Q47" s="98">
        <v>3.0649537364372659</v>
      </c>
      <c r="R47" s="100">
        <v>33.629784113199477</v>
      </c>
      <c r="S47" s="101">
        <v>4.4179284660842857</v>
      </c>
      <c r="T47" s="97">
        <v>11.3749672857123</v>
      </c>
      <c r="U47" s="101">
        <v>4.34035179721345</v>
      </c>
      <c r="V47" s="97">
        <v>-19.514693020931283</v>
      </c>
      <c r="W47" s="104">
        <v>4.72253895464788</v>
      </c>
      <c r="X47" s="124"/>
      <c r="Y47" s="124"/>
      <c r="Z47" s="124"/>
      <c r="AA47" s="124"/>
      <c r="AB47" s="124"/>
      <c r="AC47" s="124"/>
      <c r="AD47" s="124"/>
      <c r="AE47" s="124"/>
    </row>
    <row r="48" spans="1:31" s="105" customFormat="1" x14ac:dyDescent="0.25">
      <c r="A48" s="118" t="s">
        <v>232</v>
      </c>
      <c r="B48" s="95">
        <v>202</v>
      </c>
      <c r="C48" s="96">
        <v>96.362442016601563</v>
      </c>
      <c r="D48" s="97">
        <v>30.29441954345722</v>
      </c>
      <c r="E48" s="98">
        <v>3.2315841047502536</v>
      </c>
      <c r="F48" s="99">
        <v>39.651549773385561</v>
      </c>
      <c r="G48" s="98">
        <v>7.8197589280498319</v>
      </c>
      <c r="H48" s="100">
        <v>36.753598518263843</v>
      </c>
      <c r="I48" s="101">
        <v>8.4197154247417387</v>
      </c>
      <c r="J48" s="97">
        <v>25.86941584296752</v>
      </c>
      <c r="K48" s="98">
        <v>7.771095321898069</v>
      </c>
      <c r="L48" s="100">
        <v>18.89221045410579</v>
      </c>
      <c r="M48" s="101">
        <v>5.3717808246915597</v>
      </c>
      <c r="N48" s="97">
        <v>-20.759339319279771</v>
      </c>
      <c r="O48" s="102">
        <v>9.060755105531241</v>
      </c>
      <c r="P48" s="99">
        <v>31.587030781832549</v>
      </c>
      <c r="Q48" s="98">
        <v>3.6471625269611767</v>
      </c>
      <c r="R48" s="100">
        <v>24.824058632068219</v>
      </c>
      <c r="S48" s="101">
        <v>6.4661875147382935</v>
      </c>
      <c r="T48" s="97" t="s">
        <v>34</v>
      </c>
      <c r="U48" s="101" t="s">
        <v>34</v>
      </c>
      <c r="V48" s="97">
        <v>-6.7629721497643303</v>
      </c>
      <c r="W48" s="104">
        <v>7.2728303518962365</v>
      </c>
      <c r="X48" s="124"/>
      <c r="Y48" s="124"/>
      <c r="Z48" s="124"/>
      <c r="AA48" s="124"/>
      <c r="AB48" s="124"/>
      <c r="AC48" s="124"/>
      <c r="AD48" s="124"/>
      <c r="AE48" s="124"/>
    </row>
    <row r="49" spans="1:31" s="105" customFormat="1" x14ac:dyDescent="0.25">
      <c r="A49" s="118" t="s">
        <v>233</v>
      </c>
      <c r="B49" s="95">
        <v>157</v>
      </c>
      <c r="C49" s="96">
        <v>74.739677429199219</v>
      </c>
      <c r="D49" s="97">
        <v>13.455439618602989</v>
      </c>
      <c r="E49" s="98">
        <v>3.1459830220587373</v>
      </c>
      <c r="F49" s="99">
        <v>20.51011313714805</v>
      </c>
      <c r="G49" s="98">
        <v>8.490142649419349</v>
      </c>
      <c r="H49" s="100">
        <v>22.881227006767809</v>
      </c>
      <c r="I49" s="101">
        <v>9.5916454176145898</v>
      </c>
      <c r="J49" s="97">
        <v>5.802270430744592</v>
      </c>
      <c r="K49" s="98">
        <v>4.9215801900509417</v>
      </c>
      <c r="L49" s="100">
        <v>4.1936559472278656</v>
      </c>
      <c r="M49" s="101">
        <v>3.3251506396980766</v>
      </c>
      <c r="N49" s="97">
        <v>-16.316457189920179</v>
      </c>
      <c r="O49" s="102">
        <v>8.8674434603589845</v>
      </c>
      <c r="P49" s="99">
        <v>13.26452045172126</v>
      </c>
      <c r="Q49" s="98">
        <v>3.2569099165105051</v>
      </c>
      <c r="R49" s="100" t="s">
        <v>34</v>
      </c>
      <c r="S49" s="101" t="s">
        <v>34</v>
      </c>
      <c r="T49" s="97">
        <v>19.13186173769828</v>
      </c>
      <c r="U49" s="101">
        <v>15.213349217724895</v>
      </c>
      <c r="V49" s="97">
        <v>5.8673412859770195</v>
      </c>
      <c r="W49" s="104">
        <v>15.675306723769685</v>
      </c>
      <c r="X49" s="124"/>
      <c r="Y49" s="124"/>
      <c r="Z49" s="124"/>
      <c r="AA49" s="124"/>
      <c r="AB49" s="124"/>
      <c r="AC49" s="124"/>
      <c r="AD49" s="124"/>
      <c r="AE49" s="124"/>
    </row>
    <row r="50" spans="1:31" s="105" customFormat="1" x14ac:dyDescent="0.25">
      <c r="A50" s="118" t="s">
        <v>234</v>
      </c>
      <c r="B50" s="95">
        <v>179</v>
      </c>
      <c r="C50" s="96">
        <v>98.9569091796875</v>
      </c>
      <c r="D50" s="97">
        <v>14.64818630361812</v>
      </c>
      <c r="E50" s="98">
        <v>2.1332104065997948</v>
      </c>
      <c r="F50" s="99">
        <v>26.803445308855778</v>
      </c>
      <c r="G50" s="98">
        <v>5.7223812390070314</v>
      </c>
      <c r="H50" s="100">
        <v>14.84948088085941</v>
      </c>
      <c r="I50" s="101">
        <v>5.6617635732366116</v>
      </c>
      <c r="J50" s="97">
        <v>11.75651687334819</v>
      </c>
      <c r="K50" s="98">
        <v>3.3911326805783335</v>
      </c>
      <c r="L50" s="100">
        <v>4.9654259024195531</v>
      </c>
      <c r="M50" s="101">
        <v>3.4775076192724361</v>
      </c>
      <c r="N50" s="97">
        <v>-21.838019406436221</v>
      </c>
      <c r="O50" s="102">
        <v>6.5513772202615623</v>
      </c>
      <c r="P50" s="99">
        <v>15.403687184674711</v>
      </c>
      <c r="Q50" s="98">
        <v>2.4806131562693921</v>
      </c>
      <c r="R50" s="100" t="s">
        <v>34</v>
      </c>
      <c r="S50" s="101" t="s">
        <v>34</v>
      </c>
      <c r="T50" s="97">
        <v>0</v>
      </c>
      <c r="U50" s="101" t="s">
        <v>35</v>
      </c>
      <c r="V50" s="97">
        <v>-15.403687184674711</v>
      </c>
      <c r="W50" s="104">
        <v>2.4806131562693921</v>
      </c>
      <c r="X50" s="124"/>
      <c r="Y50" s="124"/>
      <c r="Z50" s="124"/>
      <c r="AA50" s="124"/>
      <c r="AB50" s="124"/>
      <c r="AC50" s="124"/>
      <c r="AD50" s="124"/>
      <c r="AE50" s="124"/>
    </row>
    <row r="51" spans="1:31" s="105" customFormat="1" x14ac:dyDescent="0.25">
      <c r="A51" s="118" t="s">
        <v>235</v>
      </c>
      <c r="B51" s="95">
        <v>382</v>
      </c>
      <c r="C51" s="96">
        <v>76.945671081542969</v>
      </c>
      <c r="D51" s="97">
        <v>28.10874479764632</v>
      </c>
      <c r="E51" s="98">
        <v>3.1314526753954786</v>
      </c>
      <c r="F51" s="99">
        <v>30.487430212924661</v>
      </c>
      <c r="G51" s="98">
        <v>7.0087755977372037</v>
      </c>
      <c r="H51" s="100">
        <v>31.90694817496988</v>
      </c>
      <c r="I51" s="101">
        <v>8.3756157549515109</v>
      </c>
      <c r="J51" s="97">
        <v>35.903180557015112</v>
      </c>
      <c r="K51" s="98">
        <v>8.573805836618023</v>
      </c>
      <c r="L51" s="100">
        <v>12.80736512143104</v>
      </c>
      <c r="M51" s="101">
        <v>5.069508516438427</v>
      </c>
      <c r="N51" s="97">
        <v>-17.680065091493621</v>
      </c>
      <c r="O51" s="102">
        <v>8.4954167055376981</v>
      </c>
      <c r="P51" s="99">
        <v>34.387767374436109</v>
      </c>
      <c r="Q51" s="98">
        <v>4.0629403113587053</v>
      </c>
      <c r="R51" s="100">
        <v>26.73362675617248</v>
      </c>
      <c r="S51" s="101">
        <v>4.9778568828525369</v>
      </c>
      <c r="T51" s="97">
        <v>0</v>
      </c>
      <c r="U51" s="101" t="s">
        <v>35</v>
      </c>
      <c r="V51" s="97">
        <v>-11.679201414813068</v>
      </c>
      <c r="W51" s="104">
        <v>5.8802378326005513</v>
      </c>
      <c r="X51" s="124"/>
      <c r="Y51" s="124"/>
      <c r="Z51" s="124"/>
      <c r="AA51" s="124"/>
      <c r="AB51" s="124"/>
      <c r="AC51" s="124"/>
      <c r="AD51" s="124"/>
      <c r="AE51" s="124"/>
    </row>
    <row r="52" spans="1:31" s="105" customFormat="1" x14ac:dyDescent="0.25">
      <c r="A52" s="118" t="s">
        <v>302</v>
      </c>
      <c r="B52" s="95">
        <v>146</v>
      </c>
      <c r="C52" s="96">
        <v>89.849540710449219</v>
      </c>
      <c r="D52" s="97">
        <v>25.84119961170223</v>
      </c>
      <c r="E52" s="98">
        <v>3.5614058147351813</v>
      </c>
      <c r="F52" s="99">
        <v>47.874516219736513</v>
      </c>
      <c r="G52" s="98">
        <v>8.5399814165457464</v>
      </c>
      <c r="H52" s="100">
        <v>32.098256851830513</v>
      </c>
      <c r="I52" s="101">
        <v>8.5945269712958527</v>
      </c>
      <c r="J52" s="97">
        <v>17.718802375557541</v>
      </c>
      <c r="K52" s="98">
        <v>5.8328906866588426</v>
      </c>
      <c r="L52" s="100">
        <v>5.2892065571389288</v>
      </c>
      <c r="M52" s="101">
        <v>3.8372550214715462</v>
      </c>
      <c r="N52" s="97">
        <v>-42.585309662597581</v>
      </c>
      <c r="O52" s="102">
        <v>10.408463537234235</v>
      </c>
      <c r="P52" s="99">
        <v>27.358220157093719</v>
      </c>
      <c r="Q52" s="98">
        <v>3.8730229253862176</v>
      </c>
      <c r="R52" s="100" t="s">
        <v>34</v>
      </c>
      <c r="S52" s="101" t="s">
        <v>34</v>
      </c>
      <c r="T52" s="97">
        <v>0</v>
      </c>
      <c r="U52" s="101" t="s">
        <v>35</v>
      </c>
      <c r="V52" s="97">
        <v>-27.358220157093719</v>
      </c>
      <c r="W52" s="104">
        <v>3.8730229253862176</v>
      </c>
      <c r="X52" s="124"/>
      <c r="Y52" s="124"/>
      <c r="Z52" s="124"/>
      <c r="AA52" s="124"/>
      <c r="AB52" s="124"/>
      <c r="AC52" s="124"/>
      <c r="AD52" s="124"/>
      <c r="AE52" s="124"/>
    </row>
    <row r="53" spans="1:31" s="105" customFormat="1" x14ac:dyDescent="0.25">
      <c r="A53" s="118" t="s">
        <v>236</v>
      </c>
      <c r="B53" s="95" t="s">
        <v>34</v>
      </c>
      <c r="C53" s="96" t="s">
        <v>34</v>
      </c>
      <c r="D53" s="97">
        <v>26.994201108964869</v>
      </c>
      <c r="E53" s="98">
        <v>0.44241825224287201</v>
      </c>
      <c r="F53" s="99">
        <v>33.948284817186483</v>
      </c>
      <c r="G53" s="98">
        <v>1.0722598775253971</v>
      </c>
      <c r="H53" s="100">
        <v>29.57758029855815</v>
      </c>
      <c r="I53" s="101">
        <v>1.0986453135908161</v>
      </c>
      <c r="J53" s="97">
        <v>27.510014149950461</v>
      </c>
      <c r="K53" s="98">
        <v>1.0539514293606189</v>
      </c>
      <c r="L53" s="100">
        <v>18.457688053466679</v>
      </c>
      <c r="M53" s="101">
        <v>0.85965428174075731</v>
      </c>
      <c r="N53" s="97">
        <v>-15.49059676371979</v>
      </c>
      <c r="O53" s="102">
        <v>1.3918077502147621</v>
      </c>
      <c r="P53" s="99">
        <v>28.950303037644581</v>
      </c>
      <c r="Q53" s="98">
        <v>0.58081236484070409</v>
      </c>
      <c r="R53" s="100">
        <v>18.533235830667309</v>
      </c>
      <c r="S53" s="101">
        <v>1.735565729882393</v>
      </c>
      <c r="T53" s="97">
        <v>13.36962890298026</v>
      </c>
      <c r="U53" s="101">
        <v>2.42121653334832</v>
      </c>
      <c r="V53" s="97">
        <v>-13.56041253601456</v>
      </c>
      <c r="W53" s="104">
        <v>1.4633454179699279</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324</v>
      </c>
      <c r="C55" s="96">
        <v>98.823013305664063</v>
      </c>
      <c r="D55" s="97">
        <v>3.89548992714617</v>
      </c>
      <c r="E55" s="98">
        <v>1.237181380608231</v>
      </c>
      <c r="F55" s="99">
        <v>7.5624342689980626</v>
      </c>
      <c r="G55" s="98">
        <v>3.7884685025630289</v>
      </c>
      <c r="H55" s="100">
        <v>4.1653182775673034</v>
      </c>
      <c r="I55" s="101">
        <v>2.7121293956261558</v>
      </c>
      <c r="J55" s="97">
        <v>0</v>
      </c>
      <c r="K55" s="98">
        <v>0.63142607943391049</v>
      </c>
      <c r="L55" s="100">
        <v>3.9391643959752791</v>
      </c>
      <c r="M55" s="101">
        <v>2.3058982741429763</v>
      </c>
      <c r="N55" s="97">
        <v>-3.623269873022783</v>
      </c>
      <c r="O55" s="102">
        <v>4.3150264742216216</v>
      </c>
      <c r="P55" s="99">
        <v>4.1303768563825143</v>
      </c>
      <c r="Q55" s="98">
        <v>1.3152317527232158</v>
      </c>
      <c r="R55" s="100" t="s">
        <v>34</v>
      </c>
      <c r="S55" s="101" t="s">
        <v>34</v>
      </c>
      <c r="T55" s="97">
        <v>2.0402319203357102</v>
      </c>
      <c r="U55" s="101">
        <v>1.2749696088239428</v>
      </c>
      <c r="V55" s="97">
        <v>-2.0901449360468041</v>
      </c>
      <c r="W55" s="104">
        <v>1.3982259997542092</v>
      </c>
      <c r="X55" s="124"/>
      <c r="Y55" s="124"/>
      <c r="Z55" s="124"/>
      <c r="AA55" s="124"/>
      <c r="AB55" s="124"/>
      <c r="AC55" s="124"/>
      <c r="AD55" s="124"/>
      <c r="AE55" s="124"/>
    </row>
    <row r="56" spans="1:31" s="105" customFormat="1" x14ac:dyDescent="0.25">
      <c r="A56" s="118" t="s">
        <v>238</v>
      </c>
      <c r="B56" s="95">
        <v>432</v>
      </c>
      <c r="C56" s="96">
        <v>94.682159423828125</v>
      </c>
      <c r="D56" s="97">
        <v>25.923992341096429</v>
      </c>
      <c r="E56" s="98">
        <v>2.6957144637143537</v>
      </c>
      <c r="F56" s="99">
        <v>25.350851910067579</v>
      </c>
      <c r="G56" s="98">
        <v>5.8678033103727225</v>
      </c>
      <c r="H56" s="100">
        <v>37.059177852308522</v>
      </c>
      <c r="I56" s="101">
        <v>6.9176820823451983</v>
      </c>
      <c r="J56" s="97">
        <v>29.639546446024269</v>
      </c>
      <c r="K56" s="98">
        <v>6.7740552529925075</v>
      </c>
      <c r="L56" s="100">
        <v>11.84675115692489</v>
      </c>
      <c r="M56" s="101">
        <v>4.3873819205294149</v>
      </c>
      <c r="N56" s="97">
        <v>-13.50410075314268</v>
      </c>
      <c r="O56" s="102">
        <v>7.3140034019203695</v>
      </c>
      <c r="P56" s="99">
        <v>33.269224511385062</v>
      </c>
      <c r="Q56" s="98">
        <v>3.5504267430876131</v>
      </c>
      <c r="R56" s="100">
        <v>14.682877013498169</v>
      </c>
      <c r="S56" s="101">
        <v>4.578096527669878</v>
      </c>
      <c r="T56" s="97">
        <v>0.34594538495303673</v>
      </c>
      <c r="U56" s="101">
        <v>0.35578666519315033</v>
      </c>
      <c r="V56" s="97">
        <v>-22.5089253348591</v>
      </c>
      <c r="W56" s="104">
        <v>4.9109439197033096</v>
      </c>
      <c r="X56" s="124"/>
      <c r="Y56" s="124"/>
      <c r="Z56" s="124"/>
      <c r="AA56" s="124"/>
      <c r="AB56" s="124"/>
      <c r="AC56" s="124"/>
      <c r="AD56" s="124"/>
      <c r="AE56" s="124"/>
    </row>
    <row r="57" spans="1:31" s="105" customFormat="1" x14ac:dyDescent="0.25">
      <c r="A57" s="118" t="s">
        <v>239</v>
      </c>
      <c r="B57" s="95">
        <v>127</v>
      </c>
      <c r="C57" s="96">
        <v>62.166397094726563</v>
      </c>
      <c r="D57" s="97">
        <v>42.836678417260593</v>
      </c>
      <c r="E57" s="98">
        <v>4.49536092986631</v>
      </c>
      <c r="F57" s="99">
        <v>37.393686802955088</v>
      </c>
      <c r="G57" s="98">
        <v>8.3187190371301565</v>
      </c>
      <c r="H57" s="100">
        <v>46.945944611649672</v>
      </c>
      <c r="I57" s="101">
        <v>10.017845529724923</v>
      </c>
      <c r="J57" s="97">
        <v>54.623056892592302</v>
      </c>
      <c r="K57" s="98">
        <v>13.120488552978554</v>
      </c>
      <c r="L57" s="100">
        <v>32.688077994172197</v>
      </c>
      <c r="M57" s="101">
        <v>9.4339381266174058</v>
      </c>
      <c r="N57" s="97">
        <v>-4.7056088087828911</v>
      </c>
      <c r="O57" s="102">
        <v>12.374265097645583</v>
      </c>
      <c r="P57" s="99">
        <v>42.991707484214167</v>
      </c>
      <c r="Q57" s="98">
        <v>4.5217766273319473</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9.6013700350706159</v>
      </c>
      <c r="E58" s="98">
        <v>2.2310479259399258</v>
      </c>
      <c r="F58" s="99">
        <v>11.09805305323529</v>
      </c>
      <c r="G58" s="98">
        <v>4.6323415194705984</v>
      </c>
      <c r="H58" s="100">
        <v>6.4161240207238013</v>
      </c>
      <c r="I58" s="101">
        <v>3.52093671869171</v>
      </c>
      <c r="J58" s="97">
        <v>14.023412516236769</v>
      </c>
      <c r="K58" s="98">
        <v>5.7673751985417523</v>
      </c>
      <c r="L58" s="100">
        <v>6.8043218441746047</v>
      </c>
      <c r="M58" s="101">
        <v>3.8447940878933187</v>
      </c>
      <c r="N58" s="97">
        <v>-4.2937312090606854</v>
      </c>
      <c r="O58" s="102">
        <v>6.0228320313957679</v>
      </c>
      <c r="P58" s="99">
        <v>9.6389533170612953</v>
      </c>
      <c r="Q58" s="98">
        <v>2.2392768462501196</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4.7175375306604934</v>
      </c>
      <c r="E59" s="98">
        <v>1.2518305399077203</v>
      </c>
      <c r="F59" s="99">
        <v>8.2933468269160198</v>
      </c>
      <c r="G59" s="98">
        <v>6.2435279460718993</v>
      </c>
      <c r="H59" s="100">
        <v>7.0385509668842046</v>
      </c>
      <c r="I59" s="101">
        <v>5.3772929642661689</v>
      </c>
      <c r="J59" s="97">
        <v>0</v>
      </c>
      <c r="K59" s="98">
        <v>6.5107667016096284</v>
      </c>
      <c r="L59" s="100">
        <v>3.519432435733636</v>
      </c>
      <c r="M59" s="101">
        <v>5.7766827544730655</v>
      </c>
      <c r="N59" s="97">
        <v>-4.7739143911823838</v>
      </c>
      <c r="O59" s="102">
        <v>9.6687974168174087</v>
      </c>
      <c r="P59" s="99">
        <v>4.773245881281345</v>
      </c>
      <c r="Q59" s="98">
        <v>1.2677701711741898</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417</v>
      </c>
      <c r="C60" s="96">
        <v>77.133834838867188</v>
      </c>
      <c r="D60" s="97">
        <v>17.84674202546644</v>
      </c>
      <c r="E60" s="98">
        <v>2.0862143165137077</v>
      </c>
      <c r="F60" s="99">
        <v>17.165701490370608</v>
      </c>
      <c r="G60" s="98">
        <v>4.1805232761171682</v>
      </c>
      <c r="H60" s="100">
        <v>27.101053435302049</v>
      </c>
      <c r="I60" s="101">
        <v>5.4289553754762698</v>
      </c>
      <c r="J60" s="97">
        <v>19.3059178111987</v>
      </c>
      <c r="K60" s="98">
        <v>4.87929249252476</v>
      </c>
      <c r="L60" s="100">
        <v>7.8575336787583607</v>
      </c>
      <c r="M60" s="101">
        <v>3.1424359822086179</v>
      </c>
      <c r="N60" s="97">
        <v>-9.3081678116122468</v>
      </c>
      <c r="O60" s="102">
        <v>5.1707880175042176</v>
      </c>
      <c r="P60" s="99">
        <v>21.511711738163761</v>
      </c>
      <c r="Q60" s="98">
        <v>2.4665767003238357</v>
      </c>
      <c r="R60" s="100" t="s">
        <v>34</v>
      </c>
      <c r="S60" s="101" t="s">
        <v>34</v>
      </c>
      <c r="T60" s="97">
        <v>1.4904359441597379</v>
      </c>
      <c r="U60" s="101">
        <v>1.5761149905554321</v>
      </c>
      <c r="V60" s="97">
        <v>-20.021275794004023</v>
      </c>
      <c r="W60" s="104">
        <v>2.8937406608874192</v>
      </c>
      <c r="X60" s="124"/>
      <c r="Y60" s="124"/>
      <c r="Z60" s="124"/>
      <c r="AA60" s="124"/>
      <c r="AB60" s="124"/>
      <c r="AC60" s="124"/>
      <c r="AD60" s="124"/>
      <c r="AE60" s="124"/>
    </row>
    <row r="61" spans="1:31" s="105" customFormat="1" x14ac:dyDescent="0.25">
      <c r="A61" s="118" t="s">
        <v>243</v>
      </c>
      <c r="B61" s="95">
        <v>55</v>
      </c>
      <c r="C61" s="96">
        <v>100</v>
      </c>
      <c r="D61" s="97">
        <v>14.98730495148326</v>
      </c>
      <c r="E61" s="98">
        <v>6.5189353064302791E-2</v>
      </c>
      <c r="F61" s="99">
        <v>39.360288997349549</v>
      </c>
      <c r="G61" s="98">
        <v>0.19124771410805261</v>
      </c>
      <c r="H61" s="100">
        <v>16.819816293765331</v>
      </c>
      <c r="I61" s="101">
        <v>0.11541151974106313</v>
      </c>
      <c r="J61" s="97">
        <v>0</v>
      </c>
      <c r="K61" s="98" t="s">
        <v>35</v>
      </c>
      <c r="L61" s="100">
        <v>3.6885001829308548</v>
      </c>
      <c r="M61" s="101">
        <v>9.5304132649833319E-3</v>
      </c>
      <c r="N61" s="97">
        <v>-35.671788814418697</v>
      </c>
      <c r="O61" s="102">
        <v>0.19049803667133994</v>
      </c>
      <c r="P61" s="99">
        <v>17.768931849024899</v>
      </c>
      <c r="Q61" s="98">
        <v>7.6712001438476438E-2</v>
      </c>
      <c r="R61" s="100" t="s">
        <v>34</v>
      </c>
      <c r="S61" s="101" t="s">
        <v>34</v>
      </c>
      <c r="T61" s="97">
        <v>0</v>
      </c>
      <c r="U61" s="101" t="s">
        <v>35</v>
      </c>
      <c r="V61" s="97">
        <v>-17.768931849024899</v>
      </c>
      <c r="W61" s="104">
        <v>7.6712001438476438E-2</v>
      </c>
      <c r="X61" s="124"/>
      <c r="Y61" s="124"/>
      <c r="Z61" s="124"/>
      <c r="AA61" s="124"/>
      <c r="AB61" s="124"/>
      <c r="AC61" s="124"/>
      <c r="AD61" s="124"/>
      <c r="AE61" s="124"/>
    </row>
    <row r="62" spans="1:31" s="105" customFormat="1" x14ac:dyDescent="0.25">
      <c r="A62" s="118" t="s">
        <v>244</v>
      </c>
      <c r="B62" s="95">
        <v>361</v>
      </c>
      <c r="C62" s="96">
        <v>100</v>
      </c>
      <c r="D62" s="97">
        <v>41.406713400785847</v>
      </c>
      <c r="E62" s="98">
        <v>3.6977543319517929</v>
      </c>
      <c r="F62" s="99">
        <v>48.287546206470957</v>
      </c>
      <c r="G62" s="98">
        <v>6.4257819227544211</v>
      </c>
      <c r="H62" s="100">
        <v>44.694056646933461</v>
      </c>
      <c r="I62" s="101">
        <v>9.2457510850105304</v>
      </c>
      <c r="J62" s="97">
        <v>45.239350249142063</v>
      </c>
      <c r="K62" s="98">
        <v>12.222015087783122</v>
      </c>
      <c r="L62" s="100">
        <v>27.2311652239779</v>
      </c>
      <c r="M62" s="101">
        <v>4.517691707591629</v>
      </c>
      <c r="N62" s="97">
        <v>-21.05638098249306</v>
      </c>
      <c r="O62" s="102">
        <v>7.5863622269193289</v>
      </c>
      <c r="P62" s="99">
        <v>42.202014080169377</v>
      </c>
      <c r="Q62" s="98">
        <v>4.0616386307342749</v>
      </c>
      <c r="R62" s="100" t="s">
        <v>34</v>
      </c>
      <c r="S62" s="101" t="s">
        <v>34</v>
      </c>
      <c r="T62" s="97">
        <v>35.228765423261123</v>
      </c>
      <c r="U62" s="101">
        <v>7.300275803725456</v>
      </c>
      <c r="V62" s="97">
        <v>-6.9732486569082539</v>
      </c>
      <c r="W62" s="104">
        <v>8.1899959843033532</v>
      </c>
      <c r="X62" s="124"/>
      <c r="Y62" s="124"/>
      <c r="Z62" s="124"/>
      <c r="AA62" s="124"/>
      <c r="AB62" s="124"/>
      <c r="AC62" s="124"/>
      <c r="AD62" s="124"/>
      <c r="AE62" s="124"/>
    </row>
    <row r="63" spans="1:31" s="105" customFormat="1" x14ac:dyDescent="0.25">
      <c r="A63" s="118" t="s">
        <v>245</v>
      </c>
      <c r="B63" s="95">
        <v>191</v>
      </c>
      <c r="C63" s="96">
        <v>97.145454406738281</v>
      </c>
      <c r="D63" s="97">
        <v>8.0308581390249056</v>
      </c>
      <c r="E63" s="98">
        <v>1.6091018846246121</v>
      </c>
      <c r="F63" s="99">
        <v>6.6162433777673781</v>
      </c>
      <c r="G63" s="98">
        <v>2.9244177822373785</v>
      </c>
      <c r="H63" s="100">
        <v>6.2077986764525441</v>
      </c>
      <c r="I63" s="101">
        <v>3.6895378712218672</v>
      </c>
      <c r="J63" s="97">
        <v>12.155761285704351</v>
      </c>
      <c r="K63" s="98">
        <v>4.4755559895907711</v>
      </c>
      <c r="L63" s="100">
        <v>7.178199177153453</v>
      </c>
      <c r="M63" s="101">
        <v>3.2865785382874231</v>
      </c>
      <c r="N63" s="97">
        <v>0.56195579938607487</v>
      </c>
      <c r="O63" s="102">
        <v>4.2647842243958864</v>
      </c>
      <c r="P63" s="99">
        <v>8.1438356687891602</v>
      </c>
      <c r="Q63" s="98">
        <v>1.620306435339292</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39.91155406841483</v>
      </c>
      <c r="E64" s="98">
        <v>3.4306822113859825</v>
      </c>
      <c r="F64" s="99">
        <v>43.995650275272332</v>
      </c>
      <c r="G64" s="98">
        <v>7.9224422572835662</v>
      </c>
      <c r="H64" s="100">
        <v>35.310188164619653</v>
      </c>
      <c r="I64" s="101">
        <v>8.5641766603706682</v>
      </c>
      <c r="J64" s="97">
        <v>36.352287522637667</v>
      </c>
      <c r="K64" s="98">
        <v>10.433084530921803</v>
      </c>
      <c r="L64" s="100">
        <v>44.133287824391978</v>
      </c>
      <c r="M64" s="101">
        <v>10.235767059801839</v>
      </c>
      <c r="N64" s="97">
        <v>0.13763754911964551</v>
      </c>
      <c r="O64" s="102">
        <v>13.717148806123259</v>
      </c>
      <c r="P64" s="99">
        <v>36.697286157344081</v>
      </c>
      <c r="Q64" s="98">
        <v>3.6709577072931889</v>
      </c>
      <c r="R64" s="100" t="s">
        <v>34</v>
      </c>
      <c r="S64" s="101" t="s">
        <v>34</v>
      </c>
      <c r="T64" s="97">
        <v>59.588497844709103</v>
      </c>
      <c r="U64" s="101">
        <v>10.933054682026789</v>
      </c>
      <c r="V64" s="97">
        <v>22.891211687365022</v>
      </c>
      <c r="W64" s="104">
        <v>11.984641784547234</v>
      </c>
      <c r="X64" s="124"/>
      <c r="Y64" s="124"/>
      <c r="Z64" s="124"/>
      <c r="AA64" s="124"/>
      <c r="AB64" s="124"/>
      <c r="AC64" s="124"/>
      <c r="AD64" s="124"/>
      <c r="AE64" s="124"/>
    </row>
    <row r="65" spans="1:31" s="105" customFormat="1" x14ac:dyDescent="0.25">
      <c r="A65" s="118" t="s">
        <v>247</v>
      </c>
      <c r="B65" s="95">
        <v>176</v>
      </c>
      <c r="C65" s="96">
        <v>97.777084350585938</v>
      </c>
      <c r="D65" s="97">
        <v>18.293240071016982</v>
      </c>
      <c r="E65" s="98">
        <v>2.6445600858517082</v>
      </c>
      <c r="F65" s="99">
        <v>13.75798874997232</v>
      </c>
      <c r="G65" s="98">
        <v>5.7441917618669001</v>
      </c>
      <c r="H65" s="100">
        <v>20.556097128688581</v>
      </c>
      <c r="I65" s="101">
        <v>6.4646779972866391</v>
      </c>
      <c r="J65" s="97">
        <v>19.202957150684242</v>
      </c>
      <c r="K65" s="98">
        <v>6.4255447794365352</v>
      </c>
      <c r="L65" s="100">
        <v>19.771056205522211</v>
      </c>
      <c r="M65" s="101">
        <v>6.3002473068198075</v>
      </c>
      <c r="N65" s="97">
        <v>6.013067455549896</v>
      </c>
      <c r="O65" s="102">
        <v>8.4318648311260169</v>
      </c>
      <c r="P65" s="99">
        <v>18.855449302723521</v>
      </c>
      <c r="Q65" s="98">
        <v>2.6722842695263616</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7.5899733883291871</v>
      </c>
      <c r="E66" s="98">
        <v>6.848048553805379E-2</v>
      </c>
      <c r="F66" s="99">
        <v>23.401270063534518</v>
      </c>
      <c r="G66" s="98">
        <v>0.27066593433146829</v>
      </c>
      <c r="H66" s="100">
        <v>6.7239438713602073</v>
      </c>
      <c r="I66" s="101">
        <v>2.3472445437384096E-2</v>
      </c>
      <c r="J66" s="97">
        <v>0</v>
      </c>
      <c r="K66" s="98" t="s">
        <v>35</v>
      </c>
      <c r="L66" s="100">
        <v>0</v>
      </c>
      <c r="M66" s="101" t="s">
        <v>35</v>
      </c>
      <c r="N66" s="97">
        <v>-23.401270063534518</v>
      </c>
      <c r="O66" s="102">
        <v>0.27066593433146829</v>
      </c>
      <c r="P66" s="99">
        <v>9.189460690502445</v>
      </c>
      <c r="Q66" s="98">
        <v>8.2614861762820138E-2</v>
      </c>
      <c r="R66" s="100" t="s">
        <v>34</v>
      </c>
      <c r="S66" s="101" t="s">
        <v>34</v>
      </c>
      <c r="T66" s="97">
        <v>0</v>
      </c>
      <c r="U66" s="101" t="s">
        <v>35</v>
      </c>
      <c r="V66" s="97">
        <v>-9.189460690502445</v>
      </c>
      <c r="W66" s="104">
        <v>8.2614861762820138E-2</v>
      </c>
      <c r="X66" s="124"/>
      <c r="Y66" s="124"/>
      <c r="Z66" s="124"/>
      <c r="AA66" s="124"/>
      <c r="AB66" s="124"/>
      <c r="AC66" s="124"/>
      <c r="AD66" s="124"/>
      <c r="AE66" s="124"/>
    </row>
    <row r="67" spans="1:31" s="105" customFormat="1" x14ac:dyDescent="0.25">
      <c r="A67" s="118" t="s">
        <v>249</v>
      </c>
      <c r="B67" s="95">
        <v>212</v>
      </c>
      <c r="C67" s="96">
        <v>89.803619384765625</v>
      </c>
      <c r="D67" s="97">
        <v>27.571734647145458</v>
      </c>
      <c r="E67" s="98">
        <v>3.2139461274532173</v>
      </c>
      <c r="F67" s="99">
        <v>31.004383729716171</v>
      </c>
      <c r="G67" s="98">
        <v>6.2020589778549944</v>
      </c>
      <c r="H67" s="100">
        <v>27.170879001072048</v>
      </c>
      <c r="I67" s="101">
        <v>7.6592176269720884</v>
      </c>
      <c r="J67" s="97">
        <v>34.330859251107803</v>
      </c>
      <c r="K67" s="98">
        <v>8.966649686326889</v>
      </c>
      <c r="L67" s="100">
        <v>17.433265126988239</v>
      </c>
      <c r="M67" s="101">
        <v>8.7258592645518203</v>
      </c>
      <c r="N67" s="97">
        <v>-13.57111860272793</v>
      </c>
      <c r="O67" s="102">
        <v>10.900540746915881</v>
      </c>
      <c r="P67" s="99">
        <v>30.422442491941549</v>
      </c>
      <c r="Q67" s="98">
        <v>3.5018672329675735</v>
      </c>
      <c r="R67" s="100">
        <v>0.5604944264465116</v>
      </c>
      <c r="S67" s="101">
        <v>0.39533129217613339</v>
      </c>
      <c r="T67" s="97">
        <v>16.144205966514601</v>
      </c>
      <c r="U67" s="101">
        <v>7.3089572741621662</v>
      </c>
      <c r="V67" s="97">
        <v>-15.847740630728159</v>
      </c>
      <c r="W67" s="104">
        <v>7.3056378255595664</v>
      </c>
      <c r="X67" s="124"/>
      <c r="Y67" s="124"/>
      <c r="Z67" s="124"/>
      <c r="AA67" s="124"/>
      <c r="AB67" s="124"/>
      <c r="AC67" s="124"/>
      <c r="AD67" s="124"/>
      <c r="AE67" s="124"/>
    </row>
    <row r="68" spans="1:31" s="105" customFormat="1" x14ac:dyDescent="0.25">
      <c r="A68" s="118" t="s">
        <v>250</v>
      </c>
      <c r="B68" s="95">
        <v>306</v>
      </c>
      <c r="C68" s="96">
        <v>97.724777221679688</v>
      </c>
      <c r="D68" s="97">
        <v>4.3670859688335844</v>
      </c>
      <c r="E68" s="98">
        <v>1.1312236034081211</v>
      </c>
      <c r="F68" s="99">
        <v>6.5417830234003702</v>
      </c>
      <c r="G68" s="98">
        <v>2.4805233335982195</v>
      </c>
      <c r="H68" s="100">
        <v>1.2995797821603849</v>
      </c>
      <c r="I68" s="101">
        <v>1.1321059282110215</v>
      </c>
      <c r="J68" s="97">
        <v>7.9004554121838027</v>
      </c>
      <c r="K68" s="98">
        <v>4.5913191944116409</v>
      </c>
      <c r="L68" s="100">
        <v>1.74404590547716</v>
      </c>
      <c r="M68" s="101">
        <v>3.1383918192553342</v>
      </c>
      <c r="N68" s="97">
        <v>-4.7977371179232096</v>
      </c>
      <c r="O68" s="102">
        <v>4.0045002477613814</v>
      </c>
      <c r="P68" s="99">
        <v>3.8520564231852359</v>
      </c>
      <c r="Q68" s="98">
        <v>1.1932843149111327</v>
      </c>
      <c r="R68" s="100" t="s">
        <v>34</v>
      </c>
      <c r="S68" s="101" t="s">
        <v>34</v>
      </c>
      <c r="T68" s="97">
        <v>9.4837484150968088</v>
      </c>
      <c r="U68" s="101">
        <v>4.7394231094337931</v>
      </c>
      <c r="V68" s="97">
        <v>5.6316919919115733</v>
      </c>
      <c r="W68" s="104">
        <v>4.963217774101075</v>
      </c>
      <c r="X68" s="124"/>
      <c r="Y68" s="124"/>
      <c r="Z68" s="124"/>
      <c r="AA68" s="124"/>
      <c r="AB68" s="124"/>
      <c r="AC68" s="124"/>
      <c r="AD68" s="124"/>
      <c r="AE68" s="124"/>
    </row>
    <row r="69" spans="1:31" s="105" customFormat="1" x14ac:dyDescent="0.25">
      <c r="A69" s="118" t="s">
        <v>303</v>
      </c>
      <c r="B69" s="95">
        <v>112</v>
      </c>
      <c r="C69" s="96">
        <v>75.546546936035156</v>
      </c>
      <c r="D69" s="97">
        <v>23.901028476173629</v>
      </c>
      <c r="E69" s="98">
        <v>4.1525933414767984</v>
      </c>
      <c r="F69" s="99">
        <v>39.667610834303197</v>
      </c>
      <c r="G69" s="98">
        <v>10.343378449529039</v>
      </c>
      <c r="H69" s="100">
        <v>13.49697598197675</v>
      </c>
      <c r="I69" s="101">
        <v>9.1720585409110917</v>
      </c>
      <c r="J69" s="97">
        <v>20.54672535423488</v>
      </c>
      <c r="K69" s="98">
        <v>6.9290341023332056</v>
      </c>
      <c r="L69" s="100">
        <v>21.37006903006052</v>
      </c>
      <c r="M69" s="101">
        <v>8.0982577572288346</v>
      </c>
      <c r="N69" s="97">
        <v>-18.29754180424268</v>
      </c>
      <c r="O69" s="102">
        <v>13.694047832899967</v>
      </c>
      <c r="P69" s="99">
        <v>38.548861662274383</v>
      </c>
      <c r="Q69" s="98">
        <v>11.997817842070244</v>
      </c>
      <c r="R69" s="100">
        <v>23.35708651612741</v>
      </c>
      <c r="S69" s="101">
        <v>4.0704109134217843</v>
      </c>
      <c r="T69" s="97" t="s">
        <v>34</v>
      </c>
      <c r="U69" s="101" t="s">
        <v>34</v>
      </c>
      <c r="V69" s="97">
        <v>-15.191775146146973</v>
      </c>
      <c r="W69" s="104">
        <v>10.986890494765682</v>
      </c>
      <c r="X69" s="124"/>
      <c r="Y69" s="124"/>
      <c r="Z69" s="124"/>
      <c r="AA69" s="124"/>
      <c r="AB69" s="124"/>
      <c r="AC69" s="124"/>
      <c r="AD69" s="124"/>
      <c r="AE69" s="124"/>
    </row>
    <row r="70" spans="1:31" s="105" customFormat="1" x14ac:dyDescent="0.25">
      <c r="A70" s="118" t="s">
        <v>251</v>
      </c>
      <c r="B70" s="95">
        <v>340</v>
      </c>
      <c r="C70" s="96">
        <v>88.642913818359375</v>
      </c>
      <c r="D70" s="97">
        <v>42.44859604161676</v>
      </c>
      <c r="E70" s="98">
        <v>4.6726510733961142</v>
      </c>
      <c r="F70" s="99">
        <v>63.654044829004839</v>
      </c>
      <c r="G70" s="98">
        <v>9.513617943631548</v>
      </c>
      <c r="H70" s="100">
        <v>22.521755456775882</v>
      </c>
      <c r="I70" s="101">
        <v>12.546333551217161</v>
      </c>
      <c r="J70" s="97">
        <v>52.362962838643419</v>
      </c>
      <c r="K70" s="98">
        <v>13.552893025689146</v>
      </c>
      <c r="L70" s="100">
        <v>30.537664087966121</v>
      </c>
      <c r="M70" s="101">
        <v>10.927336437146854</v>
      </c>
      <c r="N70" s="97">
        <v>-33.116380741038711</v>
      </c>
      <c r="O70" s="102">
        <v>15.187775776072275</v>
      </c>
      <c r="P70" s="99">
        <v>39.812023507709952</v>
      </c>
      <c r="Q70" s="98">
        <v>5.4225320393530518</v>
      </c>
      <c r="R70" s="100">
        <v>49.001227150282567</v>
      </c>
      <c r="S70" s="101">
        <v>10.177513291821663</v>
      </c>
      <c r="T70" s="97">
        <v>38.14754530992316</v>
      </c>
      <c r="U70" s="101">
        <v>12.1481070260736</v>
      </c>
      <c r="V70" s="97">
        <v>4.41853354423138</v>
      </c>
      <c r="W70" s="104">
        <v>9.7152867544704158</v>
      </c>
      <c r="X70" s="124"/>
      <c r="Y70" s="124"/>
      <c r="Z70" s="124"/>
      <c r="AA70" s="124"/>
      <c r="AB70" s="124"/>
      <c r="AC70" s="124"/>
      <c r="AD70" s="124"/>
      <c r="AE70" s="124"/>
    </row>
    <row r="71" spans="1:31" s="105" customFormat="1" x14ac:dyDescent="0.25">
      <c r="A71" s="118" t="s">
        <v>252</v>
      </c>
      <c r="B71" s="95">
        <v>307</v>
      </c>
      <c r="C71" s="96">
        <v>97.976974487304688</v>
      </c>
      <c r="D71" s="97">
        <v>40.895330603724567</v>
      </c>
      <c r="E71" s="98">
        <v>3.2896071249164769</v>
      </c>
      <c r="F71" s="99">
        <v>46.796404632445061</v>
      </c>
      <c r="G71" s="98">
        <v>7.6060296256983424</v>
      </c>
      <c r="H71" s="100">
        <v>34.934581585969312</v>
      </c>
      <c r="I71" s="101">
        <v>8.3152599414441344</v>
      </c>
      <c r="J71" s="97">
        <v>52.149477825127157</v>
      </c>
      <c r="K71" s="98">
        <v>9.8002510672693539</v>
      </c>
      <c r="L71" s="100">
        <v>30.15930836738373</v>
      </c>
      <c r="M71" s="101">
        <v>6.4441709317016134</v>
      </c>
      <c r="N71" s="97">
        <v>-16.637096265061331</v>
      </c>
      <c r="O71" s="102">
        <v>9.9041349232736078</v>
      </c>
      <c r="P71" s="99">
        <v>45.879228633032461</v>
      </c>
      <c r="Q71" s="98">
        <v>3.9012845101786451</v>
      </c>
      <c r="R71" s="100" t="s">
        <v>34</v>
      </c>
      <c r="S71" s="101" t="s">
        <v>34</v>
      </c>
      <c r="T71" s="97">
        <v>21.35479765515456</v>
      </c>
      <c r="U71" s="101">
        <v>5.2684136571574944</v>
      </c>
      <c r="V71" s="97">
        <v>-24.524430977877902</v>
      </c>
      <c r="W71" s="104">
        <v>6.4538552477209343</v>
      </c>
      <c r="X71" s="124"/>
      <c r="Y71" s="124"/>
      <c r="Z71" s="124"/>
      <c r="AA71" s="124"/>
      <c r="AB71" s="124"/>
      <c r="AC71" s="124"/>
      <c r="AD71" s="124"/>
      <c r="AE71" s="124"/>
    </row>
    <row r="72" spans="1:31" s="105" customFormat="1" x14ac:dyDescent="0.25">
      <c r="A72" s="118" t="s">
        <v>253</v>
      </c>
      <c r="B72" s="95">
        <v>516</v>
      </c>
      <c r="C72" s="96">
        <v>80.3912353515625</v>
      </c>
      <c r="D72" s="97">
        <v>29.72823121224075</v>
      </c>
      <c r="E72" s="98">
        <v>2.6479334100468805</v>
      </c>
      <c r="F72" s="99">
        <v>41.246919037728297</v>
      </c>
      <c r="G72" s="98">
        <v>5.5959613572083882</v>
      </c>
      <c r="H72" s="100">
        <v>20.904493963147289</v>
      </c>
      <c r="I72" s="101">
        <v>4.6058065660255796</v>
      </c>
      <c r="J72" s="97">
        <v>27.426753292367959</v>
      </c>
      <c r="K72" s="98">
        <v>5.4096618551214837</v>
      </c>
      <c r="L72" s="100">
        <v>29.462805627133701</v>
      </c>
      <c r="M72" s="101">
        <v>5.9025085279334899</v>
      </c>
      <c r="N72" s="97">
        <v>-11.78411341059461</v>
      </c>
      <c r="O72" s="102">
        <v>8.0150710914674743</v>
      </c>
      <c r="P72" s="99">
        <v>30.14157217931773</v>
      </c>
      <c r="Q72" s="98">
        <v>2.6834982176623221</v>
      </c>
      <c r="R72" s="100">
        <v>6.8046336128986482</v>
      </c>
      <c r="S72" s="101">
        <v>5.6918010620098505</v>
      </c>
      <c r="T72" s="97" t="s">
        <v>34</v>
      </c>
      <c r="U72" s="101" t="s">
        <v>34</v>
      </c>
      <c r="V72" s="97">
        <v>-23.336938566419082</v>
      </c>
      <c r="W72" s="104">
        <v>6.5728243737915157</v>
      </c>
      <c r="X72" s="124"/>
      <c r="Y72" s="124"/>
      <c r="Z72" s="124"/>
      <c r="AA72" s="124"/>
      <c r="AB72" s="124"/>
      <c r="AC72" s="124"/>
      <c r="AD72" s="124"/>
      <c r="AE72" s="124"/>
    </row>
    <row r="73" spans="1:31" s="105" customFormat="1" x14ac:dyDescent="0.25">
      <c r="A73" s="118" t="s">
        <v>254</v>
      </c>
      <c r="B73" s="95">
        <v>88</v>
      </c>
      <c r="C73" s="96">
        <v>73.040199279785156</v>
      </c>
      <c r="D73" s="97">
        <v>20.61648009802337</v>
      </c>
      <c r="E73" s="98">
        <v>0.68662608162919136</v>
      </c>
      <c r="F73" s="99">
        <v>18.916390436378158</v>
      </c>
      <c r="G73" s="98">
        <v>4.7028072278723103</v>
      </c>
      <c r="H73" s="100">
        <v>24.230892348975129</v>
      </c>
      <c r="I73" s="101">
        <v>4.5768324882319202</v>
      </c>
      <c r="J73" s="97">
        <v>17.27653594591936</v>
      </c>
      <c r="K73" s="98">
        <v>3.0991224689445596</v>
      </c>
      <c r="L73" s="100">
        <v>22.012579007567702</v>
      </c>
      <c r="M73" s="101">
        <v>1.3324073145326842</v>
      </c>
      <c r="N73" s="97">
        <v>3.0961885711895398</v>
      </c>
      <c r="O73" s="102">
        <v>4.7434843567664435</v>
      </c>
      <c r="P73" s="99">
        <v>20.409866046943431</v>
      </c>
      <c r="Q73" s="98">
        <v>0.68753844210470738</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205</v>
      </c>
      <c r="C74" s="96">
        <v>76.098831176757813</v>
      </c>
      <c r="D74" s="97">
        <v>12.58719417943853</v>
      </c>
      <c r="E74" s="98">
        <v>2.3011536063438904</v>
      </c>
      <c r="F74" s="99">
        <v>15.83522157703019</v>
      </c>
      <c r="G74" s="98">
        <v>6.1556134619774756</v>
      </c>
      <c r="H74" s="100">
        <v>17.082874420731379</v>
      </c>
      <c r="I74" s="101">
        <v>6.4053019155494706</v>
      </c>
      <c r="J74" s="97">
        <v>10.11774270503253</v>
      </c>
      <c r="K74" s="98">
        <v>6.2219207756768347</v>
      </c>
      <c r="L74" s="100">
        <v>7.3085393797885274</v>
      </c>
      <c r="M74" s="101">
        <v>5.7650842728852751</v>
      </c>
      <c r="N74" s="97">
        <v>-8.5266821972416622</v>
      </c>
      <c r="O74" s="102">
        <v>8.7037744215902855</v>
      </c>
      <c r="P74" s="99">
        <v>18.374648954688919</v>
      </c>
      <c r="Q74" s="98">
        <v>3.8885250102552473</v>
      </c>
      <c r="R74" s="100" t="s">
        <v>34</v>
      </c>
      <c r="S74" s="101" t="s">
        <v>34</v>
      </c>
      <c r="T74" s="97">
        <v>9.8070646159552481</v>
      </c>
      <c r="U74" s="101">
        <v>3.9072257364649707</v>
      </c>
      <c r="V74" s="97">
        <v>-8.5675843387336705</v>
      </c>
      <c r="W74" s="104">
        <v>5.182966816338757</v>
      </c>
      <c r="X74" s="124"/>
      <c r="Y74" s="124"/>
      <c r="Z74" s="124"/>
      <c r="AA74" s="124"/>
      <c r="AB74" s="124"/>
      <c r="AC74" s="124"/>
      <c r="AD74" s="124"/>
      <c r="AE74" s="124"/>
    </row>
    <row r="75" spans="1:31" s="105" customFormat="1" x14ac:dyDescent="0.25">
      <c r="A75" s="118" t="s">
        <v>256</v>
      </c>
      <c r="B75" s="95">
        <v>45</v>
      </c>
      <c r="C75" s="96">
        <v>100</v>
      </c>
      <c r="D75" s="97">
        <v>12.01662631231871</v>
      </c>
      <c r="E75" s="98">
        <v>4.7700106891462812E-2</v>
      </c>
      <c r="F75" s="99">
        <v>0.47100787161798652</v>
      </c>
      <c r="G75" s="98">
        <v>2.6324325247741334E-2</v>
      </c>
      <c r="H75" s="100">
        <v>24.077358115481289</v>
      </c>
      <c r="I75" s="101">
        <v>0.10780246545511607</v>
      </c>
      <c r="J75" s="97">
        <v>11.569657735680231</v>
      </c>
      <c r="K75" s="98">
        <v>9.8264802662290873E-2</v>
      </c>
      <c r="L75" s="100">
        <v>15.26437895343966</v>
      </c>
      <c r="M75" s="101">
        <v>9.861778621386677E-2</v>
      </c>
      <c r="N75" s="97">
        <v>14.793371081821681</v>
      </c>
      <c r="O75" s="102">
        <v>0.10204092865682284</v>
      </c>
      <c r="P75" s="99">
        <v>44.87256512456549</v>
      </c>
      <c r="Q75" s="98">
        <v>8.6678118463424034E-2</v>
      </c>
      <c r="R75" s="100">
        <v>11.07626607213648</v>
      </c>
      <c r="S75" s="101">
        <v>5.5112097726551741E-2</v>
      </c>
      <c r="T75" s="97" t="s">
        <v>34</v>
      </c>
      <c r="U75" s="101" t="s">
        <v>34</v>
      </c>
      <c r="V75" s="97">
        <v>-33.796299052429006</v>
      </c>
      <c r="W75" s="104">
        <v>0.10244397443506995</v>
      </c>
      <c r="X75" s="124"/>
      <c r="Y75" s="124"/>
      <c r="Z75" s="124"/>
      <c r="AA75" s="124"/>
      <c r="AB75" s="124"/>
      <c r="AC75" s="124"/>
      <c r="AD75" s="124"/>
      <c r="AE75" s="124"/>
    </row>
    <row r="76" spans="1:31" s="105" customFormat="1" x14ac:dyDescent="0.25">
      <c r="A76" s="118" t="s">
        <v>257</v>
      </c>
      <c r="B76" s="95">
        <v>190</v>
      </c>
      <c r="C76" s="96">
        <v>99.531219482421875</v>
      </c>
      <c r="D76" s="97">
        <v>7.4963674485730811</v>
      </c>
      <c r="E76" s="98">
        <v>2.0224063042326974</v>
      </c>
      <c r="F76" s="99">
        <v>15.32908031910377</v>
      </c>
      <c r="G76" s="98">
        <v>5.624833191742149</v>
      </c>
      <c r="H76" s="100">
        <v>4.313415370352442</v>
      </c>
      <c r="I76" s="101">
        <v>3.5238661151184725</v>
      </c>
      <c r="J76" s="97">
        <v>8.1036482697554515</v>
      </c>
      <c r="K76" s="98">
        <v>4.3991777509301491</v>
      </c>
      <c r="L76" s="100">
        <v>2.3164812597690929</v>
      </c>
      <c r="M76" s="101">
        <v>3.4453247004543703</v>
      </c>
      <c r="N76" s="97">
        <v>-13.012599059334679</v>
      </c>
      <c r="O76" s="102">
        <v>6.9401977038794191</v>
      </c>
      <c r="P76" s="99">
        <v>7.9875630728584079</v>
      </c>
      <c r="Q76" s="98">
        <v>2.1485722471830799</v>
      </c>
      <c r="R76" s="100" t="s">
        <v>34</v>
      </c>
      <c r="S76" s="101" t="s">
        <v>34</v>
      </c>
      <c r="T76" s="97">
        <v>0</v>
      </c>
      <c r="U76" s="101" t="s">
        <v>35</v>
      </c>
      <c r="V76" s="97">
        <v>-7.9875630728584079</v>
      </c>
      <c r="W76" s="104">
        <v>2.1485722471830799</v>
      </c>
      <c r="X76" s="124"/>
      <c r="Y76" s="124"/>
      <c r="Z76" s="124"/>
      <c r="AA76" s="124"/>
      <c r="AB76" s="124"/>
      <c r="AC76" s="124"/>
      <c r="AD76" s="124"/>
      <c r="AE76" s="124"/>
    </row>
    <row r="77" spans="1:31" s="105" customFormat="1" x14ac:dyDescent="0.25">
      <c r="A77" s="118" t="s">
        <v>258</v>
      </c>
      <c r="B77" s="95">
        <v>49</v>
      </c>
      <c r="C77" s="96">
        <v>99.911201477050781</v>
      </c>
      <c r="D77" s="97">
        <v>16.35353836406145</v>
      </c>
      <c r="E77" s="98">
        <v>0.12615264421056499</v>
      </c>
      <c r="F77" s="99">
        <v>40.607266832986589</v>
      </c>
      <c r="G77" s="98">
        <v>0.27075556912995075</v>
      </c>
      <c r="H77" s="100">
        <v>0</v>
      </c>
      <c r="I77" s="101" t="s">
        <v>35</v>
      </c>
      <c r="J77" s="97">
        <v>21.894241009107169</v>
      </c>
      <c r="K77" s="98">
        <v>0.26345587242225427</v>
      </c>
      <c r="L77" s="100">
        <v>5.6779537363880479</v>
      </c>
      <c r="M77" s="101">
        <v>0.25461416052221569</v>
      </c>
      <c r="N77" s="97">
        <v>-34.929313096598541</v>
      </c>
      <c r="O77" s="102">
        <v>0.37218554623769667</v>
      </c>
      <c r="P77" s="99">
        <v>18.047363345528261</v>
      </c>
      <c r="Q77" s="98">
        <v>0.14694328916880431</v>
      </c>
      <c r="R77" s="100">
        <v>15.894437943257261</v>
      </c>
      <c r="S77" s="101">
        <v>0.18951224505941805</v>
      </c>
      <c r="T77" s="97">
        <v>10.635221781595661</v>
      </c>
      <c r="U77" s="101">
        <v>0.47480733038617495</v>
      </c>
      <c r="V77" s="97">
        <v>-3.7584242342165606</v>
      </c>
      <c r="W77" s="104">
        <v>0.2431028746741431</v>
      </c>
      <c r="X77" s="124"/>
      <c r="Y77" s="124"/>
      <c r="Z77" s="124"/>
      <c r="AA77" s="124"/>
      <c r="AB77" s="124"/>
      <c r="AC77" s="124"/>
      <c r="AD77" s="124"/>
      <c r="AE77" s="124"/>
    </row>
    <row r="78" spans="1:31" s="105" customFormat="1" x14ac:dyDescent="0.25">
      <c r="A78" s="118" t="s">
        <v>259</v>
      </c>
      <c r="B78" s="95">
        <v>214</v>
      </c>
      <c r="C78" s="96">
        <v>93.336418151855469</v>
      </c>
      <c r="D78" s="97">
        <v>28.140546744708779</v>
      </c>
      <c r="E78" s="98">
        <v>3.5238745628442967</v>
      </c>
      <c r="F78" s="99">
        <v>42.781102170740773</v>
      </c>
      <c r="G78" s="98">
        <v>6.5946110424198814</v>
      </c>
      <c r="H78" s="100">
        <v>17.69591801441215</v>
      </c>
      <c r="I78" s="101">
        <v>5.6746648992223498</v>
      </c>
      <c r="J78" s="97">
        <v>24.18734127819015</v>
      </c>
      <c r="K78" s="98">
        <v>6.9761837020927615</v>
      </c>
      <c r="L78" s="100">
        <v>27.963790533511052</v>
      </c>
      <c r="M78" s="101">
        <v>9.3765312680579012</v>
      </c>
      <c r="N78" s="97">
        <v>-14.81731163722972</v>
      </c>
      <c r="O78" s="102">
        <v>10.390109683808697</v>
      </c>
      <c r="P78" s="99">
        <v>28.341401575062751</v>
      </c>
      <c r="Q78" s="98">
        <v>3.5452661194471027</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1.5188351768946859</v>
      </c>
      <c r="E79" s="98">
        <v>2.029674250769449E-2</v>
      </c>
      <c r="F79" s="99">
        <v>5.0645568859976784</v>
      </c>
      <c r="G79" s="98">
        <v>1.6741491500795406E-2</v>
      </c>
      <c r="H79" s="100">
        <v>0</v>
      </c>
      <c r="I79" s="101" t="s">
        <v>35</v>
      </c>
      <c r="J79" s="97">
        <v>0</v>
      </c>
      <c r="K79" s="98" t="s">
        <v>35</v>
      </c>
      <c r="L79" s="100">
        <v>0.37985810479192789</v>
      </c>
      <c r="M79" s="101">
        <v>7.5854925810948201E-2</v>
      </c>
      <c r="N79" s="97">
        <v>-4.6846987812057499</v>
      </c>
      <c r="O79" s="102">
        <v>7.5674263426698793E-2</v>
      </c>
      <c r="P79" s="99">
        <v>1.521723119403259</v>
      </c>
      <c r="Q79" s="98">
        <v>2.0332760727977746E-2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173</v>
      </c>
      <c r="C80" s="96">
        <v>96.410247802734375</v>
      </c>
      <c r="D80" s="97">
        <v>36.857092435462491</v>
      </c>
      <c r="E80" s="98">
        <v>3.758416934913996</v>
      </c>
      <c r="F80" s="99">
        <v>42.128891361517887</v>
      </c>
      <c r="G80" s="98">
        <v>8.3313067538888337</v>
      </c>
      <c r="H80" s="100">
        <v>43.928314614233628</v>
      </c>
      <c r="I80" s="101">
        <v>9.0225027513406335</v>
      </c>
      <c r="J80" s="97">
        <v>39.384882567722777</v>
      </c>
      <c r="K80" s="98">
        <v>8.4072814318108815</v>
      </c>
      <c r="L80" s="100">
        <v>21.93703090597473</v>
      </c>
      <c r="M80" s="101">
        <v>8.0581481112119615</v>
      </c>
      <c r="N80" s="97">
        <v>-20.191860455543161</v>
      </c>
      <c r="O80" s="102">
        <v>12.30322951310454</v>
      </c>
      <c r="P80" s="99">
        <v>37.733943322797913</v>
      </c>
      <c r="Q80" s="98">
        <v>4.0078066933840697</v>
      </c>
      <c r="R80" s="100" t="s">
        <v>34</v>
      </c>
      <c r="S80" s="101" t="s">
        <v>34</v>
      </c>
      <c r="T80" s="97">
        <v>20.850561170282109</v>
      </c>
      <c r="U80" s="101">
        <v>12.798403745573598</v>
      </c>
      <c r="V80" s="97">
        <v>-16.883382152515804</v>
      </c>
      <c r="W80" s="104">
        <v>13.592339470829881</v>
      </c>
      <c r="X80" s="124"/>
      <c r="Y80" s="124"/>
      <c r="Z80" s="124"/>
      <c r="AA80" s="124"/>
      <c r="AB80" s="124"/>
      <c r="AC80" s="124"/>
      <c r="AD80" s="124"/>
      <c r="AE80" s="124"/>
    </row>
    <row r="81" spans="1:31" s="105" customFormat="1" x14ac:dyDescent="0.25">
      <c r="A81" s="118" t="s">
        <v>262</v>
      </c>
      <c r="B81" s="95">
        <v>95</v>
      </c>
      <c r="C81" s="96">
        <v>87.201141357421875</v>
      </c>
      <c r="D81" s="97">
        <v>3.593195078999436</v>
      </c>
      <c r="E81" s="98">
        <v>6.8866353576080813E-2</v>
      </c>
      <c r="F81" s="99">
        <v>1.831980499579938</v>
      </c>
      <c r="G81" s="98">
        <v>7.8811479974819812E-2</v>
      </c>
      <c r="H81" s="100">
        <v>2.0109799062217402</v>
      </c>
      <c r="I81" s="101">
        <v>2.9073076814395145E-2</v>
      </c>
      <c r="J81" s="97">
        <v>5.355963503335933</v>
      </c>
      <c r="K81" s="98">
        <v>0.28670992261797262</v>
      </c>
      <c r="L81" s="100">
        <v>5.220212588753971</v>
      </c>
      <c r="M81" s="101">
        <v>3.5181698340722524E-2</v>
      </c>
      <c r="N81" s="97">
        <v>3.388232089174033</v>
      </c>
      <c r="O81" s="102">
        <v>8.4245413983447801E-2</v>
      </c>
      <c r="P81" s="99">
        <v>3.6946701036100431</v>
      </c>
      <c r="Q81" s="98">
        <v>7.070970302803381E-2</v>
      </c>
      <c r="R81" s="100" t="s">
        <v>34</v>
      </c>
      <c r="S81" s="101" t="s">
        <v>34</v>
      </c>
      <c r="T81" s="97">
        <v>0</v>
      </c>
      <c r="U81" s="101" t="s">
        <v>35</v>
      </c>
      <c r="V81" s="97">
        <v>-3.6946701036100431</v>
      </c>
      <c r="W81" s="104">
        <v>7.070970302803381E-2</v>
      </c>
      <c r="X81" s="124"/>
      <c r="Y81" s="124"/>
      <c r="Z81" s="124"/>
      <c r="AA81" s="124"/>
      <c r="AB81" s="124"/>
      <c r="AC81" s="124"/>
      <c r="AD81" s="124"/>
      <c r="AE81" s="124"/>
    </row>
    <row r="82" spans="1:31" s="105" customFormat="1" x14ac:dyDescent="0.25">
      <c r="A82" s="118" t="s">
        <v>263</v>
      </c>
      <c r="B82" s="95">
        <v>141</v>
      </c>
      <c r="C82" s="96">
        <v>69.820892333984375</v>
      </c>
      <c r="D82" s="97">
        <v>12.675213843466491</v>
      </c>
      <c r="E82" s="98">
        <v>2.1540463423284959</v>
      </c>
      <c r="F82" s="99">
        <v>11.161703103118191</v>
      </c>
      <c r="G82" s="98">
        <v>5.0118011273503296</v>
      </c>
      <c r="H82" s="100">
        <v>14.840380824895609</v>
      </c>
      <c r="I82" s="101">
        <v>3.6115585155152172</v>
      </c>
      <c r="J82" s="97">
        <v>13.241096431802699</v>
      </c>
      <c r="K82" s="98">
        <v>4.6441117186632432</v>
      </c>
      <c r="L82" s="100">
        <v>11.387216493336251</v>
      </c>
      <c r="M82" s="101">
        <v>5.933498682370403</v>
      </c>
      <c r="N82" s="97">
        <v>0.22551339021806169</v>
      </c>
      <c r="O82" s="102">
        <v>7.8862844225059048</v>
      </c>
      <c r="P82" s="99">
        <v>13.0962663587223</v>
      </c>
      <c r="Q82" s="98">
        <v>2.1928787984339357</v>
      </c>
      <c r="R82" s="100" t="s">
        <v>34</v>
      </c>
      <c r="S82" s="101" t="s">
        <v>34</v>
      </c>
      <c r="T82" s="97">
        <v>11.874263629360019</v>
      </c>
      <c r="U82" s="101">
        <v>6.7741192803192405</v>
      </c>
      <c r="V82" s="97">
        <v>-1.2220027293622806</v>
      </c>
      <c r="W82" s="104">
        <v>7.1514014464422724</v>
      </c>
      <c r="X82" s="124"/>
      <c r="Y82" s="124"/>
      <c r="Z82" s="124"/>
      <c r="AA82" s="124"/>
      <c r="AB82" s="124"/>
      <c r="AC82" s="124"/>
      <c r="AD82" s="124"/>
      <c r="AE82" s="124"/>
    </row>
    <row r="83" spans="1:31" s="105" customFormat="1" x14ac:dyDescent="0.25">
      <c r="A83" s="118" t="s">
        <v>264</v>
      </c>
      <c r="B83" s="95">
        <v>323</v>
      </c>
      <c r="C83" s="96">
        <v>97.6805419921875</v>
      </c>
      <c r="D83" s="97">
        <v>16.76841764200789</v>
      </c>
      <c r="E83" s="98">
        <v>2.2394524530272268</v>
      </c>
      <c r="F83" s="99">
        <v>26.418708832443748</v>
      </c>
      <c r="G83" s="98">
        <v>5.1129143154492027</v>
      </c>
      <c r="H83" s="100">
        <v>18.673088758275821</v>
      </c>
      <c r="I83" s="101">
        <v>5.4908646454820556</v>
      </c>
      <c r="J83" s="97">
        <v>12.785594403626201</v>
      </c>
      <c r="K83" s="98">
        <v>5.7194057979910014</v>
      </c>
      <c r="L83" s="100">
        <v>9.1093222831317444</v>
      </c>
      <c r="M83" s="101">
        <v>3.8457616945591075</v>
      </c>
      <c r="N83" s="97">
        <v>-17.309386549311998</v>
      </c>
      <c r="O83" s="102">
        <v>5.8036966016377054</v>
      </c>
      <c r="P83" s="99">
        <v>19.398769704949569</v>
      </c>
      <c r="Q83" s="98">
        <v>2.7709561455521667</v>
      </c>
      <c r="R83" s="100" t="s">
        <v>34</v>
      </c>
      <c r="S83" s="101" t="s">
        <v>34</v>
      </c>
      <c r="T83" s="97">
        <v>7.4506909209488583</v>
      </c>
      <c r="U83" s="101">
        <v>2.6847077374610286</v>
      </c>
      <c r="V83" s="97">
        <v>-11.94807878400071</v>
      </c>
      <c r="W83" s="104">
        <v>3.7757877536448783</v>
      </c>
      <c r="X83" s="124"/>
      <c r="Y83" s="124"/>
      <c r="Z83" s="124"/>
      <c r="AA83" s="124"/>
      <c r="AB83" s="124"/>
      <c r="AC83" s="124"/>
      <c r="AD83" s="124"/>
      <c r="AE83" s="124"/>
    </row>
    <row r="84" spans="1:31" s="105" customFormat="1" x14ac:dyDescent="0.25">
      <c r="A84" s="118" t="s">
        <v>265</v>
      </c>
      <c r="B84" s="95">
        <v>186</v>
      </c>
      <c r="C84" s="96">
        <v>99.705375671386719</v>
      </c>
      <c r="D84" s="97">
        <v>19.233759409700578</v>
      </c>
      <c r="E84" s="98">
        <v>2.6367159280403163</v>
      </c>
      <c r="F84" s="99">
        <v>35.135097105747413</v>
      </c>
      <c r="G84" s="98">
        <v>8.0825713674945909</v>
      </c>
      <c r="H84" s="100">
        <v>23.353707813442181</v>
      </c>
      <c r="I84" s="101">
        <v>7.1870182246366046</v>
      </c>
      <c r="J84" s="97">
        <v>9.229704490314111</v>
      </c>
      <c r="K84" s="98">
        <v>5.5387020542701215</v>
      </c>
      <c r="L84" s="100">
        <v>9.1451412813619335</v>
      </c>
      <c r="M84" s="101">
        <v>4.5082498480108182</v>
      </c>
      <c r="N84" s="97">
        <v>-25.989955824385479</v>
      </c>
      <c r="O84" s="102">
        <v>9.622540575282283</v>
      </c>
      <c r="P84" s="99">
        <v>22.097026126020911</v>
      </c>
      <c r="Q84" s="98">
        <v>3.0845410108904914</v>
      </c>
      <c r="R84" s="100">
        <v>10.901593954903349</v>
      </c>
      <c r="S84" s="101">
        <v>6.3616887583229378</v>
      </c>
      <c r="T84" s="97">
        <v>0</v>
      </c>
      <c r="U84" s="101" t="s">
        <v>35</v>
      </c>
      <c r="V84" s="97">
        <v>-16.401829475589924</v>
      </c>
      <c r="W84" s="104">
        <v>4.7504654110692313</v>
      </c>
      <c r="X84" s="124"/>
      <c r="Y84" s="124"/>
      <c r="Z84" s="124"/>
      <c r="AA84" s="124"/>
      <c r="AB84" s="124"/>
      <c r="AC84" s="124"/>
      <c r="AD84" s="124"/>
      <c r="AE84" s="124"/>
    </row>
    <row r="85" spans="1:31" s="105" customFormat="1" x14ac:dyDescent="0.25">
      <c r="A85" s="118" t="s">
        <v>266</v>
      </c>
      <c r="B85" s="95">
        <v>137</v>
      </c>
      <c r="C85" s="96">
        <v>86.319252014160156</v>
      </c>
      <c r="D85" s="97">
        <v>10.48333388289613</v>
      </c>
      <c r="E85" s="98">
        <v>4.1401884547613003E-2</v>
      </c>
      <c r="F85" s="99">
        <v>23.316639975351372</v>
      </c>
      <c r="G85" s="98">
        <v>0.10997848047663383</v>
      </c>
      <c r="H85" s="100">
        <v>3.3728824838635769</v>
      </c>
      <c r="I85" s="101">
        <v>4.5674093955708012E-2</v>
      </c>
      <c r="J85" s="97">
        <v>8.7373923229795789</v>
      </c>
      <c r="K85" s="98">
        <v>0.10437106639840099</v>
      </c>
      <c r="L85" s="100">
        <v>7.2587756206893266</v>
      </c>
      <c r="M85" s="101">
        <v>8.7625178472501689E-2</v>
      </c>
      <c r="N85" s="97">
        <v>-16.057864354662041</v>
      </c>
      <c r="O85" s="102">
        <v>0.14981304517899316</v>
      </c>
      <c r="P85" s="99">
        <v>15.02870114426702</v>
      </c>
      <c r="Q85" s="98">
        <v>4.9038693324607308E-2</v>
      </c>
      <c r="R85" s="100" t="s">
        <v>34</v>
      </c>
      <c r="S85" s="101" t="s">
        <v>34</v>
      </c>
      <c r="T85" s="97">
        <v>5.9889538706667231</v>
      </c>
      <c r="U85" s="101">
        <v>7.1575908429724694E-2</v>
      </c>
      <c r="V85" s="97">
        <v>-9.0397472736002964</v>
      </c>
      <c r="W85" s="104">
        <v>8.7766227107379413E-2</v>
      </c>
      <c r="X85" s="124"/>
      <c r="Y85" s="124"/>
      <c r="Z85" s="124"/>
      <c r="AA85" s="124"/>
      <c r="AB85" s="124"/>
      <c r="AC85" s="124"/>
      <c r="AD85" s="124"/>
      <c r="AE85" s="124"/>
    </row>
    <row r="86" spans="1:31" s="105" customFormat="1" x14ac:dyDescent="0.25">
      <c r="A86" s="118" t="s">
        <v>267</v>
      </c>
      <c r="B86" s="95">
        <v>141</v>
      </c>
      <c r="C86" s="96">
        <v>93.061271667480469</v>
      </c>
      <c r="D86" s="97">
        <v>9.1902281503562371</v>
      </c>
      <c r="E86" s="98">
        <v>2.4160170795444027</v>
      </c>
      <c r="F86" s="99">
        <v>7.4357955507077094</v>
      </c>
      <c r="G86" s="98">
        <v>4.6015697635837336</v>
      </c>
      <c r="H86" s="100">
        <v>0</v>
      </c>
      <c r="I86" s="101">
        <v>2.7278184182903322</v>
      </c>
      <c r="J86" s="97">
        <v>13.582780636621671</v>
      </c>
      <c r="K86" s="98">
        <v>7.144466108147947</v>
      </c>
      <c r="L86" s="100">
        <v>16.063871511532149</v>
      </c>
      <c r="M86" s="101">
        <v>5.7363687176920291</v>
      </c>
      <c r="N86" s="97">
        <v>8.6280759608244431</v>
      </c>
      <c r="O86" s="102">
        <v>7.1402593895641333</v>
      </c>
      <c r="P86" s="99">
        <v>9.3962741942186288</v>
      </c>
      <c r="Q86" s="98">
        <v>2.4751723288145406</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42.727412772831933</v>
      </c>
      <c r="E87" s="98">
        <v>2.7232935265720806</v>
      </c>
      <c r="F87" s="99">
        <v>58.441193404348638</v>
      </c>
      <c r="G87" s="98">
        <v>6.2605740690297749</v>
      </c>
      <c r="H87" s="100">
        <v>49.761186281725557</v>
      </c>
      <c r="I87" s="101">
        <v>7.3893612960702892</v>
      </c>
      <c r="J87" s="97">
        <v>41.797076014101393</v>
      </c>
      <c r="K87" s="98">
        <v>8.9440217425193715</v>
      </c>
      <c r="L87" s="100">
        <v>20.592463712417249</v>
      </c>
      <c r="M87" s="101">
        <v>6.5124431108335221</v>
      </c>
      <c r="N87" s="97">
        <v>-37.848729691931403</v>
      </c>
      <c r="O87" s="102">
        <v>9.7077484368817402</v>
      </c>
      <c r="P87" s="99">
        <v>42.727412772831933</v>
      </c>
      <c r="Q87" s="98">
        <v>2.7232935265720806</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169</v>
      </c>
      <c r="C88" s="96">
        <v>80.818099975585938</v>
      </c>
      <c r="D88" s="97">
        <v>48.652092993992639</v>
      </c>
      <c r="E88" s="98">
        <v>3.8635496625654371</v>
      </c>
      <c r="F88" s="99">
        <v>53.445923106107742</v>
      </c>
      <c r="G88" s="98">
        <v>9.7881731950978708</v>
      </c>
      <c r="H88" s="100">
        <v>54.061168937532059</v>
      </c>
      <c r="I88" s="101">
        <v>8.7779366829938983</v>
      </c>
      <c r="J88" s="97">
        <v>46.878835415352107</v>
      </c>
      <c r="K88" s="98">
        <v>9.2565876068470292</v>
      </c>
      <c r="L88" s="100">
        <v>40.248874674807659</v>
      </c>
      <c r="M88" s="101">
        <v>9.5736013220049525</v>
      </c>
      <c r="N88" s="97">
        <v>-13.197048431300081</v>
      </c>
      <c r="O88" s="102">
        <v>13.918862769951634</v>
      </c>
      <c r="P88" s="99">
        <v>50.588446537710503</v>
      </c>
      <c r="Q88" s="98">
        <v>4.2761550857028503</v>
      </c>
      <c r="R88" s="100" t="s">
        <v>34</v>
      </c>
      <c r="S88" s="101" t="s">
        <v>34</v>
      </c>
      <c r="T88" s="97">
        <v>41.271158553273217</v>
      </c>
      <c r="U88" s="101">
        <v>13.348237964826302</v>
      </c>
      <c r="V88" s="97">
        <v>-9.3172879844372858</v>
      </c>
      <c r="W88" s="104">
        <v>14.262739517224659</v>
      </c>
      <c r="X88" s="124"/>
      <c r="Y88" s="124"/>
      <c r="Z88" s="124"/>
      <c r="AA88" s="124"/>
      <c r="AB88" s="124"/>
      <c r="AC88" s="124"/>
      <c r="AD88" s="124"/>
      <c r="AE88" s="124"/>
    </row>
    <row r="89" spans="1:31" s="105" customFormat="1" x14ac:dyDescent="0.25">
      <c r="A89" s="118" t="s">
        <v>270</v>
      </c>
      <c r="B89" s="95">
        <v>177</v>
      </c>
      <c r="C89" s="96">
        <v>98.513496398925781</v>
      </c>
      <c r="D89" s="97">
        <v>2.256402901763948</v>
      </c>
      <c r="E89" s="98">
        <v>1.2275777461661685</v>
      </c>
      <c r="F89" s="99">
        <v>2.4708144419109082</v>
      </c>
      <c r="G89" s="98">
        <v>2.5087793503158831</v>
      </c>
      <c r="H89" s="100">
        <v>0</v>
      </c>
      <c r="I89" s="101" t="s">
        <v>35</v>
      </c>
      <c r="J89" s="97">
        <v>4.4703170672839514</v>
      </c>
      <c r="K89" s="98">
        <v>3.699820469728178</v>
      </c>
      <c r="L89" s="100">
        <v>2.1600513654362601</v>
      </c>
      <c r="M89" s="101">
        <v>2.1850901240161584</v>
      </c>
      <c r="N89" s="97">
        <v>-0.31076307647464813</v>
      </c>
      <c r="O89" s="102">
        <v>3.3272473209455105</v>
      </c>
      <c r="P89" s="99">
        <v>2.3317733046963021</v>
      </c>
      <c r="Q89" s="98">
        <v>1.2681189460993243</v>
      </c>
      <c r="R89" s="100" t="s">
        <v>34</v>
      </c>
      <c r="S89" s="101" t="s">
        <v>34</v>
      </c>
      <c r="T89" s="97">
        <v>0</v>
      </c>
      <c r="U89" s="101" t="s">
        <v>35</v>
      </c>
      <c r="V89" s="97">
        <v>-2.3317733046963021</v>
      </c>
      <c r="W89" s="104">
        <v>1.2681189460993243</v>
      </c>
      <c r="X89" s="124"/>
      <c r="Y89" s="124"/>
      <c r="Z89" s="124"/>
      <c r="AA89" s="124"/>
      <c r="AB89" s="124"/>
      <c r="AC89" s="124"/>
      <c r="AD89" s="124"/>
      <c r="AE89" s="124"/>
    </row>
    <row r="90" spans="1:31" s="105" customFormat="1" x14ac:dyDescent="0.25">
      <c r="A90" s="118" t="s">
        <v>271</v>
      </c>
      <c r="B90" s="95">
        <v>166</v>
      </c>
      <c r="C90" s="96">
        <v>100</v>
      </c>
      <c r="D90" s="97">
        <v>5.2757436558254458</v>
      </c>
      <c r="E90" s="98">
        <v>0.16948707806495009</v>
      </c>
      <c r="F90" s="99">
        <v>7.3978107240124782</v>
      </c>
      <c r="G90" s="98">
        <v>0.13956543096044707</v>
      </c>
      <c r="H90" s="100">
        <v>7.760665441116366</v>
      </c>
      <c r="I90" s="101">
        <v>0.35169551176343106</v>
      </c>
      <c r="J90" s="97">
        <v>3.1405625786910871</v>
      </c>
      <c r="K90" s="98">
        <v>0.43061380091315848</v>
      </c>
      <c r="L90" s="100">
        <v>2.8476633120726191</v>
      </c>
      <c r="M90" s="101">
        <v>4.9103734953604823E-2</v>
      </c>
      <c r="N90" s="97">
        <v>-4.5501474119398591</v>
      </c>
      <c r="O90" s="102">
        <v>0.12732715088376709</v>
      </c>
      <c r="P90" s="99">
        <v>4.8714207052306389</v>
      </c>
      <c r="Q90" s="98">
        <v>4.1306101201476875E-2</v>
      </c>
      <c r="R90" s="100" t="s">
        <v>34</v>
      </c>
      <c r="S90" s="101" t="s">
        <v>34</v>
      </c>
      <c r="T90" s="97">
        <v>2.173557964410131</v>
      </c>
      <c r="U90" s="101">
        <v>1.7151911975153193</v>
      </c>
      <c r="V90" s="97">
        <v>-2.6978627408205078</v>
      </c>
      <c r="W90" s="104">
        <v>1.6964869136093303</v>
      </c>
      <c r="X90" s="124"/>
      <c r="Y90" s="124"/>
      <c r="Z90" s="124"/>
      <c r="AA90" s="124"/>
      <c r="AB90" s="124"/>
      <c r="AC90" s="124"/>
      <c r="AD90" s="124"/>
      <c r="AE90" s="124"/>
    </row>
    <row r="91" spans="1:31" s="105" customFormat="1" x14ac:dyDescent="0.25">
      <c r="A91" s="118" t="s">
        <v>272</v>
      </c>
      <c r="B91" s="95">
        <v>185</v>
      </c>
      <c r="C91" s="96">
        <v>96.139122009277344</v>
      </c>
      <c r="D91" s="97">
        <v>19.59297333881171</v>
      </c>
      <c r="E91" s="98">
        <v>2.6306410424696511</v>
      </c>
      <c r="F91" s="99">
        <v>30.294504779362271</v>
      </c>
      <c r="G91" s="98">
        <v>6.7590553850496029</v>
      </c>
      <c r="H91" s="100">
        <v>27.595875131776481</v>
      </c>
      <c r="I91" s="101">
        <v>7.0497450906556995</v>
      </c>
      <c r="J91" s="97">
        <v>14.8872557851584</v>
      </c>
      <c r="K91" s="98">
        <v>6.2079462666101586</v>
      </c>
      <c r="L91" s="100">
        <v>5.361381120456497</v>
      </c>
      <c r="M91" s="101">
        <v>4.3931003539109943</v>
      </c>
      <c r="N91" s="97">
        <v>-24.933123658905782</v>
      </c>
      <c r="O91" s="102">
        <v>7.6877985366886232</v>
      </c>
      <c r="P91" s="99">
        <v>17.181211199145441</v>
      </c>
      <c r="Q91" s="98">
        <v>3.3464677431504128</v>
      </c>
      <c r="R91" s="100">
        <v>33.61970569990406</v>
      </c>
      <c r="S91" s="101">
        <v>10.370002704395805</v>
      </c>
      <c r="T91" s="97">
        <v>20.496451172661601</v>
      </c>
      <c r="U91" s="101">
        <v>5.6927091872150015</v>
      </c>
      <c r="V91" s="97">
        <v>8.0005992761017879</v>
      </c>
      <c r="W91" s="104">
        <v>5.2818425553275166</v>
      </c>
      <c r="X91" s="124"/>
      <c r="Y91" s="124"/>
      <c r="Z91" s="124"/>
      <c r="AA91" s="124"/>
      <c r="AB91" s="124"/>
      <c r="AC91" s="124"/>
      <c r="AD91" s="124"/>
      <c r="AE91" s="124"/>
    </row>
    <row r="92" spans="1:31" s="105" customFormat="1" x14ac:dyDescent="0.25">
      <c r="A92" s="118" t="s">
        <v>273</v>
      </c>
      <c r="B92" s="95">
        <v>204</v>
      </c>
      <c r="C92" s="96">
        <v>92.950508117675781</v>
      </c>
      <c r="D92" s="97">
        <v>37.208201293253389</v>
      </c>
      <c r="E92" s="98">
        <v>4.0604918347655925</v>
      </c>
      <c r="F92" s="99">
        <v>43.239001659026499</v>
      </c>
      <c r="G92" s="98">
        <v>7.530377659508785</v>
      </c>
      <c r="H92" s="100">
        <v>37.202733427254323</v>
      </c>
      <c r="I92" s="101">
        <v>10.196507029649414</v>
      </c>
      <c r="J92" s="97">
        <v>42.330026325360862</v>
      </c>
      <c r="K92" s="98">
        <v>10.124846718737148</v>
      </c>
      <c r="L92" s="100">
        <v>25.443503727753029</v>
      </c>
      <c r="M92" s="101">
        <v>8.2284660900788591</v>
      </c>
      <c r="N92" s="97">
        <v>-17.79549793127347</v>
      </c>
      <c r="O92" s="102">
        <v>10.692512704419055</v>
      </c>
      <c r="P92" s="99">
        <v>40.363938245313634</v>
      </c>
      <c r="Q92" s="98">
        <v>4.4524019569564182</v>
      </c>
      <c r="R92" s="100">
        <v>24.71396837647719</v>
      </c>
      <c r="S92" s="101">
        <v>11.570740329783757</v>
      </c>
      <c r="T92" s="97">
        <v>17.701843881144491</v>
      </c>
      <c r="U92" s="101">
        <v>12.954168300501683</v>
      </c>
      <c r="V92" s="97">
        <v>-18.861724802901644</v>
      </c>
      <c r="W92" s="104">
        <v>10.740600310214136</v>
      </c>
      <c r="X92" s="124"/>
      <c r="Y92" s="124"/>
      <c r="Z92" s="124"/>
      <c r="AA92" s="124"/>
      <c r="AB92" s="124"/>
      <c r="AC92" s="124"/>
      <c r="AD92" s="124"/>
      <c r="AE92" s="124"/>
    </row>
    <row r="93" spans="1:31" s="105" customFormat="1" x14ac:dyDescent="0.25">
      <c r="A93" s="118" t="s">
        <v>274</v>
      </c>
      <c r="B93" s="95">
        <v>248</v>
      </c>
      <c r="C93" s="96">
        <v>99.221839904785156</v>
      </c>
      <c r="D93" s="97">
        <v>19.558944758566941</v>
      </c>
      <c r="E93" s="98">
        <v>2.0618231085718413</v>
      </c>
      <c r="F93" s="99">
        <v>17.828370737269651</v>
      </c>
      <c r="G93" s="98">
        <v>5.2027812480905888</v>
      </c>
      <c r="H93" s="100">
        <v>14.96456074289225</v>
      </c>
      <c r="I93" s="101">
        <v>5.9842754426931206</v>
      </c>
      <c r="J93" s="97">
        <v>21.334825555828779</v>
      </c>
      <c r="K93" s="98">
        <v>6.598758847564782</v>
      </c>
      <c r="L93" s="100">
        <v>24.120753734883639</v>
      </c>
      <c r="M93" s="101">
        <v>7.5908819442798707</v>
      </c>
      <c r="N93" s="97">
        <v>6.2923829976139913</v>
      </c>
      <c r="O93" s="102">
        <v>9.0465396979892923</v>
      </c>
      <c r="P93" s="99">
        <v>19.328057432045231</v>
      </c>
      <c r="Q93" s="98">
        <v>2.0362613285259363</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594</v>
      </c>
      <c r="C94" s="96">
        <v>91.441261291503906</v>
      </c>
      <c r="D94" s="97">
        <v>27.261738879433999</v>
      </c>
      <c r="E94" s="98">
        <v>1.4433942449369508</v>
      </c>
      <c r="F94" s="99">
        <v>38.986646056708267</v>
      </c>
      <c r="G94" s="98">
        <v>1.6685808077591384</v>
      </c>
      <c r="H94" s="100">
        <v>39.175429562968532</v>
      </c>
      <c r="I94" s="101">
        <v>2.4674842451290777</v>
      </c>
      <c r="J94" s="97">
        <v>23.99455209237621</v>
      </c>
      <c r="K94" s="98">
        <v>3.8549831122668792</v>
      </c>
      <c r="L94" s="100">
        <v>6.8219818349198666</v>
      </c>
      <c r="M94" s="101">
        <v>2.3891384029202585</v>
      </c>
      <c r="N94" s="97">
        <v>-32.164664221788399</v>
      </c>
      <c r="O94" s="102">
        <v>3.2355074210132035</v>
      </c>
      <c r="P94" s="99">
        <v>41.86926571541315</v>
      </c>
      <c r="Q94" s="98">
        <v>0.51175140441889044</v>
      </c>
      <c r="R94" s="100" t="s">
        <v>34</v>
      </c>
      <c r="S94" s="101" t="s">
        <v>34</v>
      </c>
      <c r="T94" s="97">
        <v>18.695558085884059</v>
      </c>
      <c r="U94" s="101">
        <v>2.1413268605485052</v>
      </c>
      <c r="V94" s="97">
        <v>-23.17370762952909</v>
      </c>
      <c r="W94" s="104">
        <v>2.2397380649015761</v>
      </c>
      <c r="X94" s="124"/>
      <c r="Y94" s="124"/>
      <c r="Z94" s="124"/>
      <c r="AA94" s="124"/>
      <c r="AB94" s="124"/>
      <c r="AC94" s="124"/>
      <c r="AD94" s="124"/>
      <c r="AE94" s="124"/>
    </row>
    <row r="95" spans="1:31" s="105" customFormat="1" x14ac:dyDescent="0.25">
      <c r="A95" s="118" t="s">
        <v>276</v>
      </c>
      <c r="B95" s="95">
        <v>189</v>
      </c>
      <c r="C95" s="96">
        <v>100</v>
      </c>
      <c r="D95" s="97">
        <v>28.619869261247601</v>
      </c>
      <c r="E95" s="98">
        <v>3.3924291869988128</v>
      </c>
      <c r="F95" s="99">
        <v>27.191666397447669</v>
      </c>
      <c r="G95" s="98">
        <v>6.908045090137211</v>
      </c>
      <c r="H95" s="100">
        <v>37.922108210223342</v>
      </c>
      <c r="I95" s="101">
        <v>8.0979484187786586</v>
      </c>
      <c r="J95" s="97">
        <v>41.397906990205747</v>
      </c>
      <c r="K95" s="98">
        <v>7.7214421802497224</v>
      </c>
      <c r="L95" s="100">
        <v>7.3081802833261724</v>
      </c>
      <c r="M95" s="101">
        <v>6.5012255333002882</v>
      </c>
      <c r="N95" s="97">
        <v>-19.883486114121499</v>
      </c>
      <c r="O95" s="102">
        <v>8.1477675083401397</v>
      </c>
      <c r="P95" s="99">
        <v>33.431230658928207</v>
      </c>
      <c r="Q95" s="98">
        <v>3.9071759312297356</v>
      </c>
      <c r="R95" s="100" t="s">
        <v>34</v>
      </c>
      <c r="S95" s="101" t="s">
        <v>34</v>
      </c>
      <c r="T95" s="97">
        <v>3.2644363574419542</v>
      </c>
      <c r="U95" s="101">
        <v>3.396866499809406</v>
      </c>
      <c r="V95" s="97">
        <v>-30.166794301486252</v>
      </c>
      <c r="W95" s="104">
        <v>5.1688363242708624</v>
      </c>
      <c r="X95" s="124"/>
      <c r="Y95" s="124"/>
      <c r="Z95" s="124"/>
      <c r="AA95" s="124"/>
      <c r="AB95" s="124"/>
      <c r="AC95" s="124"/>
      <c r="AD95" s="124"/>
      <c r="AE95" s="124"/>
    </row>
    <row r="96" spans="1:31" s="105" customFormat="1" ht="13.8" thickBot="1" x14ac:dyDescent="0.3">
      <c r="A96" s="125" t="s">
        <v>277</v>
      </c>
      <c r="B96" s="108">
        <v>122</v>
      </c>
      <c r="C96" s="109">
        <v>94.736846923828125</v>
      </c>
      <c r="D96" s="110">
        <v>23.307187256839239</v>
      </c>
      <c r="E96" s="111">
        <v>4.2324589407870397</v>
      </c>
      <c r="F96" s="112">
        <v>19.282104200605961</v>
      </c>
      <c r="G96" s="111">
        <v>9.8007934546327302</v>
      </c>
      <c r="H96" s="113">
        <v>32.611622249116103</v>
      </c>
      <c r="I96" s="114">
        <v>8.9197620325520148</v>
      </c>
      <c r="J96" s="110">
        <v>23.15578954712031</v>
      </c>
      <c r="K96" s="111">
        <v>8.3613593162177917</v>
      </c>
      <c r="L96" s="113">
        <v>17.949213925887499</v>
      </c>
      <c r="M96" s="114">
        <v>7.6131554035724962</v>
      </c>
      <c r="N96" s="110">
        <v>-1.3328902747184621</v>
      </c>
      <c r="O96" s="115">
        <v>12.458905346393339</v>
      </c>
      <c r="P96" s="112">
        <v>22.33757098037125</v>
      </c>
      <c r="Q96" s="111">
        <v>4.050276776126398</v>
      </c>
      <c r="R96" s="113" t="s">
        <v>34</v>
      </c>
      <c r="S96" s="114" t="s">
        <v>34</v>
      </c>
      <c r="T96" s="110">
        <v>42.835025837902137</v>
      </c>
      <c r="U96" s="114">
        <v>21.687682603407453</v>
      </c>
      <c r="V96" s="110">
        <v>20.497454857530887</v>
      </c>
      <c r="W96" s="117">
        <v>21.253722934001697</v>
      </c>
      <c r="X96" s="124"/>
      <c r="Y96" s="124"/>
      <c r="Z96" s="124"/>
      <c r="AA96" s="124"/>
      <c r="AB96" s="124"/>
      <c r="AC96" s="124"/>
      <c r="AD96" s="124"/>
      <c r="AE96" s="124"/>
    </row>
    <row r="97" spans="1:21" s="105" customFormat="1" x14ac:dyDescent="0.25">
      <c r="N97" s="148"/>
    </row>
    <row r="98" spans="1:21" s="105" customFormat="1" x14ac:dyDescent="0.25">
      <c r="N98" s="148"/>
    </row>
    <row r="99" spans="1:21" x14ac:dyDescent="0.25">
      <c r="N99" s="53"/>
    </row>
    <row r="100" spans="1:21" x14ac:dyDescent="0.25">
      <c r="N100" s="53"/>
    </row>
    <row r="101" spans="1:21" x14ac:dyDescent="0.25">
      <c r="N101" s="53"/>
    </row>
    <row r="102" spans="1:21" x14ac:dyDescent="0.25">
      <c r="N102" s="53"/>
    </row>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B12:B13"/>
    <mergeCell ref="C12:C13"/>
    <mergeCell ref="D12:E13"/>
    <mergeCell ref="F13:G13"/>
    <mergeCell ref="H13:I13"/>
    <mergeCell ref="J13:K13"/>
    <mergeCell ref="P11:W12"/>
    <mergeCell ref="R13:S13"/>
    <mergeCell ref="T13:U13"/>
    <mergeCell ref="V13:W13"/>
    <mergeCell ref="L13:M13"/>
    <mergeCell ref="N13:O13"/>
    <mergeCell ref="P13:Q13"/>
  </mergeCells>
  <conditionalFormatting sqref="N15:N96 V15:V96">
    <cfRule type="expression" dxfId="10"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155</v>
      </c>
      <c r="B6" s="51"/>
    </row>
    <row r="7" spans="1:31" x14ac:dyDescent="0.25">
      <c r="A7" s="51" t="s">
        <v>156</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296</v>
      </c>
      <c r="G11" s="202"/>
      <c r="H11" s="202"/>
      <c r="I11" s="202"/>
      <c r="J11" s="202"/>
      <c r="K11" s="202"/>
      <c r="L11" s="202"/>
      <c r="M11" s="202"/>
      <c r="N11" s="202"/>
      <c r="O11" s="202"/>
      <c r="P11" s="201" t="s">
        <v>292</v>
      </c>
      <c r="Q11" s="202"/>
      <c r="R11" s="202"/>
      <c r="S11" s="202"/>
      <c r="T11" s="202"/>
      <c r="U11" s="202"/>
      <c r="V11" s="202"/>
      <c r="W11" s="203"/>
    </row>
    <row r="12" spans="1:31" ht="70.5" customHeight="1" x14ac:dyDescent="0.25">
      <c r="A12" s="31"/>
      <c r="B12" s="215" t="s">
        <v>10</v>
      </c>
      <c r="C12" s="217" t="s">
        <v>11</v>
      </c>
      <c r="D12" s="218" t="s">
        <v>291</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693</v>
      </c>
      <c r="C16" s="96">
        <v>91.541168212890625</v>
      </c>
      <c r="D16" s="97">
        <v>8.7321971096393138</v>
      </c>
      <c r="E16" s="98">
        <v>1.0294710781044529</v>
      </c>
      <c r="F16" s="99">
        <v>21.190992271160081</v>
      </c>
      <c r="G16" s="98">
        <v>3.6332665384668679</v>
      </c>
      <c r="H16" s="100">
        <v>10.3765431653591</v>
      </c>
      <c r="I16" s="101">
        <v>3.0018276242214919</v>
      </c>
      <c r="J16" s="97">
        <v>3.602910277740595</v>
      </c>
      <c r="K16" s="98">
        <v>1.0347109898228681</v>
      </c>
      <c r="L16" s="100">
        <v>0.27214641929486161</v>
      </c>
      <c r="M16" s="101">
        <v>0.286400023454293</v>
      </c>
      <c r="N16" s="97">
        <v>-20.918845851865221</v>
      </c>
      <c r="O16" s="102">
        <v>3.6353633313898381</v>
      </c>
      <c r="P16" s="99">
        <v>14.30761303650749</v>
      </c>
      <c r="Q16" s="98">
        <v>1.7336492944499118</v>
      </c>
      <c r="R16" s="100">
        <v>1.279655688181824</v>
      </c>
      <c r="S16" s="101">
        <v>0.57898734363789706</v>
      </c>
      <c r="T16" s="97">
        <v>0.68698049394126293</v>
      </c>
      <c r="U16" s="101">
        <v>0.54669892242375118</v>
      </c>
      <c r="V16" s="97">
        <v>-13.256493723742587</v>
      </c>
      <c r="W16" s="104">
        <v>1.8107394107757488</v>
      </c>
      <c r="X16" s="124"/>
      <c r="Y16" s="124"/>
      <c r="Z16" s="124"/>
      <c r="AA16" s="124"/>
      <c r="AB16" s="124"/>
      <c r="AC16" s="124"/>
      <c r="AD16" s="124"/>
      <c r="AE16" s="124"/>
    </row>
    <row r="17" spans="1:31" s="105" customFormat="1" x14ac:dyDescent="0.25">
      <c r="A17" s="118" t="s">
        <v>203</v>
      </c>
      <c r="B17" s="95">
        <v>291</v>
      </c>
      <c r="C17" s="96" t="s">
        <v>34</v>
      </c>
      <c r="D17" s="97">
        <v>27.635260656157861</v>
      </c>
      <c r="E17" s="98">
        <v>3.2308504590670641</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246</v>
      </c>
      <c r="C18" s="96">
        <v>88.467079162597656</v>
      </c>
      <c r="D18" s="97">
        <v>17.650282454779859</v>
      </c>
      <c r="E18" s="98">
        <v>2.4197868920551553</v>
      </c>
      <c r="F18" s="99">
        <v>24.69112356975273</v>
      </c>
      <c r="G18" s="98">
        <v>6.0763176235309704</v>
      </c>
      <c r="H18" s="100">
        <v>13.437962805025339</v>
      </c>
      <c r="I18" s="101">
        <v>5.4418119945803713</v>
      </c>
      <c r="J18" s="97">
        <v>16.44172556337017</v>
      </c>
      <c r="K18" s="98">
        <v>5.9601857806232577</v>
      </c>
      <c r="L18" s="100">
        <v>16.202368832670981</v>
      </c>
      <c r="M18" s="101">
        <v>5.008865424236844</v>
      </c>
      <c r="N18" s="97">
        <v>-8.4887547370817451</v>
      </c>
      <c r="O18" s="102">
        <v>7.9203423037698713</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768</v>
      </c>
      <c r="C19" s="96">
        <v>96.395988464355469</v>
      </c>
      <c r="D19" s="97">
        <v>8.5950586475678588</v>
      </c>
      <c r="E19" s="98">
        <v>1.2091681110833541</v>
      </c>
      <c r="F19" s="99">
        <v>14.968803088950761</v>
      </c>
      <c r="G19" s="98">
        <v>3.1615801875878842</v>
      </c>
      <c r="H19" s="100">
        <v>7.4971408146621092</v>
      </c>
      <c r="I19" s="101">
        <v>2.3505024139399828</v>
      </c>
      <c r="J19" s="97">
        <v>7.095041709928104</v>
      </c>
      <c r="K19" s="98">
        <v>2.3229931432623689</v>
      </c>
      <c r="L19" s="100">
        <v>4.8237616753524506</v>
      </c>
      <c r="M19" s="101">
        <v>1.4334314321342021</v>
      </c>
      <c r="N19" s="97">
        <v>-10.14504141359831</v>
      </c>
      <c r="O19" s="102">
        <v>3.2055173782913227</v>
      </c>
      <c r="P19" s="99">
        <v>8.9020359768616402</v>
      </c>
      <c r="Q19" s="98">
        <v>1.231164481639728</v>
      </c>
      <c r="R19" s="100">
        <v>13.54544035317179</v>
      </c>
      <c r="S19" s="101">
        <v>7.9666604855473944</v>
      </c>
      <c r="T19" s="97">
        <v>0</v>
      </c>
      <c r="U19" s="101" t="s">
        <v>35</v>
      </c>
      <c r="V19" s="97">
        <v>-3.6119025189828697</v>
      </c>
      <c r="W19" s="104">
        <v>3.4360761520097847</v>
      </c>
      <c r="X19" s="124"/>
      <c r="Y19" s="124"/>
      <c r="Z19" s="124"/>
      <c r="AA19" s="124"/>
      <c r="AB19" s="124"/>
      <c r="AC19" s="124"/>
      <c r="AD19" s="124"/>
      <c r="AE19" s="124"/>
    </row>
    <row r="20" spans="1:31" s="105" customFormat="1" x14ac:dyDescent="0.25">
      <c r="A20" s="118" t="s">
        <v>206</v>
      </c>
      <c r="B20" s="95">
        <v>206</v>
      </c>
      <c r="C20" s="96">
        <v>85.909957885742188</v>
      </c>
      <c r="D20" s="97">
        <v>19.650842483112449</v>
      </c>
      <c r="E20" s="98">
        <v>2.9459975256500197</v>
      </c>
      <c r="F20" s="99">
        <v>36.076745522074653</v>
      </c>
      <c r="G20" s="98">
        <v>8.1837006538244292</v>
      </c>
      <c r="H20" s="100">
        <v>19.367195558252799</v>
      </c>
      <c r="I20" s="101">
        <v>9.1108798613595088</v>
      </c>
      <c r="J20" s="97">
        <v>9.4175634086302011</v>
      </c>
      <c r="K20" s="98">
        <v>5.0918999815365842</v>
      </c>
      <c r="L20" s="100">
        <v>13.84163445024029</v>
      </c>
      <c r="M20" s="101">
        <v>5.639011249080375</v>
      </c>
      <c r="N20" s="97">
        <v>-22.235111071834361</v>
      </c>
      <c r="O20" s="102">
        <v>10.065294580075456</v>
      </c>
      <c r="P20" s="99">
        <v>24.773263261633101</v>
      </c>
      <c r="Q20" s="98">
        <v>5.1684950893793502</v>
      </c>
      <c r="R20" s="100">
        <v>16.563294923976791</v>
      </c>
      <c r="S20" s="101">
        <v>4.3626185437997851</v>
      </c>
      <c r="T20" s="97">
        <v>15.74721207491196</v>
      </c>
      <c r="U20" s="101">
        <v>7.2331077742470553</v>
      </c>
      <c r="V20" s="97">
        <v>-8.3935072028333799</v>
      </c>
      <c r="W20" s="104">
        <v>6.2357257107250001</v>
      </c>
      <c r="X20" s="124"/>
      <c r="Y20" s="124"/>
      <c r="Z20" s="124"/>
      <c r="AA20" s="124"/>
      <c r="AB20" s="124"/>
      <c r="AC20" s="124"/>
      <c r="AD20" s="124"/>
      <c r="AE20" s="124"/>
    </row>
    <row r="21" spans="1:31" s="105" customFormat="1" x14ac:dyDescent="0.25">
      <c r="A21" s="118" t="s">
        <v>207</v>
      </c>
      <c r="B21" s="95">
        <v>245</v>
      </c>
      <c r="C21" s="96">
        <v>98.989761352539063</v>
      </c>
      <c r="D21" s="97">
        <v>47.56803721817824</v>
      </c>
      <c r="E21" s="98">
        <v>3.551312707714942</v>
      </c>
      <c r="F21" s="99">
        <v>61.852790291306</v>
      </c>
      <c r="G21" s="98">
        <v>8.0655773200898082</v>
      </c>
      <c r="H21" s="100">
        <v>58.914604300181871</v>
      </c>
      <c r="I21" s="101">
        <v>7.823502246823927</v>
      </c>
      <c r="J21" s="97">
        <v>46.033638300594617</v>
      </c>
      <c r="K21" s="98">
        <v>9.7404729822722391</v>
      </c>
      <c r="L21" s="100">
        <v>22.525389199498271</v>
      </c>
      <c r="M21" s="101">
        <v>5.395787366997844</v>
      </c>
      <c r="N21" s="97">
        <v>-39.327401091807729</v>
      </c>
      <c r="O21" s="102">
        <v>9.664271646032633</v>
      </c>
      <c r="P21" s="99">
        <v>56.717774979052606</v>
      </c>
      <c r="Q21" s="98">
        <v>4.0566456031240463</v>
      </c>
      <c r="R21" s="100" t="s">
        <v>34</v>
      </c>
      <c r="S21" s="101" t="s">
        <v>34</v>
      </c>
      <c r="T21" s="97">
        <v>8.2761565876266125</v>
      </c>
      <c r="U21" s="101">
        <v>4.4315009335804953</v>
      </c>
      <c r="V21" s="97">
        <v>-48.44161839142599</v>
      </c>
      <c r="W21" s="104">
        <v>5.6085224405788567</v>
      </c>
      <c r="X21" s="124"/>
      <c r="Y21" s="124"/>
      <c r="Z21" s="124"/>
      <c r="AA21" s="124"/>
      <c r="AB21" s="124"/>
      <c r="AC21" s="124"/>
      <c r="AD21" s="124"/>
      <c r="AE21" s="124"/>
    </row>
    <row r="22" spans="1:31" s="105" customFormat="1" x14ac:dyDescent="0.25">
      <c r="A22" s="118" t="s">
        <v>208</v>
      </c>
      <c r="B22" s="95">
        <v>323</v>
      </c>
      <c r="C22" s="96">
        <v>96.380699157714844</v>
      </c>
      <c r="D22" s="97">
        <v>23.372454114814669</v>
      </c>
      <c r="E22" s="98">
        <v>2.726992980834698</v>
      </c>
      <c r="F22" s="99">
        <v>25.894362721813529</v>
      </c>
      <c r="G22" s="98">
        <v>5.1269276794049254</v>
      </c>
      <c r="H22" s="100">
        <v>18.60480041174176</v>
      </c>
      <c r="I22" s="101">
        <v>5.8481152840866688</v>
      </c>
      <c r="J22" s="97">
        <v>22.179147000339679</v>
      </c>
      <c r="K22" s="98">
        <v>5.4722370320906659</v>
      </c>
      <c r="L22" s="100">
        <v>26.81948200032161</v>
      </c>
      <c r="M22" s="101">
        <v>5.8244565364726206</v>
      </c>
      <c r="N22" s="97">
        <v>0.92511927850807751</v>
      </c>
      <c r="O22" s="102">
        <v>8.1401270490931825</v>
      </c>
      <c r="P22" s="99">
        <v>23.400517647832459</v>
      </c>
      <c r="Q22" s="98">
        <v>2.7839823714623986</v>
      </c>
      <c r="R22" s="100">
        <v>19.50474743277406</v>
      </c>
      <c r="S22" s="101">
        <v>11.306983045756898</v>
      </c>
      <c r="T22" s="97" t="s">
        <v>34</v>
      </c>
      <c r="U22" s="101" t="s">
        <v>34</v>
      </c>
      <c r="V22" s="97">
        <v>-3.8957702150583984</v>
      </c>
      <c r="W22" s="104">
        <v>11.496479589242867</v>
      </c>
      <c r="X22" s="124"/>
      <c r="Y22" s="124"/>
      <c r="Z22" s="124"/>
      <c r="AA22" s="124"/>
      <c r="AB22" s="124"/>
      <c r="AC22" s="124"/>
      <c r="AD22" s="124"/>
      <c r="AE22" s="124"/>
    </row>
    <row r="23" spans="1:31" s="105" customFormat="1" x14ac:dyDescent="0.25">
      <c r="A23" s="118" t="s">
        <v>209</v>
      </c>
      <c r="B23" s="95">
        <v>266</v>
      </c>
      <c r="C23" s="96">
        <v>80.301307678222656</v>
      </c>
      <c r="D23" s="97">
        <v>10.15671897534498</v>
      </c>
      <c r="E23" s="98">
        <v>2.2289719009536566</v>
      </c>
      <c r="F23" s="99">
        <v>13.765991411208381</v>
      </c>
      <c r="G23" s="98">
        <v>5.2250138072859151</v>
      </c>
      <c r="H23" s="100">
        <v>14.311926810915709</v>
      </c>
      <c r="I23" s="101">
        <v>5.133078092047902</v>
      </c>
      <c r="J23" s="97">
        <v>12.31387590495626</v>
      </c>
      <c r="K23" s="98">
        <v>5.6982329951039841</v>
      </c>
      <c r="L23" s="100">
        <v>0</v>
      </c>
      <c r="M23" s="101">
        <v>0.16232422419598511</v>
      </c>
      <c r="N23" s="97">
        <v>-13.765991411208381</v>
      </c>
      <c r="O23" s="102">
        <v>5.2055413370151573</v>
      </c>
      <c r="P23" s="99">
        <v>14.13121991124722</v>
      </c>
      <c r="Q23" s="98">
        <v>3.0049437956178631</v>
      </c>
      <c r="R23" s="100">
        <v>0</v>
      </c>
      <c r="S23" s="101" t="s">
        <v>35</v>
      </c>
      <c r="T23" s="97">
        <v>0</v>
      </c>
      <c r="U23" s="101" t="s">
        <v>35</v>
      </c>
      <c r="V23" s="97">
        <v>-14.13121991124722</v>
      </c>
      <c r="W23" s="104">
        <v>3.0049437956178631</v>
      </c>
      <c r="X23" s="124"/>
      <c r="Y23" s="124"/>
      <c r="Z23" s="124"/>
      <c r="AA23" s="124"/>
      <c r="AB23" s="124"/>
      <c r="AC23" s="124"/>
      <c r="AD23" s="124"/>
      <c r="AE23" s="124"/>
    </row>
    <row r="24" spans="1:31" s="105" customFormat="1" x14ac:dyDescent="0.25">
      <c r="A24" s="118" t="s">
        <v>210</v>
      </c>
      <c r="B24" s="95">
        <v>224</v>
      </c>
      <c r="C24" s="96">
        <v>99.549774169921875</v>
      </c>
      <c r="D24" s="97">
        <v>22.49868894843938</v>
      </c>
      <c r="E24" s="98">
        <v>1.5823719928823312</v>
      </c>
      <c r="F24" s="99">
        <v>25.224919265433542</v>
      </c>
      <c r="G24" s="98">
        <v>4.6376494483801771</v>
      </c>
      <c r="H24" s="100">
        <v>34.890685070181533</v>
      </c>
      <c r="I24" s="101">
        <v>5.4957642980269235</v>
      </c>
      <c r="J24" s="97">
        <v>11.58561905468073</v>
      </c>
      <c r="K24" s="98">
        <v>6.107004002113273</v>
      </c>
      <c r="L24" s="100">
        <v>18.224349508931489</v>
      </c>
      <c r="M24" s="101">
        <v>1.6002519595337394</v>
      </c>
      <c r="N24" s="97">
        <v>-7.0005697565020526</v>
      </c>
      <c r="O24" s="102">
        <v>5.2084216406751862</v>
      </c>
      <c r="P24" s="99">
        <v>22.999367352774321</v>
      </c>
      <c r="Q24" s="98">
        <v>1.6438898075117072</v>
      </c>
      <c r="R24" s="100">
        <v>0</v>
      </c>
      <c r="S24" s="101" t="s">
        <v>35</v>
      </c>
      <c r="T24" s="97">
        <v>24.92585020965014</v>
      </c>
      <c r="U24" s="101">
        <v>19.275345065049041</v>
      </c>
      <c r="V24" s="97">
        <v>-12.65616086361787</v>
      </c>
      <c r="W24" s="104">
        <v>7.7486900849349585</v>
      </c>
      <c r="X24" s="124"/>
      <c r="Y24" s="124"/>
      <c r="Z24" s="124"/>
      <c r="AA24" s="124"/>
      <c r="AB24" s="124"/>
      <c r="AC24" s="124"/>
      <c r="AD24" s="124"/>
      <c r="AE24" s="124"/>
    </row>
    <row r="25" spans="1:31" s="105" customFormat="1" x14ac:dyDescent="0.25">
      <c r="A25" s="118" t="s">
        <v>211</v>
      </c>
      <c r="B25" s="95">
        <v>209</v>
      </c>
      <c r="C25" s="96">
        <v>98.873802185058594</v>
      </c>
      <c r="D25" s="97">
        <v>27.904429098066171</v>
      </c>
      <c r="E25" s="98">
        <v>3.239917085527396</v>
      </c>
      <c r="F25" s="99">
        <v>28.016739380738809</v>
      </c>
      <c r="G25" s="98">
        <v>6.9161042057210897</v>
      </c>
      <c r="H25" s="100">
        <v>38.603361994395136</v>
      </c>
      <c r="I25" s="101">
        <v>8.0182126784984113</v>
      </c>
      <c r="J25" s="97">
        <v>28.50787436104552</v>
      </c>
      <c r="K25" s="98">
        <v>6.9255492259944722</v>
      </c>
      <c r="L25" s="100">
        <v>16.44728226798669</v>
      </c>
      <c r="M25" s="101">
        <v>5.61192637835968</v>
      </c>
      <c r="N25" s="97">
        <v>-11.56945711275212</v>
      </c>
      <c r="O25" s="102">
        <v>9.0697712689282639</v>
      </c>
      <c r="P25" s="99">
        <v>28.57343638888495</v>
      </c>
      <c r="Q25" s="98">
        <v>3.3246698438837208</v>
      </c>
      <c r="R25" s="100">
        <v>11.932551238284811</v>
      </c>
      <c r="S25" s="101">
        <v>12.725770239393368</v>
      </c>
      <c r="T25" s="97" t="s">
        <v>34</v>
      </c>
      <c r="U25" s="101" t="s">
        <v>34</v>
      </c>
      <c r="V25" s="97">
        <v>-16.640885150600141</v>
      </c>
      <c r="W25" s="104">
        <v>13.049103021135084</v>
      </c>
      <c r="X25" s="124"/>
      <c r="Y25" s="124"/>
      <c r="Z25" s="124"/>
      <c r="AA25" s="124"/>
      <c r="AB25" s="124"/>
      <c r="AC25" s="124"/>
      <c r="AD25" s="124"/>
      <c r="AE25" s="124"/>
    </row>
    <row r="26" spans="1:31" s="105" customFormat="1" x14ac:dyDescent="0.25">
      <c r="A26" s="118" t="s">
        <v>212</v>
      </c>
      <c r="B26" s="95">
        <v>164</v>
      </c>
      <c r="C26" s="96">
        <v>76.662361145019531</v>
      </c>
      <c r="D26" s="97">
        <v>11.019128725830999</v>
      </c>
      <c r="E26" s="98">
        <v>2.6683785329082905</v>
      </c>
      <c r="F26" s="99">
        <v>11.09123305295175</v>
      </c>
      <c r="G26" s="98">
        <v>4.7990200589105578</v>
      </c>
      <c r="H26" s="100">
        <v>12.203075575844849</v>
      </c>
      <c r="I26" s="101">
        <v>6.2077376696676954</v>
      </c>
      <c r="J26" s="97">
        <v>14.70402477319668</v>
      </c>
      <c r="K26" s="98">
        <v>6.3425917756561869</v>
      </c>
      <c r="L26" s="100">
        <v>5.8806307283080814</v>
      </c>
      <c r="M26" s="101">
        <v>4.0246640599922987</v>
      </c>
      <c r="N26" s="97">
        <v>-5.2106023246436681</v>
      </c>
      <c r="O26" s="102">
        <v>6.097631242076849</v>
      </c>
      <c r="P26" s="99">
        <v>11.45243842291473</v>
      </c>
      <c r="Q26" s="98">
        <v>3.0739312715946334</v>
      </c>
      <c r="R26" s="100">
        <v>16.227429326394919</v>
      </c>
      <c r="S26" s="101">
        <v>11.597488836060075</v>
      </c>
      <c r="T26" s="97">
        <v>0</v>
      </c>
      <c r="U26" s="101" t="s">
        <v>35</v>
      </c>
      <c r="V26" s="97">
        <v>-3.025040797717665</v>
      </c>
      <c r="W26" s="104">
        <v>6.6572724508077643</v>
      </c>
      <c r="X26" s="124"/>
      <c r="Y26" s="124"/>
      <c r="Z26" s="124"/>
      <c r="AA26" s="124"/>
      <c r="AB26" s="124"/>
      <c r="AC26" s="124"/>
      <c r="AD26" s="124"/>
      <c r="AE26" s="124"/>
    </row>
    <row r="27" spans="1:31" s="105" customFormat="1" x14ac:dyDescent="0.25">
      <c r="A27" s="118" t="s">
        <v>213</v>
      </c>
      <c r="B27" s="95">
        <v>185</v>
      </c>
      <c r="C27" s="96">
        <v>82.315406799316406</v>
      </c>
      <c r="D27" s="97">
        <v>41.446786510951767</v>
      </c>
      <c r="E27" s="98">
        <v>3.2195836998130001</v>
      </c>
      <c r="F27" s="99">
        <v>42.636621032652037</v>
      </c>
      <c r="G27" s="98">
        <v>7.8518513749515044</v>
      </c>
      <c r="H27" s="100">
        <v>47.28182048990022</v>
      </c>
      <c r="I27" s="101">
        <v>9.1921873927903341</v>
      </c>
      <c r="J27" s="97">
        <v>43.032216807121827</v>
      </c>
      <c r="K27" s="98">
        <v>10.200849207984229</v>
      </c>
      <c r="L27" s="100">
        <v>32.05662211704859</v>
      </c>
      <c r="M27" s="101">
        <v>7.9219190351417925</v>
      </c>
      <c r="N27" s="97">
        <v>-10.579998915603451</v>
      </c>
      <c r="O27" s="102">
        <v>11.182532880955058</v>
      </c>
      <c r="P27" s="99">
        <v>42.136352280452193</v>
      </c>
      <c r="Q27" s="98">
        <v>3.3475559154841288</v>
      </c>
      <c r="R27" s="100">
        <v>34.548441675448437</v>
      </c>
      <c r="S27" s="101">
        <v>23.032546291670425</v>
      </c>
      <c r="T27" s="97" t="s">
        <v>34</v>
      </c>
      <c r="U27" s="101" t="s">
        <v>34</v>
      </c>
      <c r="V27" s="97">
        <v>-7.5879106050037564</v>
      </c>
      <c r="W27" s="104">
        <v>23.557870968526121</v>
      </c>
      <c r="X27" s="124"/>
      <c r="Y27" s="124"/>
      <c r="Z27" s="124"/>
      <c r="AA27" s="124"/>
      <c r="AB27" s="124"/>
      <c r="AC27" s="124"/>
      <c r="AD27" s="124"/>
      <c r="AE27" s="124"/>
    </row>
    <row r="28" spans="1:31" s="105" customFormat="1" x14ac:dyDescent="0.25">
      <c r="A28" s="118" t="s">
        <v>214</v>
      </c>
      <c r="B28" s="95">
        <v>197</v>
      </c>
      <c r="C28" s="96">
        <v>90.79962158203125</v>
      </c>
      <c r="D28" s="97">
        <v>51.480372398505473</v>
      </c>
      <c r="E28" s="98">
        <v>3.5177046516600852</v>
      </c>
      <c r="F28" s="99">
        <v>57.140060105162171</v>
      </c>
      <c r="G28" s="98">
        <v>7.0541372694175077</v>
      </c>
      <c r="H28" s="100">
        <v>49.180868121855063</v>
      </c>
      <c r="I28" s="101">
        <v>8.8547957320222839</v>
      </c>
      <c r="J28" s="97">
        <v>61.767860118084563</v>
      </c>
      <c r="K28" s="98">
        <v>9.5765395901367718</v>
      </c>
      <c r="L28" s="100">
        <v>37.924509566318022</v>
      </c>
      <c r="M28" s="101">
        <v>7.061165670125467</v>
      </c>
      <c r="N28" s="97">
        <v>-19.215550538844159</v>
      </c>
      <c r="O28" s="102">
        <v>9.5390526769289021</v>
      </c>
      <c r="P28" s="99">
        <v>53.55900090944855</v>
      </c>
      <c r="Q28" s="98">
        <v>3.6085510242389929</v>
      </c>
      <c r="R28" s="100" t="s">
        <v>34</v>
      </c>
      <c r="S28" s="101" t="s">
        <v>34</v>
      </c>
      <c r="T28" s="97">
        <v>9.696452181090482</v>
      </c>
      <c r="U28" s="101">
        <v>10.21147097650319</v>
      </c>
      <c r="V28" s="97">
        <v>-43.862548728358064</v>
      </c>
      <c r="W28" s="104">
        <v>10.852265503184531</v>
      </c>
      <c r="X28" s="124"/>
      <c r="Y28" s="124"/>
      <c r="Z28" s="124"/>
      <c r="AA28" s="124"/>
      <c r="AB28" s="124"/>
      <c r="AC28" s="124"/>
      <c r="AD28" s="124"/>
      <c r="AE28" s="124"/>
    </row>
    <row r="29" spans="1:31" s="105" customFormat="1" x14ac:dyDescent="0.25">
      <c r="A29" s="118" t="s">
        <v>215</v>
      </c>
      <c r="B29" s="95">
        <v>160</v>
      </c>
      <c r="C29" s="96">
        <v>89.000114440917969</v>
      </c>
      <c r="D29" s="97">
        <v>46.805513975556323</v>
      </c>
      <c r="E29" s="98">
        <v>4.003402284009554</v>
      </c>
      <c r="F29" s="99">
        <v>45.027007384251007</v>
      </c>
      <c r="G29" s="98">
        <v>7.6161821940172842</v>
      </c>
      <c r="H29" s="100">
        <v>42.316491290290472</v>
      </c>
      <c r="I29" s="101">
        <v>8.9997381618435615</v>
      </c>
      <c r="J29" s="97">
        <v>48.490368148480108</v>
      </c>
      <c r="K29" s="98">
        <v>9.7514175002336057</v>
      </c>
      <c r="L29" s="100">
        <v>51.476945439319913</v>
      </c>
      <c r="M29" s="101">
        <v>8.8494318447560048</v>
      </c>
      <c r="N29" s="97">
        <v>6.4499380550688912</v>
      </c>
      <c r="O29" s="102">
        <v>11.180523020391046</v>
      </c>
      <c r="P29" s="99">
        <v>54.217247470661462</v>
      </c>
      <c r="Q29" s="98">
        <v>4.9118983618775598</v>
      </c>
      <c r="R29" s="100">
        <v>22.395822366500749</v>
      </c>
      <c r="S29" s="101">
        <v>6.6142673892896076</v>
      </c>
      <c r="T29" s="97" t="s">
        <v>34</v>
      </c>
      <c r="U29" s="101" t="s">
        <v>34</v>
      </c>
      <c r="V29" s="97">
        <v>-31.821425104160713</v>
      </c>
      <c r="W29" s="104">
        <v>8.410262938472659</v>
      </c>
      <c r="X29" s="124"/>
      <c r="Y29" s="124"/>
      <c r="Z29" s="124"/>
      <c r="AA29" s="124"/>
      <c r="AB29" s="124"/>
      <c r="AC29" s="124"/>
      <c r="AD29" s="124"/>
      <c r="AE29" s="124"/>
    </row>
    <row r="30" spans="1:31" s="105" customFormat="1" x14ac:dyDescent="0.25">
      <c r="A30" s="118" t="s">
        <v>216</v>
      </c>
      <c r="B30" s="95">
        <v>128</v>
      </c>
      <c r="C30" s="96">
        <v>98.116279602050781</v>
      </c>
      <c r="D30" s="97">
        <v>19.83665207192422</v>
      </c>
      <c r="E30" s="98">
        <v>0.18661720222546507</v>
      </c>
      <c r="F30" s="99">
        <v>20.276168129246351</v>
      </c>
      <c r="G30" s="98">
        <v>0.48595620697746106</v>
      </c>
      <c r="H30" s="100">
        <v>14.89284815396136</v>
      </c>
      <c r="I30" s="101">
        <v>0.35113264604511096</v>
      </c>
      <c r="J30" s="97">
        <v>38.129881191416132</v>
      </c>
      <c r="K30" s="98">
        <v>0.43731801179938562</v>
      </c>
      <c r="L30" s="100">
        <v>5.6465996595735906</v>
      </c>
      <c r="M30" s="101">
        <v>0.11054590873871273</v>
      </c>
      <c r="N30" s="97">
        <v>-14.629568469672749</v>
      </c>
      <c r="O30" s="102">
        <v>0.51792454602102123</v>
      </c>
      <c r="P30" s="99">
        <v>19.798081197078361</v>
      </c>
      <c r="Q30" s="98">
        <v>0.19366413985787925</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154</v>
      </c>
      <c r="C31" s="96">
        <v>97.987037658691406</v>
      </c>
      <c r="D31" s="97">
        <v>26.448973770969001</v>
      </c>
      <c r="E31" s="98">
        <v>3.7746891071162061</v>
      </c>
      <c r="F31" s="99">
        <v>34.874170125138463</v>
      </c>
      <c r="G31" s="98">
        <v>8.8187543730680602</v>
      </c>
      <c r="H31" s="100">
        <v>20.426389992499171</v>
      </c>
      <c r="I31" s="101">
        <v>10.196831352107179</v>
      </c>
      <c r="J31" s="97">
        <v>40.111842059821839</v>
      </c>
      <c r="K31" s="98">
        <v>9.2100873430460766</v>
      </c>
      <c r="L31" s="100">
        <v>10.381971549534461</v>
      </c>
      <c r="M31" s="101">
        <v>6.1079392056295481</v>
      </c>
      <c r="N31" s="97">
        <v>-24.492198575603989</v>
      </c>
      <c r="O31" s="102">
        <v>11.541768738059691</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163</v>
      </c>
      <c r="C32" s="96">
        <v>94.944236755371094</v>
      </c>
      <c r="D32" s="97">
        <v>31.89349150249997</v>
      </c>
      <c r="E32" s="98">
        <v>4.1949437406107952</v>
      </c>
      <c r="F32" s="99">
        <v>44.050769506771481</v>
      </c>
      <c r="G32" s="98">
        <v>9.4406846818037558</v>
      </c>
      <c r="H32" s="100">
        <v>26.127517838379699</v>
      </c>
      <c r="I32" s="101">
        <v>7.4728475858085455</v>
      </c>
      <c r="J32" s="97">
        <v>30.308724006796758</v>
      </c>
      <c r="K32" s="98">
        <v>10.285331456822314</v>
      </c>
      <c r="L32" s="100">
        <v>26.772497894058269</v>
      </c>
      <c r="M32" s="101">
        <v>7.6435638818322831</v>
      </c>
      <c r="N32" s="97">
        <v>-17.278271612713208</v>
      </c>
      <c r="O32" s="102">
        <v>11.649822918452561</v>
      </c>
      <c r="P32" s="99">
        <v>31.89349150249997</v>
      </c>
      <c r="Q32" s="98">
        <v>4.1949437406107952</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489</v>
      </c>
      <c r="C33" s="96">
        <v>93.839561462402344</v>
      </c>
      <c r="D33" s="97">
        <v>26.1245441444904</v>
      </c>
      <c r="E33" s="98">
        <v>3.0603614612578789</v>
      </c>
      <c r="F33" s="99">
        <v>36.237925336140343</v>
      </c>
      <c r="G33" s="98">
        <v>7.187809334716154</v>
      </c>
      <c r="H33" s="100">
        <v>33.101820207383348</v>
      </c>
      <c r="I33" s="101">
        <v>7.5274250210922569</v>
      </c>
      <c r="J33" s="97">
        <v>18.48082432670072</v>
      </c>
      <c r="K33" s="98">
        <v>7.7037261560575159</v>
      </c>
      <c r="L33" s="100">
        <v>16.892331903010181</v>
      </c>
      <c r="M33" s="101">
        <v>5.912238779071771</v>
      </c>
      <c r="N33" s="97">
        <v>-19.345593433130158</v>
      </c>
      <c r="O33" s="102">
        <v>9.4432605028092897</v>
      </c>
      <c r="P33" s="99">
        <v>26.957168481219771</v>
      </c>
      <c r="Q33" s="98">
        <v>3.2018598894988246</v>
      </c>
      <c r="R33" s="100">
        <v>12.878836359479809</v>
      </c>
      <c r="S33" s="101">
        <v>10.223721452671013</v>
      </c>
      <c r="T33" s="97">
        <v>0.13168233256741391</v>
      </c>
      <c r="U33" s="101">
        <v>5.503700522307442E-2</v>
      </c>
      <c r="V33" s="97">
        <v>-21.584414546118992</v>
      </c>
      <c r="W33" s="104">
        <v>5.3970134571760031</v>
      </c>
      <c r="X33" s="124"/>
      <c r="Y33" s="124"/>
      <c r="Z33" s="124"/>
      <c r="AA33" s="124"/>
      <c r="AB33" s="124"/>
      <c r="AC33" s="124"/>
      <c r="AD33" s="124"/>
      <c r="AE33" s="124"/>
    </row>
    <row r="34" spans="1:31" s="105" customFormat="1" x14ac:dyDescent="0.25">
      <c r="A34" s="118" t="s">
        <v>220</v>
      </c>
      <c r="B34" s="95">
        <v>183</v>
      </c>
      <c r="C34" s="96">
        <v>100</v>
      </c>
      <c r="D34" s="97">
        <v>42.978807383387263</v>
      </c>
      <c r="E34" s="98">
        <v>3.4037277738254517</v>
      </c>
      <c r="F34" s="99">
        <v>54.800681090610126</v>
      </c>
      <c r="G34" s="98">
        <v>7.6095528337979124</v>
      </c>
      <c r="H34" s="100">
        <v>50.803575197353148</v>
      </c>
      <c r="I34" s="101">
        <v>7.3714124209290155</v>
      </c>
      <c r="J34" s="97">
        <v>43.367279395510117</v>
      </c>
      <c r="K34" s="98">
        <v>8.8657171215191415</v>
      </c>
      <c r="L34" s="100">
        <v>23.561021855543121</v>
      </c>
      <c r="M34" s="101">
        <v>7.550790119570304</v>
      </c>
      <c r="N34" s="97">
        <v>-31.239659235067009</v>
      </c>
      <c r="O34" s="102">
        <v>10.95621117726207</v>
      </c>
      <c r="P34" s="99">
        <v>50.788271818794342</v>
      </c>
      <c r="Q34" s="98">
        <v>4.2104057234498429</v>
      </c>
      <c r="R34" s="100">
        <v>28.591270672054169</v>
      </c>
      <c r="S34" s="101">
        <v>16.485645068546557</v>
      </c>
      <c r="T34" s="97">
        <v>27.50320474220397</v>
      </c>
      <c r="U34" s="101">
        <v>6.350596789906688</v>
      </c>
      <c r="V34" s="97">
        <v>-23.168035087285372</v>
      </c>
      <c r="W34" s="104">
        <v>7.4842571459937348</v>
      </c>
      <c r="X34" s="124"/>
      <c r="Y34" s="124"/>
      <c r="Z34" s="124"/>
      <c r="AA34" s="124"/>
      <c r="AB34" s="124"/>
      <c r="AC34" s="124"/>
      <c r="AD34" s="124"/>
      <c r="AE34" s="124"/>
    </row>
    <row r="35" spans="1:31" s="105" customFormat="1" x14ac:dyDescent="0.25">
      <c r="A35" s="118" t="s">
        <v>221</v>
      </c>
      <c r="B35" s="95">
        <v>153</v>
      </c>
      <c r="C35" s="96">
        <v>83.323898315429688</v>
      </c>
      <c r="D35" s="97">
        <v>33.032865178251058</v>
      </c>
      <c r="E35" s="98">
        <v>3.6070145500544375</v>
      </c>
      <c r="F35" s="99">
        <v>41.1233635426251</v>
      </c>
      <c r="G35" s="98">
        <v>9.9421418140859714</v>
      </c>
      <c r="H35" s="100">
        <v>28.796960352168611</v>
      </c>
      <c r="I35" s="101">
        <v>9.3490003487973894</v>
      </c>
      <c r="J35" s="97">
        <v>37.046354973440323</v>
      </c>
      <c r="K35" s="98">
        <v>9.3967501865271199</v>
      </c>
      <c r="L35" s="100">
        <v>25.613928984086339</v>
      </c>
      <c r="M35" s="101">
        <v>7.3699236612010903</v>
      </c>
      <c r="N35" s="97">
        <v>-15.509434558538761</v>
      </c>
      <c r="O35" s="102">
        <v>12.997728617619686</v>
      </c>
      <c r="P35" s="99">
        <v>32.485589269770912</v>
      </c>
      <c r="Q35" s="98">
        <v>4.8675250965282251</v>
      </c>
      <c r="R35" s="100">
        <v>37.888856975953317</v>
      </c>
      <c r="S35" s="101">
        <v>6.487639323802334</v>
      </c>
      <c r="T35" s="97">
        <v>9.7110107849868061</v>
      </c>
      <c r="U35" s="101">
        <v>9.5564201126977615</v>
      </c>
      <c r="V35" s="97">
        <v>1.2841135745024772</v>
      </c>
      <c r="W35" s="104">
        <v>7.6928437550055788</v>
      </c>
      <c r="X35" s="124"/>
      <c r="Y35" s="124"/>
      <c r="Z35" s="124"/>
      <c r="AA35" s="124"/>
      <c r="AB35" s="124"/>
      <c r="AC35" s="124"/>
      <c r="AD35" s="124"/>
      <c r="AE35" s="124"/>
    </row>
    <row r="36" spans="1:31" s="105" customFormat="1" x14ac:dyDescent="0.25">
      <c r="A36" s="118" t="s">
        <v>222</v>
      </c>
      <c r="B36" s="95">
        <v>291</v>
      </c>
      <c r="C36" s="96">
        <v>94.387733459472656</v>
      </c>
      <c r="D36" s="97">
        <v>21.843161601926109</v>
      </c>
      <c r="E36" s="98">
        <v>1.7279826574638837</v>
      </c>
      <c r="F36" s="99">
        <v>19.629330640479459</v>
      </c>
      <c r="G36" s="98">
        <v>4.7835928472841935</v>
      </c>
      <c r="H36" s="100">
        <v>23.233155147067201</v>
      </c>
      <c r="I36" s="101">
        <v>5.9222004960455132</v>
      </c>
      <c r="J36" s="97">
        <v>30.89814505525063</v>
      </c>
      <c r="K36" s="98">
        <v>6.0929113456331141</v>
      </c>
      <c r="L36" s="100">
        <v>13.68703685551891</v>
      </c>
      <c r="M36" s="101">
        <v>2.1246282005549282</v>
      </c>
      <c r="N36" s="97">
        <v>-5.9422937849605422</v>
      </c>
      <c r="O36" s="102">
        <v>5.3603428650356122</v>
      </c>
      <c r="P36" s="99">
        <v>21.984653635224181</v>
      </c>
      <c r="Q36" s="98">
        <v>1.7223938024108778</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23.338226671063531</v>
      </c>
      <c r="E37" s="98">
        <v>1.5294070317427864</v>
      </c>
      <c r="F37" s="99">
        <v>25.725275797547361</v>
      </c>
      <c r="G37" s="98">
        <v>4.1899162930193841</v>
      </c>
      <c r="H37" s="100">
        <v>20.459867623577281</v>
      </c>
      <c r="I37" s="101">
        <v>3.1212714668467663</v>
      </c>
      <c r="J37" s="97">
        <v>15.54291252639643</v>
      </c>
      <c r="K37" s="98">
        <v>3.6604773923905123</v>
      </c>
      <c r="L37" s="100">
        <v>31.499602609256211</v>
      </c>
      <c r="M37" s="101">
        <v>2.9826077379441354</v>
      </c>
      <c r="N37" s="97">
        <v>5.7743268117088427</v>
      </c>
      <c r="O37" s="102">
        <v>4.9118839763354041</v>
      </c>
      <c r="P37" s="99">
        <v>24.014028844565068</v>
      </c>
      <c r="Q37" s="98">
        <v>1.5845119879106784</v>
      </c>
      <c r="R37" s="100">
        <v>10.916424640338191</v>
      </c>
      <c r="S37" s="101">
        <v>1.9255123686574023</v>
      </c>
      <c r="T37" s="97" t="s">
        <v>34</v>
      </c>
      <c r="U37" s="101" t="s">
        <v>34</v>
      </c>
      <c r="V37" s="97">
        <v>-13.097604204226878</v>
      </c>
      <c r="W37" s="104">
        <v>2.3792681171796657</v>
      </c>
      <c r="X37" s="124"/>
      <c r="Y37" s="124"/>
      <c r="Z37" s="124"/>
      <c r="AA37" s="124"/>
      <c r="AB37" s="124"/>
      <c r="AC37" s="124"/>
      <c r="AD37" s="124"/>
      <c r="AE37" s="124"/>
    </row>
    <row r="38" spans="1:31" s="105" customFormat="1" x14ac:dyDescent="0.25">
      <c r="A38" s="118" t="s">
        <v>224</v>
      </c>
      <c r="B38" s="95">
        <v>43</v>
      </c>
      <c r="C38" s="96">
        <v>96.65936279296875</v>
      </c>
      <c r="D38" s="97">
        <v>3.7098026997426832</v>
      </c>
      <c r="E38" s="98">
        <v>7.1103151709099657E-2</v>
      </c>
      <c r="F38" s="99">
        <v>9.4422183846267984</v>
      </c>
      <c r="G38" s="98">
        <v>0.18022814578824825</v>
      </c>
      <c r="H38" s="100">
        <v>0</v>
      </c>
      <c r="I38" s="101" t="s">
        <v>35</v>
      </c>
      <c r="J38" s="97">
        <v>4.6086428398956958</v>
      </c>
      <c r="K38" s="98">
        <v>0.18898546887754814</v>
      </c>
      <c r="L38" s="100">
        <v>0</v>
      </c>
      <c r="M38" s="101" t="s">
        <v>35</v>
      </c>
      <c r="N38" s="97">
        <v>-9.4422183846267984</v>
      </c>
      <c r="O38" s="102">
        <v>0.18022814578824825</v>
      </c>
      <c r="P38" s="99">
        <v>4.5405442993903771</v>
      </c>
      <c r="Q38" s="98">
        <v>8.5909873965285058E-2</v>
      </c>
      <c r="R38" s="100">
        <v>0</v>
      </c>
      <c r="S38" s="101" t="s">
        <v>35</v>
      </c>
      <c r="T38" s="97" t="s">
        <v>34</v>
      </c>
      <c r="U38" s="101" t="s">
        <v>34</v>
      </c>
      <c r="V38" s="97">
        <v>-4.5405442993903771</v>
      </c>
      <c r="W38" s="104">
        <v>8.5909873965285058E-2</v>
      </c>
      <c r="X38" s="124"/>
      <c r="Y38" s="124"/>
      <c r="Z38" s="124"/>
      <c r="AA38" s="124"/>
      <c r="AB38" s="124"/>
      <c r="AC38" s="124"/>
      <c r="AD38" s="124"/>
      <c r="AE38" s="124"/>
    </row>
    <row r="39" spans="1:31" s="105" customFormat="1" x14ac:dyDescent="0.25">
      <c r="A39" s="118" t="s">
        <v>225</v>
      </c>
      <c r="B39" s="95">
        <v>206</v>
      </c>
      <c r="C39" s="96">
        <v>77.386253356933594</v>
      </c>
      <c r="D39" s="97">
        <v>41.717240783733587</v>
      </c>
      <c r="E39" s="98">
        <v>3.4739178411561054</v>
      </c>
      <c r="F39" s="99">
        <v>58.834741175812489</v>
      </c>
      <c r="G39" s="98">
        <v>7.5161013975046842</v>
      </c>
      <c r="H39" s="100">
        <v>50.273695218662247</v>
      </c>
      <c r="I39" s="101">
        <v>10.483571414652822</v>
      </c>
      <c r="J39" s="97">
        <v>37.451608714194862</v>
      </c>
      <c r="K39" s="98">
        <v>8.7065015042618406</v>
      </c>
      <c r="L39" s="100">
        <v>20.3989459629457</v>
      </c>
      <c r="M39" s="101">
        <v>6.2142266603186931</v>
      </c>
      <c r="N39" s="97">
        <v>-38.435795212866793</v>
      </c>
      <c r="O39" s="102">
        <v>10.498899531248114</v>
      </c>
      <c r="P39" s="99">
        <v>47.17367239324804</v>
      </c>
      <c r="Q39" s="98">
        <v>3.8989086896425831</v>
      </c>
      <c r="R39" s="100" t="s">
        <v>34</v>
      </c>
      <c r="S39" s="101" t="s">
        <v>34</v>
      </c>
      <c r="T39" s="97">
        <v>5.2189960583129116</v>
      </c>
      <c r="U39" s="101">
        <v>3.3318760536287066</v>
      </c>
      <c r="V39" s="97">
        <v>-41.954676334935129</v>
      </c>
      <c r="W39" s="104">
        <v>4.9620351132062082</v>
      </c>
      <c r="X39" s="124"/>
      <c r="Y39" s="124"/>
      <c r="Z39" s="124"/>
      <c r="AA39" s="124"/>
      <c r="AB39" s="124"/>
      <c r="AC39" s="124"/>
      <c r="AD39" s="124"/>
      <c r="AE39" s="124"/>
    </row>
    <row r="40" spans="1:31" s="105" customFormat="1" x14ac:dyDescent="0.25">
      <c r="A40" s="118" t="s">
        <v>300</v>
      </c>
      <c r="B40" s="95">
        <v>145</v>
      </c>
      <c r="C40" s="96">
        <v>93.125473022460938</v>
      </c>
      <c r="D40" s="97">
        <v>11.73192502321705</v>
      </c>
      <c r="E40" s="98">
        <v>2.9651770929462544</v>
      </c>
      <c r="F40" s="99">
        <v>9.6227299123073315</v>
      </c>
      <c r="G40" s="98">
        <v>5.6747868281507339</v>
      </c>
      <c r="H40" s="100">
        <v>10.703854021388331</v>
      </c>
      <c r="I40" s="101">
        <v>7.1788622751994762</v>
      </c>
      <c r="J40" s="97">
        <v>11.015503279553959</v>
      </c>
      <c r="K40" s="98">
        <v>6.1647021852152557</v>
      </c>
      <c r="L40" s="100">
        <v>15.84105923673579</v>
      </c>
      <c r="M40" s="101">
        <v>5.4678130377693943</v>
      </c>
      <c r="N40" s="97">
        <v>6.2183293244284616</v>
      </c>
      <c r="O40" s="102">
        <v>7.7121178534590609</v>
      </c>
      <c r="P40" s="99">
        <v>7.3689411809137209</v>
      </c>
      <c r="Q40" s="98">
        <v>4.468142626099274</v>
      </c>
      <c r="R40" s="100">
        <v>14.39296140104276</v>
      </c>
      <c r="S40" s="101">
        <v>3.7695688728496304</v>
      </c>
      <c r="T40" s="97" t="s">
        <v>34</v>
      </c>
      <c r="U40" s="101" t="s">
        <v>34</v>
      </c>
      <c r="V40" s="97">
        <v>7.0240202201290387</v>
      </c>
      <c r="W40" s="104">
        <v>5.6178829243606883</v>
      </c>
      <c r="X40" s="124"/>
      <c r="Y40" s="124"/>
      <c r="Z40" s="124"/>
      <c r="AA40" s="124"/>
      <c r="AB40" s="124"/>
      <c r="AC40" s="124"/>
      <c r="AD40" s="124"/>
      <c r="AE40" s="124"/>
    </row>
    <row r="41" spans="1:31" s="105" customFormat="1" x14ac:dyDescent="0.25">
      <c r="A41" s="118" t="s">
        <v>226</v>
      </c>
      <c r="B41" s="95">
        <v>184</v>
      </c>
      <c r="C41" s="96">
        <v>96.0885009765625</v>
      </c>
      <c r="D41" s="97">
        <v>10.56815570543945</v>
      </c>
      <c r="E41" s="98">
        <v>1.946376028219126</v>
      </c>
      <c r="F41" s="99">
        <v>15.53056188396838</v>
      </c>
      <c r="G41" s="98">
        <v>5.7430483081574311</v>
      </c>
      <c r="H41" s="100">
        <v>13.76713598724916</v>
      </c>
      <c r="I41" s="101">
        <v>6.7434879472828264</v>
      </c>
      <c r="J41" s="97">
        <v>11.810309690082381</v>
      </c>
      <c r="K41" s="98">
        <v>4.5060523932242882</v>
      </c>
      <c r="L41" s="100">
        <v>0.94825605323913831</v>
      </c>
      <c r="M41" s="101">
        <v>0.91094947519114033</v>
      </c>
      <c r="N41" s="97">
        <v>-14.58230583072924</v>
      </c>
      <c r="O41" s="102">
        <v>5.8292630515428927</v>
      </c>
      <c r="P41" s="99">
        <v>10.999164781328149</v>
      </c>
      <c r="Q41" s="98">
        <v>2.0546325060071933</v>
      </c>
      <c r="R41" s="100" t="s">
        <v>34</v>
      </c>
      <c r="S41" s="101" t="s">
        <v>34</v>
      </c>
      <c r="T41" s="97">
        <v>3.8570016334939861</v>
      </c>
      <c r="U41" s="101">
        <v>3.8913061208104311</v>
      </c>
      <c r="V41" s="97">
        <v>-7.1421631478341627</v>
      </c>
      <c r="W41" s="104">
        <v>4.4010647302790122</v>
      </c>
      <c r="X41" s="124"/>
      <c r="Y41" s="124"/>
      <c r="Z41" s="124"/>
      <c r="AA41" s="124"/>
      <c r="AB41" s="124"/>
      <c r="AC41" s="124"/>
      <c r="AD41" s="124"/>
      <c r="AE41" s="124"/>
    </row>
    <row r="42" spans="1:31" s="105" customFormat="1" x14ac:dyDescent="0.25">
      <c r="A42" s="118" t="s">
        <v>227</v>
      </c>
      <c r="B42" s="95">
        <v>242</v>
      </c>
      <c r="C42" s="96">
        <v>97.235343933105469</v>
      </c>
      <c r="D42" s="97">
        <v>28.546822132711561</v>
      </c>
      <c r="E42" s="98">
        <v>3.5205048404046431</v>
      </c>
      <c r="F42" s="99">
        <v>29.397517812370481</v>
      </c>
      <c r="G42" s="98">
        <v>7.2239763667907209</v>
      </c>
      <c r="H42" s="100">
        <v>26.425665401200678</v>
      </c>
      <c r="I42" s="101">
        <v>7.0906597143688437</v>
      </c>
      <c r="J42" s="97">
        <v>29.677879427206591</v>
      </c>
      <c r="K42" s="98">
        <v>6.9659494011506125</v>
      </c>
      <c r="L42" s="100">
        <v>28.794297579933779</v>
      </c>
      <c r="M42" s="101">
        <v>5.8190004228162353</v>
      </c>
      <c r="N42" s="97">
        <v>-0.60322023243670486</v>
      </c>
      <c r="O42" s="102">
        <v>8.8871571745391318</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27.091028176878702</v>
      </c>
      <c r="E43" s="98">
        <v>3.043864550762859</v>
      </c>
      <c r="F43" s="99">
        <v>30.556306062765501</v>
      </c>
      <c r="G43" s="98">
        <v>6.3955893544804638</v>
      </c>
      <c r="H43" s="100">
        <v>34.112277729924102</v>
      </c>
      <c r="I43" s="101">
        <v>7.3942318178004598</v>
      </c>
      <c r="J43" s="97">
        <v>25.067522170792611</v>
      </c>
      <c r="K43" s="98">
        <v>6.1983117758767277</v>
      </c>
      <c r="L43" s="100">
        <v>18.694269024024219</v>
      </c>
      <c r="M43" s="101">
        <v>6.0164853670163714</v>
      </c>
      <c r="N43" s="97">
        <v>-11.862037038741279</v>
      </c>
      <c r="O43" s="102">
        <v>8.4359895071448516</v>
      </c>
      <c r="P43" s="99">
        <v>27.60676781636473</v>
      </c>
      <c r="Q43" s="98">
        <v>3.1051788798734665</v>
      </c>
      <c r="R43" s="100">
        <v>15.862391946883101</v>
      </c>
      <c r="S43" s="101">
        <v>14.839732675785422</v>
      </c>
      <c r="T43" s="97" t="s">
        <v>34</v>
      </c>
      <c r="U43" s="101" t="s">
        <v>34</v>
      </c>
      <c r="V43" s="97">
        <v>-11.74437586948163</v>
      </c>
      <c r="W43" s="104">
        <v>15.107890224017702</v>
      </c>
      <c r="X43" s="124"/>
      <c r="Y43" s="124"/>
      <c r="Z43" s="124"/>
      <c r="AA43" s="124"/>
      <c r="AB43" s="124"/>
      <c r="AC43" s="124"/>
      <c r="AD43" s="124"/>
      <c r="AE43" s="124"/>
    </row>
    <row r="44" spans="1:31" s="105" customFormat="1" x14ac:dyDescent="0.25">
      <c r="A44" s="118" t="s">
        <v>301</v>
      </c>
      <c r="B44" s="95">
        <v>231</v>
      </c>
      <c r="C44" s="96">
        <v>87.302383422851563</v>
      </c>
      <c r="D44" s="97">
        <v>38.369193483798092</v>
      </c>
      <c r="E44" s="98">
        <v>3.2715828839071208</v>
      </c>
      <c r="F44" s="99">
        <v>42.615273464715379</v>
      </c>
      <c r="G44" s="98">
        <v>6.6318710679625283</v>
      </c>
      <c r="H44" s="100">
        <v>39.189300431452551</v>
      </c>
      <c r="I44" s="101">
        <v>8.7612582128546794</v>
      </c>
      <c r="J44" s="97">
        <v>36.555479539652083</v>
      </c>
      <c r="K44" s="98">
        <v>8.0495891536338888</v>
      </c>
      <c r="L44" s="100">
        <v>34.767832883785069</v>
      </c>
      <c r="M44" s="101">
        <v>6.9837112863337811</v>
      </c>
      <c r="N44" s="97">
        <v>-7.8474405809303107</v>
      </c>
      <c r="O44" s="102">
        <v>10.676944280294503</v>
      </c>
      <c r="P44" s="99">
        <v>41.129262483117977</v>
      </c>
      <c r="Q44" s="98">
        <v>3.6742784428094768</v>
      </c>
      <c r="R44" s="100">
        <v>36.338540403362067</v>
      </c>
      <c r="S44" s="101">
        <v>10.011151681656653</v>
      </c>
      <c r="T44" s="97">
        <v>11.055419999051541</v>
      </c>
      <c r="U44" s="101">
        <v>5.5085102310939966</v>
      </c>
      <c r="V44" s="97">
        <v>-17.693527997798206</v>
      </c>
      <c r="W44" s="104">
        <v>7.1549388320003668</v>
      </c>
      <c r="X44" s="124"/>
      <c r="Y44" s="124"/>
      <c r="Z44" s="124"/>
      <c r="AA44" s="124"/>
      <c r="AB44" s="124"/>
      <c r="AC44" s="124"/>
      <c r="AD44" s="124"/>
      <c r="AE44" s="124"/>
    </row>
    <row r="45" spans="1:31" s="105" customFormat="1" x14ac:dyDescent="0.25">
      <c r="A45" s="118" t="s">
        <v>229</v>
      </c>
      <c r="B45" s="95">
        <v>356</v>
      </c>
      <c r="C45" s="96">
        <v>95.0770263671875</v>
      </c>
      <c r="D45" s="97">
        <v>56.30154452515761</v>
      </c>
      <c r="E45" s="98">
        <v>3.0096161715375884</v>
      </c>
      <c r="F45" s="99">
        <v>52.34748767358905</v>
      </c>
      <c r="G45" s="98">
        <v>5.3903496361796019</v>
      </c>
      <c r="H45" s="100">
        <v>58.811975337485627</v>
      </c>
      <c r="I45" s="101">
        <v>7.2673024039953145</v>
      </c>
      <c r="J45" s="97">
        <v>56.636702816187793</v>
      </c>
      <c r="K45" s="98">
        <v>6.4248563715503382</v>
      </c>
      <c r="L45" s="100">
        <v>57.062895592620997</v>
      </c>
      <c r="M45" s="101">
        <v>6.9247199866481903</v>
      </c>
      <c r="N45" s="97">
        <v>4.7154079190319456</v>
      </c>
      <c r="O45" s="102">
        <v>8.7888086177976739</v>
      </c>
      <c r="P45" s="99">
        <v>56.107710533808891</v>
      </c>
      <c r="Q45" s="98">
        <v>3.0987824641059936</v>
      </c>
      <c r="R45" s="100">
        <v>54.291276526692577</v>
      </c>
      <c r="S45" s="101">
        <v>8.2908429887161379</v>
      </c>
      <c r="T45" s="97" t="s">
        <v>34</v>
      </c>
      <c r="U45" s="101" t="s">
        <v>34</v>
      </c>
      <c r="V45" s="97">
        <v>-1.8164340071163139</v>
      </c>
      <c r="W45" s="104">
        <v>8.6444008872289864</v>
      </c>
      <c r="X45" s="124"/>
      <c r="Y45" s="124"/>
      <c r="Z45" s="124"/>
      <c r="AA45" s="124"/>
      <c r="AB45" s="124"/>
      <c r="AC45" s="124"/>
      <c r="AD45" s="124"/>
      <c r="AE45" s="124"/>
    </row>
    <row r="46" spans="1:31" s="105" customFormat="1" x14ac:dyDescent="0.25">
      <c r="A46" s="118" t="s">
        <v>230</v>
      </c>
      <c r="B46" s="95">
        <v>276</v>
      </c>
      <c r="C46" s="96">
        <v>87.400062561035156</v>
      </c>
      <c r="D46" s="97">
        <v>20.431969141036269</v>
      </c>
      <c r="E46" s="98">
        <v>0.15725713299514252</v>
      </c>
      <c r="F46" s="99">
        <v>32.208373950701748</v>
      </c>
      <c r="G46" s="98">
        <v>0.36431227080185641</v>
      </c>
      <c r="H46" s="100">
        <v>16.856982086725399</v>
      </c>
      <c r="I46" s="101">
        <v>0.24361125866434682</v>
      </c>
      <c r="J46" s="97">
        <v>22.30789594127604</v>
      </c>
      <c r="K46" s="98">
        <v>0.27623865637151246</v>
      </c>
      <c r="L46" s="100">
        <v>10.48958443047823</v>
      </c>
      <c r="M46" s="101">
        <v>0.2643915460577077</v>
      </c>
      <c r="N46" s="97">
        <v>-21.71878952022352</v>
      </c>
      <c r="O46" s="102">
        <v>0.41110048922594306</v>
      </c>
      <c r="P46" s="99">
        <v>21.021052827881519</v>
      </c>
      <c r="Q46" s="98">
        <v>0.1589351317258002</v>
      </c>
      <c r="R46" s="100">
        <v>0</v>
      </c>
      <c r="S46" s="101" t="s">
        <v>35</v>
      </c>
      <c r="T46" s="97" t="s">
        <v>34</v>
      </c>
      <c r="U46" s="101" t="s">
        <v>34</v>
      </c>
      <c r="V46" s="97">
        <v>-21.021052827881519</v>
      </c>
      <c r="W46" s="104">
        <v>0.1589351317258002</v>
      </c>
      <c r="X46" s="124"/>
      <c r="Y46" s="124"/>
      <c r="Z46" s="124"/>
      <c r="AA46" s="124"/>
      <c r="AB46" s="124"/>
      <c r="AC46" s="124"/>
      <c r="AD46" s="124"/>
      <c r="AE46" s="124"/>
    </row>
    <row r="47" spans="1:31" s="105" customFormat="1" x14ac:dyDescent="0.25">
      <c r="A47" s="118" t="s">
        <v>231</v>
      </c>
      <c r="B47" s="95">
        <v>1045</v>
      </c>
      <c r="C47" s="96">
        <v>96.130928039550781</v>
      </c>
      <c r="D47" s="97">
        <v>28.608223634695861</v>
      </c>
      <c r="E47" s="98">
        <v>1.9724611583337304</v>
      </c>
      <c r="F47" s="99">
        <v>41.737747354831477</v>
      </c>
      <c r="G47" s="98">
        <v>4.781891812566716</v>
      </c>
      <c r="H47" s="100">
        <v>31.16148395884824</v>
      </c>
      <c r="I47" s="101">
        <v>4.0707236244688794</v>
      </c>
      <c r="J47" s="97">
        <v>26.67071210270209</v>
      </c>
      <c r="K47" s="98">
        <v>4.1615900713043841</v>
      </c>
      <c r="L47" s="100">
        <v>14.73979848934373</v>
      </c>
      <c r="M47" s="101">
        <v>2.895289042273991</v>
      </c>
      <c r="N47" s="97">
        <v>-26.99794886548775</v>
      </c>
      <c r="O47" s="102">
        <v>5.5429228806565476</v>
      </c>
      <c r="P47" s="99">
        <v>35.184697655063339</v>
      </c>
      <c r="Q47" s="98">
        <v>2.5637620146265139</v>
      </c>
      <c r="R47" s="100">
        <v>16.844057023275511</v>
      </c>
      <c r="S47" s="101">
        <v>3.2181284452682215</v>
      </c>
      <c r="T47" s="97">
        <v>5.1272940097682698</v>
      </c>
      <c r="U47" s="101">
        <v>3.0651808080276828</v>
      </c>
      <c r="V47" s="97">
        <v>-20.700961522641521</v>
      </c>
      <c r="W47" s="104">
        <v>3.4500758525603445</v>
      </c>
      <c r="X47" s="124"/>
      <c r="Y47" s="124"/>
      <c r="Z47" s="124"/>
      <c r="AA47" s="124"/>
      <c r="AB47" s="124"/>
      <c r="AC47" s="124"/>
      <c r="AD47" s="124"/>
      <c r="AE47" s="124"/>
    </row>
    <row r="48" spans="1:31" s="105" customFormat="1" x14ac:dyDescent="0.25">
      <c r="A48" s="118" t="s">
        <v>232</v>
      </c>
      <c r="B48" s="95">
        <v>202</v>
      </c>
      <c r="C48" s="96">
        <v>96.362442016601563</v>
      </c>
      <c r="D48" s="97">
        <v>16.29923969834503</v>
      </c>
      <c r="E48" s="98">
        <v>2.8837156994739095</v>
      </c>
      <c r="F48" s="99">
        <v>19.41999369196721</v>
      </c>
      <c r="G48" s="98">
        <v>6.4545178005760864</v>
      </c>
      <c r="H48" s="100">
        <v>30.361785890881361</v>
      </c>
      <c r="I48" s="101">
        <v>8.6824030061030211</v>
      </c>
      <c r="J48" s="97">
        <v>9.713642966465919</v>
      </c>
      <c r="K48" s="98">
        <v>5.4490442844507179</v>
      </c>
      <c r="L48" s="100">
        <v>5.4384354645643098</v>
      </c>
      <c r="M48" s="101">
        <v>3.584654637990667</v>
      </c>
      <c r="N48" s="97">
        <v>-13.9815582274029</v>
      </c>
      <c r="O48" s="102">
        <v>6.8292904903750902</v>
      </c>
      <c r="P48" s="99">
        <v>18.917028731947919</v>
      </c>
      <c r="Q48" s="98">
        <v>3.3397227614878742</v>
      </c>
      <c r="R48" s="100">
        <v>4.6833512300473421</v>
      </c>
      <c r="S48" s="101">
        <v>3.3725312724166909</v>
      </c>
      <c r="T48" s="97" t="s">
        <v>34</v>
      </c>
      <c r="U48" s="101" t="s">
        <v>34</v>
      </c>
      <c r="V48" s="97">
        <v>-14.233677501900576</v>
      </c>
      <c r="W48" s="104">
        <v>4.3939542263400666</v>
      </c>
      <c r="X48" s="124"/>
      <c r="Y48" s="124"/>
      <c r="Z48" s="124"/>
      <c r="AA48" s="124"/>
      <c r="AB48" s="124"/>
      <c r="AC48" s="124"/>
      <c r="AD48" s="124"/>
      <c r="AE48" s="124"/>
    </row>
    <row r="49" spans="1:31" s="105" customFormat="1" x14ac:dyDescent="0.25">
      <c r="A49" s="118" t="s">
        <v>233</v>
      </c>
      <c r="B49" s="95">
        <v>157</v>
      </c>
      <c r="C49" s="96">
        <v>74.739677429199219</v>
      </c>
      <c r="D49" s="97">
        <v>13.6889523740639</v>
      </c>
      <c r="E49" s="98">
        <v>2.8635242010236359</v>
      </c>
      <c r="F49" s="99">
        <v>18.019515258209019</v>
      </c>
      <c r="G49" s="98">
        <v>6.552352929251037</v>
      </c>
      <c r="H49" s="100">
        <v>11.489113841419689</v>
      </c>
      <c r="I49" s="101">
        <v>6.6795217338525257</v>
      </c>
      <c r="J49" s="97">
        <v>11.592812084153859</v>
      </c>
      <c r="K49" s="98">
        <v>6.4734484521551439</v>
      </c>
      <c r="L49" s="100">
        <v>13.55516569206582</v>
      </c>
      <c r="M49" s="101">
        <v>6.5104524533891324</v>
      </c>
      <c r="N49" s="97">
        <v>-4.4643495661431967</v>
      </c>
      <c r="O49" s="102">
        <v>8.6163887792028522</v>
      </c>
      <c r="P49" s="99">
        <v>14.269289296917281</v>
      </c>
      <c r="Q49" s="98">
        <v>3.0040669426853106</v>
      </c>
      <c r="R49" s="100" t="s">
        <v>34</v>
      </c>
      <c r="S49" s="101" t="s">
        <v>34</v>
      </c>
      <c r="T49" s="97">
        <v>3.7315544039936821</v>
      </c>
      <c r="U49" s="101">
        <v>3.10300948528764</v>
      </c>
      <c r="V49" s="97">
        <v>-10.537734892923599</v>
      </c>
      <c r="W49" s="104">
        <v>4.2451190761372395</v>
      </c>
      <c r="X49" s="124"/>
      <c r="Y49" s="124"/>
      <c r="Z49" s="124"/>
      <c r="AA49" s="124"/>
      <c r="AB49" s="124"/>
      <c r="AC49" s="124"/>
      <c r="AD49" s="124"/>
      <c r="AE49" s="124"/>
    </row>
    <row r="50" spans="1:31" s="105" customFormat="1" x14ac:dyDescent="0.25">
      <c r="A50" s="118" t="s">
        <v>234</v>
      </c>
      <c r="B50" s="95">
        <v>179</v>
      </c>
      <c r="C50" s="96">
        <v>98.9569091796875</v>
      </c>
      <c r="D50" s="97">
        <v>11.070473657436411</v>
      </c>
      <c r="E50" s="98">
        <v>2.2513809195488026</v>
      </c>
      <c r="F50" s="99">
        <v>19.353419384827589</v>
      </c>
      <c r="G50" s="98">
        <v>5.8637981356585893</v>
      </c>
      <c r="H50" s="100">
        <v>10.36752958094341</v>
      </c>
      <c r="I50" s="101">
        <v>6.4428962157718734</v>
      </c>
      <c r="J50" s="97">
        <v>14.55100248016276</v>
      </c>
      <c r="K50" s="98">
        <v>5.9752476700044843</v>
      </c>
      <c r="L50" s="100">
        <v>0</v>
      </c>
      <c r="M50" s="101">
        <v>0.55819714086504446</v>
      </c>
      <c r="N50" s="97">
        <v>-19.353419384827589</v>
      </c>
      <c r="O50" s="102">
        <v>5.8618054736344281</v>
      </c>
      <c r="P50" s="99">
        <v>12.61290480172792</v>
      </c>
      <c r="Q50" s="98">
        <v>2.5372870550089184</v>
      </c>
      <c r="R50" s="100" t="s">
        <v>34</v>
      </c>
      <c r="S50" s="101" t="s">
        <v>34</v>
      </c>
      <c r="T50" s="97">
        <v>0</v>
      </c>
      <c r="U50" s="101" t="s">
        <v>35</v>
      </c>
      <c r="V50" s="97">
        <v>-12.61290480172792</v>
      </c>
      <c r="W50" s="104">
        <v>2.5372870550089184</v>
      </c>
      <c r="X50" s="124"/>
      <c r="Y50" s="124"/>
      <c r="Z50" s="124"/>
      <c r="AA50" s="124"/>
      <c r="AB50" s="124"/>
      <c r="AC50" s="124"/>
      <c r="AD50" s="124"/>
      <c r="AE50" s="124"/>
    </row>
    <row r="51" spans="1:31" s="105" customFormat="1" x14ac:dyDescent="0.25">
      <c r="A51" s="118" t="s">
        <v>235</v>
      </c>
      <c r="B51" s="95">
        <v>382</v>
      </c>
      <c r="C51" s="96">
        <v>76.811241149902344</v>
      </c>
      <c r="D51" s="97">
        <v>23.455017063425281</v>
      </c>
      <c r="E51" s="98">
        <v>3.0019952655862854</v>
      </c>
      <c r="F51" s="99">
        <v>22.126730079284481</v>
      </c>
      <c r="G51" s="98">
        <v>6.059490905384795</v>
      </c>
      <c r="H51" s="100">
        <v>29.086719679181641</v>
      </c>
      <c r="I51" s="101">
        <v>7.8943096606900216</v>
      </c>
      <c r="J51" s="97">
        <v>24.941085160828649</v>
      </c>
      <c r="K51" s="98">
        <v>6.6117569846722919</v>
      </c>
      <c r="L51" s="100">
        <v>18.766669395132048</v>
      </c>
      <c r="M51" s="101">
        <v>5.3996761425026101</v>
      </c>
      <c r="N51" s="97">
        <v>-3.3600606841524301</v>
      </c>
      <c r="O51" s="102">
        <v>8.0998576309342347</v>
      </c>
      <c r="P51" s="99">
        <v>29.269305752260479</v>
      </c>
      <c r="Q51" s="98">
        <v>3.5681864901441034</v>
      </c>
      <c r="R51" s="100">
        <v>24.737613403010378</v>
      </c>
      <c r="S51" s="101">
        <v>4.7875247400435201</v>
      </c>
      <c r="T51" s="97">
        <v>0.38703230425955981</v>
      </c>
      <c r="U51" s="101">
        <v>0.40282435958412105</v>
      </c>
      <c r="V51" s="97">
        <v>-8.19795769542689</v>
      </c>
      <c r="W51" s="104">
        <v>5.1524080347213213</v>
      </c>
      <c r="X51" s="124"/>
      <c r="Y51" s="124"/>
      <c r="Z51" s="124"/>
      <c r="AA51" s="124"/>
      <c r="AB51" s="124"/>
      <c r="AC51" s="124"/>
      <c r="AD51" s="124"/>
      <c r="AE51" s="124"/>
    </row>
    <row r="52" spans="1:31" s="105" customFormat="1" x14ac:dyDescent="0.25">
      <c r="A52" s="118" t="s">
        <v>302</v>
      </c>
      <c r="B52" s="95">
        <v>145</v>
      </c>
      <c r="C52" s="96">
        <v>89.264442443847656</v>
      </c>
      <c r="D52" s="97">
        <v>12.17035402496307</v>
      </c>
      <c r="E52" s="98">
        <v>3.2836891260750649</v>
      </c>
      <c r="F52" s="99">
        <v>12.418039773527029</v>
      </c>
      <c r="G52" s="98">
        <v>5.4171184699404282</v>
      </c>
      <c r="H52" s="100">
        <v>20.082030309556082</v>
      </c>
      <c r="I52" s="101">
        <v>8.8602948403559765</v>
      </c>
      <c r="J52" s="97">
        <v>5.3354766095750188</v>
      </c>
      <c r="K52" s="98">
        <v>6.6600888908928164</v>
      </c>
      <c r="L52" s="100">
        <v>10.540448542993239</v>
      </c>
      <c r="M52" s="101">
        <v>5.3007736940150885</v>
      </c>
      <c r="N52" s="97">
        <v>-1.8775912305337901</v>
      </c>
      <c r="O52" s="102">
        <v>5.7751441976689959</v>
      </c>
      <c r="P52" s="99">
        <v>12.44756777784565</v>
      </c>
      <c r="Q52" s="98">
        <v>3.5493735493806633</v>
      </c>
      <c r="R52" s="100" t="s">
        <v>34</v>
      </c>
      <c r="S52" s="101" t="s">
        <v>34</v>
      </c>
      <c r="T52" s="97">
        <v>0</v>
      </c>
      <c r="U52" s="101" t="s">
        <v>35</v>
      </c>
      <c r="V52" s="97">
        <v>-12.44756777784565</v>
      </c>
      <c r="W52" s="104">
        <v>3.5493735493806633</v>
      </c>
      <c r="X52" s="124"/>
      <c r="Y52" s="124"/>
      <c r="Z52" s="124"/>
      <c r="AA52" s="124"/>
      <c r="AB52" s="124"/>
      <c r="AC52" s="124"/>
      <c r="AD52" s="124"/>
      <c r="AE52" s="124"/>
    </row>
    <row r="53" spans="1:31" s="105" customFormat="1" x14ac:dyDescent="0.25">
      <c r="A53" s="118" t="s">
        <v>236</v>
      </c>
      <c r="B53" s="95" t="s">
        <v>34</v>
      </c>
      <c r="C53" s="96" t="s">
        <v>34</v>
      </c>
      <c r="D53" s="97">
        <v>25.237092858543281</v>
      </c>
      <c r="E53" s="98">
        <v>0.46336585755069609</v>
      </c>
      <c r="F53" s="99">
        <v>30.49793692026439</v>
      </c>
      <c r="G53" s="98">
        <v>1.0465199928316751</v>
      </c>
      <c r="H53" s="100">
        <v>26.875504455442059</v>
      </c>
      <c r="I53" s="101">
        <v>1.1750399524351069</v>
      </c>
      <c r="J53" s="97">
        <v>25.194280688506449</v>
      </c>
      <c r="K53" s="98">
        <v>1.128018418100504</v>
      </c>
      <c r="L53" s="100">
        <v>18.0718825517704</v>
      </c>
      <c r="M53" s="101">
        <v>0.86784540229463814</v>
      </c>
      <c r="N53" s="97">
        <v>-12.42605436849399</v>
      </c>
      <c r="O53" s="102">
        <v>1.35864850318494</v>
      </c>
      <c r="P53" s="99">
        <v>27.325438264219368</v>
      </c>
      <c r="Q53" s="98">
        <v>0.55999062726912574</v>
      </c>
      <c r="R53" s="100">
        <v>17.105346242907501</v>
      </c>
      <c r="S53" s="101">
        <v>1.9206932905247609</v>
      </c>
      <c r="T53" s="97">
        <v>6.6345183060978208</v>
      </c>
      <c r="U53" s="101">
        <v>1.446650440213864</v>
      </c>
      <c r="V53" s="97">
        <v>-14.71699939775506</v>
      </c>
      <c r="W53" s="104">
        <v>1.4603234858390199</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322</v>
      </c>
      <c r="C55" s="96">
        <v>97.846847534179688</v>
      </c>
      <c r="D55" s="97">
        <v>38.134505566004343</v>
      </c>
      <c r="E55" s="98">
        <v>2.4170916056474474</v>
      </c>
      <c r="F55" s="99">
        <v>53.758578936312439</v>
      </c>
      <c r="G55" s="98">
        <v>5.2552859633270481</v>
      </c>
      <c r="H55" s="100">
        <v>32.79199231617239</v>
      </c>
      <c r="I55" s="101">
        <v>7.094685946242917</v>
      </c>
      <c r="J55" s="97">
        <v>42.163223067779533</v>
      </c>
      <c r="K55" s="98">
        <v>5.0939206760047577</v>
      </c>
      <c r="L55" s="100">
        <v>23.377609084329791</v>
      </c>
      <c r="M55" s="101">
        <v>6.64085057383073</v>
      </c>
      <c r="N55" s="97">
        <v>-30.380969851982648</v>
      </c>
      <c r="O55" s="102">
        <v>9.1187824489967095</v>
      </c>
      <c r="P55" s="99">
        <v>42.691940843828078</v>
      </c>
      <c r="Q55" s="98">
        <v>2.7190838966995181</v>
      </c>
      <c r="R55" s="100" t="s">
        <v>34</v>
      </c>
      <c r="S55" s="101" t="s">
        <v>34</v>
      </c>
      <c r="T55" s="97">
        <v>2.4073655160387868</v>
      </c>
      <c r="U55" s="101">
        <v>2.424548706934881</v>
      </c>
      <c r="V55" s="97">
        <v>-40.284575327789291</v>
      </c>
      <c r="W55" s="104">
        <v>3.6796039365637334</v>
      </c>
      <c r="X55" s="124"/>
      <c r="Y55" s="124"/>
      <c r="Z55" s="124"/>
      <c r="AA55" s="124"/>
      <c r="AB55" s="124"/>
      <c r="AC55" s="124"/>
      <c r="AD55" s="124"/>
      <c r="AE55" s="124"/>
    </row>
    <row r="56" spans="1:31" s="105" customFormat="1" x14ac:dyDescent="0.25">
      <c r="A56" s="118" t="s">
        <v>238</v>
      </c>
      <c r="B56" s="95">
        <v>435</v>
      </c>
      <c r="C56" s="96">
        <v>95.012245178222656</v>
      </c>
      <c r="D56" s="97">
        <v>38.850582581905932</v>
      </c>
      <c r="E56" s="98">
        <v>3.1509087817989925</v>
      </c>
      <c r="F56" s="99">
        <v>48.018827073685991</v>
      </c>
      <c r="G56" s="98">
        <v>5.2720943268084772</v>
      </c>
      <c r="H56" s="100">
        <v>47.574296768102528</v>
      </c>
      <c r="I56" s="101">
        <v>6.7768032603669477</v>
      </c>
      <c r="J56" s="97">
        <v>41.051292581591667</v>
      </c>
      <c r="K56" s="98">
        <v>7.5135222088460223</v>
      </c>
      <c r="L56" s="100">
        <v>18.553698615932291</v>
      </c>
      <c r="M56" s="101">
        <v>6.2958825006849626</v>
      </c>
      <c r="N56" s="97">
        <v>-29.4651284577537</v>
      </c>
      <c r="O56" s="102">
        <v>8.0926081933893883</v>
      </c>
      <c r="P56" s="99">
        <v>44.508666085455722</v>
      </c>
      <c r="Q56" s="98">
        <v>3.805066483089774</v>
      </c>
      <c r="R56" s="100">
        <v>28.780101018425409</v>
      </c>
      <c r="S56" s="101">
        <v>5.8173288945959678</v>
      </c>
      <c r="T56" s="97">
        <v>22.106638124776229</v>
      </c>
      <c r="U56" s="101">
        <v>10.432094616454695</v>
      </c>
      <c r="V56" s="97">
        <v>-17.554421416262343</v>
      </c>
      <c r="W56" s="104">
        <v>6.7174946741262129</v>
      </c>
      <c r="X56" s="124"/>
      <c r="Y56" s="124"/>
      <c r="Z56" s="124"/>
      <c r="AA56" s="124"/>
      <c r="AB56" s="124"/>
      <c r="AC56" s="124"/>
      <c r="AD56" s="124"/>
      <c r="AE56" s="124"/>
    </row>
    <row r="57" spans="1:31" s="105" customFormat="1" x14ac:dyDescent="0.25">
      <c r="A57" s="118" t="s">
        <v>239</v>
      </c>
      <c r="B57" s="95">
        <v>122</v>
      </c>
      <c r="C57" s="96">
        <v>59.708076477050781</v>
      </c>
      <c r="D57" s="97">
        <v>53.297966938630161</v>
      </c>
      <c r="E57" s="98">
        <v>4.3732117686135341</v>
      </c>
      <c r="F57" s="99">
        <v>58.471938829128007</v>
      </c>
      <c r="G57" s="98">
        <v>8.6689956572208331</v>
      </c>
      <c r="H57" s="100">
        <v>46.041218570445103</v>
      </c>
      <c r="I57" s="101">
        <v>10.800714744984555</v>
      </c>
      <c r="J57" s="97">
        <v>65.472017088769448</v>
      </c>
      <c r="K57" s="98">
        <v>11.46818018945716</v>
      </c>
      <c r="L57" s="100">
        <v>42.742065573792686</v>
      </c>
      <c r="M57" s="101">
        <v>10.242868943528689</v>
      </c>
      <c r="N57" s="97">
        <v>-15.72987325533532</v>
      </c>
      <c r="O57" s="102">
        <v>13.348163081884273</v>
      </c>
      <c r="P57" s="99">
        <v>53.519527401784067</v>
      </c>
      <c r="Q57" s="98">
        <v>4.3979755782475483</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23.544129488797228</v>
      </c>
      <c r="E58" s="98">
        <v>3.1448770921296711</v>
      </c>
      <c r="F58" s="99">
        <v>18.39015848026493</v>
      </c>
      <c r="G58" s="98">
        <v>6.3758345157041765</v>
      </c>
      <c r="H58" s="100">
        <v>26.216851043598101</v>
      </c>
      <c r="I58" s="101">
        <v>6.4647986371908797</v>
      </c>
      <c r="J58" s="97">
        <v>32.108939116534117</v>
      </c>
      <c r="K58" s="98">
        <v>7.8990650318936133</v>
      </c>
      <c r="L58" s="100">
        <v>17.210910165720819</v>
      </c>
      <c r="M58" s="101">
        <v>6.6620788010926422</v>
      </c>
      <c r="N58" s="97">
        <v>-1.1792483145441179</v>
      </c>
      <c r="O58" s="102">
        <v>9.448755891050066</v>
      </c>
      <c r="P58" s="99">
        <v>23.636289842431179</v>
      </c>
      <c r="Q58" s="98">
        <v>3.1577008753989695</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63.468906501096932</v>
      </c>
      <c r="E59" s="98">
        <v>3.5103002621025543</v>
      </c>
      <c r="F59" s="99">
        <v>62.780943966849748</v>
      </c>
      <c r="G59" s="98">
        <v>8.4747915159834903</v>
      </c>
      <c r="H59" s="100">
        <v>64.801180518315363</v>
      </c>
      <c r="I59" s="101">
        <v>8.3173607783431311</v>
      </c>
      <c r="J59" s="97">
        <v>76.249675905636792</v>
      </c>
      <c r="K59" s="98">
        <v>7.7888754503002327</v>
      </c>
      <c r="L59" s="100">
        <v>49.94722495030296</v>
      </c>
      <c r="M59" s="101">
        <v>9.1546370831928083</v>
      </c>
      <c r="N59" s="97">
        <v>-12.833719016546789</v>
      </c>
      <c r="O59" s="102">
        <v>12.937178816130128</v>
      </c>
      <c r="P59" s="99">
        <v>63.902461494896308</v>
      </c>
      <c r="Q59" s="98">
        <v>3.5220635624742642</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416</v>
      </c>
      <c r="C60" s="96">
        <v>77.152442932128906</v>
      </c>
      <c r="D60" s="97">
        <v>20.994022978772939</v>
      </c>
      <c r="E60" s="98">
        <v>1.7007708163013444</v>
      </c>
      <c r="F60" s="99">
        <v>36.374334214310707</v>
      </c>
      <c r="G60" s="98">
        <v>4.9476831150842537</v>
      </c>
      <c r="H60" s="100">
        <v>27.100187349946111</v>
      </c>
      <c r="I60" s="101">
        <v>5.1227759266702204</v>
      </c>
      <c r="J60" s="97">
        <v>16.66473331079105</v>
      </c>
      <c r="K60" s="98">
        <v>3.9450926668656945</v>
      </c>
      <c r="L60" s="100">
        <v>3.7149972030937599</v>
      </c>
      <c r="M60" s="101">
        <v>1.2464007443525909</v>
      </c>
      <c r="N60" s="97">
        <v>-32.659337011216948</v>
      </c>
      <c r="O60" s="102">
        <v>5.2653729836547907</v>
      </c>
      <c r="P60" s="99">
        <v>24.955579453568429</v>
      </c>
      <c r="Q60" s="98">
        <v>2.028489820931247</v>
      </c>
      <c r="R60" s="100" t="s">
        <v>34</v>
      </c>
      <c r="S60" s="101" t="s">
        <v>34</v>
      </c>
      <c r="T60" s="97">
        <v>3.3316849139463871</v>
      </c>
      <c r="U60" s="101">
        <v>0.55011684152979179</v>
      </c>
      <c r="V60" s="97">
        <v>-21.623894539622043</v>
      </c>
      <c r="W60" s="104">
        <v>2.0922834856229877</v>
      </c>
      <c r="X60" s="124"/>
      <c r="Y60" s="124"/>
      <c r="Z60" s="124"/>
      <c r="AA60" s="124"/>
      <c r="AB60" s="124"/>
      <c r="AC60" s="124"/>
      <c r="AD60" s="124"/>
      <c r="AE60" s="124"/>
    </row>
    <row r="61" spans="1:31" s="105" customFormat="1" x14ac:dyDescent="0.25">
      <c r="A61" s="118" t="s">
        <v>243</v>
      </c>
      <c r="B61" s="95">
        <v>55</v>
      </c>
      <c r="C61" s="96">
        <v>100</v>
      </c>
      <c r="D61" s="97">
        <v>32.093833599651362</v>
      </c>
      <c r="E61" s="98">
        <v>7.0927789703175217E-2</v>
      </c>
      <c r="F61" s="99">
        <v>45.010547111552093</v>
      </c>
      <c r="G61" s="98">
        <v>0.17788297585141991</v>
      </c>
      <c r="H61" s="100">
        <v>33.1801663048454</v>
      </c>
      <c r="I61" s="101">
        <v>0.17219073724623435</v>
      </c>
      <c r="J61" s="97">
        <v>11.40142497622567</v>
      </c>
      <c r="K61" s="98">
        <v>9.3840779440057656E-2</v>
      </c>
      <c r="L61" s="100">
        <v>40.608894734418399</v>
      </c>
      <c r="M61" s="101">
        <v>0.13971890025931522</v>
      </c>
      <c r="N61" s="97">
        <v>-4.4016523771336864</v>
      </c>
      <c r="O61" s="102">
        <v>0.23519449699462963</v>
      </c>
      <c r="P61" s="99">
        <v>37.284547418228406</v>
      </c>
      <c r="Q61" s="98">
        <v>8.199483024376851E-2</v>
      </c>
      <c r="R61" s="100" t="s">
        <v>34</v>
      </c>
      <c r="S61" s="101" t="s">
        <v>34</v>
      </c>
      <c r="T61" s="97">
        <v>4.1264555937634784</v>
      </c>
      <c r="U61" s="101">
        <v>9.6054856413099479E-2</v>
      </c>
      <c r="V61" s="97">
        <v>-33.158091824464925</v>
      </c>
      <c r="W61" s="104">
        <v>0.13174938404989289</v>
      </c>
      <c r="X61" s="124"/>
      <c r="Y61" s="124"/>
      <c r="Z61" s="124"/>
      <c r="AA61" s="124"/>
      <c r="AB61" s="124"/>
      <c r="AC61" s="124"/>
      <c r="AD61" s="124"/>
      <c r="AE61" s="124"/>
    </row>
    <row r="62" spans="1:31" s="105" customFormat="1" x14ac:dyDescent="0.25">
      <c r="A62" s="118" t="s">
        <v>244</v>
      </c>
      <c r="B62" s="95">
        <v>361</v>
      </c>
      <c r="C62" s="96">
        <v>100</v>
      </c>
      <c r="D62" s="97">
        <v>21.19195575170578</v>
      </c>
      <c r="E62" s="98">
        <v>2.9805653692232896</v>
      </c>
      <c r="F62" s="99">
        <v>29.94744971525521</v>
      </c>
      <c r="G62" s="98">
        <v>7.9848080145863323</v>
      </c>
      <c r="H62" s="100">
        <v>18.84549517577311</v>
      </c>
      <c r="I62" s="101">
        <v>6.8394860014045271</v>
      </c>
      <c r="J62" s="97">
        <v>23.46596048279719</v>
      </c>
      <c r="K62" s="98">
        <v>7.1109703478885402</v>
      </c>
      <c r="L62" s="100">
        <v>12.45086223998481</v>
      </c>
      <c r="M62" s="101">
        <v>3.5871828724388193</v>
      </c>
      <c r="N62" s="97">
        <v>-17.496587475270399</v>
      </c>
      <c r="O62" s="102">
        <v>8.9788669046397889</v>
      </c>
      <c r="P62" s="99">
        <v>21.78740890480168</v>
      </c>
      <c r="Q62" s="98">
        <v>3.3785622502893831</v>
      </c>
      <c r="R62" s="100" t="s">
        <v>34</v>
      </c>
      <c r="S62" s="101" t="s">
        <v>34</v>
      </c>
      <c r="T62" s="97">
        <v>16.477568015292579</v>
      </c>
      <c r="U62" s="101">
        <v>5.6612630307798613</v>
      </c>
      <c r="V62" s="97">
        <v>-5.3098408895091005</v>
      </c>
      <c r="W62" s="104">
        <v>6.6527112329359017</v>
      </c>
      <c r="X62" s="124"/>
      <c r="Y62" s="124"/>
      <c r="Z62" s="124"/>
      <c r="AA62" s="124"/>
      <c r="AB62" s="124"/>
      <c r="AC62" s="124"/>
      <c r="AD62" s="124"/>
      <c r="AE62" s="124"/>
    </row>
    <row r="63" spans="1:31" s="105" customFormat="1" x14ac:dyDescent="0.25">
      <c r="A63" s="118" t="s">
        <v>245</v>
      </c>
      <c r="B63" s="95">
        <v>189</v>
      </c>
      <c r="C63" s="96">
        <v>96.374008178710938</v>
      </c>
      <c r="D63" s="97">
        <v>11.71374766375582</v>
      </c>
      <c r="E63" s="98">
        <v>2.5174737819259332</v>
      </c>
      <c r="F63" s="99">
        <v>13.9648729156611</v>
      </c>
      <c r="G63" s="98">
        <v>4.902768775249668</v>
      </c>
      <c r="H63" s="100">
        <v>7.6171872688796638</v>
      </c>
      <c r="I63" s="101">
        <v>4.8171654154245696</v>
      </c>
      <c r="J63" s="97">
        <v>10.192216614326339</v>
      </c>
      <c r="K63" s="98">
        <v>5.9819402454992536</v>
      </c>
      <c r="L63" s="100">
        <v>14.91252331127494</v>
      </c>
      <c r="M63" s="101">
        <v>6.888709841723216</v>
      </c>
      <c r="N63" s="97">
        <v>0.94765039561383446</v>
      </c>
      <c r="O63" s="102">
        <v>8.6519774931455284</v>
      </c>
      <c r="P63" s="99">
        <v>11.83205200634896</v>
      </c>
      <c r="Q63" s="98">
        <v>2.5394075455715224</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50.088049301895097</v>
      </c>
      <c r="E64" s="98">
        <v>3.3170989880353221</v>
      </c>
      <c r="F64" s="99">
        <v>46.375486273729138</v>
      </c>
      <c r="G64" s="98">
        <v>7.7795446669561006</v>
      </c>
      <c r="H64" s="100">
        <v>45.603842287595057</v>
      </c>
      <c r="I64" s="101">
        <v>7.4922853523720745</v>
      </c>
      <c r="J64" s="97">
        <v>56.915544503250572</v>
      </c>
      <c r="K64" s="98">
        <v>7.402065254361454</v>
      </c>
      <c r="L64" s="100">
        <v>51.560790046719838</v>
      </c>
      <c r="M64" s="101">
        <v>8.8460623701268641</v>
      </c>
      <c r="N64" s="97">
        <v>5.185303772990693</v>
      </c>
      <c r="O64" s="102">
        <v>11.330414746050781</v>
      </c>
      <c r="P64" s="99">
        <v>50.623975439615741</v>
      </c>
      <c r="Q64" s="98">
        <v>3.5154759710078616</v>
      </c>
      <c r="R64" s="100" t="s">
        <v>34</v>
      </c>
      <c r="S64" s="101" t="s">
        <v>34</v>
      </c>
      <c r="T64" s="97">
        <v>49.213645306237559</v>
      </c>
      <c r="U64" s="101">
        <v>7.7925270425073654</v>
      </c>
      <c r="V64" s="97">
        <v>-1.4103301333781815</v>
      </c>
      <c r="W64" s="104">
        <v>8.2658044039236938</v>
      </c>
      <c r="X64" s="124"/>
      <c r="Y64" s="124"/>
      <c r="Z64" s="124"/>
      <c r="AA64" s="124"/>
      <c r="AB64" s="124"/>
      <c r="AC64" s="124"/>
      <c r="AD64" s="124"/>
      <c r="AE64" s="124"/>
    </row>
    <row r="65" spans="1:31" s="105" customFormat="1" x14ac:dyDescent="0.25">
      <c r="A65" s="118" t="s">
        <v>247</v>
      </c>
      <c r="B65" s="95">
        <v>176</v>
      </c>
      <c r="C65" s="96">
        <v>97.715431213378906</v>
      </c>
      <c r="D65" s="97">
        <v>53.509634056109547</v>
      </c>
      <c r="E65" s="98">
        <v>4.0430744464692534</v>
      </c>
      <c r="F65" s="99">
        <v>57.175038696373029</v>
      </c>
      <c r="G65" s="98">
        <v>7.1365511274172935</v>
      </c>
      <c r="H65" s="100">
        <v>51.4303342386116</v>
      </c>
      <c r="I65" s="101">
        <v>8.6191297503256585</v>
      </c>
      <c r="J65" s="97">
        <v>49.440164684638219</v>
      </c>
      <c r="K65" s="98">
        <v>7.8096807125469123</v>
      </c>
      <c r="L65" s="100">
        <v>56.015084519941361</v>
      </c>
      <c r="M65" s="101">
        <v>9.495115947783578</v>
      </c>
      <c r="N65" s="97">
        <v>-1.1599541764316681</v>
      </c>
      <c r="O65" s="102">
        <v>10.626745163642639</v>
      </c>
      <c r="P65" s="99">
        <v>54.226794977250897</v>
      </c>
      <c r="Q65" s="98">
        <v>4.0136828465221068</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21.181238787068409</v>
      </c>
      <c r="E66" s="98">
        <v>9.3992720162486346E-2</v>
      </c>
      <c r="F66" s="99">
        <v>34.184726291217757</v>
      </c>
      <c r="G66" s="98">
        <v>0.28720712036414664</v>
      </c>
      <c r="H66" s="100">
        <v>32.227290919233837</v>
      </c>
      <c r="I66" s="101">
        <v>0.11326286560651921</v>
      </c>
      <c r="J66" s="97">
        <v>16.93961434037011</v>
      </c>
      <c r="K66" s="98">
        <v>0.19836944091685277</v>
      </c>
      <c r="L66" s="100">
        <v>0</v>
      </c>
      <c r="M66" s="101" t="s">
        <v>35</v>
      </c>
      <c r="N66" s="97">
        <v>-34.184726291217757</v>
      </c>
      <c r="O66" s="102">
        <v>0.28720712036414664</v>
      </c>
      <c r="P66" s="99">
        <v>25.644906938568159</v>
      </c>
      <c r="Q66" s="98">
        <v>0.11507414126475878</v>
      </c>
      <c r="R66" s="100" t="s">
        <v>34</v>
      </c>
      <c r="S66" s="101" t="s">
        <v>34</v>
      </c>
      <c r="T66" s="97">
        <v>0</v>
      </c>
      <c r="U66" s="101" t="s">
        <v>35</v>
      </c>
      <c r="V66" s="97">
        <v>-25.644906938568159</v>
      </c>
      <c r="W66" s="104">
        <v>0.11507414126475878</v>
      </c>
      <c r="X66" s="124"/>
      <c r="Y66" s="124"/>
      <c r="Z66" s="124"/>
      <c r="AA66" s="124"/>
      <c r="AB66" s="124"/>
      <c r="AC66" s="124"/>
      <c r="AD66" s="124"/>
      <c r="AE66" s="124"/>
    </row>
    <row r="67" spans="1:31" s="105" customFormat="1" x14ac:dyDescent="0.25">
      <c r="A67" s="118" t="s">
        <v>249</v>
      </c>
      <c r="B67" s="95">
        <v>212</v>
      </c>
      <c r="C67" s="96">
        <v>89.849540710449219</v>
      </c>
      <c r="D67" s="97">
        <v>43.067638128919803</v>
      </c>
      <c r="E67" s="98">
        <v>3.7515591693401453</v>
      </c>
      <c r="F67" s="99">
        <v>55.703447493217297</v>
      </c>
      <c r="G67" s="98">
        <v>7.2319721946973559</v>
      </c>
      <c r="H67" s="100">
        <v>48.457459486489377</v>
      </c>
      <c r="I67" s="101">
        <v>8.8065472054270089</v>
      </c>
      <c r="J67" s="97">
        <v>42.889061695282599</v>
      </c>
      <c r="K67" s="98">
        <v>9.4178022099079577</v>
      </c>
      <c r="L67" s="100">
        <v>24.63714885091348</v>
      </c>
      <c r="M67" s="101">
        <v>7.8337468546267477</v>
      </c>
      <c r="N67" s="97">
        <v>-31.066298642303831</v>
      </c>
      <c r="O67" s="102">
        <v>10.327167656858077</v>
      </c>
      <c r="P67" s="99">
        <v>48.8092656534931</v>
      </c>
      <c r="Q67" s="98">
        <v>4.3583816738730299</v>
      </c>
      <c r="R67" s="100">
        <v>68.362407377666401</v>
      </c>
      <c r="S67" s="101">
        <v>23.290694639424583</v>
      </c>
      <c r="T67" s="97">
        <v>6.8317900907341853</v>
      </c>
      <c r="U67" s="101">
        <v>4.3652948205684234</v>
      </c>
      <c r="V67" s="97">
        <v>-35.780456567299765</v>
      </c>
      <c r="W67" s="104">
        <v>7.3813007983209298</v>
      </c>
      <c r="X67" s="124"/>
      <c r="Y67" s="124"/>
      <c r="Z67" s="124"/>
      <c r="AA67" s="124"/>
      <c r="AB67" s="124"/>
      <c r="AC67" s="124"/>
      <c r="AD67" s="124"/>
      <c r="AE67" s="124"/>
    </row>
    <row r="68" spans="1:31" s="105" customFormat="1" x14ac:dyDescent="0.25">
      <c r="A68" s="118" t="s">
        <v>250</v>
      </c>
      <c r="B68" s="95">
        <v>306</v>
      </c>
      <c r="C68" s="96">
        <v>97.850662231445313</v>
      </c>
      <c r="D68" s="97">
        <v>35.083555055230022</v>
      </c>
      <c r="E68" s="98">
        <v>3.2667798187349248</v>
      </c>
      <c r="F68" s="99">
        <v>46.230908996844882</v>
      </c>
      <c r="G68" s="98">
        <v>5.3472416082193011</v>
      </c>
      <c r="H68" s="100">
        <v>36.330117567100658</v>
      </c>
      <c r="I68" s="101">
        <v>6.4911650623975632</v>
      </c>
      <c r="J68" s="97">
        <v>25.645421863530899</v>
      </c>
      <c r="K68" s="98">
        <v>6.5216577524948365</v>
      </c>
      <c r="L68" s="100">
        <v>32.061365668537711</v>
      </c>
      <c r="M68" s="101">
        <v>6.5888183165191672</v>
      </c>
      <c r="N68" s="97">
        <v>-14.169543328307171</v>
      </c>
      <c r="O68" s="102">
        <v>7.3228323655439276</v>
      </c>
      <c r="P68" s="99">
        <v>36.971612808230617</v>
      </c>
      <c r="Q68" s="98">
        <v>3.570066079634346</v>
      </c>
      <c r="R68" s="100" t="s">
        <v>34</v>
      </c>
      <c r="S68" s="101" t="s">
        <v>34</v>
      </c>
      <c r="T68" s="97">
        <v>15.2350956816676</v>
      </c>
      <c r="U68" s="101">
        <v>3.8868479034540879</v>
      </c>
      <c r="V68" s="97">
        <v>-21.736517126563015</v>
      </c>
      <c r="W68" s="104">
        <v>5.3009601293930579</v>
      </c>
      <c r="X68" s="124"/>
      <c r="Y68" s="124"/>
      <c r="Z68" s="124"/>
      <c r="AA68" s="124"/>
      <c r="AB68" s="124"/>
      <c r="AC68" s="124"/>
      <c r="AD68" s="124"/>
      <c r="AE68" s="124"/>
    </row>
    <row r="69" spans="1:31" s="105" customFormat="1" x14ac:dyDescent="0.25">
      <c r="A69" s="118" t="s">
        <v>303</v>
      </c>
      <c r="B69" s="95">
        <v>112</v>
      </c>
      <c r="C69" s="96">
        <v>75.546546936035156</v>
      </c>
      <c r="D69" s="97">
        <v>14.93288869434665</v>
      </c>
      <c r="E69" s="98">
        <v>2.8557465141350433</v>
      </c>
      <c r="F69" s="99">
        <v>30.049352374067929</v>
      </c>
      <c r="G69" s="98">
        <v>7.618120723816725</v>
      </c>
      <c r="H69" s="100">
        <v>9.9438767096861813</v>
      </c>
      <c r="I69" s="101">
        <v>5.9158020979025432</v>
      </c>
      <c r="J69" s="97">
        <v>16.272751850363989</v>
      </c>
      <c r="K69" s="98">
        <v>7.0442669209588589</v>
      </c>
      <c r="L69" s="100">
        <v>3.3486297270074519</v>
      </c>
      <c r="M69" s="101">
        <v>3.5365112561104337</v>
      </c>
      <c r="N69" s="97">
        <v>-26.700722647060481</v>
      </c>
      <c r="O69" s="102">
        <v>8.4335726928360213</v>
      </c>
      <c r="P69" s="99">
        <v>7.6160792715749306</v>
      </c>
      <c r="Q69" s="98">
        <v>7.768033536771183</v>
      </c>
      <c r="R69" s="100">
        <v>16.2204580470022</v>
      </c>
      <c r="S69" s="101">
        <v>3.0927191085577244</v>
      </c>
      <c r="T69" s="97" t="s">
        <v>34</v>
      </c>
      <c r="U69" s="101" t="s">
        <v>34</v>
      </c>
      <c r="V69" s="97">
        <v>8.6043787754272696</v>
      </c>
      <c r="W69" s="104">
        <v>8.1350610788435418</v>
      </c>
      <c r="X69" s="124"/>
      <c r="Y69" s="124"/>
      <c r="Z69" s="124"/>
      <c r="AA69" s="124"/>
      <c r="AB69" s="124"/>
      <c r="AC69" s="124"/>
      <c r="AD69" s="124"/>
      <c r="AE69" s="124"/>
    </row>
    <row r="70" spans="1:31" s="105" customFormat="1" x14ac:dyDescent="0.25">
      <c r="A70" s="118" t="s">
        <v>251</v>
      </c>
      <c r="B70" s="95">
        <v>341</v>
      </c>
      <c r="C70" s="96">
        <v>89.094039916992188</v>
      </c>
      <c r="D70" s="97">
        <v>60.265185993204682</v>
      </c>
      <c r="E70" s="98">
        <v>4.2981402947850329</v>
      </c>
      <c r="F70" s="99">
        <v>74.387975508145047</v>
      </c>
      <c r="G70" s="98">
        <v>6.1428970974277046</v>
      </c>
      <c r="H70" s="100">
        <v>62.038437633761568</v>
      </c>
      <c r="I70" s="101">
        <v>8.861778455843119</v>
      </c>
      <c r="J70" s="97">
        <v>59.977708344710251</v>
      </c>
      <c r="K70" s="98">
        <v>11.770445103966159</v>
      </c>
      <c r="L70" s="100">
        <v>44.497360600130072</v>
      </c>
      <c r="M70" s="101">
        <v>11.774785730703863</v>
      </c>
      <c r="N70" s="97">
        <v>-29.890614908014982</v>
      </c>
      <c r="O70" s="102">
        <v>13.67617988829006</v>
      </c>
      <c r="P70" s="99">
        <v>56.790429739913947</v>
      </c>
      <c r="Q70" s="98">
        <v>5.5092974190928627</v>
      </c>
      <c r="R70" s="100">
        <v>77.480860476309289</v>
      </c>
      <c r="S70" s="101">
        <v>6.2598323405987051</v>
      </c>
      <c r="T70" s="97">
        <v>47.976606060648422</v>
      </c>
      <c r="U70" s="101">
        <v>12.708310994521629</v>
      </c>
      <c r="V70" s="97">
        <v>7.8811654792135641</v>
      </c>
      <c r="W70" s="104">
        <v>8.7957465577637191</v>
      </c>
      <c r="X70" s="124"/>
      <c r="Y70" s="124"/>
      <c r="Z70" s="124"/>
      <c r="AA70" s="124"/>
      <c r="AB70" s="124"/>
      <c r="AC70" s="124"/>
      <c r="AD70" s="124"/>
      <c r="AE70" s="124"/>
    </row>
    <row r="71" spans="1:31" s="105" customFormat="1" x14ac:dyDescent="0.25">
      <c r="A71" s="118" t="s">
        <v>252</v>
      </c>
      <c r="B71" s="95">
        <v>310</v>
      </c>
      <c r="C71" s="96">
        <v>98.9744873046875</v>
      </c>
      <c r="D71" s="97">
        <v>45.887611628075582</v>
      </c>
      <c r="E71" s="98">
        <v>3.0966858117129559</v>
      </c>
      <c r="F71" s="99">
        <v>62.560166253822089</v>
      </c>
      <c r="G71" s="98">
        <v>7.0320623089055543</v>
      </c>
      <c r="H71" s="100">
        <v>47.65123526420863</v>
      </c>
      <c r="I71" s="101">
        <v>6.9925233152169426</v>
      </c>
      <c r="J71" s="97">
        <v>44.29019059266237</v>
      </c>
      <c r="K71" s="98">
        <v>6.7368471012606683</v>
      </c>
      <c r="L71" s="100">
        <v>28.650132257178822</v>
      </c>
      <c r="M71" s="101">
        <v>6.4528120151986919</v>
      </c>
      <c r="N71" s="97">
        <v>-33.910033996643271</v>
      </c>
      <c r="O71" s="102">
        <v>9.8988467837527541</v>
      </c>
      <c r="P71" s="99">
        <v>49.255396105853031</v>
      </c>
      <c r="Q71" s="98">
        <v>3.538326617037193</v>
      </c>
      <c r="R71" s="100" t="s">
        <v>34</v>
      </c>
      <c r="S71" s="101" t="s">
        <v>34</v>
      </c>
      <c r="T71" s="97">
        <v>32.681789004874688</v>
      </c>
      <c r="U71" s="101">
        <v>7.0361802768533686</v>
      </c>
      <c r="V71" s="97">
        <v>-16.573607100978343</v>
      </c>
      <c r="W71" s="104">
        <v>7.9152890855525744</v>
      </c>
      <c r="X71" s="124"/>
      <c r="Y71" s="124"/>
      <c r="Z71" s="124"/>
      <c r="AA71" s="124"/>
      <c r="AB71" s="124"/>
      <c r="AC71" s="124"/>
      <c r="AD71" s="124"/>
      <c r="AE71" s="124"/>
    </row>
    <row r="72" spans="1:31" s="105" customFormat="1" x14ac:dyDescent="0.25">
      <c r="A72" s="118" t="s">
        <v>253</v>
      </c>
      <c r="B72" s="95">
        <v>516</v>
      </c>
      <c r="C72" s="96">
        <v>80.3912353515625</v>
      </c>
      <c r="D72" s="97">
        <v>39.261242505235508</v>
      </c>
      <c r="E72" s="98">
        <v>3.0002172875049502</v>
      </c>
      <c r="F72" s="99">
        <v>47.496986465849218</v>
      </c>
      <c r="G72" s="98">
        <v>5.805463511520772</v>
      </c>
      <c r="H72" s="100">
        <v>44.382542950016997</v>
      </c>
      <c r="I72" s="101">
        <v>6.2340251364858741</v>
      </c>
      <c r="J72" s="97">
        <v>32.883464113700647</v>
      </c>
      <c r="K72" s="98">
        <v>6.2866534318317671</v>
      </c>
      <c r="L72" s="100">
        <v>32.025702685252938</v>
      </c>
      <c r="M72" s="101">
        <v>6.8514153776181859</v>
      </c>
      <c r="N72" s="97">
        <v>-15.47128378059627</v>
      </c>
      <c r="O72" s="102">
        <v>8.8665969163473175</v>
      </c>
      <c r="P72" s="99">
        <v>39.907054734956347</v>
      </c>
      <c r="Q72" s="98">
        <v>3.0413333885655045</v>
      </c>
      <c r="R72" s="100">
        <v>0</v>
      </c>
      <c r="S72" s="101" t="s">
        <v>35</v>
      </c>
      <c r="T72" s="97" t="s">
        <v>34</v>
      </c>
      <c r="U72" s="101" t="s">
        <v>34</v>
      </c>
      <c r="V72" s="97">
        <v>-39.907054734956347</v>
      </c>
      <c r="W72" s="104">
        <v>3.0413333885655045</v>
      </c>
      <c r="X72" s="124"/>
      <c r="Y72" s="124"/>
      <c r="Z72" s="124"/>
      <c r="AA72" s="124"/>
      <c r="AB72" s="124"/>
      <c r="AC72" s="124"/>
      <c r="AD72" s="124"/>
      <c r="AE72" s="124"/>
    </row>
    <row r="73" spans="1:31" s="105" customFormat="1" x14ac:dyDescent="0.25">
      <c r="A73" s="118" t="s">
        <v>254</v>
      </c>
      <c r="B73" s="95">
        <v>88</v>
      </c>
      <c r="C73" s="96">
        <v>73.040199279785156</v>
      </c>
      <c r="D73" s="97">
        <v>83.395503814763018</v>
      </c>
      <c r="E73" s="98">
        <v>0.97830750812794554</v>
      </c>
      <c r="F73" s="99">
        <v>92.074839321291904</v>
      </c>
      <c r="G73" s="98">
        <v>0.28475949449209448</v>
      </c>
      <c r="H73" s="100">
        <v>67.07311180409927</v>
      </c>
      <c r="I73" s="101">
        <v>3.0975673061819236</v>
      </c>
      <c r="J73" s="97">
        <v>81.301703057079294</v>
      </c>
      <c r="K73" s="98">
        <v>1.5180280402619448</v>
      </c>
      <c r="L73" s="100">
        <v>93.097869226972037</v>
      </c>
      <c r="M73" s="101">
        <v>2.3250123859088916</v>
      </c>
      <c r="N73" s="97">
        <v>1.0230299056801331</v>
      </c>
      <c r="O73" s="102">
        <v>2.3154182362388069</v>
      </c>
      <c r="P73" s="99">
        <v>83.657007254361474</v>
      </c>
      <c r="Q73" s="98">
        <v>0.82901308371466109</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204</v>
      </c>
      <c r="C74" s="96">
        <v>75.647270202636719</v>
      </c>
      <c r="D74" s="97">
        <v>22.875208295622301</v>
      </c>
      <c r="E74" s="98">
        <v>2.3844215630987309</v>
      </c>
      <c r="F74" s="99">
        <v>29.480266385501089</v>
      </c>
      <c r="G74" s="98">
        <v>6.2520093407379997</v>
      </c>
      <c r="H74" s="100">
        <v>35.305996108614892</v>
      </c>
      <c r="I74" s="101">
        <v>8.3349202438512773</v>
      </c>
      <c r="J74" s="97">
        <v>19.952477485073381</v>
      </c>
      <c r="K74" s="98">
        <v>7.3814239924372025</v>
      </c>
      <c r="L74" s="100">
        <v>6.8717902258247641</v>
      </c>
      <c r="M74" s="101">
        <v>5.0566518640425908</v>
      </c>
      <c r="N74" s="97">
        <v>-22.608476159676329</v>
      </c>
      <c r="O74" s="102">
        <v>8.9820137196981111</v>
      </c>
      <c r="P74" s="99">
        <v>38.717072368920199</v>
      </c>
      <c r="Q74" s="98">
        <v>4.211862898777337</v>
      </c>
      <c r="R74" s="100" t="s">
        <v>34</v>
      </c>
      <c r="S74" s="101" t="s">
        <v>34</v>
      </c>
      <c r="T74" s="97">
        <v>8.5623372622104768</v>
      </c>
      <c r="U74" s="101">
        <v>3.3801519175442296</v>
      </c>
      <c r="V74" s="97">
        <v>-30.154735106709722</v>
      </c>
      <c r="W74" s="104">
        <v>5.1146993212988754</v>
      </c>
      <c r="X74" s="124"/>
      <c r="Y74" s="124"/>
      <c r="Z74" s="124"/>
      <c r="AA74" s="124"/>
      <c r="AB74" s="124"/>
      <c r="AC74" s="124"/>
      <c r="AD74" s="124"/>
      <c r="AE74" s="124"/>
    </row>
    <row r="75" spans="1:31" s="105" customFormat="1" x14ac:dyDescent="0.25">
      <c r="A75" s="118" t="s">
        <v>256</v>
      </c>
      <c r="B75" s="95">
        <v>45</v>
      </c>
      <c r="C75" s="96">
        <v>100</v>
      </c>
      <c r="D75" s="97">
        <v>16.135824028448202</v>
      </c>
      <c r="E75" s="98">
        <v>3.3852762246842187E-2</v>
      </c>
      <c r="F75" s="99">
        <v>13.344835118642481</v>
      </c>
      <c r="G75" s="98">
        <v>8.9483431383156634E-2</v>
      </c>
      <c r="H75" s="100">
        <v>14.3290093635307</v>
      </c>
      <c r="I75" s="101">
        <v>0.11280932787176688</v>
      </c>
      <c r="J75" s="97">
        <v>21.193017908348821</v>
      </c>
      <c r="K75" s="98">
        <v>9.4811512197807146E-2</v>
      </c>
      <c r="L75" s="100">
        <v>16.158193733601621</v>
      </c>
      <c r="M75" s="101">
        <v>9.7339169214783777E-2</v>
      </c>
      <c r="N75" s="97">
        <v>2.813358614959133</v>
      </c>
      <c r="O75" s="102">
        <v>0.1384048467256902</v>
      </c>
      <c r="P75" s="99">
        <v>3.675162325028968</v>
      </c>
      <c r="Q75" s="98">
        <v>5.7785413353882214E-3</v>
      </c>
      <c r="R75" s="100">
        <v>18.67475558369836</v>
      </c>
      <c r="S75" s="101">
        <v>3.9830894288040916E-2</v>
      </c>
      <c r="T75" s="97" t="s">
        <v>34</v>
      </c>
      <c r="U75" s="101" t="s">
        <v>34</v>
      </c>
      <c r="V75" s="97">
        <v>14.999593258669393</v>
      </c>
      <c r="W75" s="104">
        <v>4.0612914436237366E-2</v>
      </c>
      <c r="X75" s="124"/>
      <c r="Y75" s="124"/>
      <c r="Z75" s="124"/>
      <c r="AA75" s="124"/>
      <c r="AB75" s="124"/>
      <c r="AC75" s="124"/>
      <c r="AD75" s="124"/>
      <c r="AE75" s="124"/>
    </row>
    <row r="76" spans="1:31" s="105" customFormat="1" x14ac:dyDescent="0.25">
      <c r="A76" s="118" t="s">
        <v>257</v>
      </c>
      <c r="B76" s="95">
        <v>190</v>
      </c>
      <c r="C76" s="96">
        <v>99.531219482421875</v>
      </c>
      <c r="D76" s="97">
        <v>19.101540172871339</v>
      </c>
      <c r="E76" s="98">
        <v>2.7140983327532364</v>
      </c>
      <c r="F76" s="99">
        <v>29.478620782200672</v>
      </c>
      <c r="G76" s="98">
        <v>6.910241493777737</v>
      </c>
      <c r="H76" s="100">
        <v>12.112311033234329</v>
      </c>
      <c r="I76" s="101">
        <v>6.0419912964960201</v>
      </c>
      <c r="J76" s="97">
        <v>14.807067406637399</v>
      </c>
      <c r="K76" s="98">
        <v>5.8152256842697261</v>
      </c>
      <c r="L76" s="100">
        <v>20.18001175836871</v>
      </c>
      <c r="M76" s="101">
        <v>5.0952707914250572</v>
      </c>
      <c r="N76" s="97">
        <v>-9.2986090238319612</v>
      </c>
      <c r="O76" s="102">
        <v>8.9645844249106315</v>
      </c>
      <c r="P76" s="99">
        <v>19.27782958498673</v>
      </c>
      <c r="Q76" s="98">
        <v>2.8662246952346</v>
      </c>
      <c r="R76" s="100" t="s">
        <v>34</v>
      </c>
      <c r="S76" s="101" t="s">
        <v>34</v>
      </c>
      <c r="T76" s="97">
        <v>9.1587478147064516</v>
      </c>
      <c r="U76" s="101">
        <v>6.0682098612218738</v>
      </c>
      <c r="V76" s="97">
        <v>-10.119081770280278</v>
      </c>
      <c r="W76" s="104">
        <v>6.4588951757659556</v>
      </c>
      <c r="X76" s="124"/>
      <c r="Y76" s="124"/>
      <c r="Z76" s="124"/>
      <c r="AA76" s="124"/>
      <c r="AB76" s="124"/>
      <c r="AC76" s="124"/>
      <c r="AD76" s="124"/>
      <c r="AE76" s="124"/>
    </row>
    <row r="77" spans="1:31" s="105" customFormat="1" x14ac:dyDescent="0.25">
      <c r="A77" s="118" t="s">
        <v>258</v>
      </c>
      <c r="B77" s="95">
        <v>49</v>
      </c>
      <c r="C77" s="96">
        <v>99.911201477050781</v>
      </c>
      <c r="D77" s="97">
        <v>6.0905507072450122</v>
      </c>
      <c r="E77" s="98">
        <v>4.7655551376088158E-2</v>
      </c>
      <c r="F77" s="99">
        <v>24.946900477222758</v>
      </c>
      <c r="G77" s="98">
        <v>0.1867849517430698</v>
      </c>
      <c r="H77" s="100">
        <v>0</v>
      </c>
      <c r="I77" s="101" t="s">
        <v>35</v>
      </c>
      <c r="J77" s="97">
        <v>0</v>
      </c>
      <c r="K77" s="98" t="s">
        <v>35</v>
      </c>
      <c r="L77" s="100">
        <v>0</v>
      </c>
      <c r="M77" s="101" t="s">
        <v>35</v>
      </c>
      <c r="N77" s="97">
        <v>-24.946900477222758</v>
      </c>
      <c r="O77" s="102">
        <v>0.1867849517430698</v>
      </c>
      <c r="P77" s="99">
        <v>11.087320383046279</v>
      </c>
      <c r="Q77" s="98">
        <v>8.8385788570335092E-2</v>
      </c>
      <c r="R77" s="100">
        <v>0</v>
      </c>
      <c r="S77" s="101" t="s">
        <v>35</v>
      </c>
      <c r="T77" s="97">
        <v>0</v>
      </c>
      <c r="U77" s="101" t="s">
        <v>35</v>
      </c>
      <c r="V77" s="97">
        <v>-11.087320383046279</v>
      </c>
      <c r="W77" s="104">
        <v>8.8385788570335092E-2</v>
      </c>
      <c r="X77" s="124"/>
      <c r="Y77" s="124"/>
      <c r="Z77" s="124"/>
      <c r="AA77" s="124"/>
      <c r="AB77" s="124"/>
      <c r="AC77" s="124"/>
      <c r="AD77" s="124"/>
      <c r="AE77" s="124"/>
    </row>
    <row r="78" spans="1:31" s="105" customFormat="1" x14ac:dyDescent="0.25">
      <c r="A78" s="118" t="s">
        <v>259</v>
      </c>
      <c r="B78" s="95">
        <v>215</v>
      </c>
      <c r="C78" s="96">
        <v>93.464431762695313</v>
      </c>
      <c r="D78" s="97">
        <v>44.708367546987027</v>
      </c>
      <c r="E78" s="98">
        <v>3.5863674188624799</v>
      </c>
      <c r="F78" s="99">
        <v>46.072034003431533</v>
      </c>
      <c r="G78" s="98">
        <v>6.2628608403373667</v>
      </c>
      <c r="H78" s="100">
        <v>46.338080951240542</v>
      </c>
      <c r="I78" s="101">
        <v>6.8342616786328891</v>
      </c>
      <c r="J78" s="97">
        <v>37.528882670616198</v>
      </c>
      <c r="K78" s="98">
        <v>8.9217851433429036</v>
      </c>
      <c r="L78" s="100">
        <v>48.690401083238669</v>
      </c>
      <c r="M78" s="101">
        <v>7.85613549039416</v>
      </c>
      <c r="N78" s="97">
        <v>2.6183670798071428</v>
      </c>
      <c r="O78" s="102">
        <v>9.9765223185825427</v>
      </c>
      <c r="P78" s="99">
        <v>45.06038822676328</v>
      </c>
      <c r="Q78" s="98">
        <v>3.608281304467718</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31.04612051677886</v>
      </c>
      <c r="E79" s="98">
        <v>5.7251887954249264E-2</v>
      </c>
      <c r="F79" s="99">
        <v>29.622016617996859</v>
      </c>
      <c r="G79" s="98">
        <v>0.13793553487394825</v>
      </c>
      <c r="H79" s="100">
        <v>40.757322101039897</v>
      </c>
      <c r="I79" s="101">
        <v>0.12953357281106789</v>
      </c>
      <c r="J79" s="97">
        <v>29.893873188060859</v>
      </c>
      <c r="K79" s="98">
        <v>9.169667164500965E-2</v>
      </c>
      <c r="L79" s="100">
        <v>25.91142147526261</v>
      </c>
      <c r="M79" s="101">
        <v>8.3882107917538182E-2</v>
      </c>
      <c r="N79" s="97">
        <v>-3.710595142734249</v>
      </c>
      <c r="O79" s="102">
        <v>0.15269082872379913</v>
      </c>
      <c r="P79" s="99">
        <v>31.1051522093092</v>
      </c>
      <c r="Q79" s="98">
        <v>5.7151653276942604E-2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171</v>
      </c>
      <c r="C80" s="96">
        <v>95.223587036132813</v>
      </c>
      <c r="D80" s="97">
        <v>64.005967852532038</v>
      </c>
      <c r="E80" s="98">
        <v>3.3872896575704714</v>
      </c>
      <c r="F80" s="99">
        <v>63.523700590412787</v>
      </c>
      <c r="G80" s="98">
        <v>8.0909801235208931</v>
      </c>
      <c r="H80" s="100">
        <v>80.59929215690984</v>
      </c>
      <c r="I80" s="101">
        <v>7.3685236562750065</v>
      </c>
      <c r="J80" s="97">
        <v>65.667986507994726</v>
      </c>
      <c r="K80" s="98">
        <v>9.4508529272731359</v>
      </c>
      <c r="L80" s="100">
        <v>45.67580744011871</v>
      </c>
      <c r="M80" s="101">
        <v>6.9596719095491428</v>
      </c>
      <c r="N80" s="97">
        <v>-17.84789315029408</v>
      </c>
      <c r="O80" s="102">
        <v>10.652378468878245</v>
      </c>
      <c r="P80" s="99">
        <v>67.701016095048629</v>
      </c>
      <c r="Q80" s="98">
        <v>3.6306432117816732</v>
      </c>
      <c r="R80" s="100" t="s">
        <v>34</v>
      </c>
      <c r="S80" s="101" t="s">
        <v>34</v>
      </c>
      <c r="T80" s="97">
        <v>11.696844896000719</v>
      </c>
      <c r="U80" s="101">
        <v>9.5335447262043225</v>
      </c>
      <c r="V80" s="97">
        <v>-56.00417119904791</v>
      </c>
      <c r="W80" s="104">
        <v>10.471455401104425</v>
      </c>
      <c r="X80" s="124"/>
      <c r="Y80" s="124"/>
      <c r="Z80" s="124"/>
      <c r="AA80" s="124"/>
      <c r="AB80" s="124"/>
      <c r="AC80" s="124"/>
      <c r="AD80" s="124"/>
      <c r="AE80" s="124"/>
    </row>
    <row r="81" spans="1:31" s="105" customFormat="1" x14ac:dyDescent="0.25">
      <c r="A81" s="118" t="s">
        <v>262</v>
      </c>
      <c r="B81" s="95">
        <v>95</v>
      </c>
      <c r="C81" s="96">
        <v>88.729988098144531</v>
      </c>
      <c r="D81" s="97">
        <v>48.173431894657959</v>
      </c>
      <c r="E81" s="98">
        <v>9.5566980935538878E-2</v>
      </c>
      <c r="F81" s="99">
        <v>55.225394480000631</v>
      </c>
      <c r="G81" s="98">
        <v>0.90990538350202232</v>
      </c>
      <c r="H81" s="100">
        <v>49.958150400124048</v>
      </c>
      <c r="I81" s="101">
        <v>0.77723942028701609</v>
      </c>
      <c r="J81" s="97">
        <v>52.373645338185291</v>
      </c>
      <c r="K81" s="98">
        <v>0.26234750131517592</v>
      </c>
      <c r="L81" s="100">
        <v>34.349941578720987</v>
      </c>
      <c r="M81" s="101">
        <v>0.21741133596522452</v>
      </c>
      <c r="N81" s="97">
        <v>-20.87545290127964</v>
      </c>
      <c r="O81" s="102">
        <v>0.97431151436916485</v>
      </c>
      <c r="P81" s="99">
        <v>49.50980095645744</v>
      </c>
      <c r="Q81" s="98">
        <v>9.8722120809097688E-2</v>
      </c>
      <c r="R81" s="100" t="s">
        <v>34</v>
      </c>
      <c r="S81" s="101" t="s">
        <v>34</v>
      </c>
      <c r="T81" s="97">
        <v>0</v>
      </c>
      <c r="U81" s="101" t="s">
        <v>35</v>
      </c>
      <c r="V81" s="97">
        <v>-49.50980095645744</v>
      </c>
      <c r="W81" s="104">
        <v>9.8722120809097688E-2</v>
      </c>
      <c r="X81" s="124"/>
      <c r="Y81" s="124"/>
      <c r="Z81" s="124"/>
      <c r="AA81" s="124"/>
      <c r="AB81" s="124"/>
      <c r="AC81" s="124"/>
      <c r="AD81" s="124"/>
      <c r="AE81" s="124"/>
    </row>
    <row r="82" spans="1:31" s="105" customFormat="1" x14ac:dyDescent="0.25">
      <c r="A82" s="118" t="s">
        <v>263</v>
      </c>
      <c r="B82" s="95">
        <v>140</v>
      </c>
      <c r="C82" s="96">
        <v>69.425094604492188</v>
      </c>
      <c r="D82" s="97">
        <v>33.145231076570539</v>
      </c>
      <c r="E82" s="98">
        <v>2.5169033549345818</v>
      </c>
      <c r="F82" s="99">
        <v>56.788394377972772</v>
      </c>
      <c r="G82" s="98">
        <v>8.6500240649974334</v>
      </c>
      <c r="H82" s="100">
        <v>35.665589006097022</v>
      </c>
      <c r="I82" s="101">
        <v>7.532823005984123</v>
      </c>
      <c r="J82" s="97">
        <v>24.603687288587199</v>
      </c>
      <c r="K82" s="98">
        <v>6.0316743836165738</v>
      </c>
      <c r="L82" s="100">
        <v>15.02966881039085</v>
      </c>
      <c r="M82" s="101">
        <v>6.3204412942606236</v>
      </c>
      <c r="N82" s="97">
        <v>-41.758725567581934</v>
      </c>
      <c r="O82" s="102">
        <v>12.588336260515602</v>
      </c>
      <c r="P82" s="99">
        <v>41.073414753525448</v>
      </c>
      <c r="Q82" s="98">
        <v>2.764518937220803</v>
      </c>
      <c r="R82" s="100" t="s">
        <v>34</v>
      </c>
      <c r="S82" s="101" t="s">
        <v>34</v>
      </c>
      <c r="T82" s="97">
        <v>2.514767370343796</v>
      </c>
      <c r="U82" s="101">
        <v>2.0412817222519668</v>
      </c>
      <c r="V82" s="97">
        <v>-38.558647383181651</v>
      </c>
      <c r="W82" s="104">
        <v>3.4543868780420177</v>
      </c>
      <c r="X82" s="124"/>
      <c r="Y82" s="124"/>
      <c r="Z82" s="124"/>
      <c r="AA82" s="124"/>
      <c r="AB82" s="124"/>
      <c r="AC82" s="124"/>
      <c r="AD82" s="124"/>
      <c r="AE82" s="124"/>
    </row>
    <row r="83" spans="1:31" s="105" customFormat="1" x14ac:dyDescent="0.25">
      <c r="A83" s="118" t="s">
        <v>264</v>
      </c>
      <c r="B83" s="95">
        <v>323</v>
      </c>
      <c r="C83" s="96">
        <v>97.6805419921875</v>
      </c>
      <c r="D83" s="97">
        <v>52.836187395314838</v>
      </c>
      <c r="E83" s="98">
        <v>2.6596635641834672</v>
      </c>
      <c r="F83" s="99">
        <v>71.550345295703565</v>
      </c>
      <c r="G83" s="98">
        <v>4.6441020219902853</v>
      </c>
      <c r="H83" s="100">
        <v>59.368368045207127</v>
      </c>
      <c r="I83" s="101">
        <v>6.2119456910281983</v>
      </c>
      <c r="J83" s="97">
        <v>63.383826252567673</v>
      </c>
      <c r="K83" s="98">
        <v>7.3465977031982916</v>
      </c>
      <c r="L83" s="100">
        <v>16.550769853133779</v>
      </c>
      <c r="M83" s="101">
        <v>4.9194113995409685</v>
      </c>
      <c r="N83" s="97">
        <v>-54.999575442569792</v>
      </c>
      <c r="O83" s="102">
        <v>6.3621322481564926</v>
      </c>
      <c r="P83" s="99">
        <v>66.208818611894401</v>
      </c>
      <c r="Q83" s="98">
        <v>3.1230185266781367</v>
      </c>
      <c r="R83" s="100" t="s">
        <v>34</v>
      </c>
      <c r="S83" s="101" t="s">
        <v>34</v>
      </c>
      <c r="T83" s="97">
        <v>10.72908483335606</v>
      </c>
      <c r="U83" s="101">
        <v>3.0741971818762353</v>
      </c>
      <c r="V83" s="97">
        <v>-55.479733778538339</v>
      </c>
      <c r="W83" s="104">
        <v>4.1872408233820932</v>
      </c>
      <c r="X83" s="124"/>
      <c r="Y83" s="124"/>
      <c r="Z83" s="124"/>
      <c r="AA83" s="124"/>
      <c r="AB83" s="124"/>
      <c r="AC83" s="124"/>
      <c r="AD83" s="124"/>
      <c r="AE83" s="124"/>
    </row>
    <row r="84" spans="1:31" s="105" customFormat="1" x14ac:dyDescent="0.25">
      <c r="A84" s="118" t="s">
        <v>265</v>
      </c>
      <c r="B84" s="95">
        <v>186</v>
      </c>
      <c r="C84" s="96">
        <v>99.705375671386719</v>
      </c>
      <c r="D84" s="97">
        <v>51.41859929965517</v>
      </c>
      <c r="E84" s="98">
        <v>3.1329932786645038</v>
      </c>
      <c r="F84" s="99">
        <v>63.123638259746713</v>
      </c>
      <c r="G84" s="98">
        <v>8.110017719030898</v>
      </c>
      <c r="H84" s="100">
        <v>63.129764667638369</v>
      </c>
      <c r="I84" s="101">
        <v>7.5085566740186183</v>
      </c>
      <c r="J84" s="97">
        <v>59.260273182049282</v>
      </c>
      <c r="K84" s="98">
        <v>9.5703514508131047</v>
      </c>
      <c r="L84" s="100">
        <v>20.31110455927973</v>
      </c>
      <c r="M84" s="101">
        <v>5.8992196439840301</v>
      </c>
      <c r="N84" s="97">
        <v>-42.812533700466993</v>
      </c>
      <c r="O84" s="102">
        <v>9.9587663022521298</v>
      </c>
      <c r="P84" s="99">
        <v>60.493175157606089</v>
      </c>
      <c r="Q84" s="98">
        <v>3.5626317576665536</v>
      </c>
      <c r="R84" s="100">
        <v>16.29098577785517</v>
      </c>
      <c r="S84" s="101">
        <v>7.9665579299899241</v>
      </c>
      <c r="T84" s="97">
        <v>0</v>
      </c>
      <c r="U84" s="101" t="s">
        <v>35</v>
      </c>
      <c r="V84" s="97">
        <v>-51.982459383558322</v>
      </c>
      <c r="W84" s="104">
        <v>5.4041008624300737</v>
      </c>
      <c r="X84" s="124"/>
      <c r="Y84" s="124"/>
      <c r="Z84" s="124"/>
      <c r="AA84" s="124"/>
      <c r="AB84" s="124"/>
      <c r="AC84" s="124"/>
      <c r="AD84" s="124"/>
      <c r="AE84" s="124"/>
    </row>
    <row r="85" spans="1:31" s="105" customFormat="1" x14ac:dyDescent="0.25">
      <c r="A85" s="118" t="s">
        <v>266</v>
      </c>
      <c r="B85" s="95">
        <v>137</v>
      </c>
      <c r="C85" s="96">
        <v>86.319252014160156</v>
      </c>
      <c r="D85" s="97">
        <v>1.881425997699711</v>
      </c>
      <c r="E85" s="98">
        <v>2.8457562170545288E-2</v>
      </c>
      <c r="F85" s="99">
        <v>0</v>
      </c>
      <c r="G85" s="98" t="s">
        <v>35</v>
      </c>
      <c r="H85" s="100">
        <v>0</v>
      </c>
      <c r="I85" s="101" t="s">
        <v>35</v>
      </c>
      <c r="J85" s="97">
        <v>4.1349387934416866</v>
      </c>
      <c r="K85" s="98">
        <v>7.7519063252449671E-2</v>
      </c>
      <c r="L85" s="100">
        <v>3.5051683011699919</v>
      </c>
      <c r="M85" s="101">
        <v>8.8136463645623747E-2</v>
      </c>
      <c r="N85" s="97">
        <v>3.5051683011699919</v>
      </c>
      <c r="O85" s="102">
        <v>8.8136463645623747E-2</v>
      </c>
      <c r="P85" s="99">
        <v>3.5115163983435571</v>
      </c>
      <c r="Q85" s="98">
        <v>4.9947696833078217E-2</v>
      </c>
      <c r="R85" s="100" t="s">
        <v>34</v>
      </c>
      <c r="S85" s="101" t="s">
        <v>34</v>
      </c>
      <c r="T85" s="97">
        <v>0.20036376452906729</v>
      </c>
      <c r="U85" s="101">
        <v>2.6794196623888131E-2</v>
      </c>
      <c r="V85" s="97">
        <v>-3.3111526338144897</v>
      </c>
      <c r="W85" s="104">
        <v>5.7022060610120578E-2</v>
      </c>
      <c r="X85" s="124"/>
      <c r="Y85" s="124"/>
      <c r="Z85" s="124"/>
      <c r="AA85" s="124"/>
      <c r="AB85" s="124"/>
      <c r="AC85" s="124"/>
      <c r="AD85" s="124"/>
      <c r="AE85" s="124"/>
    </row>
    <row r="86" spans="1:31" s="105" customFormat="1" x14ac:dyDescent="0.25">
      <c r="A86" s="118" t="s">
        <v>267</v>
      </c>
      <c r="B86" s="95">
        <v>139</v>
      </c>
      <c r="C86" s="96">
        <v>91.495452880859375</v>
      </c>
      <c r="D86" s="97">
        <v>49.111372498215211</v>
      </c>
      <c r="E86" s="98">
        <v>4.3632852683480365</v>
      </c>
      <c r="F86" s="99">
        <v>53.957312641985069</v>
      </c>
      <c r="G86" s="98">
        <v>9.1942001919790055</v>
      </c>
      <c r="H86" s="100">
        <v>50.390711712957213</v>
      </c>
      <c r="I86" s="101">
        <v>10.112456531341943</v>
      </c>
      <c r="J86" s="97">
        <v>68.423875738503625</v>
      </c>
      <c r="K86" s="98">
        <v>10.397930862830586</v>
      </c>
      <c r="L86" s="100">
        <v>23.014652600377559</v>
      </c>
      <c r="M86" s="101">
        <v>10.987377140691546</v>
      </c>
      <c r="N86" s="97">
        <v>-30.94266004160751</v>
      </c>
      <c r="O86" s="102">
        <v>15.699030077637861</v>
      </c>
      <c r="P86" s="99">
        <v>50.231728916929839</v>
      </c>
      <c r="Q86" s="98">
        <v>4.5045083053973718</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42.830519198895757</v>
      </c>
      <c r="E87" s="98">
        <v>3.8242803369681346</v>
      </c>
      <c r="F87" s="99">
        <v>56.049025793055961</v>
      </c>
      <c r="G87" s="98">
        <v>7.5619443958293271</v>
      </c>
      <c r="H87" s="100">
        <v>45.475473532977659</v>
      </c>
      <c r="I87" s="101">
        <v>8.22273616531721</v>
      </c>
      <c r="J87" s="97">
        <v>44.582233325372869</v>
      </c>
      <c r="K87" s="98">
        <v>10.525387139062133</v>
      </c>
      <c r="L87" s="100">
        <v>24.882105977632261</v>
      </c>
      <c r="M87" s="101">
        <v>7.8362048808149289</v>
      </c>
      <c r="N87" s="97">
        <v>-31.1669198154237</v>
      </c>
      <c r="O87" s="102">
        <v>10.839510504610779</v>
      </c>
      <c r="P87" s="99">
        <v>42.830519198895757</v>
      </c>
      <c r="Q87" s="98">
        <v>3.8242803369681346</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168</v>
      </c>
      <c r="C88" s="96">
        <v>80.207710266113281</v>
      </c>
      <c r="D88" s="97">
        <v>35.873765189643727</v>
      </c>
      <c r="E88" s="98">
        <v>3.406867431585467</v>
      </c>
      <c r="F88" s="99">
        <v>41.616108539839928</v>
      </c>
      <c r="G88" s="98">
        <v>9.5735994623685681</v>
      </c>
      <c r="H88" s="100">
        <v>44.045852629856419</v>
      </c>
      <c r="I88" s="101">
        <v>9.3785140807279337</v>
      </c>
      <c r="J88" s="97">
        <v>37.419956955363809</v>
      </c>
      <c r="K88" s="98">
        <v>10.574997981515221</v>
      </c>
      <c r="L88" s="100">
        <v>20.604854210431149</v>
      </c>
      <c r="M88" s="101">
        <v>6.6887447721851396</v>
      </c>
      <c r="N88" s="97">
        <v>-21.011254329408779</v>
      </c>
      <c r="O88" s="102">
        <v>11.611144749762698</v>
      </c>
      <c r="P88" s="99">
        <v>40.24012676661269</v>
      </c>
      <c r="Q88" s="98">
        <v>3.7038937431245631</v>
      </c>
      <c r="R88" s="100" t="s">
        <v>34</v>
      </c>
      <c r="S88" s="101" t="s">
        <v>34</v>
      </c>
      <c r="T88" s="97">
        <v>7.7115311178426396</v>
      </c>
      <c r="U88" s="101">
        <v>7.5300968743684651</v>
      </c>
      <c r="V88" s="97">
        <v>-32.52859564877005</v>
      </c>
      <c r="W88" s="104">
        <v>8.2864079987939405</v>
      </c>
      <c r="X88" s="124"/>
      <c r="Y88" s="124"/>
      <c r="Z88" s="124"/>
      <c r="AA88" s="124"/>
      <c r="AB88" s="124"/>
      <c r="AC88" s="124"/>
      <c r="AD88" s="124"/>
      <c r="AE88" s="124"/>
    </row>
    <row r="89" spans="1:31" s="105" customFormat="1" x14ac:dyDescent="0.25">
      <c r="A89" s="118" t="s">
        <v>270</v>
      </c>
      <c r="B89" s="95">
        <v>177</v>
      </c>
      <c r="C89" s="96">
        <v>98.513496398925781</v>
      </c>
      <c r="D89" s="97">
        <v>49.423313672984527</v>
      </c>
      <c r="E89" s="98">
        <v>3.6900144705795559</v>
      </c>
      <c r="F89" s="99">
        <v>59.796300042790648</v>
      </c>
      <c r="G89" s="98">
        <v>6.6906175167854238</v>
      </c>
      <c r="H89" s="100">
        <v>47.457223859906357</v>
      </c>
      <c r="I89" s="101">
        <v>8.6111923594392845</v>
      </c>
      <c r="J89" s="97">
        <v>48.037652605503553</v>
      </c>
      <c r="K89" s="98">
        <v>7.8677381558636714</v>
      </c>
      <c r="L89" s="100">
        <v>42.33481530601798</v>
      </c>
      <c r="M89" s="101">
        <v>8.3255541094708843</v>
      </c>
      <c r="N89" s="97">
        <v>-17.461484736772672</v>
      </c>
      <c r="O89" s="102">
        <v>10.485777374749652</v>
      </c>
      <c r="P89" s="99">
        <v>51.074195730826638</v>
      </c>
      <c r="Q89" s="98">
        <v>3.7348636257476815</v>
      </c>
      <c r="R89" s="100" t="s">
        <v>34</v>
      </c>
      <c r="S89" s="101" t="s">
        <v>34</v>
      </c>
      <c r="T89" s="97">
        <v>0</v>
      </c>
      <c r="U89" s="101" t="s">
        <v>35</v>
      </c>
      <c r="V89" s="97">
        <v>-51.074195730826638</v>
      </c>
      <c r="W89" s="104">
        <v>3.7348636257476815</v>
      </c>
      <c r="X89" s="124"/>
      <c r="Y89" s="124"/>
      <c r="Z89" s="124"/>
      <c r="AA89" s="124"/>
      <c r="AB89" s="124"/>
      <c r="AC89" s="124"/>
      <c r="AD89" s="124"/>
      <c r="AE89" s="124"/>
    </row>
    <row r="90" spans="1:31" s="105" customFormat="1" x14ac:dyDescent="0.25">
      <c r="A90" s="118" t="s">
        <v>271</v>
      </c>
      <c r="B90" s="95">
        <v>166</v>
      </c>
      <c r="C90" s="96">
        <v>100</v>
      </c>
      <c r="D90" s="97">
        <v>0.8146759147394721</v>
      </c>
      <c r="E90" s="98">
        <v>0.12007165985088911</v>
      </c>
      <c r="F90" s="99">
        <v>0</v>
      </c>
      <c r="G90" s="98" t="s">
        <v>35</v>
      </c>
      <c r="H90" s="100">
        <v>2.589599126343348</v>
      </c>
      <c r="I90" s="101">
        <v>0.11557900057741617</v>
      </c>
      <c r="J90" s="97">
        <v>0.64133738179804833</v>
      </c>
      <c r="K90" s="98">
        <v>0.44280449202792604</v>
      </c>
      <c r="L90" s="100">
        <v>0</v>
      </c>
      <c r="M90" s="101" t="s">
        <v>35</v>
      </c>
      <c r="N90" s="97">
        <v>0</v>
      </c>
      <c r="O90" s="102" t="s">
        <v>35</v>
      </c>
      <c r="P90" s="99">
        <v>0.71948147702338094</v>
      </c>
      <c r="Q90" s="98">
        <v>7.03687679810524E-3</v>
      </c>
      <c r="R90" s="100" t="s">
        <v>34</v>
      </c>
      <c r="S90" s="101" t="s">
        <v>34</v>
      </c>
      <c r="T90" s="97">
        <v>2.173557964410131</v>
      </c>
      <c r="U90" s="101">
        <v>1.7151911975153193</v>
      </c>
      <c r="V90" s="97">
        <v>1.4540764873867502</v>
      </c>
      <c r="W90" s="104">
        <v>1.715161381062928</v>
      </c>
      <c r="X90" s="124"/>
      <c r="Y90" s="124"/>
      <c r="Z90" s="124"/>
      <c r="AA90" s="124"/>
      <c r="AB90" s="124"/>
      <c r="AC90" s="124"/>
      <c r="AD90" s="124"/>
      <c r="AE90" s="124"/>
    </row>
    <row r="91" spans="1:31" s="105" customFormat="1" x14ac:dyDescent="0.25">
      <c r="A91" s="118" t="s">
        <v>272</v>
      </c>
      <c r="B91" s="95">
        <v>185</v>
      </c>
      <c r="C91" s="96">
        <v>96.139122009277344</v>
      </c>
      <c r="D91" s="97">
        <v>7.9150942879713853</v>
      </c>
      <c r="E91" s="98">
        <v>2.145555083395148</v>
      </c>
      <c r="F91" s="99">
        <v>6.6350651004245762</v>
      </c>
      <c r="G91" s="98">
        <v>4.9638185221603495</v>
      </c>
      <c r="H91" s="100">
        <v>13.807112998160511</v>
      </c>
      <c r="I91" s="101">
        <v>5.6769575590637738</v>
      </c>
      <c r="J91" s="97">
        <v>11.11278856163994</v>
      </c>
      <c r="K91" s="98">
        <v>5.531348860536097</v>
      </c>
      <c r="L91" s="100">
        <v>0</v>
      </c>
      <c r="M91" s="101">
        <v>3.277995886136098</v>
      </c>
      <c r="N91" s="97">
        <v>-6.6350651004245762</v>
      </c>
      <c r="O91" s="102">
        <v>5.5922729183585265</v>
      </c>
      <c r="P91" s="99">
        <v>9.5140603857224892</v>
      </c>
      <c r="Q91" s="98">
        <v>2.8198323151501699</v>
      </c>
      <c r="R91" s="100">
        <v>7.565433667024652</v>
      </c>
      <c r="S91" s="101">
        <v>6.211823346170287</v>
      </c>
      <c r="T91" s="97">
        <v>0</v>
      </c>
      <c r="U91" s="101" t="s">
        <v>35</v>
      </c>
      <c r="V91" s="97">
        <v>-6.8129945078714771</v>
      </c>
      <c r="W91" s="104">
        <v>3.6386722135855627</v>
      </c>
      <c r="X91" s="124"/>
      <c r="Y91" s="124"/>
      <c r="Z91" s="124"/>
      <c r="AA91" s="124"/>
      <c r="AB91" s="124"/>
      <c r="AC91" s="124"/>
      <c r="AD91" s="124"/>
      <c r="AE91" s="124"/>
    </row>
    <row r="92" spans="1:31" s="105" customFormat="1" x14ac:dyDescent="0.25">
      <c r="A92" s="118" t="s">
        <v>273</v>
      </c>
      <c r="B92" s="95">
        <v>204</v>
      </c>
      <c r="C92" s="96">
        <v>92.950508117675781</v>
      </c>
      <c r="D92" s="97">
        <v>45.263030260129213</v>
      </c>
      <c r="E92" s="98">
        <v>4.3906531921784673</v>
      </c>
      <c r="F92" s="99">
        <v>69.231677848917045</v>
      </c>
      <c r="G92" s="98">
        <v>8.0624263580464106</v>
      </c>
      <c r="H92" s="100">
        <v>56.555739883707687</v>
      </c>
      <c r="I92" s="101">
        <v>9.0540902977069706</v>
      </c>
      <c r="J92" s="97">
        <v>43.579353765741047</v>
      </c>
      <c r="K92" s="98">
        <v>11.082180737691846</v>
      </c>
      <c r="L92" s="100">
        <v>10.880918464026079</v>
      </c>
      <c r="M92" s="101">
        <v>5.9661993188094593</v>
      </c>
      <c r="N92" s="97">
        <v>-58.350759384890956</v>
      </c>
      <c r="O92" s="102">
        <v>9.5807807835554915</v>
      </c>
      <c r="P92" s="99">
        <v>47.875312513032583</v>
      </c>
      <c r="Q92" s="98">
        <v>4.6202347613958281</v>
      </c>
      <c r="R92" s="100">
        <v>42.351580560336913</v>
      </c>
      <c r="S92" s="101">
        <v>15.059395107338524</v>
      </c>
      <c r="T92" s="97">
        <v>20.322869663817901</v>
      </c>
      <c r="U92" s="101">
        <v>13.277798639662096</v>
      </c>
      <c r="V92" s="97">
        <v>-15.613515863418144</v>
      </c>
      <c r="W92" s="104">
        <v>11.18451825751251</v>
      </c>
      <c r="X92" s="124"/>
      <c r="Y92" s="124"/>
      <c r="Z92" s="124"/>
      <c r="AA92" s="124"/>
      <c r="AB92" s="124"/>
      <c r="AC92" s="124"/>
      <c r="AD92" s="124"/>
      <c r="AE92" s="124"/>
    </row>
    <row r="93" spans="1:31" s="105" customFormat="1" x14ac:dyDescent="0.25">
      <c r="A93" s="118" t="s">
        <v>274</v>
      </c>
      <c r="B93" s="95">
        <v>250</v>
      </c>
      <c r="C93" s="96">
        <v>100</v>
      </c>
      <c r="D93" s="97">
        <v>53.082393824346653</v>
      </c>
      <c r="E93" s="98">
        <v>3.6831083711184847</v>
      </c>
      <c r="F93" s="99">
        <v>50.475892447329272</v>
      </c>
      <c r="G93" s="98">
        <v>6.7862274160936433</v>
      </c>
      <c r="H93" s="100">
        <v>46.333464664166733</v>
      </c>
      <c r="I93" s="101">
        <v>7.56193097696704</v>
      </c>
      <c r="J93" s="97">
        <v>58.01557151943026</v>
      </c>
      <c r="K93" s="98">
        <v>8.3207073698413083</v>
      </c>
      <c r="L93" s="100">
        <v>57.425961700298487</v>
      </c>
      <c r="M93" s="101">
        <v>8.8760186071407627</v>
      </c>
      <c r="N93" s="97">
        <v>6.9500692529692154</v>
      </c>
      <c r="O93" s="102">
        <v>11.020930420490039</v>
      </c>
      <c r="P93" s="99">
        <v>53.529735489182549</v>
      </c>
      <c r="Q93" s="98">
        <v>3.6773419856093392</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592</v>
      </c>
      <c r="C94" s="96">
        <v>91.301040649414063</v>
      </c>
      <c r="D94" s="97">
        <v>18.177029211377821</v>
      </c>
      <c r="E94" s="98">
        <v>0.69384818011887728</v>
      </c>
      <c r="F94" s="99">
        <v>25.536095789005579</v>
      </c>
      <c r="G94" s="98">
        <v>0.74834331104455143</v>
      </c>
      <c r="H94" s="100">
        <v>34.281515299656611</v>
      </c>
      <c r="I94" s="101">
        <v>2.0626437591000513</v>
      </c>
      <c r="J94" s="97">
        <v>8.1876180267367662</v>
      </c>
      <c r="K94" s="98">
        <v>1.4434255903145579</v>
      </c>
      <c r="L94" s="100">
        <v>4.8058581572939492</v>
      </c>
      <c r="M94" s="101">
        <v>1.6523137779499153</v>
      </c>
      <c r="N94" s="97">
        <v>-20.730237631711631</v>
      </c>
      <c r="O94" s="102">
        <v>1.7077177431676962</v>
      </c>
      <c r="P94" s="99">
        <v>28.804953465664688</v>
      </c>
      <c r="Q94" s="98">
        <v>0.36764519735288365</v>
      </c>
      <c r="R94" s="100" t="s">
        <v>34</v>
      </c>
      <c r="S94" s="101" t="s">
        <v>34</v>
      </c>
      <c r="T94" s="97">
        <v>11.90006337176173</v>
      </c>
      <c r="U94" s="101">
        <v>1.0439198722994676</v>
      </c>
      <c r="V94" s="97">
        <v>-16.904890093902956</v>
      </c>
      <c r="W94" s="104">
        <v>1.1430626327056188</v>
      </c>
      <c r="X94" s="124"/>
      <c r="Y94" s="124"/>
      <c r="Z94" s="124"/>
      <c r="AA94" s="124"/>
      <c r="AB94" s="124"/>
      <c r="AC94" s="124"/>
      <c r="AD94" s="124"/>
      <c r="AE94" s="124"/>
    </row>
    <row r="95" spans="1:31" s="105" customFormat="1" x14ac:dyDescent="0.25">
      <c r="A95" s="118" t="s">
        <v>276</v>
      </c>
      <c r="B95" s="95">
        <v>189</v>
      </c>
      <c r="C95" s="96">
        <v>100</v>
      </c>
      <c r="D95" s="97">
        <v>28.840451924167809</v>
      </c>
      <c r="E95" s="98">
        <v>3.1679298950851829</v>
      </c>
      <c r="F95" s="99">
        <v>27.035236374215259</v>
      </c>
      <c r="G95" s="98">
        <v>7.0417321508201169</v>
      </c>
      <c r="H95" s="100">
        <v>38.146016615791147</v>
      </c>
      <c r="I95" s="101">
        <v>6.8590164795196573</v>
      </c>
      <c r="J95" s="97">
        <v>37.489059200941149</v>
      </c>
      <c r="K95" s="98">
        <v>9.3396877079505973</v>
      </c>
      <c r="L95" s="100">
        <v>12.13814332341364</v>
      </c>
      <c r="M95" s="101">
        <v>7.6835485479814034</v>
      </c>
      <c r="N95" s="97">
        <v>-14.89709305080161</v>
      </c>
      <c r="O95" s="102">
        <v>10.608490456896101</v>
      </c>
      <c r="P95" s="99">
        <v>34.131720030012211</v>
      </c>
      <c r="Q95" s="98">
        <v>3.7458675875311802</v>
      </c>
      <c r="R95" s="100" t="s">
        <v>34</v>
      </c>
      <c r="S95" s="101" t="s">
        <v>34</v>
      </c>
      <c r="T95" s="97">
        <v>0.86183934800982132</v>
      </c>
      <c r="U95" s="101">
        <v>0.92905869996228363</v>
      </c>
      <c r="V95" s="97">
        <v>-33.269880682002388</v>
      </c>
      <c r="W95" s="104">
        <v>3.864956221098494</v>
      </c>
      <c r="X95" s="124"/>
      <c r="Y95" s="124"/>
      <c r="Z95" s="124"/>
      <c r="AA95" s="124"/>
      <c r="AB95" s="124"/>
      <c r="AC95" s="124"/>
      <c r="AD95" s="124"/>
      <c r="AE95" s="124"/>
    </row>
    <row r="96" spans="1:31" s="105" customFormat="1" ht="13.8" thickBot="1" x14ac:dyDescent="0.3">
      <c r="A96" s="125" t="s">
        <v>277</v>
      </c>
      <c r="B96" s="108">
        <v>122</v>
      </c>
      <c r="C96" s="109">
        <v>94.736846923828125</v>
      </c>
      <c r="D96" s="110">
        <v>32.256478658833153</v>
      </c>
      <c r="E96" s="111">
        <v>4.5992065410681056</v>
      </c>
      <c r="F96" s="112">
        <v>48.12495366164481</v>
      </c>
      <c r="G96" s="111">
        <v>11.568701510660979</v>
      </c>
      <c r="H96" s="113">
        <v>43.000551444900019</v>
      </c>
      <c r="I96" s="114">
        <v>9.3666579258192648</v>
      </c>
      <c r="J96" s="110">
        <v>27.286779771396109</v>
      </c>
      <c r="K96" s="111">
        <v>9.5168627870002922</v>
      </c>
      <c r="L96" s="113">
        <v>10.754150514006</v>
      </c>
      <c r="M96" s="114">
        <v>6.376285413092746</v>
      </c>
      <c r="N96" s="110">
        <v>-37.370803147638803</v>
      </c>
      <c r="O96" s="115">
        <v>12.527266143759013</v>
      </c>
      <c r="P96" s="112">
        <v>31.731221780882692</v>
      </c>
      <c r="Q96" s="111">
        <v>4.4948348114929466</v>
      </c>
      <c r="R96" s="113" t="s">
        <v>34</v>
      </c>
      <c r="S96" s="114" t="s">
        <v>34</v>
      </c>
      <c r="T96" s="110">
        <v>42.835025837902137</v>
      </c>
      <c r="U96" s="114">
        <v>21.687682603407453</v>
      </c>
      <c r="V96" s="110">
        <v>11.103804057019445</v>
      </c>
      <c r="W96" s="117">
        <v>21.357763261212209</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5:N96 V15:V96">
    <cfRule type="expression" dxfId="9"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157</v>
      </c>
      <c r="B6" s="51"/>
    </row>
    <row r="7" spans="1:31" x14ac:dyDescent="0.25">
      <c r="A7" s="51" t="s">
        <v>158</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159</v>
      </c>
      <c r="G11" s="202"/>
      <c r="H11" s="202"/>
      <c r="I11" s="202"/>
      <c r="J11" s="202"/>
      <c r="K11" s="202"/>
      <c r="L11" s="202"/>
      <c r="M11" s="202"/>
      <c r="N11" s="202"/>
      <c r="O11" s="202"/>
      <c r="P11" s="201" t="s">
        <v>160</v>
      </c>
      <c r="Q11" s="202"/>
      <c r="R11" s="202"/>
      <c r="S11" s="202"/>
      <c r="T11" s="202"/>
      <c r="U11" s="202"/>
      <c r="V11" s="202"/>
      <c r="W11" s="203"/>
    </row>
    <row r="12" spans="1:31" ht="70.5" customHeight="1" x14ac:dyDescent="0.25">
      <c r="A12" s="31"/>
      <c r="B12" s="215" t="s">
        <v>10</v>
      </c>
      <c r="C12" s="217" t="s">
        <v>11</v>
      </c>
      <c r="D12" s="218" t="s">
        <v>161</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2"/>
      <c r="F15" s="16"/>
      <c r="G15" s="12"/>
      <c r="H15" s="15"/>
      <c r="I15" s="13"/>
      <c r="J15" s="11"/>
      <c r="K15" s="12"/>
      <c r="L15" s="15"/>
      <c r="M15" s="13"/>
      <c r="N15" s="11"/>
      <c r="O15" s="14"/>
      <c r="P15" s="16"/>
      <c r="Q15" s="12"/>
      <c r="R15" s="15"/>
      <c r="S15" s="13"/>
      <c r="T15" s="11"/>
      <c r="U15" s="13"/>
      <c r="V15" s="11"/>
      <c r="W15" s="17"/>
    </row>
    <row r="16" spans="1:31" s="105" customFormat="1" x14ac:dyDescent="0.25">
      <c r="A16" s="118" t="s">
        <v>202</v>
      </c>
      <c r="B16" s="95">
        <v>695</v>
      </c>
      <c r="C16" s="96">
        <v>91.737213134765625</v>
      </c>
      <c r="D16" s="97">
        <v>24.632342956360851</v>
      </c>
      <c r="E16" s="98">
        <v>1.7411576889913438</v>
      </c>
      <c r="F16" s="99">
        <v>45.033064177939977</v>
      </c>
      <c r="G16" s="98">
        <v>4.1596946250630351</v>
      </c>
      <c r="H16" s="100">
        <v>26.90232340883998</v>
      </c>
      <c r="I16" s="101">
        <v>4.1790617322303047</v>
      </c>
      <c r="J16" s="97">
        <v>21.485558552866671</v>
      </c>
      <c r="K16" s="98">
        <v>3.8906310022453754</v>
      </c>
      <c r="L16" s="100">
        <v>6.5261354758093244</v>
      </c>
      <c r="M16" s="101">
        <v>2.6868188617364441</v>
      </c>
      <c r="N16" s="97">
        <v>-38.506928702130658</v>
      </c>
      <c r="O16" s="102">
        <v>5.1193230913098553</v>
      </c>
      <c r="P16" s="99">
        <v>35.280887231835599</v>
      </c>
      <c r="Q16" s="98">
        <v>2.4862034765120686</v>
      </c>
      <c r="R16" s="100">
        <v>15.043053830024499</v>
      </c>
      <c r="S16" s="101">
        <v>3.4859707086740035</v>
      </c>
      <c r="T16" s="97">
        <v>3.8600836651458632</v>
      </c>
      <c r="U16" s="101">
        <v>2.0563766588173271</v>
      </c>
      <c r="V16" s="97">
        <v>-24.55000217943601</v>
      </c>
      <c r="W16" s="104">
        <v>3.282684022433036</v>
      </c>
      <c r="X16" s="124"/>
      <c r="Y16" s="124"/>
      <c r="Z16" s="124"/>
      <c r="AA16" s="124"/>
      <c r="AB16" s="124"/>
      <c r="AC16" s="124"/>
      <c r="AD16" s="124"/>
      <c r="AE16" s="124"/>
    </row>
    <row r="17" spans="1:31" s="105" customFormat="1" x14ac:dyDescent="0.25">
      <c r="A17" s="118" t="s">
        <v>203</v>
      </c>
      <c r="B17" s="95">
        <v>291</v>
      </c>
      <c r="C17" s="96"/>
      <c r="D17" s="97">
        <v>28.438404422326631</v>
      </c>
      <c r="E17" s="98">
        <v>2.9022866696043268</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248</v>
      </c>
      <c r="C18" s="96">
        <v>89.503120422363281</v>
      </c>
      <c r="D18" s="97">
        <v>40.314491282133623</v>
      </c>
      <c r="E18" s="98">
        <v>3.0465706519579312</v>
      </c>
      <c r="F18" s="99">
        <v>43.966085599929357</v>
      </c>
      <c r="G18" s="98">
        <v>5.3708538210840508</v>
      </c>
      <c r="H18" s="100">
        <v>41.690983797989347</v>
      </c>
      <c r="I18" s="101">
        <v>6.7951029909045717</v>
      </c>
      <c r="J18" s="97">
        <v>49.614601331930999</v>
      </c>
      <c r="K18" s="98">
        <v>8.4973127413207195</v>
      </c>
      <c r="L18" s="100">
        <v>25.85960197384647</v>
      </c>
      <c r="M18" s="101">
        <v>6.1386908610790849</v>
      </c>
      <c r="N18" s="97">
        <v>-18.106483626082891</v>
      </c>
      <c r="O18" s="102">
        <v>8.0738781757262927</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770</v>
      </c>
      <c r="C19" s="96">
        <v>96.340202331542969</v>
      </c>
      <c r="D19" s="97">
        <v>15.995560439217639</v>
      </c>
      <c r="E19" s="98">
        <v>1.781193451683589</v>
      </c>
      <c r="F19" s="99">
        <v>26.65157196513486</v>
      </c>
      <c r="G19" s="98">
        <v>4.6529032757999991</v>
      </c>
      <c r="H19" s="100">
        <v>12.621413585482539</v>
      </c>
      <c r="I19" s="101">
        <v>3.2320220288469468</v>
      </c>
      <c r="J19" s="97">
        <v>11.73236779486872</v>
      </c>
      <c r="K19" s="98">
        <v>3.4886984306795501</v>
      </c>
      <c r="L19" s="100">
        <v>13.11531923006452</v>
      </c>
      <c r="M19" s="101">
        <v>3.0144296270961952</v>
      </c>
      <c r="N19" s="97">
        <v>-13.536252735070351</v>
      </c>
      <c r="O19" s="102">
        <v>5.6811394756077247</v>
      </c>
      <c r="P19" s="99">
        <v>15.72335080591265</v>
      </c>
      <c r="Q19" s="98">
        <v>1.8794161745300249</v>
      </c>
      <c r="R19" s="100">
        <v>9.3516327663058529</v>
      </c>
      <c r="S19" s="101">
        <v>5.5581060098133364</v>
      </c>
      <c r="T19" s="97">
        <v>25.724330009777731</v>
      </c>
      <c r="U19" s="101">
        <v>8.8414528669325705</v>
      </c>
      <c r="V19" s="97">
        <v>3.4767920842055506</v>
      </c>
      <c r="W19" s="104">
        <v>6.4316779024440214</v>
      </c>
      <c r="X19" s="124"/>
      <c r="Y19" s="124"/>
      <c r="Z19" s="124"/>
      <c r="AA19" s="124"/>
      <c r="AB19" s="124"/>
      <c r="AC19" s="124"/>
      <c r="AD19" s="124"/>
      <c r="AE19" s="124"/>
    </row>
    <row r="20" spans="1:31" s="105" customFormat="1" x14ac:dyDescent="0.25">
      <c r="A20" s="118" t="s">
        <v>206</v>
      </c>
      <c r="B20" s="95">
        <v>208</v>
      </c>
      <c r="C20" s="96">
        <v>86.927017211914063</v>
      </c>
      <c r="D20" s="97">
        <v>33.571017872438709</v>
      </c>
      <c r="E20" s="98">
        <v>3.7583505529258399</v>
      </c>
      <c r="F20" s="99">
        <v>58.10470444580799</v>
      </c>
      <c r="G20" s="98">
        <v>10.349513180023489</v>
      </c>
      <c r="H20" s="100">
        <v>30.562840925238461</v>
      </c>
      <c r="I20" s="101">
        <v>9.6670142009771727</v>
      </c>
      <c r="J20" s="97">
        <v>28.047859772596251</v>
      </c>
      <c r="K20" s="98">
        <v>8.3211840053290587</v>
      </c>
      <c r="L20" s="100">
        <v>17.539888606567459</v>
      </c>
      <c r="M20" s="101">
        <v>4.6918808541117096</v>
      </c>
      <c r="N20" s="97">
        <v>-40.564815839240538</v>
      </c>
      <c r="O20" s="102">
        <v>11.447815477043678</v>
      </c>
      <c r="P20" s="99">
        <v>55.684213699404943</v>
      </c>
      <c r="Q20" s="98">
        <v>6.6654511997305388</v>
      </c>
      <c r="R20" s="100">
        <v>25.692143129212241</v>
      </c>
      <c r="S20" s="101">
        <v>5.492947393632039</v>
      </c>
      <c r="T20" s="97">
        <v>11.20091299637776</v>
      </c>
      <c r="U20" s="101">
        <v>5.2798791653776469</v>
      </c>
      <c r="V20" s="97">
        <v>-33.194701269114248</v>
      </c>
      <c r="W20" s="104">
        <v>8.0564965878545252</v>
      </c>
      <c r="X20" s="124"/>
      <c r="Y20" s="124"/>
      <c r="Z20" s="124"/>
      <c r="AA20" s="124"/>
      <c r="AB20" s="124"/>
      <c r="AC20" s="124"/>
      <c r="AD20" s="124"/>
      <c r="AE20" s="124"/>
    </row>
    <row r="21" spans="1:31" s="105" customFormat="1" x14ac:dyDescent="0.25">
      <c r="A21" s="118" t="s">
        <v>207</v>
      </c>
      <c r="B21" s="95">
        <v>245</v>
      </c>
      <c r="C21" s="96">
        <v>98.989761352539063</v>
      </c>
      <c r="D21" s="97">
        <v>59.641682048623409</v>
      </c>
      <c r="E21" s="98">
        <v>3.0741928709536972</v>
      </c>
      <c r="F21" s="99">
        <v>87.395238419063972</v>
      </c>
      <c r="G21" s="98">
        <v>4.6068256601749091</v>
      </c>
      <c r="H21" s="100">
        <v>71.391936050618895</v>
      </c>
      <c r="I21" s="101">
        <v>7.0465678988059972</v>
      </c>
      <c r="J21" s="97">
        <v>53.833811540692061</v>
      </c>
      <c r="K21" s="98">
        <v>7.1578417223926589</v>
      </c>
      <c r="L21" s="100">
        <v>25.472632527637511</v>
      </c>
      <c r="M21" s="101">
        <v>7.6413310813714066</v>
      </c>
      <c r="N21" s="97">
        <v>-61.922605891426457</v>
      </c>
      <c r="O21" s="102">
        <v>9.1923214326958256</v>
      </c>
      <c r="P21" s="99">
        <v>70.272100326392774</v>
      </c>
      <c r="Q21" s="98">
        <v>3.3533093039212658</v>
      </c>
      <c r="R21" s="100" t="s">
        <v>34</v>
      </c>
      <c r="S21" s="101" t="s">
        <v>34</v>
      </c>
      <c r="T21" s="97">
        <v>14.358629357075371</v>
      </c>
      <c r="U21" s="101">
        <v>7.232363421284643</v>
      </c>
      <c r="V21" s="97">
        <v>-55.913470969317402</v>
      </c>
      <c r="W21" s="104">
        <v>8.0238797154507893</v>
      </c>
      <c r="X21" s="124"/>
      <c r="Y21" s="124"/>
      <c r="Z21" s="124"/>
      <c r="AA21" s="124"/>
      <c r="AB21" s="124"/>
      <c r="AC21" s="124"/>
      <c r="AD21" s="124"/>
      <c r="AE21" s="124"/>
    </row>
    <row r="22" spans="1:31" s="105" customFormat="1" x14ac:dyDescent="0.25">
      <c r="A22" s="118" t="s">
        <v>208</v>
      </c>
      <c r="B22" s="95">
        <v>324</v>
      </c>
      <c r="C22" s="96">
        <v>97.015785217285156</v>
      </c>
      <c r="D22" s="97">
        <v>38.056219128052938</v>
      </c>
      <c r="E22" s="98">
        <v>2.5800508200148125</v>
      </c>
      <c r="F22" s="99">
        <v>37.788621837822127</v>
      </c>
      <c r="G22" s="98">
        <v>5.3311755344830587</v>
      </c>
      <c r="H22" s="100">
        <v>34.706985192726862</v>
      </c>
      <c r="I22" s="101">
        <v>6.9432765306066093</v>
      </c>
      <c r="J22" s="97">
        <v>43.297131949074632</v>
      </c>
      <c r="K22" s="98">
        <v>7.3694302391180893</v>
      </c>
      <c r="L22" s="100">
        <v>36.578521065006598</v>
      </c>
      <c r="M22" s="101">
        <v>5.0011093050474731</v>
      </c>
      <c r="N22" s="97">
        <v>-1.21010077281553</v>
      </c>
      <c r="O22" s="102">
        <v>7.236487577438302</v>
      </c>
      <c r="P22" s="99">
        <v>37.177383958026283</v>
      </c>
      <c r="Q22" s="98">
        <v>2.813335850314949</v>
      </c>
      <c r="R22" s="100">
        <v>41.194425273261089</v>
      </c>
      <c r="S22" s="101">
        <v>11.356978319776298</v>
      </c>
      <c r="T22" s="97" t="s">
        <v>34</v>
      </c>
      <c r="U22" s="101" t="s">
        <v>34</v>
      </c>
      <c r="V22" s="97">
        <v>4.0170413152348061</v>
      </c>
      <c r="W22" s="104">
        <v>12.064567476606674</v>
      </c>
      <c r="X22" s="124"/>
      <c r="Y22" s="124"/>
      <c r="Z22" s="124"/>
      <c r="AA22" s="124"/>
      <c r="AB22" s="124"/>
      <c r="AC22" s="124"/>
      <c r="AD22" s="124"/>
      <c r="AE22" s="124"/>
    </row>
    <row r="23" spans="1:31" s="105" customFormat="1" x14ac:dyDescent="0.25">
      <c r="A23" s="118" t="s">
        <v>209</v>
      </c>
      <c r="B23" s="95">
        <v>266</v>
      </c>
      <c r="C23" s="96">
        <v>80.32342529296875</v>
      </c>
      <c r="D23" s="97">
        <v>19.809632687368769</v>
      </c>
      <c r="E23" s="98">
        <v>3.0612340781280603</v>
      </c>
      <c r="F23" s="99">
        <v>22.91681428621402</v>
      </c>
      <c r="G23" s="98">
        <v>5.476333300630472</v>
      </c>
      <c r="H23" s="100">
        <v>14.08152196168013</v>
      </c>
      <c r="I23" s="101">
        <v>5.6338702139656442</v>
      </c>
      <c r="J23" s="97">
        <v>20.581534796205101</v>
      </c>
      <c r="K23" s="98">
        <v>7.0604663721209064</v>
      </c>
      <c r="L23" s="100">
        <v>21.725137588423689</v>
      </c>
      <c r="M23" s="101">
        <v>7.3056528036740609</v>
      </c>
      <c r="N23" s="97">
        <v>-1.191676697790331</v>
      </c>
      <c r="O23" s="102">
        <v>9.1359898048482755</v>
      </c>
      <c r="P23" s="99">
        <v>22.872958121286029</v>
      </c>
      <c r="Q23" s="98">
        <v>3.7297667576510132</v>
      </c>
      <c r="R23" s="100">
        <v>13.73572017700627</v>
      </c>
      <c r="S23" s="101">
        <v>6.0562889046292012</v>
      </c>
      <c r="T23" s="97">
        <v>7.5671211722001361</v>
      </c>
      <c r="U23" s="101">
        <v>6.6203557370394419</v>
      </c>
      <c r="V23" s="97">
        <v>-10.558100416630399</v>
      </c>
      <c r="W23" s="104">
        <v>6.1173624406517675</v>
      </c>
      <c r="X23" s="124"/>
      <c r="Y23" s="124"/>
      <c r="Z23" s="124"/>
      <c r="AA23" s="124"/>
      <c r="AB23" s="124"/>
      <c r="AC23" s="124"/>
      <c r="AD23" s="124"/>
      <c r="AE23" s="124"/>
    </row>
    <row r="24" spans="1:31" s="105" customFormat="1" x14ac:dyDescent="0.25">
      <c r="A24" s="118" t="s">
        <v>210</v>
      </c>
      <c r="B24" s="95">
        <v>224</v>
      </c>
      <c r="C24" s="96">
        <v>99.549774169921875</v>
      </c>
      <c r="D24" s="97">
        <v>37.737560692498533</v>
      </c>
      <c r="E24" s="98">
        <v>2.0713139987961364</v>
      </c>
      <c r="F24" s="99">
        <v>29.756215359291911</v>
      </c>
      <c r="G24" s="98">
        <v>4.8946946461080376</v>
      </c>
      <c r="H24" s="100">
        <v>37.243229900618587</v>
      </c>
      <c r="I24" s="101">
        <v>5.0847520809718452</v>
      </c>
      <c r="J24" s="97">
        <v>27.822588212816559</v>
      </c>
      <c r="K24" s="98">
        <v>5.9124557307761831</v>
      </c>
      <c r="L24" s="100">
        <v>56.258708790219352</v>
      </c>
      <c r="M24" s="101">
        <v>5.2559890080940725</v>
      </c>
      <c r="N24" s="97">
        <v>26.502493430927441</v>
      </c>
      <c r="O24" s="102">
        <v>7.0758170534803071</v>
      </c>
      <c r="P24" s="99">
        <v>37.478642893197851</v>
      </c>
      <c r="Q24" s="98">
        <v>2.0584650382346044</v>
      </c>
      <c r="R24" s="100">
        <v>51.008777039737367</v>
      </c>
      <c r="S24" s="101">
        <v>17.95872964186546</v>
      </c>
      <c r="T24" s="97">
        <v>34.175298756938268</v>
      </c>
      <c r="U24" s="101">
        <v>22.504210481628935</v>
      </c>
      <c r="V24" s="97">
        <v>6.5449304184711607</v>
      </c>
      <c r="W24" s="104">
        <v>15.727573341960923</v>
      </c>
      <c r="X24" s="124"/>
      <c r="Y24" s="124"/>
      <c r="Z24" s="124"/>
      <c r="AA24" s="124"/>
      <c r="AB24" s="124"/>
      <c r="AC24" s="124"/>
      <c r="AD24" s="124"/>
      <c r="AE24" s="124"/>
    </row>
    <row r="25" spans="1:31" s="105" customFormat="1" x14ac:dyDescent="0.25">
      <c r="A25" s="118" t="s">
        <v>211</v>
      </c>
      <c r="B25" s="95">
        <v>210</v>
      </c>
      <c r="C25" s="96">
        <v>99.331733703613281</v>
      </c>
      <c r="D25" s="97">
        <v>25.807164066517991</v>
      </c>
      <c r="E25" s="98">
        <v>2.9423387152094449</v>
      </c>
      <c r="F25" s="99">
        <v>14.89184686714737</v>
      </c>
      <c r="G25" s="98">
        <v>7.5462649110007733</v>
      </c>
      <c r="H25" s="100">
        <v>33.290096956866527</v>
      </c>
      <c r="I25" s="101">
        <v>7.569015739356475</v>
      </c>
      <c r="J25" s="97">
        <v>28.46140368364998</v>
      </c>
      <c r="K25" s="98">
        <v>6.7048824817306443</v>
      </c>
      <c r="L25" s="100">
        <v>26.80389784536192</v>
      </c>
      <c r="M25" s="101">
        <v>6.7413613488846336</v>
      </c>
      <c r="N25" s="97">
        <v>11.91205097821455</v>
      </c>
      <c r="O25" s="102">
        <v>9.8463490486603238</v>
      </c>
      <c r="P25" s="99">
        <v>25.809574888387619</v>
      </c>
      <c r="Q25" s="98">
        <v>2.9813581676559453</v>
      </c>
      <c r="R25" s="100">
        <v>25.749330377701391</v>
      </c>
      <c r="S25" s="101">
        <v>19.210809878015361</v>
      </c>
      <c r="T25" s="97" t="s">
        <v>34</v>
      </c>
      <c r="U25" s="101" t="s">
        <v>34</v>
      </c>
      <c r="V25" s="97">
        <v>-6.0244510686228381E-2</v>
      </c>
      <c r="W25" s="104">
        <v>19.472197610848127</v>
      </c>
      <c r="X25" s="124"/>
      <c r="Y25" s="124"/>
      <c r="Z25" s="124"/>
      <c r="AA25" s="124"/>
      <c r="AB25" s="124"/>
      <c r="AC25" s="124"/>
      <c r="AD25" s="124"/>
      <c r="AE25" s="124"/>
    </row>
    <row r="26" spans="1:31" s="105" customFormat="1" x14ac:dyDescent="0.25">
      <c r="A26" s="118" t="s">
        <v>212</v>
      </c>
      <c r="B26" s="95">
        <v>164</v>
      </c>
      <c r="C26" s="96">
        <v>76.662361145019531</v>
      </c>
      <c r="D26" s="97">
        <v>30.010430077593739</v>
      </c>
      <c r="E26" s="98">
        <v>3.4761254568152054</v>
      </c>
      <c r="F26" s="99">
        <v>31.662432242626242</v>
      </c>
      <c r="G26" s="98">
        <v>7.8012126757492553</v>
      </c>
      <c r="H26" s="100">
        <v>25.632077075640598</v>
      </c>
      <c r="I26" s="101">
        <v>8.4534371709556648</v>
      </c>
      <c r="J26" s="97">
        <v>25.08447636249284</v>
      </c>
      <c r="K26" s="98">
        <v>8.2075664579506942</v>
      </c>
      <c r="L26" s="100">
        <v>38.095985722821617</v>
      </c>
      <c r="M26" s="101">
        <v>8.7931526264210138</v>
      </c>
      <c r="N26" s="97">
        <v>6.4335534801953864</v>
      </c>
      <c r="O26" s="102">
        <v>11.523925499192954</v>
      </c>
      <c r="P26" s="99">
        <v>28.804225272203421</v>
      </c>
      <c r="Q26" s="98">
        <v>3.9430839049363207</v>
      </c>
      <c r="R26" s="100">
        <v>37.495481005261603</v>
      </c>
      <c r="S26" s="101">
        <v>11.9271894319007</v>
      </c>
      <c r="T26" s="97">
        <v>27.66518965232331</v>
      </c>
      <c r="U26" s="101">
        <v>10.044713670674133</v>
      </c>
      <c r="V26" s="97">
        <v>3.9661336793629154</v>
      </c>
      <c r="W26" s="104">
        <v>8.4951812631478489</v>
      </c>
      <c r="X26" s="124"/>
      <c r="Y26" s="124"/>
      <c r="Z26" s="124"/>
      <c r="AA26" s="124"/>
      <c r="AB26" s="124"/>
      <c r="AC26" s="124"/>
      <c r="AD26" s="124"/>
      <c r="AE26" s="124"/>
    </row>
    <row r="27" spans="1:31" s="105" customFormat="1" x14ac:dyDescent="0.25">
      <c r="A27" s="118" t="s">
        <v>213</v>
      </c>
      <c r="B27" s="95">
        <v>186</v>
      </c>
      <c r="C27" s="96">
        <v>82.665573120117188</v>
      </c>
      <c r="D27" s="97">
        <v>37.271636824692287</v>
      </c>
      <c r="E27" s="98">
        <v>3.6944511834350973</v>
      </c>
      <c r="F27" s="99">
        <v>42.613390883429197</v>
      </c>
      <c r="G27" s="98">
        <v>8.3824669849240721</v>
      </c>
      <c r="H27" s="100">
        <v>33.601092605658728</v>
      </c>
      <c r="I27" s="101">
        <v>8.5029572354795206</v>
      </c>
      <c r="J27" s="97">
        <v>32.89478753721162</v>
      </c>
      <c r="K27" s="98">
        <v>8.6204295122247707</v>
      </c>
      <c r="L27" s="100">
        <v>39.170666509173849</v>
      </c>
      <c r="M27" s="101">
        <v>7.8131765233400392</v>
      </c>
      <c r="N27" s="97">
        <v>-3.4427243742553491</v>
      </c>
      <c r="O27" s="102">
        <v>10.857930968162171</v>
      </c>
      <c r="P27" s="99">
        <v>37.856201504664298</v>
      </c>
      <c r="Q27" s="98">
        <v>3.712317364907328</v>
      </c>
      <c r="R27" s="100">
        <v>18.52892903371033</v>
      </c>
      <c r="S27" s="101">
        <v>23.484060777660893</v>
      </c>
      <c r="T27" s="97" t="s">
        <v>34</v>
      </c>
      <c r="U27" s="101" t="s">
        <v>34</v>
      </c>
      <c r="V27" s="97">
        <v>-19.327272470953968</v>
      </c>
      <c r="W27" s="104">
        <v>23.462585151466108</v>
      </c>
      <c r="X27" s="124"/>
      <c r="Y27" s="124"/>
      <c r="Z27" s="124"/>
      <c r="AA27" s="124"/>
      <c r="AB27" s="124"/>
      <c r="AC27" s="124"/>
      <c r="AD27" s="124"/>
      <c r="AE27" s="124"/>
    </row>
    <row r="28" spans="1:31" s="105" customFormat="1" x14ac:dyDescent="0.25">
      <c r="A28" s="118" t="s">
        <v>214</v>
      </c>
      <c r="B28" s="95">
        <v>198</v>
      </c>
      <c r="C28" s="96">
        <v>91.45245361328125</v>
      </c>
      <c r="D28" s="97">
        <v>46.40739002424322</v>
      </c>
      <c r="E28" s="98">
        <v>3.8884426651671218</v>
      </c>
      <c r="F28" s="99">
        <v>42.845318658993428</v>
      </c>
      <c r="G28" s="98">
        <v>8.3169477308107478</v>
      </c>
      <c r="H28" s="100">
        <v>59.404193910211667</v>
      </c>
      <c r="I28" s="101">
        <v>11.270685020344137</v>
      </c>
      <c r="J28" s="97">
        <v>46.108928900206102</v>
      </c>
      <c r="K28" s="98">
        <v>9.4664182620169282</v>
      </c>
      <c r="L28" s="100">
        <v>37.664566629243282</v>
      </c>
      <c r="M28" s="101">
        <v>7.7059397606634503</v>
      </c>
      <c r="N28" s="97">
        <v>-5.1807520297501597</v>
      </c>
      <c r="O28" s="102">
        <v>12.309875703192784</v>
      </c>
      <c r="P28" s="99">
        <v>48.698728931515348</v>
      </c>
      <c r="Q28" s="98">
        <v>4.0213339601931652</v>
      </c>
      <c r="R28" s="100" t="s">
        <v>34</v>
      </c>
      <c r="S28" s="101" t="s">
        <v>34</v>
      </c>
      <c r="T28" s="97">
        <v>0</v>
      </c>
      <c r="U28" s="101" t="s">
        <v>35</v>
      </c>
      <c r="V28" s="97">
        <v>-48.698728931515348</v>
      </c>
      <c r="W28" s="104">
        <v>4.0213339601931652</v>
      </c>
      <c r="X28" s="124"/>
      <c r="Y28" s="124"/>
      <c r="Z28" s="124"/>
      <c r="AA28" s="124"/>
      <c r="AB28" s="124"/>
      <c r="AC28" s="124"/>
      <c r="AD28" s="124"/>
      <c r="AE28" s="124"/>
    </row>
    <row r="29" spans="1:31" s="105" customFormat="1" x14ac:dyDescent="0.25">
      <c r="A29" s="118" t="s">
        <v>215</v>
      </c>
      <c r="B29" s="95">
        <v>161</v>
      </c>
      <c r="C29" s="96">
        <v>89.597335815429688</v>
      </c>
      <c r="D29" s="97">
        <v>44.638011181351708</v>
      </c>
      <c r="E29" s="98">
        <v>3.9325902255158813</v>
      </c>
      <c r="F29" s="99">
        <v>59.429247991231058</v>
      </c>
      <c r="G29" s="98">
        <v>7.6539093473911084</v>
      </c>
      <c r="H29" s="100">
        <v>37.283201931404811</v>
      </c>
      <c r="I29" s="101">
        <v>9.2852075164975414</v>
      </c>
      <c r="J29" s="97">
        <v>37.419995575307659</v>
      </c>
      <c r="K29" s="98">
        <v>8.3640454488312521</v>
      </c>
      <c r="L29" s="100">
        <v>44.151259662374507</v>
      </c>
      <c r="M29" s="101">
        <v>8.9006904423348896</v>
      </c>
      <c r="N29" s="97">
        <v>-15.27798832885655</v>
      </c>
      <c r="O29" s="102">
        <v>12.091286673918406</v>
      </c>
      <c r="P29" s="99">
        <v>50.649510580419161</v>
      </c>
      <c r="Q29" s="98">
        <v>4.5763522973848563</v>
      </c>
      <c r="R29" s="100">
        <v>18.375039226172319</v>
      </c>
      <c r="S29" s="101">
        <v>6.6857396544114458</v>
      </c>
      <c r="T29" s="97" t="s">
        <v>34</v>
      </c>
      <c r="U29" s="101" t="s">
        <v>34</v>
      </c>
      <c r="V29" s="97">
        <v>-32.274471354246842</v>
      </c>
      <c r="W29" s="104">
        <v>8.4608022342688649</v>
      </c>
      <c r="X29" s="124"/>
      <c r="Y29" s="124"/>
      <c r="Z29" s="124"/>
      <c r="AA29" s="124"/>
      <c r="AB29" s="124"/>
      <c r="AC29" s="124"/>
      <c r="AD29" s="124"/>
      <c r="AE29" s="124"/>
    </row>
    <row r="30" spans="1:31" s="105" customFormat="1" x14ac:dyDescent="0.25">
      <c r="A30" s="118" t="s">
        <v>216</v>
      </c>
      <c r="B30" s="95">
        <v>129</v>
      </c>
      <c r="C30" s="96">
        <v>98.818824768066406</v>
      </c>
      <c r="D30" s="97">
        <v>17.611713793098101</v>
      </c>
      <c r="E30" s="98">
        <v>0.17597652418968257</v>
      </c>
      <c r="F30" s="99">
        <v>6.0537770788289729</v>
      </c>
      <c r="G30" s="98">
        <v>0.28055506560871701</v>
      </c>
      <c r="H30" s="100">
        <v>8.4283696490875375</v>
      </c>
      <c r="I30" s="101">
        <v>0.1875996099020126</v>
      </c>
      <c r="J30" s="97">
        <v>19.359811897231399</v>
      </c>
      <c r="K30" s="98">
        <v>0.42125315413477626</v>
      </c>
      <c r="L30" s="100">
        <v>37.550321359888812</v>
      </c>
      <c r="M30" s="101">
        <v>0.34486514819888786</v>
      </c>
      <c r="N30" s="97">
        <v>31.49654428105983</v>
      </c>
      <c r="O30" s="102">
        <v>0.43583280171967803</v>
      </c>
      <c r="P30" s="99">
        <v>17.997729749386369</v>
      </c>
      <c r="Q30" s="98">
        <v>0.17654707968476646</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44.616336079648192</v>
      </c>
      <c r="E31" s="98">
        <v>4.116390158163723</v>
      </c>
      <c r="F31" s="99">
        <v>52.468031822126633</v>
      </c>
      <c r="G31" s="98">
        <v>8.0852171141158173</v>
      </c>
      <c r="H31" s="100">
        <v>33.266057474138847</v>
      </c>
      <c r="I31" s="101">
        <v>10.590187963365677</v>
      </c>
      <c r="J31" s="97">
        <v>54.307255592451298</v>
      </c>
      <c r="K31" s="98">
        <v>8.1818578237562782</v>
      </c>
      <c r="L31" s="100">
        <v>38.744523184152762</v>
      </c>
      <c r="M31" s="101">
        <v>8.3170231311164375</v>
      </c>
      <c r="N31" s="97">
        <v>-13.72350863797387</v>
      </c>
      <c r="O31" s="102">
        <v>10.478849582952222</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164</v>
      </c>
      <c r="C32" s="96">
        <v>95.554672241210938</v>
      </c>
      <c r="D32" s="97">
        <v>57.464648521504657</v>
      </c>
      <c r="E32" s="98">
        <v>4.1782214423514352</v>
      </c>
      <c r="F32" s="99">
        <v>60.536142688264249</v>
      </c>
      <c r="G32" s="98">
        <v>9.0885872594036936</v>
      </c>
      <c r="H32" s="100">
        <v>53.475300756136889</v>
      </c>
      <c r="I32" s="101">
        <v>8.8015327995584638</v>
      </c>
      <c r="J32" s="97">
        <v>54.880137002876147</v>
      </c>
      <c r="K32" s="98">
        <v>9.3059911715276122</v>
      </c>
      <c r="L32" s="100">
        <v>61.351394522566423</v>
      </c>
      <c r="M32" s="101">
        <v>8.2523479035386593</v>
      </c>
      <c r="N32" s="97">
        <v>0.81525183430217396</v>
      </c>
      <c r="O32" s="102">
        <v>11.789061530365201</v>
      </c>
      <c r="P32" s="99">
        <v>57.464648521504657</v>
      </c>
      <c r="Q32" s="98">
        <v>4.1782214423514352</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490</v>
      </c>
      <c r="C33" s="96">
        <v>94.418243408203125</v>
      </c>
      <c r="D33" s="97">
        <v>53.002586757057799</v>
      </c>
      <c r="E33" s="98">
        <v>3.94970306917181</v>
      </c>
      <c r="F33" s="99">
        <v>48.414015679071262</v>
      </c>
      <c r="G33" s="98">
        <v>6.5646113227716549</v>
      </c>
      <c r="H33" s="100">
        <v>54.068847173970283</v>
      </c>
      <c r="I33" s="101">
        <v>7.7973507560345201</v>
      </c>
      <c r="J33" s="97">
        <v>56.868474181983387</v>
      </c>
      <c r="K33" s="98">
        <v>7.5993423903383457</v>
      </c>
      <c r="L33" s="100">
        <v>52.824903301017862</v>
      </c>
      <c r="M33" s="101">
        <v>8.1582074674603007</v>
      </c>
      <c r="N33" s="97">
        <v>4.4108876219465927</v>
      </c>
      <c r="O33" s="102">
        <v>10.153020803910247</v>
      </c>
      <c r="P33" s="99">
        <v>54.793122009069727</v>
      </c>
      <c r="Q33" s="98">
        <v>4.0565973183738553</v>
      </c>
      <c r="R33" s="100">
        <v>18.444526280611171</v>
      </c>
      <c r="S33" s="101">
        <v>12.364738462044546</v>
      </c>
      <c r="T33" s="97">
        <v>0.13168233256741391</v>
      </c>
      <c r="U33" s="101">
        <v>5.503700522307442E-2</v>
      </c>
      <c r="V33" s="97">
        <v>-47.132000071780986</v>
      </c>
      <c r="W33" s="104">
        <v>5.7285833630700509</v>
      </c>
      <c r="X33" s="124"/>
      <c r="Y33" s="124"/>
      <c r="Z33" s="124"/>
      <c r="AA33" s="124"/>
      <c r="AB33" s="124"/>
      <c r="AC33" s="124"/>
      <c r="AD33" s="124"/>
      <c r="AE33" s="124"/>
    </row>
    <row r="34" spans="1:31" s="105" customFormat="1" x14ac:dyDescent="0.25">
      <c r="A34" s="118" t="s">
        <v>220</v>
      </c>
      <c r="B34" s="95">
        <v>183</v>
      </c>
      <c r="C34" s="96">
        <v>100</v>
      </c>
      <c r="D34" s="97">
        <v>55.159688290981443</v>
      </c>
      <c r="E34" s="98">
        <v>3.7555688308333863</v>
      </c>
      <c r="F34" s="99">
        <v>64.883520225329718</v>
      </c>
      <c r="G34" s="98">
        <v>9.6784783973662698</v>
      </c>
      <c r="H34" s="100">
        <v>59.592655116063277</v>
      </c>
      <c r="I34" s="101">
        <v>7.1278464489588877</v>
      </c>
      <c r="J34" s="97">
        <v>53.675385780816598</v>
      </c>
      <c r="K34" s="98">
        <v>9.0803039671799315</v>
      </c>
      <c r="L34" s="100">
        <v>42.929892963606797</v>
      </c>
      <c r="M34" s="101">
        <v>8.3149246040200211</v>
      </c>
      <c r="N34" s="97">
        <v>-21.953627261722922</v>
      </c>
      <c r="O34" s="102">
        <v>12.90900012578444</v>
      </c>
      <c r="P34" s="99">
        <v>58.590249627793909</v>
      </c>
      <c r="Q34" s="98">
        <v>4.5379454629604101</v>
      </c>
      <c r="R34" s="100">
        <v>43.735701430479267</v>
      </c>
      <c r="S34" s="101">
        <v>18.875226517947844</v>
      </c>
      <c r="T34" s="97">
        <v>48.976651146827272</v>
      </c>
      <c r="U34" s="101">
        <v>7.227941993420103</v>
      </c>
      <c r="V34" s="97">
        <v>-10.177313191927297</v>
      </c>
      <c r="W34" s="104">
        <v>8.1494631783385003</v>
      </c>
      <c r="X34" s="124"/>
      <c r="Y34" s="124"/>
      <c r="Z34" s="124"/>
      <c r="AA34" s="124"/>
      <c r="AB34" s="124"/>
      <c r="AC34" s="124"/>
      <c r="AD34" s="124"/>
      <c r="AE34" s="124"/>
    </row>
    <row r="35" spans="1:31" s="105" customFormat="1" x14ac:dyDescent="0.25">
      <c r="A35" s="118" t="s">
        <v>221</v>
      </c>
      <c r="B35" s="95">
        <v>152</v>
      </c>
      <c r="C35" s="96">
        <v>82.716217041015625</v>
      </c>
      <c r="D35" s="97">
        <v>50.232969348907893</v>
      </c>
      <c r="E35" s="98">
        <v>4.2166196878845463</v>
      </c>
      <c r="F35" s="99">
        <v>62.0506832291912</v>
      </c>
      <c r="G35" s="98">
        <v>9.2577244089558608</v>
      </c>
      <c r="H35" s="100">
        <v>38.807541437164289</v>
      </c>
      <c r="I35" s="101">
        <v>8.2780806618711864</v>
      </c>
      <c r="J35" s="97">
        <v>61.279453044271463</v>
      </c>
      <c r="K35" s="98">
        <v>8.1935841225621679</v>
      </c>
      <c r="L35" s="100">
        <v>39.222510289693247</v>
      </c>
      <c r="M35" s="101">
        <v>8.7860630822360992</v>
      </c>
      <c r="N35" s="97">
        <v>-22.82817293949795</v>
      </c>
      <c r="O35" s="102">
        <v>11.783680733253645</v>
      </c>
      <c r="P35" s="99">
        <v>48.852637980764783</v>
      </c>
      <c r="Q35" s="98">
        <v>5.4727918553927708</v>
      </c>
      <c r="R35" s="100">
        <v>55.185580690778629</v>
      </c>
      <c r="S35" s="101">
        <v>6.9536791606786599</v>
      </c>
      <c r="T35" s="97">
        <v>33.857751243290252</v>
      </c>
      <c r="U35" s="101">
        <v>16.042888825310992</v>
      </c>
      <c r="V35" s="97">
        <v>3.2151523653227301</v>
      </c>
      <c r="W35" s="104">
        <v>8.7093950225307246</v>
      </c>
      <c r="X35" s="124"/>
      <c r="Y35" s="124"/>
      <c r="Z35" s="124"/>
      <c r="AA35" s="124"/>
      <c r="AB35" s="124"/>
      <c r="AC35" s="124"/>
      <c r="AD35" s="124"/>
      <c r="AE35" s="124"/>
    </row>
    <row r="36" spans="1:31" s="105" customFormat="1" x14ac:dyDescent="0.25">
      <c r="A36" s="118" t="s">
        <v>222</v>
      </c>
      <c r="B36" s="95">
        <v>291</v>
      </c>
      <c r="C36" s="96">
        <v>94.387733459472656</v>
      </c>
      <c r="D36" s="97">
        <v>15.53963900687963</v>
      </c>
      <c r="E36" s="98">
        <v>1.7553838674979085</v>
      </c>
      <c r="F36" s="99">
        <v>13.69546249638565</v>
      </c>
      <c r="G36" s="98">
        <v>3.9008540778496772</v>
      </c>
      <c r="H36" s="100">
        <v>15.13471506744761</v>
      </c>
      <c r="I36" s="101">
        <v>4.4373659302469939</v>
      </c>
      <c r="J36" s="97">
        <v>15.22919648420929</v>
      </c>
      <c r="K36" s="98">
        <v>4.0457774543680696</v>
      </c>
      <c r="L36" s="100">
        <v>18.080846053728429</v>
      </c>
      <c r="M36" s="101">
        <v>1.7246111518903309</v>
      </c>
      <c r="N36" s="97">
        <v>4.3853835573427737</v>
      </c>
      <c r="O36" s="102">
        <v>4.0863022006539564</v>
      </c>
      <c r="P36" s="99">
        <v>15.758369386402601</v>
      </c>
      <c r="Q36" s="98">
        <v>1.7782952398837093</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21.792685961670031</v>
      </c>
      <c r="E37" s="98">
        <v>1.3602816120697465</v>
      </c>
      <c r="F37" s="99">
        <v>15.72712972105302</v>
      </c>
      <c r="G37" s="98">
        <v>4.3559151047247591</v>
      </c>
      <c r="H37" s="100">
        <v>16.32553562468653</v>
      </c>
      <c r="I37" s="101">
        <v>2.9320195497597044</v>
      </c>
      <c r="J37" s="97">
        <v>24.04273432751333</v>
      </c>
      <c r="K37" s="98">
        <v>3.2148000236445395</v>
      </c>
      <c r="L37" s="100">
        <v>30.895920666389699</v>
      </c>
      <c r="M37" s="101">
        <v>2.3325053075846003</v>
      </c>
      <c r="N37" s="97">
        <v>15.16879094533668</v>
      </c>
      <c r="O37" s="102">
        <v>4.9017367017902984</v>
      </c>
      <c r="P37" s="99">
        <v>20.76663288829057</v>
      </c>
      <c r="Q37" s="98">
        <v>1.3754210898876666</v>
      </c>
      <c r="R37" s="100">
        <v>53.99701900217709</v>
      </c>
      <c r="S37" s="101">
        <v>6.9969757192070068</v>
      </c>
      <c r="T37" s="97" t="s">
        <v>34</v>
      </c>
      <c r="U37" s="101" t="s">
        <v>34</v>
      </c>
      <c r="V37" s="97">
        <v>33.230386113886524</v>
      </c>
      <c r="W37" s="104">
        <v>7.0793621370421214</v>
      </c>
      <c r="X37" s="124"/>
      <c r="Y37" s="124"/>
      <c r="Z37" s="124"/>
      <c r="AA37" s="124"/>
      <c r="AB37" s="124"/>
      <c r="AC37" s="124"/>
      <c r="AD37" s="124"/>
      <c r="AE37" s="124"/>
    </row>
    <row r="38" spans="1:31" s="105" customFormat="1" x14ac:dyDescent="0.25">
      <c r="A38" s="118" t="s">
        <v>224</v>
      </c>
      <c r="B38" s="95">
        <v>43</v>
      </c>
      <c r="C38" s="96">
        <v>96.65936279296875</v>
      </c>
      <c r="D38" s="97">
        <v>34.724072597247627</v>
      </c>
      <c r="E38" s="98">
        <v>0.11031387112371954</v>
      </c>
      <c r="F38" s="99">
        <v>37.473979933972082</v>
      </c>
      <c r="G38" s="98">
        <v>0.23428888090252731</v>
      </c>
      <c r="H38" s="100">
        <v>61.949905357973662</v>
      </c>
      <c r="I38" s="101">
        <v>0.2298275910423459</v>
      </c>
      <c r="J38" s="97">
        <v>28.1683453572467</v>
      </c>
      <c r="K38" s="98">
        <v>0.1925396174808256</v>
      </c>
      <c r="L38" s="100">
        <v>11.254336515617659</v>
      </c>
      <c r="M38" s="101">
        <v>0.16255584571515555</v>
      </c>
      <c r="N38" s="97">
        <v>-26.219643418354419</v>
      </c>
      <c r="O38" s="102">
        <v>0.32261748814458102</v>
      </c>
      <c r="P38" s="99">
        <v>37.772396111070321</v>
      </c>
      <c r="Q38" s="98">
        <v>0.12151931281428564</v>
      </c>
      <c r="R38" s="100">
        <v>27.552556157779382</v>
      </c>
      <c r="S38" s="101">
        <v>0.38459626599507557</v>
      </c>
      <c r="T38" s="97" t="s">
        <v>34</v>
      </c>
      <c r="U38" s="101" t="s">
        <v>34</v>
      </c>
      <c r="V38" s="97">
        <v>-10.21983995329094</v>
      </c>
      <c r="W38" s="104">
        <v>0.41118832583600839</v>
      </c>
      <c r="X38" s="124"/>
      <c r="Y38" s="124"/>
      <c r="Z38" s="124"/>
      <c r="AA38" s="124"/>
      <c r="AB38" s="124"/>
      <c r="AC38" s="124"/>
      <c r="AD38" s="124"/>
      <c r="AE38" s="124"/>
    </row>
    <row r="39" spans="1:31" s="105" customFormat="1" x14ac:dyDescent="0.25">
      <c r="A39" s="118" t="s">
        <v>225</v>
      </c>
      <c r="B39" s="95">
        <v>207</v>
      </c>
      <c r="C39" s="96">
        <v>77.963554382324219</v>
      </c>
      <c r="D39" s="97">
        <v>42.395471796331456</v>
      </c>
      <c r="E39" s="98">
        <v>3.1544445251853963</v>
      </c>
      <c r="F39" s="99">
        <v>63.577046839128492</v>
      </c>
      <c r="G39" s="98">
        <v>6.3122061521826129</v>
      </c>
      <c r="H39" s="100">
        <v>50.516969468596827</v>
      </c>
      <c r="I39" s="101">
        <v>8.6873453553013356</v>
      </c>
      <c r="J39" s="97">
        <v>42.413182675310303</v>
      </c>
      <c r="K39" s="98">
        <v>7.5053704116682836</v>
      </c>
      <c r="L39" s="100">
        <v>12.79044561076056</v>
      </c>
      <c r="M39" s="101">
        <v>4.9384092690416237</v>
      </c>
      <c r="N39" s="97">
        <v>-50.786601228367942</v>
      </c>
      <c r="O39" s="102">
        <v>7.9525765430513671</v>
      </c>
      <c r="P39" s="99">
        <v>48.679641478490069</v>
      </c>
      <c r="Q39" s="98">
        <v>3.5872087384216247</v>
      </c>
      <c r="R39" s="100" t="s">
        <v>34</v>
      </c>
      <c r="S39" s="101" t="s">
        <v>34</v>
      </c>
      <c r="T39" s="97">
        <v>0</v>
      </c>
      <c r="U39" s="101" t="s">
        <v>35</v>
      </c>
      <c r="V39" s="97">
        <v>-48.679641478490069</v>
      </c>
      <c r="W39" s="104">
        <v>3.5872087384216247</v>
      </c>
      <c r="X39" s="124"/>
      <c r="Y39" s="124"/>
      <c r="Z39" s="124"/>
      <c r="AA39" s="124"/>
      <c r="AB39" s="124"/>
      <c r="AC39" s="124"/>
      <c r="AD39" s="124"/>
      <c r="AE39" s="124"/>
    </row>
    <row r="40" spans="1:31" s="105" customFormat="1" x14ac:dyDescent="0.25">
      <c r="A40" s="118" t="s">
        <v>300</v>
      </c>
      <c r="B40" s="95">
        <v>145</v>
      </c>
      <c r="C40" s="96">
        <v>93.125473022460938</v>
      </c>
      <c r="D40" s="97">
        <v>21.998625281090352</v>
      </c>
      <c r="E40" s="98">
        <v>4.1826477503723609</v>
      </c>
      <c r="F40" s="99">
        <v>24.339703849859799</v>
      </c>
      <c r="G40" s="98">
        <v>8.5812463759383775</v>
      </c>
      <c r="H40" s="100">
        <v>10.59278703606552</v>
      </c>
      <c r="I40" s="101">
        <v>7.7515497084193754</v>
      </c>
      <c r="J40" s="97">
        <v>21.219064620137591</v>
      </c>
      <c r="K40" s="98">
        <v>11.417388777368259</v>
      </c>
      <c r="L40" s="100">
        <v>32.129574492176999</v>
      </c>
      <c r="M40" s="101">
        <v>10.139405533892791</v>
      </c>
      <c r="N40" s="97">
        <v>7.7898706423171973</v>
      </c>
      <c r="O40" s="102">
        <v>13.646506314221112</v>
      </c>
      <c r="P40" s="99">
        <v>21.360888213943799</v>
      </c>
      <c r="Q40" s="98">
        <v>7.2756248555253018</v>
      </c>
      <c r="R40" s="100">
        <v>22.422167017198412</v>
      </c>
      <c r="S40" s="101">
        <v>4.6377332813529826</v>
      </c>
      <c r="T40" s="97" t="s">
        <v>34</v>
      </c>
      <c r="U40" s="101" t="s">
        <v>34</v>
      </c>
      <c r="V40" s="97">
        <v>1.0612788032546128</v>
      </c>
      <c r="W40" s="104">
        <v>8.1426185545571599</v>
      </c>
      <c r="X40" s="124"/>
      <c r="Y40" s="124"/>
      <c r="Z40" s="124"/>
      <c r="AA40" s="124"/>
      <c r="AB40" s="124"/>
      <c r="AC40" s="124"/>
      <c r="AD40" s="124"/>
      <c r="AE40" s="124"/>
    </row>
    <row r="41" spans="1:31" s="105" customFormat="1" x14ac:dyDescent="0.25">
      <c r="A41" s="118" t="s">
        <v>226</v>
      </c>
      <c r="B41" s="95">
        <v>184</v>
      </c>
      <c r="C41" s="96">
        <v>96.0885009765625</v>
      </c>
      <c r="D41" s="97">
        <v>38.002026539885051</v>
      </c>
      <c r="E41" s="98">
        <v>2.8753136239766346</v>
      </c>
      <c r="F41" s="99">
        <v>34.962956517715938</v>
      </c>
      <c r="G41" s="98">
        <v>6.5946182434745015</v>
      </c>
      <c r="H41" s="100">
        <v>36.726575398400499</v>
      </c>
      <c r="I41" s="101">
        <v>7.3434097023288674</v>
      </c>
      <c r="J41" s="97">
        <v>48.047897791767383</v>
      </c>
      <c r="K41" s="98">
        <v>8.1025488723982644</v>
      </c>
      <c r="L41" s="100">
        <v>32.044055514367933</v>
      </c>
      <c r="M41" s="101">
        <v>8.770310821687179</v>
      </c>
      <c r="N41" s="97">
        <v>-2.9189010033480121</v>
      </c>
      <c r="O41" s="102">
        <v>10.69783576926287</v>
      </c>
      <c r="P41" s="99">
        <v>40.125464742341592</v>
      </c>
      <c r="Q41" s="98">
        <v>2.9776636410580526</v>
      </c>
      <c r="R41" s="100" t="s">
        <v>34</v>
      </c>
      <c r="S41" s="101" t="s">
        <v>34</v>
      </c>
      <c r="T41" s="97">
        <v>4.9384050614810873</v>
      </c>
      <c r="U41" s="101">
        <v>4.1811363707645341</v>
      </c>
      <c r="V41" s="97">
        <v>-35.187059680860507</v>
      </c>
      <c r="W41" s="104">
        <v>5.0336897864250965</v>
      </c>
      <c r="X41" s="124"/>
      <c r="Y41" s="124"/>
      <c r="Z41" s="124"/>
      <c r="AA41" s="124"/>
      <c r="AB41" s="124"/>
      <c r="AC41" s="124"/>
      <c r="AD41" s="124"/>
      <c r="AE41" s="124"/>
    </row>
    <row r="42" spans="1:31" s="105" customFormat="1" x14ac:dyDescent="0.25">
      <c r="A42" s="118" t="s">
        <v>227</v>
      </c>
      <c r="B42" s="95">
        <v>243</v>
      </c>
      <c r="C42" s="96">
        <v>97.620384216308594</v>
      </c>
      <c r="D42" s="97">
        <v>21.594716773796709</v>
      </c>
      <c r="E42" s="98">
        <v>2.7677742635439375</v>
      </c>
      <c r="F42" s="99">
        <v>17.384259453864669</v>
      </c>
      <c r="G42" s="98">
        <v>4.96960132009474</v>
      </c>
      <c r="H42" s="100">
        <v>20.55170086901515</v>
      </c>
      <c r="I42" s="101">
        <v>5.5979029226875303</v>
      </c>
      <c r="J42" s="97">
        <v>25.89524339945541</v>
      </c>
      <c r="K42" s="98">
        <v>6.3041917772297058</v>
      </c>
      <c r="L42" s="100">
        <v>22.358626631249411</v>
      </c>
      <c r="M42" s="101">
        <v>5.8810256901518816</v>
      </c>
      <c r="N42" s="97">
        <v>4.9743671773847424</v>
      </c>
      <c r="O42" s="102">
        <v>7.7464342478339665</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14.80401280943531</v>
      </c>
      <c r="E43" s="98">
        <v>2.1983924720299304</v>
      </c>
      <c r="F43" s="99">
        <v>11.159952088996979</v>
      </c>
      <c r="G43" s="98">
        <v>4.1771879087109269</v>
      </c>
      <c r="H43" s="100">
        <v>21.299378421448221</v>
      </c>
      <c r="I43" s="101">
        <v>6.2881418968572262</v>
      </c>
      <c r="J43" s="97">
        <v>12.610687015215619</v>
      </c>
      <c r="K43" s="98">
        <v>5.3844765576568285</v>
      </c>
      <c r="L43" s="100">
        <v>14.44360181783906</v>
      </c>
      <c r="M43" s="101">
        <v>5.8705100069694662</v>
      </c>
      <c r="N43" s="97">
        <v>3.283649728842077</v>
      </c>
      <c r="O43" s="102">
        <v>6.9380863598768077</v>
      </c>
      <c r="P43" s="99">
        <v>14.90514303031628</v>
      </c>
      <c r="Q43" s="98">
        <v>2.2507850397179614</v>
      </c>
      <c r="R43" s="100">
        <v>11.355047395763529</v>
      </c>
      <c r="S43" s="101">
        <v>10.630457618009022</v>
      </c>
      <c r="T43" s="97" t="s">
        <v>34</v>
      </c>
      <c r="U43" s="101" t="s">
        <v>34</v>
      </c>
      <c r="V43" s="97">
        <v>-3.5500956345527506</v>
      </c>
      <c r="W43" s="104">
        <v>10.877658316148606</v>
      </c>
      <c r="X43" s="124"/>
      <c r="Y43" s="124"/>
      <c r="Z43" s="124"/>
      <c r="AA43" s="124"/>
      <c r="AB43" s="124"/>
      <c r="AC43" s="124"/>
      <c r="AD43" s="124"/>
      <c r="AE43" s="124"/>
    </row>
    <row r="44" spans="1:31" s="105" customFormat="1" x14ac:dyDescent="0.25">
      <c r="A44" s="118" t="s">
        <v>301</v>
      </c>
      <c r="B44" s="95">
        <v>231</v>
      </c>
      <c r="C44" s="96">
        <v>87.302383422851563</v>
      </c>
      <c r="D44" s="97">
        <v>38.800421372773322</v>
      </c>
      <c r="E44" s="98">
        <v>3.7389643527006045</v>
      </c>
      <c r="F44" s="99">
        <v>43.707880946213052</v>
      </c>
      <c r="G44" s="98">
        <v>7.9466435842380871</v>
      </c>
      <c r="H44" s="100">
        <v>39.095047763003024</v>
      </c>
      <c r="I44" s="101">
        <v>9.7182315704532343</v>
      </c>
      <c r="J44" s="97">
        <v>39.953650627629379</v>
      </c>
      <c r="K44" s="98">
        <v>9.9922055138416717</v>
      </c>
      <c r="L44" s="100">
        <v>32.477719494900612</v>
      </c>
      <c r="M44" s="101">
        <v>7.3229360592936494</v>
      </c>
      <c r="N44" s="97">
        <v>-11.230161451312441</v>
      </c>
      <c r="O44" s="102">
        <v>11.345668617815944</v>
      </c>
      <c r="P44" s="99">
        <v>41.483216780313157</v>
      </c>
      <c r="Q44" s="98">
        <v>4.0551458543790861</v>
      </c>
      <c r="R44" s="100">
        <v>40.71454363328003</v>
      </c>
      <c r="S44" s="101">
        <v>10.406581004783535</v>
      </c>
      <c r="T44" s="97">
        <v>8.6639892066435031</v>
      </c>
      <c r="U44" s="101">
        <v>6.202331323694561</v>
      </c>
      <c r="V44" s="97">
        <v>-17.125122695959767</v>
      </c>
      <c r="W44" s="104">
        <v>7.3479232463711401</v>
      </c>
      <c r="X44" s="124"/>
      <c r="Y44" s="124"/>
      <c r="Z44" s="124"/>
      <c r="AA44" s="124"/>
      <c r="AB44" s="124"/>
      <c r="AC44" s="124"/>
      <c r="AD44" s="124"/>
      <c r="AE44" s="124"/>
    </row>
    <row r="45" spans="1:31" s="105" customFormat="1" x14ac:dyDescent="0.25">
      <c r="A45" s="118" t="s">
        <v>229</v>
      </c>
      <c r="B45" s="95">
        <v>354</v>
      </c>
      <c r="C45" s="96">
        <v>94.66082763671875</v>
      </c>
      <c r="D45" s="97">
        <v>28.959633207610558</v>
      </c>
      <c r="E45" s="98">
        <v>2.8903338812913235</v>
      </c>
      <c r="F45" s="99">
        <v>32.771417203516997</v>
      </c>
      <c r="G45" s="98">
        <v>5.847068263423373</v>
      </c>
      <c r="H45" s="100">
        <v>23.622948309710861</v>
      </c>
      <c r="I45" s="101">
        <v>5.2209643351903248</v>
      </c>
      <c r="J45" s="97">
        <v>28.641807068882478</v>
      </c>
      <c r="K45" s="98">
        <v>5.512082823232892</v>
      </c>
      <c r="L45" s="100">
        <v>31.0783990620445</v>
      </c>
      <c r="M45" s="101">
        <v>7.2611364924825468</v>
      </c>
      <c r="N45" s="97">
        <v>-1.6930181414725001</v>
      </c>
      <c r="O45" s="102">
        <v>9.0752426945061604</v>
      </c>
      <c r="P45" s="99">
        <v>26.421879004542649</v>
      </c>
      <c r="Q45" s="98">
        <v>2.7251015260868372</v>
      </c>
      <c r="R45" s="100">
        <v>46.682663030762178</v>
      </c>
      <c r="S45" s="101">
        <v>9.4065463934963738</v>
      </c>
      <c r="T45" s="97" t="s">
        <v>34</v>
      </c>
      <c r="U45" s="101" t="s">
        <v>34</v>
      </c>
      <c r="V45" s="97">
        <v>20.260784026219529</v>
      </c>
      <c r="W45" s="104">
        <v>9.2982026198428667</v>
      </c>
      <c r="X45" s="124"/>
      <c r="Y45" s="124"/>
      <c r="Z45" s="124"/>
      <c r="AA45" s="124"/>
      <c r="AB45" s="124"/>
      <c r="AC45" s="124"/>
      <c r="AD45" s="124"/>
      <c r="AE45" s="124"/>
    </row>
    <row r="46" spans="1:31" s="105" customFormat="1" x14ac:dyDescent="0.25">
      <c r="A46" s="118" t="s">
        <v>230</v>
      </c>
      <c r="B46" s="95">
        <v>275</v>
      </c>
      <c r="C46" s="96">
        <v>87.175148010253906</v>
      </c>
      <c r="D46" s="97">
        <v>31.300338771741249</v>
      </c>
      <c r="E46" s="98">
        <v>0.15037830508717606</v>
      </c>
      <c r="F46" s="99">
        <v>34.058272672357703</v>
      </c>
      <c r="G46" s="98">
        <v>0.38645536951376891</v>
      </c>
      <c r="H46" s="100">
        <v>30.038818900064669</v>
      </c>
      <c r="I46" s="101">
        <v>0.39816089318487186</v>
      </c>
      <c r="J46" s="97">
        <v>31.141105557131581</v>
      </c>
      <c r="K46" s="98">
        <v>0.26314034840743777</v>
      </c>
      <c r="L46" s="100">
        <v>29.986580131145949</v>
      </c>
      <c r="M46" s="101">
        <v>0.26298602674303156</v>
      </c>
      <c r="N46" s="97">
        <v>-4.0716925412117426</v>
      </c>
      <c r="O46" s="102">
        <v>0.45430821070757405</v>
      </c>
      <c r="P46" s="99">
        <v>31.768827153707171</v>
      </c>
      <c r="Q46" s="98">
        <v>0.15395067528240255</v>
      </c>
      <c r="R46" s="100">
        <v>15.575892377438301</v>
      </c>
      <c r="S46" s="101">
        <v>0.55989358229752983</v>
      </c>
      <c r="T46" s="97" t="s">
        <v>34</v>
      </c>
      <c r="U46" s="101" t="s">
        <v>34</v>
      </c>
      <c r="V46" s="97">
        <v>-16.192934776268871</v>
      </c>
      <c r="W46" s="104">
        <v>0.59124108207145765</v>
      </c>
      <c r="X46" s="124"/>
      <c r="Y46" s="124"/>
      <c r="Z46" s="124"/>
      <c r="AA46" s="124"/>
      <c r="AB46" s="124"/>
      <c r="AC46" s="124"/>
      <c r="AD46" s="124"/>
      <c r="AE46" s="124"/>
    </row>
    <row r="47" spans="1:31" s="105" customFormat="1" x14ac:dyDescent="0.25">
      <c r="A47" s="118" t="s">
        <v>231</v>
      </c>
      <c r="B47" s="95">
        <v>1051</v>
      </c>
      <c r="C47" s="96">
        <v>96.642608642578125</v>
      </c>
      <c r="D47" s="97">
        <v>42.444316864922747</v>
      </c>
      <c r="E47" s="98">
        <v>2.2830685772483985</v>
      </c>
      <c r="F47" s="99">
        <v>47.542265120262442</v>
      </c>
      <c r="G47" s="98">
        <v>4.8471253602302209</v>
      </c>
      <c r="H47" s="100">
        <v>48.924043899710853</v>
      </c>
      <c r="I47" s="101">
        <v>5.4754547554707678</v>
      </c>
      <c r="J47" s="97">
        <v>42.817954927698707</v>
      </c>
      <c r="K47" s="98">
        <v>4.2567751059675025</v>
      </c>
      <c r="L47" s="100">
        <v>30.518526887843439</v>
      </c>
      <c r="M47" s="101">
        <v>3.70381091070039</v>
      </c>
      <c r="N47" s="97">
        <v>-17.023738232418989</v>
      </c>
      <c r="O47" s="102">
        <v>5.6486991355389273</v>
      </c>
      <c r="P47" s="99">
        <v>47.945022378079173</v>
      </c>
      <c r="Q47" s="98">
        <v>3.0080302487010102</v>
      </c>
      <c r="R47" s="100">
        <v>34.003755373129252</v>
      </c>
      <c r="S47" s="101">
        <v>4.5916685676918245</v>
      </c>
      <c r="T47" s="97">
        <v>22.13371436186431</v>
      </c>
      <c r="U47" s="101">
        <v>6.1135518131469455</v>
      </c>
      <c r="V47" s="97">
        <v>-16.328622323243042</v>
      </c>
      <c r="W47" s="104">
        <v>5.113093602220327</v>
      </c>
      <c r="X47" s="124"/>
      <c r="Y47" s="124"/>
      <c r="Z47" s="124"/>
      <c r="AA47" s="124"/>
      <c r="AB47" s="124"/>
      <c r="AC47" s="124"/>
      <c r="AD47" s="124"/>
      <c r="AE47" s="124"/>
    </row>
    <row r="48" spans="1:31" s="105" customFormat="1" x14ac:dyDescent="0.25">
      <c r="A48" s="118" t="s">
        <v>232</v>
      </c>
      <c r="B48" s="95">
        <v>201</v>
      </c>
      <c r="C48" s="96">
        <v>96.168464660644531</v>
      </c>
      <c r="D48" s="97">
        <v>20.474863756095669</v>
      </c>
      <c r="E48" s="98">
        <v>2.8832867016555865</v>
      </c>
      <c r="F48" s="99">
        <v>15.20426635391086</v>
      </c>
      <c r="G48" s="98">
        <v>6.9251456761625851</v>
      </c>
      <c r="H48" s="100">
        <v>40.113083239668271</v>
      </c>
      <c r="I48" s="101">
        <v>9.342262940976596</v>
      </c>
      <c r="J48" s="97">
        <v>20.146458090543771</v>
      </c>
      <c r="K48" s="98">
        <v>6.1820745927046676</v>
      </c>
      <c r="L48" s="100">
        <v>5.6413280955706764</v>
      </c>
      <c r="M48" s="101">
        <v>3.4232674178196882</v>
      </c>
      <c r="N48" s="97">
        <v>-9.5629382583401821</v>
      </c>
      <c r="O48" s="102">
        <v>7.6660005871947057</v>
      </c>
      <c r="P48" s="99">
        <v>23.003164721719511</v>
      </c>
      <c r="Q48" s="98">
        <v>3.2908156089922893</v>
      </c>
      <c r="R48" s="100">
        <v>9.2880181302019462</v>
      </c>
      <c r="S48" s="101">
        <v>4.5885209314568138</v>
      </c>
      <c r="T48" s="97" t="s">
        <v>34</v>
      </c>
      <c r="U48" s="101" t="s">
        <v>34</v>
      </c>
      <c r="V48" s="97">
        <v>-13.715146591517565</v>
      </c>
      <c r="W48" s="104">
        <v>5.2516746983856386</v>
      </c>
      <c r="X48" s="124"/>
      <c r="Y48" s="124"/>
      <c r="Z48" s="124"/>
      <c r="AA48" s="124"/>
      <c r="AB48" s="124"/>
      <c r="AC48" s="124"/>
      <c r="AD48" s="124"/>
      <c r="AE48" s="124"/>
    </row>
    <row r="49" spans="1:31" s="105" customFormat="1" x14ac:dyDescent="0.25">
      <c r="A49" s="118" t="s">
        <v>233</v>
      </c>
      <c r="B49" s="95">
        <v>157</v>
      </c>
      <c r="C49" s="96">
        <v>74.739677429199219</v>
      </c>
      <c r="D49" s="97">
        <v>18.173111636452951</v>
      </c>
      <c r="E49" s="98">
        <v>3.3547547393632438</v>
      </c>
      <c r="F49" s="99">
        <v>22.132933243572541</v>
      </c>
      <c r="G49" s="98">
        <v>7.9643400920261405</v>
      </c>
      <c r="H49" s="100">
        <v>26.032526008549969</v>
      </c>
      <c r="I49" s="101">
        <v>8.2732485492547028</v>
      </c>
      <c r="J49" s="97">
        <v>16.849921225107419</v>
      </c>
      <c r="K49" s="98">
        <v>9.0394547697639727</v>
      </c>
      <c r="L49" s="100">
        <v>7.4714797180464556</v>
      </c>
      <c r="M49" s="101">
        <v>5.2605528698325141</v>
      </c>
      <c r="N49" s="97">
        <v>-14.66145352552609</v>
      </c>
      <c r="O49" s="102">
        <v>9.3304708627627342</v>
      </c>
      <c r="P49" s="99">
        <v>18.169171457678591</v>
      </c>
      <c r="Q49" s="98">
        <v>3.3430046323373559</v>
      </c>
      <c r="R49" s="100" t="s">
        <v>34</v>
      </c>
      <c r="S49" s="101" t="s">
        <v>34</v>
      </c>
      <c r="T49" s="97">
        <v>20.682423559737</v>
      </c>
      <c r="U49" s="101">
        <v>15.734026167109135</v>
      </c>
      <c r="V49" s="97">
        <v>2.5132521020584093</v>
      </c>
      <c r="W49" s="104">
        <v>15.44377366129371</v>
      </c>
      <c r="X49" s="124"/>
      <c r="Y49" s="124"/>
      <c r="Z49" s="124"/>
      <c r="AA49" s="124"/>
      <c r="AB49" s="124"/>
      <c r="AC49" s="124"/>
      <c r="AD49" s="124"/>
      <c r="AE49" s="124"/>
    </row>
    <row r="50" spans="1:31" s="105" customFormat="1" x14ac:dyDescent="0.25">
      <c r="A50" s="118" t="s">
        <v>234</v>
      </c>
      <c r="B50" s="95">
        <v>180</v>
      </c>
      <c r="C50" s="96">
        <v>99.487930297851563</v>
      </c>
      <c r="D50" s="97">
        <v>12.198268692057409</v>
      </c>
      <c r="E50" s="98">
        <v>2.5800298065276701</v>
      </c>
      <c r="F50" s="99">
        <v>16.653835775854361</v>
      </c>
      <c r="G50" s="98">
        <v>5.6018858124888187</v>
      </c>
      <c r="H50" s="100">
        <v>12.658225681017759</v>
      </c>
      <c r="I50" s="101">
        <v>6.0239727046680009</v>
      </c>
      <c r="J50" s="97">
        <v>12.422489920848241</v>
      </c>
      <c r="K50" s="98">
        <v>5.5031960380764158</v>
      </c>
      <c r="L50" s="100">
        <v>7.0240934580639953</v>
      </c>
      <c r="M50" s="101">
        <v>4.2914113138539802</v>
      </c>
      <c r="N50" s="97">
        <v>-9.6297423177903703</v>
      </c>
      <c r="O50" s="102">
        <v>7.260405625865868</v>
      </c>
      <c r="P50" s="99">
        <v>12.80474821888714</v>
      </c>
      <c r="Q50" s="98">
        <v>2.8259198685743665</v>
      </c>
      <c r="R50" s="100" t="s">
        <v>34</v>
      </c>
      <c r="S50" s="101" t="s">
        <v>34</v>
      </c>
      <c r="T50" s="97">
        <v>8.613429682536129</v>
      </c>
      <c r="U50" s="101">
        <v>6.3622271388754497</v>
      </c>
      <c r="V50" s="97">
        <v>-4.1913185363510106</v>
      </c>
      <c r="W50" s="104">
        <v>6.8977990504708133</v>
      </c>
      <c r="X50" s="124"/>
      <c r="Y50" s="124"/>
      <c r="Z50" s="124"/>
      <c r="AA50" s="124"/>
      <c r="AB50" s="124"/>
      <c r="AC50" s="124"/>
      <c r="AD50" s="124"/>
      <c r="AE50" s="124"/>
    </row>
    <row r="51" spans="1:31" s="105" customFormat="1" x14ac:dyDescent="0.25">
      <c r="A51" s="118" t="s">
        <v>235</v>
      </c>
      <c r="B51" s="95">
        <v>381</v>
      </c>
      <c r="C51" s="96">
        <v>76.923301696777344</v>
      </c>
      <c r="D51" s="97">
        <v>33.580224817651519</v>
      </c>
      <c r="E51" s="98">
        <v>3.107420635454174</v>
      </c>
      <c r="F51" s="99">
        <v>38.806019716807107</v>
      </c>
      <c r="G51" s="98">
        <v>7.2994590230515239</v>
      </c>
      <c r="H51" s="100">
        <v>36.165685697879503</v>
      </c>
      <c r="I51" s="101">
        <v>7.5787092695491642</v>
      </c>
      <c r="J51" s="97">
        <v>36.042521512726829</v>
      </c>
      <c r="K51" s="98">
        <v>8.5473796456193973</v>
      </c>
      <c r="L51" s="100">
        <v>22.294800106751801</v>
      </c>
      <c r="M51" s="101">
        <v>6.6060396104524912</v>
      </c>
      <c r="N51" s="97">
        <v>-16.51121961005531</v>
      </c>
      <c r="O51" s="102">
        <v>9.476735795398513</v>
      </c>
      <c r="P51" s="99">
        <v>35.287730054603323</v>
      </c>
      <c r="Q51" s="98">
        <v>4.3381520840238394</v>
      </c>
      <c r="R51" s="100">
        <v>38.45875208252582</v>
      </c>
      <c r="S51" s="101">
        <v>5.3586061502456115</v>
      </c>
      <c r="T51" s="97">
        <v>0.61831266991639589</v>
      </c>
      <c r="U51" s="101">
        <v>0.46370919081268802</v>
      </c>
      <c r="V51" s="97">
        <v>-2.5262995735595055</v>
      </c>
      <c r="W51" s="104">
        <v>6.9100222343339697</v>
      </c>
      <c r="X51" s="124"/>
      <c r="Y51" s="124"/>
      <c r="Z51" s="124"/>
      <c r="AA51" s="124"/>
      <c r="AB51" s="124"/>
      <c r="AC51" s="124"/>
      <c r="AD51" s="124"/>
      <c r="AE51" s="124"/>
    </row>
    <row r="52" spans="1:31" s="105" customFormat="1" x14ac:dyDescent="0.25">
      <c r="A52" s="118" t="s">
        <v>302</v>
      </c>
      <c r="B52" s="95">
        <v>146</v>
      </c>
      <c r="C52" s="96">
        <v>89.849540710449219</v>
      </c>
      <c r="D52" s="97">
        <v>17.974065580073489</v>
      </c>
      <c r="E52" s="98">
        <v>3.4969091695843262</v>
      </c>
      <c r="F52" s="99">
        <v>20.917509734160969</v>
      </c>
      <c r="G52" s="98">
        <v>7.3001961634433892</v>
      </c>
      <c r="H52" s="100">
        <v>25.480363384411799</v>
      </c>
      <c r="I52" s="101">
        <v>8.2918351230277807</v>
      </c>
      <c r="J52" s="97">
        <v>8.5716640066692715</v>
      </c>
      <c r="K52" s="98">
        <v>5.7016193580598182</v>
      </c>
      <c r="L52" s="100">
        <v>16.91129652908128</v>
      </c>
      <c r="M52" s="101">
        <v>6.9083645412346986</v>
      </c>
      <c r="N52" s="97">
        <v>-4.006213205079689</v>
      </c>
      <c r="O52" s="102">
        <v>9.7638887473814489</v>
      </c>
      <c r="P52" s="99">
        <v>17.938868438526399</v>
      </c>
      <c r="Q52" s="98">
        <v>3.5596900114759085</v>
      </c>
      <c r="R52" s="100" t="s">
        <v>34</v>
      </c>
      <c r="S52" s="101" t="s">
        <v>34</v>
      </c>
      <c r="T52" s="97">
        <v>12.946870906779051</v>
      </c>
      <c r="U52" s="101">
        <v>11.686701133246894</v>
      </c>
      <c r="V52" s="97">
        <v>-4.9919975317473479</v>
      </c>
      <c r="W52" s="104">
        <v>11.489131602613446</v>
      </c>
      <c r="X52" s="124"/>
      <c r="Y52" s="124"/>
      <c r="Z52" s="124"/>
      <c r="AA52" s="124"/>
      <c r="AB52" s="124"/>
      <c r="AC52" s="124"/>
      <c r="AD52" s="124"/>
      <c r="AE52" s="124"/>
    </row>
    <row r="53" spans="1:31" s="105" customFormat="1" x14ac:dyDescent="0.25">
      <c r="A53" s="118" t="s">
        <v>236</v>
      </c>
      <c r="B53" s="95"/>
      <c r="C53" s="96"/>
      <c r="D53" s="97">
        <v>32.842594107036042</v>
      </c>
      <c r="E53" s="98">
        <v>0.50092916445766711</v>
      </c>
      <c r="F53" s="99">
        <v>36.877100420141012</v>
      </c>
      <c r="G53" s="98">
        <v>1.100133484097499</v>
      </c>
      <c r="H53" s="100">
        <v>33.924416084366356</v>
      </c>
      <c r="I53" s="101">
        <v>1.1998644838961059</v>
      </c>
      <c r="J53" s="97">
        <v>32.804708003267862</v>
      </c>
      <c r="K53" s="98">
        <v>1.184512090869744</v>
      </c>
      <c r="L53" s="100">
        <v>28.305208278695961</v>
      </c>
      <c r="M53" s="101">
        <v>1.0628455520411959</v>
      </c>
      <c r="N53" s="97">
        <v>-8.5718921414450495</v>
      </c>
      <c r="O53" s="102">
        <v>1.5132711350296739</v>
      </c>
      <c r="P53" s="99">
        <v>35.096888792747812</v>
      </c>
      <c r="Q53" s="98">
        <v>0.62874150543470886</v>
      </c>
      <c r="R53" s="100">
        <v>29.28655454176165</v>
      </c>
      <c r="S53" s="101">
        <v>2.2499684184933129</v>
      </c>
      <c r="T53" s="97">
        <v>15.058673462183201</v>
      </c>
      <c r="U53" s="101">
        <v>2.1324087657153941</v>
      </c>
      <c r="V53" s="97">
        <v>-12.54362110778113</v>
      </c>
      <c r="W53" s="104">
        <v>1.766953130627041</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323</v>
      </c>
      <c r="C55" s="96">
        <v>98.303970336914063</v>
      </c>
      <c r="D55" s="97">
        <v>40.336584832874671</v>
      </c>
      <c r="E55" s="98">
        <v>2.7357724484754247</v>
      </c>
      <c r="F55" s="99">
        <v>52.620053692245492</v>
      </c>
      <c r="G55" s="98">
        <v>7.6796750929251232</v>
      </c>
      <c r="H55" s="100">
        <v>35.832250465390722</v>
      </c>
      <c r="I55" s="101">
        <v>6.3024158913238262</v>
      </c>
      <c r="J55" s="97">
        <v>50.930002502305797</v>
      </c>
      <c r="K55" s="98">
        <v>5.667406049511829</v>
      </c>
      <c r="L55" s="100">
        <v>21.415921223873809</v>
      </c>
      <c r="M55" s="101">
        <v>5.9134296914803226</v>
      </c>
      <c r="N55" s="97">
        <v>-31.204132468371679</v>
      </c>
      <c r="O55" s="102">
        <v>9.1376352416039648</v>
      </c>
      <c r="P55" s="99">
        <v>45.453823512401662</v>
      </c>
      <c r="Q55" s="98">
        <v>3.0029326727560002</v>
      </c>
      <c r="R55" s="100" t="s">
        <v>34</v>
      </c>
      <c r="S55" s="101" t="s">
        <v>34</v>
      </c>
      <c r="T55" s="97">
        <v>0</v>
      </c>
      <c r="U55" s="101" t="s">
        <v>35</v>
      </c>
      <c r="V55" s="97">
        <v>-45.453823512401662</v>
      </c>
      <c r="W55" s="104">
        <v>3.0029326727560002</v>
      </c>
      <c r="X55" s="124"/>
      <c r="Y55" s="124"/>
      <c r="Z55" s="124"/>
      <c r="AA55" s="124"/>
      <c r="AB55" s="124"/>
      <c r="AC55" s="124"/>
      <c r="AD55" s="124"/>
      <c r="AE55" s="124"/>
    </row>
    <row r="56" spans="1:31" s="105" customFormat="1" x14ac:dyDescent="0.25">
      <c r="A56" s="118" t="s">
        <v>238</v>
      </c>
      <c r="B56" s="95">
        <v>439</v>
      </c>
      <c r="C56" s="96">
        <v>96.384017944335938</v>
      </c>
      <c r="D56" s="97">
        <v>58.048163356338833</v>
      </c>
      <c r="E56" s="98">
        <v>3.234271766338547</v>
      </c>
      <c r="F56" s="99">
        <v>67.764992878304412</v>
      </c>
      <c r="G56" s="98">
        <v>6.5611325160306251</v>
      </c>
      <c r="H56" s="100">
        <v>68.831206591544955</v>
      </c>
      <c r="I56" s="101">
        <v>6.7288993265940134</v>
      </c>
      <c r="J56" s="97">
        <v>72.191245905833554</v>
      </c>
      <c r="K56" s="98">
        <v>7.6839285944057947</v>
      </c>
      <c r="L56" s="100">
        <v>23.453299752129521</v>
      </c>
      <c r="M56" s="101">
        <v>6.1887353291871214</v>
      </c>
      <c r="N56" s="97">
        <v>-44.311693126174887</v>
      </c>
      <c r="O56" s="102">
        <v>8.727216821147584</v>
      </c>
      <c r="P56" s="99">
        <v>69.418446922205732</v>
      </c>
      <c r="Q56" s="98">
        <v>3.6595467631088079</v>
      </c>
      <c r="R56" s="100">
        <v>36.553565906790418</v>
      </c>
      <c r="S56" s="101">
        <v>6.5931554253408162</v>
      </c>
      <c r="T56" s="97">
        <v>32.136600601880048</v>
      </c>
      <c r="U56" s="101">
        <v>12.067647892306059</v>
      </c>
      <c r="V56" s="97">
        <v>-34.073360672054001</v>
      </c>
      <c r="W56" s="104">
        <v>7.0842729729393161</v>
      </c>
      <c r="X56" s="124"/>
      <c r="Y56" s="124"/>
      <c r="Z56" s="124"/>
      <c r="AA56" s="124"/>
      <c r="AB56" s="124"/>
      <c r="AC56" s="124"/>
      <c r="AD56" s="124"/>
      <c r="AE56" s="124"/>
    </row>
    <row r="57" spans="1:31" s="105" customFormat="1" x14ac:dyDescent="0.25">
      <c r="A57" s="118" t="s">
        <v>239</v>
      </c>
      <c r="B57" s="95">
        <v>123</v>
      </c>
      <c r="C57" s="96">
        <v>60.446269989013672</v>
      </c>
      <c r="D57" s="97">
        <v>47.101295149776199</v>
      </c>
      <c r="E57" s="98">
        <v>4.4880358926328414</v>
      </c>
      <c r="F57" s="99">
        <v>49.615584347162446</v>
      </c>
      <c r="G57" s="98">
        <v>9.189760347276378</v>
      </c>
      <c r="H57" s="100">
        <v>40.607389075868547</v>
      </c>
      <c r="I57" s="101">
        <v>8.9476182886181732</v>
      </c>
      <c r="J57" s="97">
        <v>46.865992796414581</v>
      </c>
      <c r="K57" s="98">
        <v>11.082232658146465</v>
      </c>
      <c r="L57" s="100">
        <v>51.431657192258413</v>
      </c>
      <c r="M57" s="101">
        <v>11.756413318350962</v>
      </c>
      <c r="N57" s="97">
        <v>1.816072845095952</v>
      </c>
      <c r="O57" s="102">
        <v>15.545871283941592</v>
      </c>
      <c r="P57" s="99">
        <v>47.329027304116948</v>
      </c>
      <c r="Q57" s="98">
        <v>4.5073637566352129</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23.26631733659611</v>
      </c>
      <c r="E58" s="98">
        <v>2.7166874538041603</v>
      </c>
      <c r="F58" s="99">
        <v>22.200917594238781</v>
      </c>
      <c r="G58" s="98">
        <v>5.8668552466146151</v>
      </c>
      <c r="H58" s="100">
        <v>20.106210312646379</v>
      </c>
      <c r="I58" s="101">
        <v>5.3950036922880749</v>
      </c>
      <c r="J58" s="97">
        <v>30.264834699637241</v>
      </c>
      <c r="K58" s="98">
        <v>7.9770964270751596</v>
      </c>
      <c r="L58" s="100">
        <v>20.381496822776349</v>
      </c>
      <c r="M58" s="101">
        <v>6.859567495220853</v>
      </c>
      <c r="N58" s="97">
        <v>-1.819420771462436</v>
      </c>
      <c r="O58" s="102">
        <v>9.9877152474870705</v>
      </c>
      <c r="P58" s="99">
        <v>23.357390231625882</v>
      </c>
      <c r="Q58" s="98">
        <v>2.729163941453054</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45.639072052045726</v>
      </c>
      <c r="E59" s="98">
        <v>3.3496963074264929</v>
      </c>
      <c r="F59" s="99">
        <v>48.304506520415522</v>
      </c>
      <c r="G59" s="98">
        <v>9.5455359142990766</v>
      </c>
      <c r="H59" s="100">
        <v>41.333014747553371</v>
      </c>
      <c r="I59" s="101">
        <v>7.4876342052074429</v>
      </c>
      <c r="J59" s="97">
        <v>49.090017802917252</v>
      </c>
      <c r="K59" s="98">
        <v>10.924942941829602</v>
      </c>
      <c r="L59" s="100">
        <v>43.711122329799892</v>
      </c>
      <c r="M59" s="101">
        <v>9.7702149950332675</v>
      </c>
      <c r="N59" s="97">
        <v>-4.5933841906156303</v>
      </c>
      <c r="O59" s="102">
        <v>13.769091779280838</v>
      </c>
      <c r="P59" s="99">
        <v>45.862078499586808</v>
      </c>
      <c r="Q59" s="98">
        <v>3.3457761464097131</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418</v>
      </c>
      <c r="C60" s="96">
        <v>77.542045593261719</v>
      </c>
      <c r="D60" s="97">
        <v>31.643797680869181</v>
      </c>
      <c r="E60" s="98">
        <v>2.279844088806283</v>
      </c>
      <c r="F60" s="99">
        <v>55.904595684927727</v>
      </c>
      <c r="G60" s="98">
        <v>4.7734348111370899</v>
      </c>
      <c r="H60" s="100">
        <v>32.12794454433579</v>
      </c>
      <c r="I60" s="101">
        <v>5.4504715872466569</v>
      </c>
      <c r="J60" s="97">
        <v>28.511764072531051</v>
      </c>
      <c r="K60" s="98">
        <v>4.3036820033068928</v>
      </c>
      <c r="L60" s="100">
        <v>10.016761714901669</v>
      </c>
      <c r="M60" s="101">
        <v>3.3603541072848735</v>
      </c>
      <c r="N60" s="97">
        <v>-45.887833970026051</v>
      </c>
      <c r="O60" s="102">
        <v>5.4682701150439232</v>
      </c>
      <c r="P60" s="99">
        <v>37.120998106586669</v>
      </c>
      <c r="Q60" s="98">
        <v>2.6608753904878917</v>
      </c>
      <c r="R60" s="100" t="s">
        <v>34</v>
      </c>
      <c r="S60" s="101" t="s">
        <v>34</v>
      </c>
      <c r="T60" s="97">
        <v>7.1059386307182004</v>
      </c>
      <c r="U60" s="101">
        <v>2.7628220777385311</v>
      </c>
      <c r="V60" s="97">
        <v>-30.015059475868469</v>
      </c>
      <c r="W60" s="104">
        <v>3.7072969216357663</v>
      </c>
      <c r="X60" s="124"/>
      <c r="Y60" s="124"/>
      <c r="Z60" s="124"/>
      <c r="AA60" s="124"/>
      <c r="AB60" s="124"/>
      <c r="AC60" s="124"/>
      <c r="AD60" s="124"/>
      <c r="AE60" s="124"/>
    </row>
    <row r="61" spans="1:31" s="105" customFormat="1" x14ac:dyDescent="0.25">
      <c r="A61" s="118" t="s">
        <v>243</v>
      </c>
      <c r="B61" s="95">
        <v>55</v>
      </c>
      <c r="C61" s="96">
        <v>100</v>
      </c>
      <c r="D61" s="97">
        <v>36.51219690174235</v>
      </c>
      <c r="E61" s="98">
        <v>8.7632115954531409E-2</v>
      </c>
      <c r="F61" s="99">
        <v>39.436880029313897</v>
      </c>
      <c r="G61" s="98">
        <v>0.21510473612958989</v>
      </c>
      <c r="H61" s="100">
        <v>34.92030523336112</v>
      </c>
      <c r="I61" s="101">
        <v>0.18029097761844395</v>
      </c>
      <c r="J61" s="97">
        <v>25.35238336781946</v>
      </c>
      <c r="K61" s="98">
        <v>0.18155125965671773</v>
      </c>
      <c r="L61" s="100">
        <v>47.848939838148837</v>
      </c>
      <c r="M61" s="101">
        <v>0.14318315374324558</v>
      </c>
      <c r="N61" s="97">
        <v>8.4120598088349325</v>
      </c>
      <c r="O61" s="102">
        <v>0.25422103922122563</v>
      </c>
      <c r="P61" s="99">
        <v>40.460583403045469</v>
      </c>
      <c r="Q61" s="98">
        <v>9.5916742689771212E-2</v>
      </c>
      <c r="R61" s="100" t="s">
        <v>34</v>
      </c>
      <c r="S61" s="101" t="s">
        <v>34</v>
      </c>
      <c r="T61" s="97">
        <v>15.238433474429939</v>
      </c>
      <c r="U61" s="101">
        <v>0.19505419771061547</v>
      </c>
      <c r="V61" s="97">
        <v>-25.222149928615529</v>
      </c>
      <c r="W61" s="104">
        <v>0.21404085520781899</v>
      </c>
      <c r="X61" s="124"/>
      <c r="Y61" s="124"/>
      <c r="Z61" s="124"/>
      <c r="AA61" s="124"/>
      <c r="AB61" s="124"/>
      <c r="AC61" s="124"/>
      <c r="AD61" s="124"/>
      <c r="AE61" s="124"/>
    </row>
    <row r="62" spans="1:31" s="105" customFormat="1" x14ac:dyDescent="0.25">
      <c r="A62" s="118" t="s">
        <v>244</v>
      </c>
      <c r="B62" s="95">
        <v>361</v>
      </c>
      <c r="C62" s="96">
        <v>100</v>
      </c>
      <c r="D62" s="97">
        <v>27.78766536947111</v>
      </c>
      <c r="E62" s="98">
        <v>3.2285896388522484</v>
      </c>
      <c r="F62" s="99">
        <v>39.076994786145193</v>
      </c>
      <c r="G62" s="98">
        <v>8.2987233038629213</v>
      </c>
      <c r="H62" s="100">
        <v>25.536526753897991</v>
      </c>
      <c r="I62" s="101">
        <v>7.3064628697367509</v>
      </c>
      <c r="J62" s="97">
        <v>28.842739038256859</v>
      </c>
      <c r="K62" s="98">
        <v>9.8237413066104597</v>
      </c>
      <c r="L62" s="100">
        <v>17.636723643480661</v>
      </c>
      <c r="M62" s="101">
        <v>5.688241140299902</v>
      </c>
      <c r="N62" s="97">
        <v>-21.440271142664539</v>
      </c>
      <c r="O62" s="102">
        <v>10.095407252806361</v>
      </c>
      <c r="P62" s="99">
        <v>28.733132205824042</v>
      </c>
      <c r="Q62" s="98">
        <v>3.7262065043764445</v>
      </c>
      <c r="R62" s="100" t="s">
        <v>34</v>
      </c>
      <c r="S62" s="101" t="s">
        <v>34</v>
      </c>
      <c r="T62" s="97">
        <v>21.07710544145095</v>
      </c>
      <c r="U62" s="101">
        <v>6.3772989346722886</v>
      </c>
      <c r="V62" s="97">
        <v>-7.6560267643730917</v>
      </c>
      <c r="W62" s="104">
        <v>7.6826582371291243</v>
      </c>
      <c r="X62" s="124"/>
      <c r="Y62" s="124"/>
      <c r="Z62" s="124"/>
      <c r="AA62" s="124"/>
      <c r="AB62" s="124"/>
      <c r="AC62" s="124"/>
      <c r="AD62" s="124"/>
      <c r="AE62" s="124"/>
    </row>
    <row r="63" spans="1:31" s="105" customFormat="1" x14ac:dyDescent="0.25">
      <c r="A63" s="118" t="s">
        <v>245</v>
      </c>
      <c r="B63" s="95">
        <v>189</v>
      </c>
      <c r="C63" s="96">
        <v>95.735214233398438</v>
      </c>
      <c r="D63" s="97">
        <v>30.80021216961492</v>
      </c>
      <c r="E63" s="98">
        <v>3.3778030208566086</v>
      </c>
      <c r="F63" s="99">
        <v>27.017913104628018</v>
      </c>
      <c r="G63" s="98">
        <v>7.4679961331543758</v>
      </c>
      <c r="H63" s="100">
        <v>21.469266705480521</v>
      </c>
      <c r="I63" s="101">
        <v>7.6381820858595448</v>
      </c>
      <c r="J63" s="97">
        <v>28.866504869427121</v>
      </c>
      <c r="K63" s="98">
        <v>6.9089788259766234</v>
      </c>
      <c r="L63" s="100">
        <v>45.410358969157471</v>
      </c>
      <c r="M63" s="101">
        <v>7.5285209687608718</v>
      </c>
      <c r="N63" s="97">
        <v>18.392445864529449</v>
      </c>
      <c r="O63" s="102">
        <v>10.539005559464654</v>
      </c>
      <c r="P63" s="99">
        <v>31.239981156681591</v>
      </c>
      <c r="Q63" s="98">
        <v>3.4242247396582068</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55.231580070659149</v>
      </c>
      <c r="E64" s="98">
        <v>3.8502230891488858</v>
      </c>
      <c r="F64" s="99">
        <v>46.743066391512059</v>
      </c>
      <c r="G64" s="98">
        <v>8.0668039613079205</v>
      </c>
      <c r="H64" s="100">
        <v>44.608476529645039</v>
      </c>
      <c r="I64" s="101">
        <v>8.5349893428072061</v>
      </c>
      <c r="J64" s="97">
        <v>69.826382419010571</v>
      </c>
      <c r="K64" s="98">
        <v>9.2538689918530803</v>
      </c>
      <c r="L64" s="100">
        <v>60.005875109003249</v>
      </c>
      <c r="M64" s="101">
        <v>10.214267327007091</v>
      </c>
      <c r="N64" s="97">
        <v>13.26280871749119</v>
      </c>
      <c r="O64" s="102">
        <v>12.747241707548426</v>
      </c>
      <c r="P64" s="99">
        <v>55.466856669978561</v>
      </c>
      <c r="Q64" s="98">
        <v>4.023433229264433</v>
      </c>
      <c r="R64" s="100" t="s">
        <v>34</v>
      </c>
      <c r="S64" s="101" t="s">
        <v>34</v>
      </c>
      <c r="T64" s="97">
        <v>54.91879303737079</v>
      </c>
      <c r="U64" s="101">
        <v>9.7538756954386745</v>
      </c>
      <c r="V64" s="97">
        <v>-0.54806363260777147</v>
      </c>
      <c r="W64" s="104">
        <v>10.138778866719667</v>
      </c>
      <c r="X64" s="124"/>
      <c r="Y64" s="124"/>
      <c r="Z64" s="124"/>
      <c r="AA64" s="124"/>
      <c r="AB64" s="124"/>
      <c r="AC64" s="124"/>
      <c r="AD64" s="124"/>
      <c r="AE64" s="124"/>
    </row>
    <row r="65" spans="1:31" s="105" customFormat="1" x14ac:dyDescent="0.25">
      <c r="A65" s="118" t="s">
        <v>247</v>
      </c>
      <c r="B65" s="95">
        <v>177</v>
      </c>
      <c r="C65" s="96">
        <v>98.361724853515625</v>
      </c>
      <c r="D65" s="97">
        <v>64.045494761033737</v>
      </c>
      <c r="E65" s="98">
        <v>3.644293684306164</v>
      </c>
      <c r="F65" s="99">
        <v>61.753412094403849</v>
      </c>
      <c r="G65" s="98">
        <v>6.7148526243359781</v>
      </c>
      <c r="H65" s="100">
        <v>64.256928023735313</v>
      </c>
      <c r="I65" s="101">
        <v>8.1895027417182167</v>
      </c>
      <c r="J65" s="97">
        <v>62.6439157964478</v>
      </c>
      <c r="K65" s="98">
        <v>8.3404357550331323</v>
      </c>
      <c r="L65" s="100">
        <v>67.536257869837158</v>
      </c>
      <c r="M65" s="101">
        <v>7.7385808835827889</v>
      </c>
      <c r="N65" s="97">
        <v>5.7828457754333087</v>
      </c>
      <c r="O65" s="102">
        <v>9.724112755599517</v>
      </c>
      <c r="P65" s="99">
        <v>66.001759208611048</v>
      </c>
      <c r="Q65" s="98">
        <v>3.639563821841922</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23.571518840102339</v>
      </c>
      <c r="E66" s="98">
        <v>0.11398920406700505</v>
      </c>
      <c r="F66" s="99">
        <v>42.750958985244829</v>
      </c>
      <c r="G66" s="98">
        <v>0.34775645975951514</v>
      </c>
      <c r="H66" s="100">
        <v>34.125489845278302</v>
      </c>
      <c r="I66" s="101">
        <v>0.1266154079610414</v>
      </c>
      <c r="J66" s="97">
        <v>14.34640168554577</v>
      </c>
      <c r="K66" s="98">
        <v>0.15710723104846561</v>
      </c>
      <c r="L66" s="100">
        <v>1.6370480166586661</v>
      </c>
      <c r="M66" s="101">
        <v>0.10069779785059906</v>
      </c>
      <c r="N66" s="97">
        <v>-41.113910968586161</v>
      </c>
      <c r="O66" s="102">
        <v>0.35847106645805038</v>
      </c>
      <c r="P66" s="99">
        <v>28.059689387263479</v>
      </c>
      <c r="Q66" s="98">
        <v>0.13168621177988868</v>
      </c>
      <c r="R66" s="100" t="s">
        <v>34</v>
      </c>
      <c r="S66" s="101" t="s">
        <v>34</v>
      </c>
      <c r="T66" s="97">
        <v>2.2740099640075191</v>
      </c>
      <c r="U66" s="101">
        <v>0.13942165214024554</v>
      </c>
      <c r="V66" s="97">
        <v>-25.78567942325596</v>
      </c>
      <c r="W66" s="104">
        <v>0.1915735987104682</v>
      </c>
      <c r="X66" s="124"/>
      <c r="Y66" s="124"/>
      <c r="Z66" s="124"/>
      <c r="AA66" s="124"/>
      <c r="AB66" s="124"/>
      <c r="AC66" s="124"/>
      <c r="AD66" s="124"/>
      <c r="AE66" s="124"/>
    </row>
    <row r="67" spans="1:31" s="105" customFormat="1" x14ac:dyDescent="0.25">
      <c r="A67" s="118" t="s">
        <v>249</v>
      </c>
      <c r="B67" s="95">
        <v>214</v>
      </c>
      <c r="C67" s="96">
        <v>91.11700439453125</v>
      </c>
      <c r="D67" s="97">
        <v>41.176883187015036</v>
      </c>
      <c r="E67" s="98">
        <v>3.8396424954121007</v>
      </c>
      <c r="F67" s="99">
        <v>48.754794801980033</v>
      </c>
      <c r="G67" s="98">
        <v>8.0724301968078755</v>
      </c>
      <c r="H67" s="100">
        <v>35.774524995104862</v>
      </c>
      <c r="I67" s="101">
        <v>10.444530083523746</v>
      </c>
      <c r="J67" s="97">
        <v>47.2293074217908</v>
      </c>
      <c r="K67" s="98">
        <v>8.6883341564049985</v>
      </c>
      <c r="L67" s="100">
        <v>32.700622731990883</v>
      </c>
      <c r="M67" s="101">
        <v>7.9684764406161612</v>
      </c>
      <c r="N67" s="97">
        <v>-16.054172069989161</v>
      </c>
      <c r="O67" s="102">
        <v>11.660199415422836</v>
      </c>
      <c r="P67" s="99">
        <v>43.886549440564863</v>
      </c>
      <c r="Q67" s="98">
        <v>4.2591947893642388</v>
      </c>
      <c r="R67" s="100">
        <v>44.897799395761517</v>
      </c>
      <c r="S67" s="101">
        <v>26.925008436991448</v>
      </c>
      <c r="T67" s="97">
        <v>23.529713738553522</v>
      </c>
      <c r="U67" s="101">
        <v>9.6684469724813908</v>
      </c>
      <c r="V67" s="97">
        <v>-18.204761847513563</v>
      </c>
      <c r="W67" s="104">
        <v>9.9365943287962448</v>
      </c>
      <c r="X67" s="124"/>
      <c r="Y67" s="124"/>
      <c r="Z67" s="124"/>
      <c r="AA67" s="124"/>
      <c r="AB67" s="124"/>
      <c r="AC67" s="124"/>
      <c r="AD67" s="124"/>
      <c r="AE67" s="124"/>
    </row>
    <row r="68" spans="1:31" s="105" customFormat="1" x14ac:dyDescent="0.25">
      <c r="A68" s="118" t="s">
        <v>250</v>
      </c>
      <c r="B68" s="95">
        <v>307</v>
      </c>
      <c r="C68" s="96">
        <v>97.949005126953125</v>
      </c>
      <c r="D68" s="97">
        <v>46.534608413533761</v>
      </c>
      <c r="E68" s="98">
        <v>2.9576084120283519</v>
      </c>
      <c r="F68" s="99">
        <v>55.325725828509277</v>
      </c>
      <c r="G68" s="98">
        <v>6.7724712352622101</v>
      </c>
      <c r="H68" s="100">
        <v>52.599201514847621</v>
      </c>
      <c r="I68" s="101">
        <v>8.6468716436914779</v>
      </c>
      <c r="J68" s="97">
        <v>33.071634203167427</v>
      </c>
      <c r="K68" s="98">
        <v>7.4228560289501822</v>
      </c>
      <c r="L68" s="100">
        <v>45.023101771525759</v>
      </c>
      <c r="M68" s="101">
        <v>6.373180966672825</v>
      </c>
      <c r="N68" s="97">
        <v>-10.30262405698352</v>
      </c>
      <c r="O68" s="102">
        <v>9.1666454066989509</v>
      </c>
      <c r="P68" s="99">
        <v>49.791827033654982</v>
      </c>
      <c r="Q68" s="98">
        <v>3.1860627720067023</v>
      </c>
      <c r="R68" s="100" t="s">
        <v>34</v>
      </c>
      <c r="S68" s="101" t="s">
        <v>34</v>
      </c>
      <c r="T68" s="97">
        <v>20.46076821295657</v>
      </c>
      <c r="U68" s="101">
        <v>6.2966791902175512</v>
      </c>
      <c r="V68" s="97">
        <v>-29.331058820698413</v>
      </c>
      <c r="W68" s="104">
        <v>6.9735033422064205</v>
      </c>
      <c r="X68" s="124"/>
      <c r="Y68" s="124"/>
      <c r="Z68" s="124"/>
      <c r="AA68" s="124"/>
      <c r="AB68" s="124"/>
      <c r="AC68" s="124"/>
      <c r="AD68" s="124"/>
      <c r="AE68" s="124"/>
    </row>
    <row r="69" spans="1:31" s="105" customFormat="1" x14ac:dyDescent="0.25">
      <c r="A69" s="118" t="s">
        <v>303</v>
      </c>
      <c r="B69" s="95">
        <v>112</v>
      </c>
      <c r="C69" s="96">
        <v>75.546546936035156</v>
      </c>
      <c r="D69" s="97">
        <v>32.121363422316207</v>
      </c>
      <c r="E69" s="98">
        <v>4.5327759333760707</v>
      </c>
      <c r="F69" s="99">
        <v>29.40551686086631</v>
      </c>
      <c r="G69" s="98">
        <v>10.015219699775262</v>
      </c>
      <c r="H69" s="100">
        <v>35.893359640555673</v>
      </c>
      <c r="I69" s="101">
        <v>10.482650249132375</v>
      </c>
      <c r="J69" s="97">
        <v>39.605585928967571</v>
      </c>
      <c r="K69" s="98">
        <v>9.7192677108450241</v>
      </c>
      <c r="L69" s="100">
        <v>24.132320941122341</v>
      </c>
      <c r="M69" s="101">
        <v>8.5455324011106537</v>
      </c>
      <c r="N69" s="97">
        <v>-5.2731959197439657</v>
      </c>
      <c r="O69" s="102">
        <v>13.08694026646722</v>
      </c>
      <c r="P69" s="99">
        <v>47.272548535835128</v>
      </c>
      <c r="Q69" s="98">
        <v>14.511514036220131</v>
      </c>
      <c r="R69" s="100">
        <v>31.48188591465383</v>
      </c>
      <c r="S69" s="101">
        <v>4.5114089785176787</v>
      </c>
      <c r="T69" s="97" t="s">
        <v>34</v>
      </c>
      <c r="U69" s="101" t="s">
        <v>34</v>
      </c>
      <c r="V69" s="97">
        <v>-15.790662621181298</v>
      </c>
      <c r="W69" s="104">
        <v>13.88543222297781</v>
      </c>
      <c r="X69" s="124"/>
      <c r="Y69" s="124"/>
      <c r="Z69" s="124"/>
      <c r="AA69" s="124"/>
      <c r="AB69" s="124"/>
      <c r="AC69" s="124"/>
      <c r="AD69" s="124"/>
      <c r="AE69" s="124"/>
    </row>
    <row r="70" spans="1:31" s="105" customFormat="1" x14ac:dyDescent="0.25">
      <c r="A70" s="118" t="s">
        <v>251</v>
      </c>
      <c r="B70" s="95">
        <v>341</v>
      </c>
      <c r="C70" s="96">
        <v>88.761070251464844</v>
      </c>
      <c r="D70" s="97">
        <v>61.530787492395262</v>
      </c>
      <c r="E70" s="98">
        <v>4.3201293540886176</v>
      </c>
      <c r="F70" s="99">
        <v>72.225687947028746</v>
      </c>
      <c r="G70" s="98">
        <v>7.5936687816602042</v>
      </c>
      <c r="H70" s="100">
        <v>57.964667219668307</v>
      </c>
      <c r="I70" s="101">
        <v>9.999281421426419</v>
      </c>
      <c r="J70" s="97">
        <v>72.428718778844768</v>
      </c>
      <c r="K70" s="98">
        <v>10.498430825623741</v>
      </c>
      <c r="L70" s="100">
        <v>43.047096132336968</v>
      </c>
      <c r="M70" s="101">
        <v>11.254678705356289</v>
      </c>
      <c r="N70" s="97">
        <v>-29.178591814691771</v>
      </c>
      <c r="O70" s="102">
        <v>14.412848999079456</v>
      </c>
      <c r="P70" s="99">
        <v>61.599983556829251</v>
      </c>
      <c r="Q70" s="98">
        <v>5.5868966115671563</v>
      </c>
      <c r="R70" s="100">
        <v>69.726345620157872</v>
      </c>
      <c r="S70" s="101">
        <v>8.2856454737223117</v>
      </c>
      <c r="T70" s="97">
        <v>55.840239791315383</v>
      </c>
      <c r="U70" s="101">
        <v>12.667612363144853</v>
      </c>
      <c r="V70" s="97">
        <v>2.0977124169058499</v>
      </c>
      <c r="W70" s="104">
        <v>9.073698389896153</v>
      </c>
      <c r="X70" s="124"/>
      <c r="Y70" s="124"/>
      <c r="Z70" s="124"/>
      <c r="AA70" s="124"/>
      <c r="AB70" s="124"/>
      <c r="AC70" s="124"/>
      <c r="AD70" s="124"/>
      <c r="AE70" s="124"/>
    </row>
    <row r="71" spans="1:31" s="105" customFormat="1" x14ac:dyDescent="0.25">
      <c r="A71" s="118" t="s">
        <v>252</v>
      </c>
      <c r="B71" s="95">
        <v>311</v>
      </c>
      <c r="C71" s="96">
        <v>99.521980285644531</v>
      </c>
      <c r="D71" s="97">
        <v>55.006836689200227</v>
      </c>
      <c r="E71" s="98">
        <v>2.8724324582690119</v>
      </c>
      <c r="F71" s="99">
        <v>76.59836320123064</v>
      </c>
      <c r="G71" s="98">
        <v>7.1737650432800937</v>
      </c>
      <c r="H71" s="100">
        <v>53.414664607517103</v>
      </c>
      <c r="I71" s="101">
        <v>7.1776527450976833</v>
      </c>
      <c r="J71" s="97">
        <v>49.355301628166337</v>
      </c>
      <c r="K71" s="98">
        <v>8.1028320213609195</v>
      </c>
      <c r="L71" s="100">
        <v>40.139611670510291</v>
      </c>
      <c r="M71" s="101">
        <v>7.3765121997396657</v>
      </c>
      <c r="N71" s="97">
        <v>-36.458751530720349</v>
      </c>
      <c r="O71" s="102">
        <v>11.448479770159478</v>
      </c>
      <c r="P71" s="99">
        <v>59.258561156537127</v>
      </c>
      <c r="Q71" s="98">
        <v>3.4360167097166623</v>
      </c>
      <c r="R71" s="100" t="s">
        <v>34</v>
      </c>
      <c r="S71" s="101" t="s">
        <v>34</v>
      </c>
      <c r="T71" s="97">
        <v>38.377331424282893</v>
      </c>
      <c r="U71" s="101">
        <v>6.1734765083107694</v>
      </c>
      <c r="V71" s="97">
        <v>-20.881229732254234</v>
      </c>
      <c r="W71" s="104">
        <v>7.382783321704756</v>
      </c>
      <c r="X71" s="124"/>
      <c r="Y71" s="124"/>
      <c r="Z71" s="124"/>
      <c r="AA71" s="124"/>
      <c r="AB71" s="124"/>
      <c r="AC71" s="124"/>
      <c r="AD71" s="124"/>
      <c r="AE71" s="124"/>
    </row>
    <row r="72" spans="1:31" s="105" customFormat="1" x14ac:dyDescent="0.25">
      <c r="A72" s="118" t="s">
        <v>253</v>
      </c>
      <c r="B72" s="95">
        <v>516</v>
      </c>
      <c r="C72" s="96">
        <v>80.3912353515625</v>
      </c>
      <c r="D72" s="97">
        <v>39.044665044446511</v>
      </c>
      <c r="E72" s="98">
        <v>2.719978824001366</v>
      </c>
      <c r="F72" s="99">
        <v>43.51639377178207</v>
      </c>
      <c r="G72" s="98">
        <v>6.0298698720536343</v>
      </c>
      <c r="H72" s="100">
        <v>40.556165253458857</v>
      </c>
      <c r="I72" s="101">
        <v>6.0192942307396855</v>
      </c>
      <c r="J72" s="97">
        <v>34.633689626851677</v>
      </c>
      <c r="K72" s="98">
        <v>6.0207570236655599</v>
      </c>
      <c r="L72" s="100">
        <v>37.372287246398599</v>
      </c>
      <c r="M72" s="101">
        <v>6.5599104269283126</v>
      </c>
      <c r="N72" s="97">
        <v>-6.1441065253834708</v>
      </c>
      <c r="O72" s="102">
        <v>8.7851165952134931</v>
      </c>
      <c r="P72" s="99">
        <v>39.543270002524203</v>
      </c>
      <c r="Q72" s="98">
        <v>2.7311195024723043</v>
      </c>
      <c r="R72" s="100">
        <v>0</v>
      </c>
      <c r="S72" s="101" t="s">
        <v>35</v>
      </c>
      <c r="T72" s="97" t="s">
        <v>34</v>
      </c>
      <c r="U72" s="101" t="s">
        <v>34</v>
      </c>
      <c r="V72" s="97">
        <v>-39.543270002524203</v>
      </c>
      <c r="W72" s="104">
        <v>2.7311195024723043</v>
      </c>
      <c r="X72" s="124"/>
      <c r="Y72" s="124"/>
      <c r="Z72" s="124"/>
      <c r="AA72" s="124"/>
      <c r="AB72" s="124"/>
      <c r="AC72" s="124"/>
      <c r="AD72" s="124"/>
      <c r="AE72" s="124"/>
    </row>
    <row r="73" spans="1:31" s="105" customFormat="1" x14ac:dyDescent="0.25">
      <c r="A73" s="118" t="s">
        <v>254</v>
      </c>
      <c r="B73" s="95">
        <v>88</v>
      </c>
      <c r="C73" s="96">
        <v>73.040199279785156</v>
      </c>
      <c r="D73" s="97">
        <v>47.363745124699001</v>
      </c>
      <c r="E73" s="98">
        <v>1.438345886727993</v>
      </c>
      <c r="F73" s="99">
        <v>47.835981807298573</v>
      </c>
      <c r="G73" s="98">
        <v>4.9184731409811837</v>
      </c>
      <c r="H73" s="100">
        <v>70.4565265085714</v>
      </c>
      <c r="I73" s="101">
        <v>4.1673639183468101</v>
      </c>
      <c r="J73" s="97">
        <v>40.846317851916567</v>
      </c>
      <c r="K73" s="98">
        <v>3.0346783727103643</v>
      </c>
      <c r="L73" s="100">
        <v>29.724366256784521</v>
      </c>
      <c r="M73" s="101">
        <v>3.1049134272623453</v>
      </c>
      <c r="N73" s="97">
        <v>-18.111615550514049</v>
      </c>
      <c r="O73" s="102">
        <v>5.421289108885861</v>
      </c>
      <c r="P73" s="99">
        <v>48.156391381021081</v>
      </c>
      <c r="Q73" s="98">
        <v>1.4423792628611181</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202</v>
      </c>
      <c r="C74" s="96">
        <v>74.918022155761719</v>
      </c>
      <c r="D74" s="97">
        <v>34.279271785814871</v>
      </c>
      <c r="E74" s="98">
        <v>3.1795482591481909</v>
      </c>
      <c r="F74" s="99">
        <v>42.243097483240611</v>
      </c>
      <c r="G74" s="98">
        <v>6.6013794727963893</v>
      </c>
      <c r="H74" s="100">
        <v>53.165288621805637</v>
      </c>
      <c r="I74" s="101">
        <v>7.5880742376106163</v>
      </c>
      <c r="J74" s="97">
        <v>26.90285310945486</v>
      </c>
      <c r="K74" s="98">
        <v>7.1432514136956486</v>
      </c>
      <c r="L74" s="100">
        <v>14.4066686175254</v>
      </c>
      <c r="M74" s="101">
        <v>5.4917907660907375</v>
      </c>
      <c r="N74" s="97">
        <v>-27.836428865715209</v>
      </c>
      <c r="O74" s="102">
        <v>9.0040316482763938</v>
      </c>
      <c r="P74" s="99">
        <v>51.014395728206573</v>
      </c>
      <c r="Q74" s="98">
        <v>5.5818698193641021</v>
      </c>
      <c r="R74" s="100" t="s">
        <v>34</v>
      </c>
      <c r="S74" s="101" t="s">
        <v>34</v>
      </c>
      <c r="T74" s="97">
        <v>22.791175250127999</v>
      </c>
      <c r="U74" s="101">
        <v>5.3637688283816551</v>
      </c>
      <c r="V74" s="97">
        <v>-28.223220478078574</v>
      </c>
      <c r="W74" s="104">
        <v>6.7988696683644401</v>
      </c>
      <c r="X74" s="124"/>
      <c r="Y74" s="124"/>
      <c r="Z74" s="124"/>
      <c r="AA74" s="124"/>
      <c r="AB74" s="124"/>
      <c r="AC74" s="124"/>
      <c r="AD74" s="124"/>
      <c r="AE74" s="124"/>
    </row>
    <row r="75" spans="1:31" s="105" customFormat="1" x14ac:dyDescent="0.25">
      <c r="A75" s="118" t="s">
        <v>256</v>
      </c>
      <c r="B75" s="95">
        <v>45</v>
      </c>
      <c r="C75" s="96">
        <v>100</v>
      </c>
      <c r="D75" s="97">
        <v>37.476786292262062</v>
      </c>
      <c r="E75" s="98">
        <v>3.9288714432203616E-2</v>
      </c>
      <c r="F75" s="99">
        <v>58.412655459794507</v>
      </c>
      <c r="G75" s="98">
        <v>9.9562961454268961E-2</v>
      </c>
      <c r="H75" s="100">
        <v>57.430998431698278</v>
      </c>
      <c r="I75" s="101">
        <v>0.10306895288883958</v>
      </c>
      <c r="J75" s="97">
        <v>11.569657735680231</v>
      </c>
      <c r="K75" s="98">
        <v>9.8264802662290873E-2</v>
      </c>
      <c r="L75" s="100">
        <v>18.457034645348148</v>
      </c>
      <c r="M75" s="101">
        <v>0.10396147808000805</v>
      </c>
      <c r="N75" s="97">
        <v>-39.955620814446362</v>
      </c>
      <c r="O75" s="102">
        <v>0.14708984149964144</v>
      </c>
      <c r="P75" s="99">
        <v>42.575588671422381</v>
      </c>
      <c r="Q75" s="98">
        <v>9.0289709489535269E-2</v>
      </c>
      <c r="R75" s="100">
        <v>41.086491813526649</v>
      </c>
      <c r="S75" s="101">
        <v>4.5889623675612501E-2</v>
      </c>
      <c r="T75" s="97" t="s">
        <v>34</v>
      </c>
      <c r="U75" s="101" t="s">
        <v>34</v>
      </c>
      <c r="V75" s="97">
        <v>-1.4890968578957313</v>
      </c>
      <c r="W75" s="104">
        <v>9.7042627372026499E-2</v>
      </c>
      <c r="X75" s="124"/>
      <c r="Y75" s="124"/>
      <c r="Z75" s="124"/>
      <c r="AA75" s="124"/>
      <c r="AB75" s="124"/>
      <c r="AC75" s="124"/>
      <c r="AD75" s="124"/>
      <c r="AE75" s="124"/>
    </row>
    <row r="76" spans="1:31" s="105" customFormat="1" x14ac:dyDescent="0.25">
      <c r="A76" s="118" t="s">
        <v>257</v>
      </c>
      <c r="B76" s="95">
        <v>190</v>
      </c>
      <c r="C76" s="96">
        <v>99.531219482421875</v>
      </c>
      <c r="D76" s="97">
        <v>27.0092857746031</v>
      </c>
      <c r="E76" s="98">
        <v>3.2157303379618556</v>
      </c>
      <c r="F76" s="99">
        <v>37.873928902271281</v>
      </c>
      <c r="G76" s="98">
        <v>7.9565892884518874</v>
      </c>
      <c r="H76" s="100">
        <v>23.601408809582701</v>
      </c>
      <c r="I76" s="101">
        <v>7.041682684160766</v>
      </c>
      <c r="J76" s="97">
        <v>23.605399505315589</v>
      </c>
      <c r="K76" s="98">
        <v>6.9107965316943476</v>
      </c>
      <c r="L76" s="100">
        <v>23.054014410028191</v>
      </c>
      <c r="M76" s="101">
        <v>7.0412295391832913</v>
      </c>
      <c r="N76" s="97">
        <v>-14.81991449224309</v>
      </c>
      <c r="O76" s="102">
        <v>10.347688494277484</v>
      </c>
      <c r="P76" s="99">
        <v>27.82776988251311</v>
      </c>
      <c r="Q76" s="98">
        <v>3.3040054254730538</v>
      </c>
      <c r="R76" s="100" t="s">
        <v>34</v>
      </c>
      <c r="S76" s="101" t="s">
        <v>34</v>
      </c>
      <c r="T76" s="97">
        <v>15.777629794653331</v>
      </c>
      <c r="U76" s="101">
        <v>9.4323878659983151</v>
      </c>
      <c r="V76" s="97">
        <v>-12.050140087859779</v>
      </c>
      <c r="W76" s="104">
        <v>9.86636380393068</v>
      </c>
      <c r="X76" s="124"/>
      <c r="Y76" s="124"/>
      <c r="Z76" s="124"/>
      <c r="AA76" s="124"/>
      <c r="AB76" s="124"/>
      <c r="AC76" s="124"/>
      <c r="AD76" s="124"/>
      <c r="AE76" s="124"/>
    </row>
    <row r="77" spans="1:31" s="105" customFormat="1" x14ac:dyDescent="0.25">
      <c r="A77" s="118" t="s">
        <v>258</v>
      </c>
      <c r="B77" s="95">
        <v>49</v>
      </c>
      <c r="C77" s="96">
        <v>99.911201477050781</v>
      </c>
      <c r="D77" s="97">
        <v>28.727897287144842</v>
      </c>
      <c r="E77" s="98">
        <v>0.15089682700937337</v>
      </c>
      <c r="F77" s="99">
        <v>47.529581841303809</v>
      </c>
      <c r="G77" s="98">
        <v>0.24400840197597093</v>
      </c>
      <c r="H77" s="100">
        <v>36.833629665920242</v>
      </c>
      <c r="I77" s="101">
        <v>0.34530228252007095</v>
      </c>
      <c r="J77" s="97">
        <v>14.198227228686839</v>
      </c>
      <c r="K77" s="98">
        <v>0.30266983637075562</v>
      </c>
      <c r="L77" s="100">
        <v>15.210762177413949</v>
      </c>
      <c r="M77" s="101">
        <v>0.24532306052955768</v>
      </c>
      <c r="N77" s="97">
        <v>-32.318819663889848</v>
      </c>
      <c r="O77" s="102">
        <v>0.35650844421178879</v>
      </c>
      <c r="P77" s="99">
        <v>40.276586900310832</v>
      </c>
      <c r="Q77" s="98">
        <v>0.20920649849848738</v>
      </c>
      <c r="R77" s="100">
        <v>12.414155191663371</v>
      </c>
      <c r="S77" s="101">
        <v>0.19884186463592379</v>
      </c>
      <c r="T77" s="97">
        <v>19.742247549352509</v>
      </c>
      <c r="U77" s="101">
        <v>0.44287135509259656</v>
      </c>
      <c r="V77" s="97">
        <v>-25.625359993203475</v>
      </c>
      <c r="W77" s="104">
        <v>0.27850044262538803</v>
      </c>
      <c r="X77" s="124"/>
      <c r="Y77" s="124"/>
      <c r="Z77" s="124"/>
      <c r="AA77" s="124"/>
      <c r="AB77" s="124"/>
      <c r="AC77" s="124"/>
      <c r="AD77" s="124"/>
      <c r="AE77" s="124"/>
    </row>
    <row r="78" spans="1:31" s="105" customFormat="1" x14ac:dyDescent="0.25">
      <c r="A78" s="118" t="s">
        <v>259</v>
      </c>
      <c r="B78" s="95">
        <v>215</v>
      </c>
      <c r="C78" s="96">
        <v>93.752838134765625</v>
      </c>
      <c r="D78" s="97">
        <v>32.558432427261863</v>
      </c>
      <c r="E78" s="98">
        <v>3.9321581889493071</v>
      </c>
      <c r="F78" s="99">
        <v>29.797753501111281</v>
      </c>
      <c r="G78" s="98">
        <v>6.0998280320122644</v>
      </c>
      <c r="H78" s="100">
        <v>25.098544037163869</v>
      </c>
      <c r="I78" s="101">
        <v>6.4331992956752071</v>
      </c>
      <c r="J78" s="97">
        <v>38.473393305742</v>
      </c>
      <c r="K78" s="98">
        <v>8.4009655619233463</v>
      </c>
      <c r="L78" s="100">
        <v>36.801363094070382</v>
      </c>
      <c r="M78" s="101">
        <v>9.5512704978705454</v>
      </c>
      <c r="N78" s="97">
        <v>7.0036095929591013</v>
      </c>
      <c r="O78" s="102">
        <v>10.752095465151083</v>
      </c>
      <c r="P78" s="99">
        <v>32.092869265851682</v>
      </c>
      <c r="Q78" s="98">
        <v>3.9248167690990354</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39.512842343071888</v>
      </c>
      <c r="E79" s="98">
        <v>6.0839087409800666E-2</v>
      </c>
      <c r="F79" s="99">
        <v>40.758900040642793</v>
      </c>
      <c r="G79" s="98">
        <v>0.12497992764802726</v>
      </c>
      <c r="H79" s="100">
        <v>36.830677973713193</v>
      </c>
      <c r="I79" s="101">
        <v>0.12459724485884824</v>
      </c>
      <c r="J79" s="97">
        <v>45.062262377356276</v>
      </c>
      <c r="K79" s="98">
        <v>8.9443605720905081E-2</v>
      </c>
      <c r="L79" s="100">
        <v>35.08444543170387</v>
      </c>
      <c r="M79" s="101">
        <v>0.10696105998995967</v>
      </c>
      <c r="N79" s="97">
        <v>-5.6744546089389232</v>
      </c>
      <c r="O79" s="102">
        <v>0.14966730470988329</v>
      </c>
      <c r="P79" s="99">
        <v>39.587972823833098</v>
      </c>
      <c r="Q79" s="98">
        <v>6.0689679081862714E-2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173</v>
      </c>
      <c r="C80" s="96">
        <v>96.407989501953125</v>
      </c>
      <c r="D80" s="97">
        <v>56.973107518016477</v>
      </c>
      <c r="E80" s="98">
        <v>3.5161657284421302</v>
      </c>
      <c r="F80" s="99">
        <v>63.47514925507506</v>
      </c>
      <c r="G80" s="98">
        <v>6.9379351653941814</v>
      </c>
      <c r="H80" s="100">
        <v>63.588403145345232</v>
      </c>
      <c r="I80" s="101">
        <v>8.9481222895205956</v>
      </c>
      <c r="J80" s="97">
        <v>62.779698526701019</v>
      </c>
      <c r="K80" s="98">
        <v>10.397521590304237</v>
      </c>
      <c r="L80" s="100">
        <v>38.54816783942637</v>
      </c>
      <c r="M80" s="101">
        <v>7.1105554740030721</v>
      </c>
      <c r="N80" s="97">
        <v>-24.92698141564869</v>
      </c>
      <c r="O80" s="102">
        <v>9.6796078478652134</v>
      </c>
      <c r="P80" s="99">
        <v>60.831217980930298</v>
      </c>
      <c r="Q80" s="98">
        <v>3.6339506328800186</v>
      </c>
      <c r="R80" s="100" t="s">
        <v>34</v>
      </c>
      <c r="S80" s="101" t="s">
        <v>34</v>
      </c>
      <c r="T80" s="97">
        <v>0</v>
      </c>
      <c r="U80" s="101" t="s">
        <v>35</v>
      </c>
      <c r="V80" s="97">
        <v>-60.831217980930298</v>
      </c>
      <c r="W80" s="104">
        <v>3.6339506328800186</v>
      </c>
      <c r="X80" s="124"/>
      <c r="Y80" s="124"/>
      <c r="Z80" s="124"/>
      <c r="AA80" s="124"/>
      <c r="AB80" s="124"/>
      <c r="AC80" s="124"/>
      <c r="AD80" s="124"/>
      <c r="AE80" s="124"/>
    </row>
    <row r="81" spans="1:31" s="105" customFormat="1" x14ac:dyDescent="0.25">
      <c r="A81" s="118" t="s">
        <v>262</v>
      </c>
      <c r="B81" s="95">
        <v>97</v>
      </c>
      <c r="C81" s="96">
        <v>90.181854248046875</v>
      </c>
      <c r="D81" s="97">
        <v>36.530012698872312</v>
      </c>
      <c r="E81" s="98">
        <v>7.273809745987031E-2</v>
      </c>
      <c r="F81" s="99">
        <v>32.471095798399233</v>
      </c>
      <c r="G81" s="98">
        <v>0.16896999743648652</v>
      </c>
      <c r="H81" s="100">
        <v>35.809703968956157</v>
      </c>
      <c r="I81" s="101">
        <v>0.83489691074013017</v>
      </c>
      <c r="J81" s="97">
        <v>45.670168904448481</v>
      </c>
      <c r="K81" s="98">
        <v>1.285818248060711</v>
      </c>
      <c r="L81" s="100">
        <v>32.736545637510737</v>
      </c>
      <c r="M81" s="101">
        <v>0.64711013038428244</v>
      </c>
      <c r="N81" s="97">
        <v>0.26544983911151121</v>
      </c>
      <c r="O81" s="102">
        <v>0.67505919086099242</v>
      </c>
      <c r="P81" s="99">
        <v>37.526624446673758</v>
      </c>
      <c r="Q81" s="98">
        <v>7.4014179444082867E-2</v>
      </c>
      <c r="R81" s="100" t="s">
        <v>34</v>
      </c>
      <c r="S81" s="101" t="s">
        <v>34</v>
      </c>
      <c r="T81" s="97">
        <v>0</v>
      </c>
      <c r="U81" s="101" t="s">
        <v>35</v>
      </c>
      <c r="V81" s="97">
        <v>-37.526624446673758</v>
      </c>
      <c r="W81" s="104">
        <v>7.4014179444082867E-2</v>
      </c>
      <c r="X81" s="124"/>
      <c r="Y81" s="124"/>
      <c r="Z81" s="124"/>
      <c r="AA81" s="124"/>
      <c r="AB81" s="124"/>
      <c r="AC81" s="124"/>
      <c r="AD81" s="124"/>
      <c r="AE81" s="124"/>
    </row>
    <row r="82" spans="1:31" s="105" customFormat="1" x14ac:dyDescent="0.25">
      <c r="A82" s="118" t="s">
        <v>263</v>
      </c>
      <c r="B82" s="95">
        <v>142</v>
      </c>
      <c r="C82" s="96">
        <v>70.141891479492188</v>
      </c>
      <c r="D82" s="97">
        <v>55.768495686486872</v>
      </c>
      <c r="E82" s="98">
        <v>2.6292297594209586</v>
      </c>
      <c r="F82" s="99">
        <v>71.007490483980177</v>
      </c>
      <c r="G82" s="98">
        <v>6.7137859842400545</v>
      </c>
      <c r="H82" s="100">
        <v>64.990956627383682</v>
      </c>
      <c r="I82" s="101">
        <v>4.9225183072997929</v>
      </c>
      <c r="J82" s="97">
        <v>56.397787476867222</v>
      </c>
      <c r="K82" s="98">
        <v>7.3192395030287489</v>
      </c>
      <c r="L82" s="100">
        <v>29.324839363702541</v>
      </c>
      <c r="M82" s="101">
        <v>5.5495092644103954</v>
      </c>
      <c r="N82" s="97">
        <v>-41.68265112027764</v>
      </c>
      <c r="O82" s="102">
        <v>8.54384487944459</v>
      </c>
      <c r="P82" s="99">
        <v>68.48660314753873</v>
      </c>
      <c r="Q82" s="98">
        <v>2.244390501492775</v>
      </c>
      <c r="R82" s="100" t="s">
        <v>34</v>
      </c>
      <c r="S82" s="101" t="s">
        <v>34</v>
      </c>
      <c r="T82" s="97">
        <v>6.1408916929488777</v>
      </c>
      <c r="U82" s="101">
        <v>3.4534161211166325</v>
      </c>
      <c r="V82" s="97">
        <v>-62.345711454589853</v>
      </c>
      <c r="W82" s="104">
        <v>4.2481754351093102</v>
      </c>
      <c r="X82" s="124"/>
      <c r="Y82" s="124"/>
      <c r="Z82" s="124"/>
      <c r="AA82" s="124"/>
      <c r="AB82" s="124"/>
      <c r="AC82" s="124"/>
      <c r="AD82" s="124"/>
      <c r="AE82" s="124"/>
    </row>
    <row r="83" spans="1:31" s="105" customFormat="1" x14ac:dyDescent="0.25">
      <c r="A83" s="118" t="s">
        <v>264</v>
      </c>
      <c r="B83" s="95">
        <v>323</v>
      </c>
      <c r="C83" s="96">
        <v>97.6805419921875</v>
      </c>
      <c r="D83" s="97">
        <v>38.43825555420181</v>
      </c>
      <c r="E83" s="98">
        <v>2.8011356349961947</v>
      </c>
      <c r="F83" s="99">
        <v>48.63657514931171</v>
      </c>
      <c r="G83" s="98">
        <v>6.0891593386021388</v>
      </c>
      <c r="H83" s="100">
        <v>48.682727844473924</v>
      </c>
      <c r="I83" s="101">
        <v>6.302371512289576</v>
      </c>
      <c r="J83" s="97">
        <v>40.144812132200862</v>
      </c>
      <c r="K83" s="98">
        <v>6.5518608985283695</v>
      </c>
      <c r="L83" s="100">
        <v>16.16651267567093</v>
      </c>
      <c r="M83" s="101">
        <v>4.9106147820159993</v>
      </c>
      <c r="N83" s="97">
        <v>-32.47006247364078</v>
      </c>
      <c r="O83" s="102">
        <v>7.7551235434583861</v>
      </c>
      <c r="P83" s="99">
        <v>47.960814923216638</v>
      </c>
      <c r="Q83" s="98">
        <v>3.3982574995322818</v>
      </c>
      <c r="R83" s="100" t="s">
        <v>34</v>
      </c>
      <c r="S83" s="101" t="s">
        <v>34</v>
      </c>
      <c r="T83" s="97">
        <v>8.4630771059519496</v>
      </c>
      <c r="U83" s="101">
        <v>3.1678185331403785</v>
      </c>
      <c r="V83" s="97">
        <v>-39.497737817264692</v>
      </c>
      <c r="W83" s="104">
        <v>4.5739728959089705</v>
      </c>
      <c r="X83" s="124"/>
      <c r="Y83" s="124"/>
      <c r="Z83" s="124"/>
      <c r="AA83" s="124"/>
      <c r="AB83" s="124"/>
      <c r="AC83" s="124"/>
      <c r="AD83" s="124"/>
      <c r="AE83" s="124"/>
    </row>
    <row r="84" spans="1:31" s="105" customFormat="1" x14ac:dyDescent="0.25">
      <c r="A84" s="118" t="s">
        <v>265</v>
      </c>
      <c r="B84" s="95">
        <v>186</v>
      </c>
      <c r="C84" s="96">
        <v>99.705375671386719</v>
      </c>
      <c r="D84" s="97">
        <v>52.883967512002222</v>
      </c>
      <c r="E84" s="98">
        <v>3.4690859241828296</v>
      </c>
      <c r="F84" s="99">
        <v>58.916243094003633</v>
      </c>
      <c r="G84" s="98">
        <v>8.5466063672509076</v>
      </c>
      <c r="H84" s="100">
        <v>71.059795857744788</v>
      </c>
      <c r="I84" s="101">
        <v>7.1694428458309982</v>
      </c>
      <c r="J84" s="97">
        <v>60.957731361409479</v>
      </c>
      <c r="K84" s="98">
        <v>9.7710281469202638</v>
      </c>
      <c r="L84" s="100">
        <v>20.96306497889708</v>
      </c>
      <c r="M84" s="101">
        <v>7.135584664234992</v>
      </c>
      <c r="N84" s="97">
        <v>-37.953178115106553</v>
      </c>
      <c r="O84" s="102">
        <v>11.873302877796306</v>
      </c>
      <c r="P84" s="99">
        <v>62.229627628505582</v>
      </c>
      <c r="Q84" s="98">
        <v>3.8096187423411569</v>
      </c>
      <c r="R84" s="100">
        <v>11.461770957120001</v>
      </c>
      <c r="S84" s="101">
        <v>6.5523523370931489</v>
      </c>
      <c r="T84" s="97">
        <v>5.6670054353742039</v>
      </c>
      <c r="U84" s="101">
        <v>5.7277284477923835</v>
      </c>
      <c r="V84" s="97">
        <v>-53.535328264738851</v>
      </c>
      <c r="W84" s="104">
        <v>5.6504010085142946</v>
      </c>
      <c r="X84" s="124"/>
      <c r="Y84" s="124"/>
      <c r="Z84" s="124"/>
      <c r="AA84" s="124"/>
      <c r="AB84" s="124"/>
      <c r="AC84" s="124"/>
      <c r="AD84" s="124"/>
      <c r="AE84" s="124"/>
    </row>
    <row r="85" spans="1:31" s="105" customFormat="1" x14ac:dyDescent="0.25">
      <c r="A85" s="118" t="s">
        <v>266</v>
      </c>
      <c r="B85" s="95">
        <v>137</v>
      </c>
      <c r="C85" s="96">
        <v>86.319252014160156</v>
      </c>
      <c r="D85" s="97">
        <v>11.41805480494307</v>
      </c>
      <c r="E85" s="98">
        <v>4.9783074377609447E-2</v>
      </c>
      <c r="F85" s="99">
        <v>16.133661554549231</v>
      </c>
      <c r="G85" s="98">
        <v>8.831244711035327E-2</v>
      </c>
      <c r="H85" s="100">
        <v>6.4180945372541442</v>
      </c>
      <c r="I85" s="101">
        <v>6.1670022387253776E-2</v>
      </c>
      <c r="J85" s="97">
        <v>13.91834365588416</v>
      </c>
      <c r="K85" s="98">
        <v>0.10191447987924913</v>
      </c>
      <c r="L85" s="100">
        <v>9.6128472761024906</v>
      </c>
      <c r="M85" s="101">
        <v>0.11812996102431013</v>
      </c>
      <c r="N85" s="97">
        <v>-6.5208142784467409</v>
      </c>
      <c r="O85" s="102">
        <v>0.14469245453587898</v>
      </c>
      <c r="P85" s="99">
        <v>10.152500301200041</v>
      </c>
      <c r="Q85" s="98">
        <v>4.5530153992514366E-2</v>
      </c>
      <c r="R85" s="100" t="s">
        <v>34</v>
      </c>
      <c r="S85" s="101" t="s">
        <v>34</v>
      </c>
      <c r="T85" s="97">
        <v>13.198081754669341</v>
      </c>
      <c r="U85" s="101">
        <v>8.5440711560324609E-2</v>
      </c>
      <c r="V85" s="97">
        <v>3.0455814534692998</v>
      </c>
      <c r="W85" s="104">
        <v>8.9752358414138519E-2</v>
      </c>
      <c r="X85" s="124"/>
      <c r="Y85" s="124"/>
      <c r="Z85" s="124"/>
      <c r="AA85" s="124"/>
      <c r="AB85" s="124"/>
      <c r="AC85" s="124"/>
      <c r="AD85" s="124"/>
      <c r="AE85" s="124"/>
    </row>
    <row r="86" spans="1:31" s="105" customFormat="1" x14ac:dyDescent="0.25">
      <c r="A86" s="118" t="s">
        <v>267</v>
      </c>
      <c r="B86" s="95">
        <v>141</v>
      </c>
      <c r="C86" s="96">
        <v>93.061271667480469</v>
      </c>
      <c r="D86" s="97">
        <v>29.23293767665109</v>
      </c>
      <c r="E86" s="98">
        <v>4.2312423314167127</v>
      </c>
      <c r="F86" s="99">
        <v>28.82823737043206</v>
      </c>
      <c r="G86" s="98">
        <v>8.0026504538738976</v>
      </c>
      <c r="H86" s="100">
        <v>23.772096521107649</v>
      </c>
      <c r="I86" s="101">
        <v>9.3769293428839617</v>
      </c>
      <c r="J86" s="97">
        <v>35.637300072033852</v>
      </c>
      <c r="K86" s="98">
        <v>10.006588945466197</v>
      </c>
      <c r="L86" s="100">
        <v>28.923506450845721</v>
      </c>
      <c r="M86" s="101">
        <v>9.4177373990903348</v>
      </c>
      <c r="N86" s="97">
        <v>9.5269080413661597E-2</v>
      </c>
      <c r="O86" s="102">
        <v>12.911608008801799</v>
      </c>
      <c r="P86" s="99">
        <v>29.66128619904627</v>
      </c>
      <c r="Q86" s="98">
        <v>4.3329665424568953</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40.945921751418282</v>
      </c>
      <c r="E87" s="98">
        <v>3.9769577780672494</v>
      </c>
      <c r="F87" s="99">
        <v>43.228795279471171</v>
      </c>
      <c r="G87" s="98">
        <v>7.8115408390034604</v>
      </c>
      <c r="H87" s="100">
        <v>39.155686938558318</v>
      </c>
      <c r="I87" s="101">
        <v>6.5730045626835851</v>
      </c>
      <c r="J87" s="97">
        <v>46.844538640551413</v>
      </c>
      <c r="K87" s="98">
        <v>8.1263135765317394</v>
      </c>
      <c r="L87" s="100">
        <v>34.223817630796319</v>
      </c>
      <c r="M87" s="101">
        <v>7.2732317960226078</v>
      </c>
      <c r="N87" s="97">
        <v>-9.0049776486748527</v>
      </c>
      <c r="O87" s="102">
        <v>10.989873039301056</v>
      </c>
      <c r="P87" s="99">
        <v>40.945921751418282</v>
      </c>
      <c r="Q87" s="98">
        <v>3.9769577780672494</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169</v>
      </c>
      <c r="C88" s="96">
        <v>80.722206115722656</v>
      </c>
      <c r="D88" s="97">
        <v>50.793412892169663</v>
      </c>
      <c r="E88" s="98">
        <v>3.5802237490328452</v>
      </c>
      <c r="F88" s="99">
        <v>50.380859025334523</v>
      </c>
      <c r="G88" s="98">
        <v>10.556090708460413</v>
      </c>
      <c r="H88" s="100">
        <v>60.974279146935558</v>
      </c>
      <c r="I88" s="101">
        <v>8.4845856511404794</v>
      </c>
      <c r="J88" s="97">
        <v>54.392696521189272</v>
      </c>
      <c r="K88" s="98">
        <v>11.584854519733016</v>
      </c>
      <c r="L88" s="100">
        <v>37.455568238734422</v>
      </c>
      <c r="M88" s="101">
        <v>8.8236807030864721</v>
      </c>
      <c r="N88" s="97">
        <v>-12.925290786600099</v>
      </c>
      <c r="O88" s="102">
        <v>13.560469784965573</v>
      </c>
      <c r="P88" s="99">
        <v>54.989697059181943</v>
      </c>
      <c r="Q88" s="98">
        <v>3.8933253621760455</v>
      </c>
      <c r="R88" s="100" t="s">
        <v>34</v>
      </c>
      <c r="S88" s="101" t="s">
        <v>34</v>
      </c>
      <c r="T88" s="97">
        <v>21.079478550928879</v>
      </c>
      <c r="U88" s="101">
        <v>10.885581412706944</v>
      </c>
      <c r="V88" s="97">
        <v>-33.910218508253067</v>
      </c>
      <c r="W88" s="104">
        <v>11.635658998931165</v>
      </c>
      <c r="X88" s="124"/>
      <c r="Y88" s="124"/>
      <c r="Z88" s="124"/>
      <c r="AA88" s="124"/>
      <c r="AB88" s="124"/>
      <c r="AC88" s="124"/>
      <c r="AD88" s="124"/>
      <c r="AE88" s="124"/>
    </row>
    <row r="89" spans="1:31" s="105" customFormat="1" x14ac:dyDescent="0.25">
      <c r="A89" s="118" t="s">
        <v>270</v>
      </c>
      <c r="B89" s="95">
        <v>177</v>
      </c>
      <c r="C89" s="96">
        <v>98.513496398925781</v>
      </c>
      <c r="D89" s="97">
        <v>46.921080829800111</v>
      </c>
      <c r="E89" s="98">
        <v>3.5197143440313114</v>
      </c>
      <c r="F89" s="99">
        <v>54.212958339564892</v>
      </c>
      <c r="G89" s="98">
        <v>8.0415569586038966</v>
      </c>
      <c r="H89" s="100">
        <v>37.399810038626917</v>
      </c>
      <c r="I89" s="101">
        <v>8.5458540602124629</v>
      </c>
      <c r="J89" s="97">
        <v>46.965133123326893</v>
      </c>
      <c r="K89" s="98">
        <v>6.074473372374543</v>
      </c>
      <c r="L89" s="100">
        <v>48.99455411098733</v>
      </c>
      <c r="M89" s="101">
        <v>6.9927544967691508</v>
      </c>
      <c r="N89" s="97">
        <v>-5.2184042285775547</v>
      </c>
      <c r="O89" s="102">
        <v>10.540888487833515</v>
      </c>
      <c r="P89" s="99">
        <v>48.488381051493207</v>
      </c>
      <c r="Q89" s="98">
        <v>3.5288658416717222</v>
      </c>
      <c r="R89" s="100" t="s">
        <v>34</v>
      </c>
      <c r="S89" s="101" t="s">
        <v>34</v>
      </c>
      <c r="T89" s="97">
        <v>0</v>
      </c>
      <c r="U89" s="101" t="s">
        <v>35</v>
      </c>
      <c r="V89" s="97">
        <v>-48.488381051493207</v>
      </c>
      <c r="W89" s="104">
        <v>3.5288658416717222</v>
      </c>
      <c r="X89" s="124"/>
      <c r="Y89" s="124"/>
      <c r="Z89" s="124"/>
      <c r="AA89" s="124"/>
      <c r="AB89" s="124"/>
      <c r="AC89" s="124"/>
      <c r="AD89" s="124"/>
      <c r="AE89" s="124"/>
    </row>
    <row r="90" spans="1:31" s="105" customFormat="1" x14ac:dyDescent="0.25">
      <c r="A90" s="118" t="s">
        <v>271</v>
      </c>
      <c r="B90" s="95">
        <v>166</v>
      </c>
      <c r="C90" s="96">
        <v>100</v>
      </c>
      <c r="D90" s="97">
        <v>6.5402290947099084</v>
      </c>
      <c r="E90" s="98">
        <v>0.16392476100367898</v>
      </c>
      <c r="F90" s="99">
        <v>7.5124407806963216</v>
      </c>
      <c r="G90" s="98">
        <v>0.1540971134896307</v>
      </c>
      <c r="H90" s="100">
        <v>10.349742093496371</v>
      </c>
      <c r="I90" s="101">
        <v>2.0372446771393404</v>
      </c>
      <c r="J90" s="97">
        <v>5.433640931439391</v>
      </c>
      <c r="K90" s="98">
        <v>2.5387319088344555</v>
      </c>
      <c r="L90" s="100">
        <v>2.8476633120726191</v>
      </c>
      <c r="M90" s="101">
        <v>4.9103734953604823E-2</v>
      </c>
      <c r="N90" s="97">
        <v>-4.6647774686237042</v>
      </c>
      <c r="O90" s="102">
        <v>0.14579009573535273</v>
      </c>
      <c r="P90" s="99">
        <v>6.2691101485586094</v>
      </c>
      <c r="Q90" s="98">
        <v>5.0245488057113298E-2</v>
      </c>
      <c r="R90" s="100" t="s">
        <v>34</v>
      </c>
      <c r="S90" s="101" t="s">
        <v>34</v>
      </c>
      <c r="T90" s="97">
        <v>2.173557964410131</v>
      </c>
      <c r="U90" s="101">
        <v>1.7151911975153193</v>
      </c>
      <c r="V90" s="97">
        <v>-4.0955521841484783</v>
      </c>
      <c r="W90" s="104">
        <v>1.7151717544493006</v>
      </c>
      <c r="X90" s="124"/>
      <c r="Y90" s="124"/>
      <c r="Z90" s="124"/>
      <c r="AA90" s="124"/>
      <c r="AB90" s="124"/>
      <c r="AC90" s="124"/>
      <c r="AD90" s="124"/>
      <c r="AE90" s="124"/>
    </row>
    <row r="91" spans="1:31" s="105" customFormat="1" x14ac:dyDescent="0.25">
      <c r="A91" s="118" t="s">
        <v>272</v>
      </c>
      <c r="B91" s="95">
        <v>185</v>
      </c>
      <c r="C91" s="96">
        <v>96.139122009277344</v>
      </c>
      <c r="D91" s="97">
        <v>32.160316626858553</v>
      </c>
      <c r="E91" s="98">
        <v>3.6859811692363871</v>
      </c>
      <c r="F91" s="99">
        <v>29.504207309718542</v>
      </c>
      <c r="G91" s="98">
        <v>7.0552389242113502</v>
      </c>
      <c r="H91" s="100">
        <v>36.783265524870757</v>
      </c>
      <c r="I91" s="101">
        <v>7.6587035204480527</v>
      </c>
      <c r="J91" s="97">
        <v>27.70223744129158</v>
      </c>
      <c r="K91" s="98">
        <v>8.721079029728557</v>
      </c>
      <c r="L91" s="100">
        <v>34.61933736552492</v>
      </c>
      <c r="M91" s="101">
        <v>7.4049004575736319</v>
      </c>
      <c r="N91" s="97">
        <v>5.1151300558063824</v>
      </c>
      <c r="O91" s="102">
        <v>10.649295152428413</v>
      </c>
      <c r="P91" s="99">
        <v>36.404920336766622</v>
      </c>
      <c r="Q91" s="98">
        <v>5.0178858322746267</v>
      </c>
      <c r="R91" s="100">
        <v>19.751811253038628</v>
      </c>
      <c r="S91" s="101">
        <v>8.7151068736369339</v>
      </c>
      <c r="T91" s="97">
        <v>27.32952310874488</v>
      </c>
      <c r="U91" s="101">
        <v>5.4966126163565887</v>
      </c>
      <c r="V91" s="97">
        <v>-11.780846753651492</v>
      </c>
      <c r="W91" s="104">
        <v>6.3597893029440113</v>
      </c>
      <c r="X91" s="124"/>
      <c r="Y91" s="124"/>
      <c r="Z91" s="124"/>
      <c r="AA91" s="124"/>
      <c r="AB91" s="124"/>
      <c r="AC91" s="124"/>
      <c r="AD91" s="124"/>
      <c r="AE91" s="124"/>
    </row>
    <row r="92" spans="1:31" s="105" customFormat="1" x14ac:dyDescent="0.25">
      <c r="A92" s="118" t="s">
        <v>273</v>
      </c>
      <c r="B92" s="95">
        <v>204</v>
      </c>
      <c r="C92" s="96">
        <v>92.950508117675781</v>
      </c>
      <c r="D92" s="97">
        <v>38.610581757722528</v>
      </c>
      <c r="E92" s="98">
        <v>3.4658049158245197</v>
      </c>
      <c r="F92" s="99">
        <v>57.93315017855236</v>
      </c>
      <c r="G92" s="98">
        <v>8.5159308013465012</v>
      </c>
      <c r="H92" s="100">
        <v>49.513491077944202</v>
      </c>
      <c r="I92" s="101">
        <v>9.1956924761292012</v>
      </c>
      <c r="J92" s="97">
        <v>30.501283609046919</v>
      </c>
      <c r="K92" s="98">
        <v>8.86371666966315</v>
      </c>
      <c r="L92" s="100">
        <v>16.347457774351849</v>
      </c>
      <c r="M92" s="101">
        <v>8.5705487519065375</v>
      </c>
      <c r="N92" s="97">
        <v>-41.585692404200508</v>
      </c>
      <c r="O92" s="102">
        <v>12.653685208000518</v>
      </c>
      <c r="P92" s="99">
        <v>42.398985523576151</v>
      </c>
      <c r="Q92" s="98">
        <v>3.5247423961819755</v>
      </c>
      <c r="R92" s="100">
        <v>26.02770700151698</v>
      </c>
      <c r="S92" s="101">
        <v>8.9408886862808057</v>
      </c>
      <c r="T92" s="97">
        <v>12.33452254241042</v>
      </c>
      <c r="U92" s="101">
        <v>10.874377259969091</v>
      </c>
      <c r="V92" s="97">
        <v>-22.643151301681542</v>
      </c>
      <c r="W92" s="104">
        <v>7.2712209149119991</v>
      </c>
      <c r="X92" s="124"/>
      <c r="Y92" s="124"/>
      <c r="Z92" s="124"/>
      <c r="AA92" s="124"/>
      <c r="AB92" s="124"/>
      <c r="AC92" s="124"/>
      <c r="AD92" s="124"/>
      <c r="AE92" s="124"/>
    </row>
    <row r="93" spans="1:31" s="105" customFormat="1" x14ac:dyDescent="0.25">
      <c r="A93" s="118" t="s">
        <v>274</v>
      </c>
      <c r="B93" s="95">
        <v>249</v>
      </c>
      <c r="C93" s="96">
        <v>99.859352111816406</v>
      </c>
      <c r="D93" s="97">
        <v>37.860896219275183</v>
      </c>
      <c r="E93" s="98">
        <v>3.4548176590281949</v>
      </c>
      <c r="F93" s="99">
        <v>32.707593124172028</v>
      </c>
      <c r="G93" s="98">
        <v>7.0777446607511685</v>
      </c>
      <c r="H93" s="100">
        <v>37.339363061110923</v>
      </c>
      <c r="I93" s="101">
        <v>8.438710982652367</v>
      </c>
      <c r="J93" s="97">
        <v>38.195927521448617</v>
      </c>
      <c r="K93" s="98">
        <v>7.8365006140172957</v>
      </c>
      <c r="L93" s="100">
        <v>43.358069808770423</v>
      </c>
      <c r="M93" s="101">
        <v>7.9048230403137998</v>
      </c>
      <c r="N93" s="97">
        <v>10.6504766845984</v>
      </c>
      <c r="O93" s="102">
        <v>10.980439329793525</v>
      </c>
      <c r="P93" s="99">
        <v>37.78595059107586</v>
      </c>
      <c r="Q93" s="98">
        <v>3.46987260701622</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594</v>
      </c>
      <c r="C94" s="96">
        <v>91.59527587890625</v>
      </c>
      <c r="D94" s="97">
        <v>25.020722523039641</v>
      </c>
      <c r="E94" s="98">
        <v>1.1233338008237765</v>
      </c>
      <c r="F94" s="99">
        <v>33.467266769752442</v>
      </c>
      <c r="G94" s="98">
        <v>1.1190710591157429</v>
      </c>
      <c r="H94" s="100">
        <v>38.958947202224152</v>
      </c>
      <c r="I94" s="101">
        <v>2.0031986020139936</v>
      </c>
      <c r="J94" s="97">
        <v>18.094345693505481</v>
      </c>
      <c r="K94" s="98">
        <v>3.2045585033406585</v>
      </c>
      <c r="L94" s="100">
        <v>9.5794872801539306</v>
      </c>
      <c r="M94" s="101">
        <v>2.7150489138301093</v>
      </c>
      <c r="N94" s="97">
        <v>-23.887779489598511</v>
      </c>
      <c r="O94" s="102">
        <v>2.6108417439697567</v>
      </c>
      <c r="P94" s="99">
        <v>34.269067012115052</v>
      </c>
      <c r="Q94" s="98">
        <v>0.42858539854053618</v>
      </c>
      <c r="R94" s="100" t="s">
        <v>34</v>
      </c>
      <c r="S94" s="101" t="s">
        <v>34</v>
      </c>
      <c r="T94" s="97">
        <v>19.59650182618411</v>
      </c>
      <c r="U94" s="101">
        <v>1.7146001384474441</v>
      </c>
      <c r="V94" s="97">
        <v>-14.672565185930942</v>
      </c>
      <c r="W94" s="104">
        <v>1.7614184155436892</v>
      </c>
      <c r="X94" s="124"/>
      <c r="Y94" s="124"/>
      <c r="Z94" s="124"/>
      <c r="AA94" s="124"/>
      <c r="AB94" s="124"/>
      <c r="AC94" s="124"/>
      <c r="AD94" s="124"/>
      <c r="AE94" s="124"/>
    </row>
    <row r="95" spans="1:31" s="105" customFormat="1" x14ac:dyDescent="0.25">
      <c r="A95" s="118" t="s">
        <v>276</v>
      </c>
      <c r="B95" s="95">
        <v>189</v>
      </c>
      <c r="C95" s="96">
        <v>100</v>
      </c>
      <c r="D95" s="97">
        <v>44.299255610857223</v>
      </c>
      <c r="E95" s="98">
        <v>3.6636638589163062</v>
      </c>
      <c r="F95" s="99">
        <v>55.314993870158332</v>
      </c>
      <c r="G95" s="98">
        <v>8.0361162972506239</v>
      </c>
      <c r="H95" s="100">
        <v>53.871256810659013</v>
      </c>
      <c r="I95" s="101">
        <v>8.3963782374852034</v>
      </c>
      <c r="J95" s="97">
        <v>43.124317775819392</v>
      </c>
      <c r="K95" s="98">
        <v>8.9590346442467865</v>
      </c>
      <c r="L95" s="100">
        <v>24.512893905789792</v>
      </c>
      <c r="M95" s="101">
        <v>6.9149681584207237</v>
      </c>
      <c r="N95" s="97">
        <v>-30.802099964368541</v>
      </c>
      <c r="O95" s="102">
        <v>9.9650286505683248</v>
      </c>
      <c r="P95" s="99">
        <v>50.919962525594833</v>
      </c>
      <c r="Q95" s="98">
        <v>4.2826219160389929</v>
      </c>
      <c r="R95" s="100" t="s">
        <v>34</v>
      </c>
      <c r="S95" s="101" t="s">
        <v>34</v>
      </c>
      <c r="T95" s="97">
        <v>9.5844098682270307</v>
      </c>
      <c r="U95" s="101">
        <v>3.5918642877143836</v>
      </c>
      <c r="V95" s="97">
        <v>-41.335552657367799</v>
      </c>
      <c r="W95" s="104">
        <v>5.5667024391230422</v>
      </c>
      <c r="X95" s="124"/>
      <c r="Y95" s="124"/>
      <c r="Z95" s="124"/>
      <c r="AA95" s="124"/>
      <c r="AB95" s="124"/>
      <c r="AC95" s="124"/>
      <c r="AD95" s="124"/>
      <c r="AE95" s="124"/>
    </row>
    <row r="96" spans="1:31" s="105" customFormat="1" ht="13.8" thickBot="1" x14ac:dyDescent="0.3">
      <c r="A96" s="125" t="s">
        <v>277</v>
      </c>
      <c r="B96" s="108">
        <v>122</v>
      </c>
      <c r="C96" s="109">
        <v>94.736846923828125</v>
      </c>
      <c r="D96" s="110">
        <v>51.418962613608649</v>
      </c>
      <c r="E96" s="111">
        <v>4.5319827342617982</v>
      </c>
      <c r="F96" s="112">
        <v>69.908002019230395</v>
      </c>
      <c r="G96" s="111">
        <v>11.667121957498388</v>
      </c>
      <c r="H96" s="113">
        <v>51.821119049519247</v>
      </c>
      <c r="I96" s="114">
        <v>11.798501717211328</v>
      </c>
      <c r="J96" s="110">
        <v>41.969609483925652</v>
      </c>
      <c r="K96" s="111">
        <v>11.542520537133795</v>
      </c>
      <c r="L96" s="113">
        <v>42.48630658503405</v>
      </c>
      <c r="M96" s="114">
        <v>10.707694411591316</v>
      </c>
      <c r="N96" s="110">
        <v>-27.421695434196341</v>
      </c>
      <c r="O96" s="115">
        <v>13.817022403801172</v>
      </c>
      <c r="P96" s="112">
        <v>51.84518104937392</v>
      </c>
      <c r="Q96" s="111">
        <v>4.6361456829234511</v>
      </c>
      <c r="R96" s="113" t="s">
        <v>34</v>
      </c>
      <c r="S96" s="114" t="s">
        <v>34</v>
      </c>
      <c r="T96" s="110">
        <v>42.835025837902137</v>
      </c>
      <c r="U96" s="114">
        <v>21.687682603407453</v>
      </c>
      <c r="V96" s="110">
        <v>-9.0101552114717833</v>
      </c>
      <c r="W96" s="117">
        <v>22.170898912881189</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6:N96 V16:V96">
    <cfRule type="expression" dxfId="8" priority="2">
      <formula>ABS(N16/O16)&gt;1.96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162</v>
      </c>
      <c r="B6" s="51"/>
    </row>
    <row r="7" spans="1:31" x14ac:dyDescent="0.25">
      <c r="A7" s="51" t="s">
        <v>163</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164</v>
      </c>
      <c r="G11" s="202"/>
      <c r="H11" s="202"/>
      <c r="I11" s="202"/>
      <c r="J11" s="202"/>
      <c r="K11" s="202"/>
      <c r="L11" s="202"/>
      <c r="M11" s="202"/>
      <c r="N11" s="202"/>
      <c r="O11" s="202"/>
      <c r="P11" s="201" t="s">
        <v>165</v>
      </c>
      <c r="Q11" s="202"/>
      <c r="R11" s="202"/>
      <c r="S11" s="202"/>
      <c r="T11" s="202"/>
      <c r="U11" s="202"/>
      <c r="V11" s="202"/>
      <c r="W11" s="203"/>
    </row>
    <row r="12" spans="1:31" ht="70.5" customHeight="1" x14ac:dyDescent="0.25">
      <c r="A12" s="31"/>
      <c r="B12" s="215" t="s">
        <v>10</v>
      </c>
      <c r="C12" s="217" t="s">
        <v>11</v>
      </c>
      <c r="D12" s="218" t="s">
        <v>166</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35.25" customHeight="1"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692</v>
      </c>
      <c r="C16" s="96">
        <v>91.230224609375</v>
      </c>
      <c r="D16" s="97">
        <v>14.36510731961269</v>
      </c>
      <c r="E16" s="98">
        <v>1.3504772968249612</v>
      </c>
      <c r="F16" s="99">
        <v>29.96509640414175</v>
      </c>
      <c r="G16" s="98">
        <v>4.1152250819437191</v>
      </c>
      <c r="H16" s="100">
        <v>13.6736217278187</v>
      </c>
      <c r="I16" s="101">
        <v>3.117288566843726</v>
      </c>
      <c r="J16" s="97">
        <v>7.5874730952712568</v>
      </c>
      <c r="K16" s="98">
        <v>3.7030788431566859</v>
      </c>
      <c r="L16" s="100">
        <v>6.74888626134425</v>
      </c>
      <c r="M16" s="101">
        <v>4.2589729401471592</v>
      </c>
      <c r="N16" s="97">
        <v>-23.2162101427975</v>
      </c>
      <c r="O16" s="102">
        <v>6.9032727240658476</v>
      </c>
      <c r="P16" s="99">
        <v>19.625110632270431</v>
      </c>
      <c r="Q16" s="98">
        <v>1.7275262409580667</v>
      </c>
      <c r="R16" s="100">
        <v>12.918574845659149</v>
      </c>
      <c r="S16" s="101">
        <v>3.8297011583005016</v>
      </c>
      <c r="T16" s="97">
        <v>0.77227327939959411</v>
      </c>
      <c r="U16" s="101">
        <v>0.44089702487228677</v>
      </c>
      <c r="V16" s="97">
        <v>-11.39016648627428</v>
      </c>
      <c r="W16" s="104">
        <v>2.9906041134816572</v>
      </c>
      <c r="X16" s="124"/>
      <c r="Y16" s="124"/>
      <c r="Z16" s="124"/>
      <c r="AA16" s="124"/>
      <c r="AB16" s="124"/>
      <c r="AC16" s="124"/>
      <c r="AD16" s="124"/>
      <c r="AE16" s="124"/>
    </row>
    <row r="17" spans="1:31" s="105" customFormat="1" x14ac:dyDescent="0.25">
      <c r="A17" s="118" t="s">
        <v>203</v>
      </c>
      <c r="B17" s="95">
        <v>291</v>
      </c>
      <c r="C17" s="96" t="s">
        <v>34</v>
      </c>
      <c r="D17" s="97">
        <v>9.2836284391792905</v>
      </c>
      <c r="E17" s="98">
        <v>2.3273607669926286</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248</v>
      </c>
      <c r="C18" s="96">
        <v>89.382644653320313</v>
      </c>
      <c r="D18" s="97">
        <v>25.40534074597938</v>
      </c>
      <c r="E18" s="98">
        <v>2.9848166988918314</v>
      </c>
      <c r="F18" s="99">
        <v>46.511941674961641</v>
      </c>
      <c r="G18" s="98">
        <v>7.313426803896701</v>
      </c>
      <c r="H18" s="100">
        <v>23.1554746589354</v>
      </c>
      <c r="I18" s="101">
        <v>5.950179557988073</v>
      </c>
      <c r="J18" s="97">
        <v>20.395805895552488</v>
      </c>
      <c r="K18" s="98">
        <v>6.3103575176737303</v>
      </c>
      <c r="L18" s="100">
        <v>11.30391047796471</v>
      </c>
      <c r="M18" s="101">
        <v>4.4252548205865043</v>
      </c>
      <c r="N18" s="97">
        <v>-35.208031196996927</v>
      </c>
      <c r="O18" s="102">
        <v>8.6690453623791814</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766</v>
      </c>
      <c r="C19" s="96">
        <v>96.1392822265625</v>
      </c>
      <c r="D19" s="97">
        <v>7.08391573685822</v>
      </c>
      <c r="E19" s="98">
        <v>1.2441468163725846</v>
      </c>
      <c r="F19" s="99">
        <v>14.169281375615419</v>
      </c>
      <c r="G19" s="98">
        <v>3.3269174473667715</v>
      </c>
      <c r="H19" s="100">
        <v>4.9735067926423087</v>
      </c>
      <c r="I19" s="101">
        <v>2.2478498414593657</v>
      </c>
      <c r="J19" s="97">
        <v>4.3263844215835663</v>
      </c>
      <c r="K19" s="98">
        <v>1.8852274522509056</v>
      </c>
      <c r="L19" s="100">
        <v>5.1112293416919643</v>
      </c>
      <c r="M19" s="101">
        <v>2.8391537872855293</v>
      </c>
      <c r="N19" s="97">
        <v>-9.0580520339234596</v>
      </c>
      <c r="O19" s="102">
        <v>4.3294624662685699</v>
      </c>
      <c r="P19" s="99">
        <v>7.7347853130438713</v>
      </c>
      <c r="Q19" s="98">
        <v>1.3576757976215479</v>
      </c>
      <c r="R19" s="100">
        <v>0</v>
      </c>
      <c r="S19" s="101" t="s">
        <v>35</v>
      </c>
      <c r="T19" s="97">
        <v>0</v>
      </c>
      <c r="U19" s="101" t="s">
        <v>35</v>
      </c>
      <c r="V19" s="97">
        <v>-7.7347853130438713</v>
      </c>
      <c r="W19" s="104">
        <v>1.3576757976215479</v>
      </c>
      <c r="X19" s="124"/>
      <c r="Y19" s="124"/>
      <c r="Z19" s="124"/>
      <c r="AA19" s="124"/>
      <c r="AB19" s="124"/>
      <c r="AC19" s="124"/>
      <c r="AD19" s="124"/>
      <c r="AE19" s="124"/>
    </row>
    <row r="20" spans="1:31" s="105" customFormat="1" x14ac:dyDescent="0.25">
      <c r="A20" s="118" t="s">
        <v>206</v>
      </c>
      <c r="B20" s="95">
        <v>205</v>
      </c>
      <c r="C20" s="96">
        <v>86.118461608886719</v>
      </c>
      <c r="D20" s="97">
        <v>17.772910386792748</v>
      </c>
      <c r="E20" s="98">
        <v>2.7834970032438693</v>
      </c>
      <c r="F20" s="99">
        <v>22.050266169701541</v>
      </c>
      <c r="G20" s="98">
        <v>7.6029552138856813</v>
      </c>
      <c r="H20" s="100">
        <v>22.51823241391422</v>
      </c>
      <c r="I20" s="101">
        <v>6.5506444956057512</v>
      </c>
      <c r="J20" s="97">
        <v>11.182464228877491</v>
      </c>
      <c r="K20" s="98">
        <v>5.8048336683312085</v>
      </c>
      <c r="L20" s="100">
        <v>15.140002694310359</v>
      </c>
      <c r="M20" s="101">
        <v>5.5302971279484332</v>
      </c>
      <c r="N20" s="97">
        <v>-6.9102634753911776</v>
      </c>
      <c r="O20" s="102">
        <v>9.6957581014670158</v>
      </c>
      <c r="P20" s="99">
        <v>22.96199270002294</v>
      </c>
      <c r="Q20" s="98">
        <v>5.7255503073071248</v>
      </c>
      <c r="R20" s="100">
        <v>14.794977204938091</v>
      </c>
      <c r="S20" s="101">
        <v>3.9260447844976665</v>
      </c>
      <c r="T20" s="97">
        <v>17.932189199624069</v>
      </c>
      <c r="U20" s="101">
        <v>6.7704644533427363</v>
      </c>
      <c r="V20" s="97">
        <v>-7.4704173081445191</v>
      </c>
      <c r="W20" s="104">
        <v>6.6180481105803821</v>
      </c>
      <c r="X20" s="124"/>
      <c r="Y20" s="124"/>
      <c r="Z20" s="124"/>
      <c r="AA20" s="124"/>
      <c r="AB20" s="124"/>
      <c r="AC20" s="124"/>
      <c r="AD20" s="124"/>
      <c r="AE20" s="124"/>
    </row>
    <row r="21" spans="1:31" s="105" customFormat="1" x14ac:dyDescent="0.25">
      <c r="A21" s="118" t="s">
        <v>207</v>
      </c>
      <c r="B21" s="95">
        <v>245</v>
      </c>
      <c r="C21" s="96">
        <v>98.989761352539063</v>
      </c>
      <c r="D21" s="97">
        <v>16.80568008190744</v>
      </c>
      <c r="E21" s="98">
        <v>2.6472375247233786</v>
      </c>
      <c r="F21" s="99">
        <v>21.378163791476069</v>
      </c>
      <c r="G21" s="98">
        <v>6.3174036674067739</v>
      </c>
      <c r="H21" s="100">
        <v>18.433102922846761</v>
      </c>
      <c r="I21" s="101">
        <v>6.1458498930072398</v>
      </c>
      <c r="J21" s="97">
        <v>13.041269183929989</v>
      </c>
      <c r="K21" s="98">
        <v>6.3594149478657913</v>
      </c>
      <c r="L21" s="100">
        <v>13.509482171464679</v>
      </c>
      <c r="M21" s="101">
        <v>6.0910783166755387</v>
      </c>
      <c r="N21" s="97">
        <v>-7.8686816200113867</v>
      </c>
      <c r="O21" s="102">
        <v>7.688561540089335</v>
      </c>
      <c r="P21" s="99">
        <v>19.577094978949631</v>
      </c>
      <c r="Q21" s="98">
        <v>3.0263379970710989</v>
      </c>
      <c r="R21" s="100" t="s">
        <v>34</v>
      </c>
      <c r="S21" s="101" t="s">
        <v>34</v>
      </c>
      <c r="T21" s="97">
        <v>5.1056116526660134</v>
      </c>
      <c r="U21" s="101">
        <v>3.2940160131058165</v>
      </c>
      <c r="V21" s="97">
        <v>-14.471483326283618</v>
      </c>
      <c r="W21" s="104">
        <v>4.0483833581116935</v>
      </c>
      <c r="X21" s="124"/>
      <c r="Y21" s="124"/>
      <c r="Z21" s="124"/>
      <c r="AA21" s="124"/>
      <c r="AB21" s="124"/>
      <c r="AC21" s="124"/>
      <c r="AD21" s="124"/>
      <c r="AE21" s="124"/>
    </row>
    <row r="22" spans="1:31" s="105" customFormat="1" x14ac:dyDescent="0.25">
      <c r="A22" s="118" t="s">
        <v>208</v>
      </c>
      <c r="B22" s="95">
        <v>324</v>
      </c>
      <c r="C22" s="96">
        <v>97.015785217285156</v>
      </c>
      <c r="D22" s="97">
        <v>19.79166737295424</v>
      </c>
      <c r="E22" s="98">
        <v>2.6514036851362084</v>
      </c>
      <c r="F22" s="99">
        <v>27.982066179983899</v>
      </c>
      <c r="G22" s="98">
        <v>5.0917752635625204</v>
      </c>
      <c r="H22" s="100">
        <v>14.452066579101951</v>
      </c>
      <c r="I22" s="101">
        <v>4.9654655498149278</v>
      </c>
      <c r="J22" s="97">
        <v>21.861120989974811</v>
      </c>
      <c r="K22" s="98">
        <v>5.5233541343932675</v>
      </c>
      <c r="L22" s="100">
        <v>14.98828945142445</v>
      </c>
      <c r="M22" s="101">
        <v>4.8657877902970119</v>
      </c>
      <c r="N22" s="97">
        <v>-12.99377672855945</v>
      </c>
      <c r="O22" s="102">
        <v>7.0880861316808907</v>
      </c>
      <c r="P22" s="99">
        <v>19.96836404836267</v>
      </c>
      <c r="Q22" s="98">
        <v>2.6809258171386046</v>
      </c>
      <c r="R22" s="100">
        <v>6.9100204601395214</v>
      </c>
      <c r="S22" s="101">
        <v>6.30670098704634</v>
      </c>
      <c r="T22" s="97" t="s">
        <v>34</v>
      </c>
      <c r="U22" s="101" t="s">
        <v>34</v>
      </c>
      <c r="V22" s="97">
        <v>-13.058343588223149</v>
      </c>
      <c r="W22" s="104">
        <v>6.7784715665291104</v>
      </c>
      <c r="X22" s="124"/>
      <c r="Y22" s="124"/>
      <c r="Z22" s="124"/>
      <c r="AA22" s="124"/>
      <c r="AB22" s="124"/>
      <c r="AC22" s="124"/>
      <c r="AD22" s="124"/>
      <c r="AE22" s="124"/>
    </row>
    <row r="23" spans="1:31" s="105" customFormat="1" x14ac:dyDescent="0.25">
      <c r="A23" s="118" t="s">
        <v>209</v>
      </c>
      <c r="B23" s="95">
        <v>266</v>
      </c>
      <c r="C23" s="96">
        <v>80.137527465820313</v>
      </c>
      <c r="D23" s="97">
        <v>2.5084059819012881</v>
      </c>
      <c r="E23" s="98">
        <v>0.95702734540146672</v>
      </c>
      <c r="F23" s="99">
        <v>6.1538926198078228</v>
      </c>
      <c r="G23" s="98">
        <v>2.8657071052073904</v>
      </c>
      <c r="H23" s="100">
        <v>1.478153754886091</v>
      </c>
      <c r="I23" s="101">
        <v>1.634681318087934</v>
      </c>
      <c r="J23" s="97">
        <v>2.3791722843406631</v>
      </c>
      <c r="K23" s="98">
        <v>1.9944629849578575</v>
      </c>
      <c r="L23" s="100">
        <v>0</v>
      </c>
      <c r="M23" s="101" t="s">
        <v>35</v>
      </c>
      <c r="N23" s="97">
        <v>-6.1538926198078228</v>
      </c>
      <c r="O23" s="102">
        <v>2.8657071052073904</v>
      </c>
      <c r="P23" s="99">
        <v>3.4927822561403552</v>
      </c>
      <c r="Q23" s="98">
        <v>1.3347139793041281</v>
      </c>
      <c r="R23" s="100">
        <v>0</v>
      </c>
      <c r="S23" s="101" t="s">
        <v>35</v>
      </c>
      <c r="T23" s="97">
        <v>0</v>
      </c>
      <c r="U23" s="101" t="s">
        <v>35</v>
      </c>
      <c r="V23" s="97">
        <v>-3.4927822561403552</v>
      </c>
      <c r="W23" s="104">
        <v>1.3347139793041281</v>
      </c>
      <c r="X23" s="124"/>
      <c r="Y23" s="124"/>
      <c r="Z23" s="124"/>
      <c r="AA23" s="124"/>
      <c r="AB23" s="124"/>
      <c r="AC23" s="124"/>
      <c r="AD23" s="124"/>
      <c r="AE23" s="124"/>
    </row>
    <row r="24" spans="1:31" s="105" customFormat="1" x14ac:dyDescent="0.25">
      <c r="A24" s="118" t="s">
        <v>210</v>
      </c>
      <c r="B24" s="95">
        <v>224</v>
      </c>
      <c r="C24" s="96">
        <v>99.549774169921875</v>
      </c>
      <c r="D24" s="97">
        <v>33.140857295736552</v>
      </c>
      <c r="E24" s="98">
        <v>2.0207406186054686</v>
      </c>
      <c r="F24" s="99">
        <v>40.59542264474932</v>
      </c>
      <c r="G24" s="98">
        <v>6.0314734747679122</v>
      </c>
      <c r="H24" s="100">
        <v>37.371251301529561</v>
      </c>
      <c r="I24" s="101">
        <v>3.1094043368305204</v>
      </c>
      <c r="J24" s="97">
        <v>21.168211082997949</v>
      </c>
      <c r="K24" s="98">
        <v>5.0223641675966926</v>
      </c>
      <c r="L24" s="100">
        <v>33.205308338577893</v>
      </c>
      <c r="M24" s="101">
        <v>4.0262617859951542</v>
      </c>
      <c r="N24" s="97">
        <v>-7.3901143061714336</v>
      </c>
      <c r="O24" s="102">
        <v>7.2051983810898461</v>
      </c>
      <c r="P24" s="99">
        <v>33.576365180385729</v>
      </c>
      <c r="Q24" s="98">
        <v>2.0584578511124594</v>
      </c>
      <c r="R24" s="100">
        <v>19.933479021617192</v>
      </c>
      <c r="S24" s="101">
        <v>17.091326170762265</v>
      </c>
      <c r="T24" s="97">
        <v>26.281352229704531</v>
      </c>
      <c r="U24" s="101">
        <v>23.405661365461004</v>
      </c>
      <c r="V24" s="97">
        <v>-11.00877888435301</v>
      </c>
      <c r="W24" s="104">
        <v>14.168709229615329</v>
      </c>
      <c r="X24" s="124"/>
      <c r="Y24" s="124"/>
      <c r="Z24" s="124"/>
      <c r="AA24" s="124"/>
      <c r="AB24" s="124"/>
      <c r="AC24" s="124"/>
      <c r="AD24" s="124"/>
      <c r="AE24" s="124"/>
    </row>
    <row r="25" spans="1:31" s="105" customFormat="1" x14ac:dyDescent="0.25">
      <c r="A25" s="118" t="s">
        <v>211</v>
      </c>
      <c r="B25" s="95">
        <v>210</v>
      </c>
      <c r="C25" s="96">
        <v>99.331733703613281</v>
      </c>
      <c r="D25" s="97">
        <v>6.171881360935088</v>
      </c>
      <c r="E25" s="98">
        <v>1.9137364000621189</v>
      </c>
      <c r="F25" s="99">
        <v>5.6073565514363004</v>
      </c>
      <c r="G25" s="98">
        <v>3.318397525927812</v>
      </c>
      <c r="H25" s="100">
        <v>4.3494004803384474</v>
      </c>
      <c r="I25" s="101">
        <v>3.0542027156687563</v>
      </c>
      <c r="J25" s="97">
        <v>6.2647375401919563</v>
      </c>
      <c r="K25" s="98">
        <v>4.7742983066163589</v>
      </c>
      <c r="L25" s="100">
        <v>8.4856169416468745</v>
      </c>
      <c r="M25" s="101">
        <v>4.2339225383967234</v>
      </c>
      <c r="N25" s="97">
        <v>2.8782603902105741</v>
      </c>
      <c r="O25" s="102">
        <v>5.434924892686257</v>
      </c>
      <c r="P25" s="99">
        <v>6.4291588555257144</v>
      </c>
      <c r="Q25" s="98">
        <v>1.993601661276909</v>
      </c>
      <c r="R25" s="100">
        <v>0</v>
      </c>
      <c r="S25" s="101" t="s">
        <v>35</v>
      </c>
      <c r="T25" s="97" t="s">
        <v>34</v>
      </c>
      <c r="U25" s="101" t="s">
        <v>34</v>
      </c>
      <c r="V25" s="97">
        <v>-6.4291588555257144</v>
      </c>
      <c r="W25" s="104">
        <v>1.993601661276909</v>
      </c>
      <c r="X25" s="124"/>
      <c r="Y25" s="124"/>
      <c r="Z25" s="124"/>
      <c r="AA25" s="124"/>
      <c r="AB25" s="124"/>
      <c r="AC25" s="124"/>
      <c r="AD25" s="124"/>
      <c r="AE25" s="124"/>
    </row>
    <row r="26" spans="1:31" s="105" customFormat="1" x14ac:dyDescent="0.25">
      <c r="A26" s="118" t="s">
        <v>212</v>
      </c>
      <c r="B26" s="95">
        <v>164</v>
      </c>
      <c r="C26" s="96">
        <v>76.662361145019531</v>
      </c>
      <c r="D26" s="97">
        <v>9.7277178410708682</v>
      </c>
      <c r="E26" s="98">
        <v>2.2758220039160615</v>
      </c>
      <c r="F26" s="99">
        <v>9.0938761205697318</v>
      </c>
      <c r="G26" s="98">
        <v>4.8351465599834444</v>
      </c>
      <c r="H26" s="100">
        <v>10.94883595389066</v>
      </c>
      <c r="I26" s="101">
        <v>5.4399162747230765</v>
      </c>
      <c r="J26" s="97">
        <v>7.7579912630094654</v>
      </c>
      <c r="K26" s="98">
        <v>4.6977627696974427</v>
      </c>
      <c r="L26" s="100">
        <v>11.10231361675895</v>
      </c>
      <c r="M26" s="101">
        <v>3.7078349114506755</v>
      </c>
      <c r="N26" s="97">
        <v>2.0084374961892171</v>
      </c>
      <c r="O26" s="102">
        <v>5.6749505924230288</v>
      </c>
      <c r="P26" s="99">
        <v>9.5965428346770487</v>
      </c>
      <c r="Q26" s="98">
        <v>2.461698258376837</v>
      </c>
      <c r="R26" s="100">
        <v>9.055258763310956</v>
      </c>
      <c r="S26" s="101">
        <v>7.6817690145233479</v>
      </c>
      <c r="T26" s="97">
        <v>0</v>
      </c>
      <c r="U26" s="101" t="s">
        <v>35</v>
      </c>
      <c r="V26" s="97">
        <v>-4.8938715327386069</v>
      </c>
      <c r="W26" s="104">
        <v>4.0129838951038339</v>
      </c>
      <c r="X26" s="124"/>
      <c r="Y26" s="124"/>
      <c r="Z26" s="124"/>
      <c r="AA26" s="124"/>
      <c r="AB26" s="124"/>
      <c r="AC26" s="124"/>
      <c r="AD26" s="124"/>
      <c r="AE26" s="124"/>
    </row>
    <row r="27" spans="1:31" s="105" customFormat="1" x14ac:dyDescent="0.25">
      <c r="A27" s="118" t="s">
        <v>213</v>
      </c>
      <c r="B27" s="95">
        <v>186</v>
      </c>
      <c r="C27" s="96">
        <v>82.665573120117188</v>
      </c>
      <c r="D27" s="97">
        <v>15.753087652851461</v>
      </c>
      <c r="E27" s="98">
        <v>2.561844133848437</v>
      </c>
      <c r="F27" s="99">
        <v>24.607496780359199</v>
      </c>
      <c r="G27" s="98">
        <v>5.7322216944230231</v>
      </c>
      <c r="H27" s="100">
        <v>21.73288375108806</v>
      </c>
      <c r="I27" s="101">
        <v>6.5040097636204237</v>
      </c>
      <c r="J27" s="97">
        <v>10.06823728171624</v>
      </c>
      <c r="K27" s="98">
        <v>5.7788511376197373</v>
      </c>
      <c r="L27" s="100">
        <v>7.4136008017694603</v>
      </c>
      <c r="M27" s="101">
        <v>5.3200082683780181</v>
      </c>
      <c r="N27" s="97">
        <v>-17.19389597858974</v>
      </c>
      <c r="O27" s="102">
        <v>7.7160074361888542</v>
      </c>
      <c r="P27" s="99">
        <v>15.82233304603333</v>
      </c>
      <c r="Q27" s="98">
        <v>2.5104578872451242</v>
      </c>
      <c r="R27" s="100">
        <v>18.52892903371033</v>
      </c>
      <c r="S27" s="101">
        <v>23.484060777660893</v>
      </c>
      <c r="T27" s="97" t="s">
        <v>34</v>
      </c>
      <c r="U27" s="101" t="s">
        <v>34</v>
      </c>
      <c r="V27" s="97">
        <v>2.7065959876769998</v>
      </c>
      <c r="W27" s="104">
        <v>23.489769374281892</v>
      </c>
      <c r="X27" s="124"/>
      <c r="Y27" s="124"/>
      <c r="Z27" s="124"/>
      <c r="AA27" s="124"/>
      <c r="AB27" s="124"/>
      <c r="AC27" s="124"/>
      <c r="AD27" s="124"/>
      <c r="AE27" s="124"/>
    </row>
    <row r="28" spans="1:31" s="105" customFormat="1" x14ac:dyDescent="0.25">
      <c r="A28" s="118" t="s">
        <v>214</v>
      </c>
      <c r="B28" s="95">
        <v>199</v>
      </c>
      <c r="C28" s="96">
        <v>91.797760009765625</v>
      </c>
      <c r="D28" s="97">
        <v>13.07542204820119</v>
      </c>
      <c r="E28" s="98">
        <v>2.4598248877434852</v>
      </c>
      <c r="F28" s="99">
        <v>11.752350867488181</v>
      </c>
      <c r="G28" s="98">
        <v>3.8721834751805857</v>
      </c>
      <c r="H28" s="100">
        <v>19.139757825337099</v>
      </c>
      <c r="I28" s="101">
        <v>6.821087075975341</v>
      </c>
      <c r="J28" s="97">
        <v>12.16959406715806</v>
      </c>
      <c r="K28" s="98">
        <v>6.4640363276700397</v>
      </c>
      <c r="L28" s="100">
        <v>9.2518221702249708</v>
      </c>
      <c r="M28" s="101">
        <v>4.5332566890263699</v>
      </c>
      <c r="N28" s="97">
        <v>-2.500528697263205</v>
      </c>
      <c r="O28" s="102">
        <v>6.0222287314186893</v>
      </c>
      <c r="P28" s="99">
        <v>13.172318573895989</v>
      </c>
      <c r="Q28" s="98">
        <v>2.5226651563048113</v>
      </c>
      <c r="R28" s="100" t="s">
        <v>34</v>
      </c>
      <c r="S28" s="101" t="s">
        <v>34</v>
      </c>
      <c r="T28" s="97">
        <v>11.10516278284515</v>
      </c>
      <c r="U28" s="101">
        <v>11.601986758071257</v>
      </c>
      <c r="V28" s="97">
        <v>-2.0671557910508387</v>
      </c>
      <c r="W28" s="104">
        <v>11.898315283520104</v>
      </c>
      <c r="X28" s="124"/>
      <c r="Y28" s="124"/>
      <c r="Z28" s="124"/>
      <c r="AA28" s="124"/>
      <c r="AB28" s="124"/>
      <c r="AC28" s="124"/>
      <c r="AD28" s="124"/>
      <c r="AE28" s="124"/>
    </row>
    <row r="29" spans="1:31" s="105" customFormat="1" x14ac:dyDescent="0.25">
      <c r="A29" s="118" t="s">
        <v>215</v>
      </c>
      <c r="B29" s="95">
        <v>161</v>
      </c>
      <c r="C29" s="96">
        <v>89.597335815429688</v>
      </c>
      <c r="D29" s="97">
        <v>10.228544488026451</v>
      </c>
      <c r="E29" s="98">
        <v>2.6365817455953082</v>
      </c>
      <c r="F29" s="99">
        <v>16.210701524477969</v>
      </c>
      <c r="G29" s="98">
        <v>6.2503852766710981</v>
      </c>
      <c r="H29" s="100">
        <v>14.586040421835129</v>
      </c>
      <c r="I29" s="101">
        <v>6.5661659403891433</v>
      </c>
      <c r="J29" s="97">
        <v>7.1532745828959081</v>
      </c>
      <c r="K29" s="98">
        <v>5.4536407024688005</v>
      </c>
      <c r="L29" s="100">
        <v>2.9060742497008021</v>
      </c>
      <c r="M29" s="101">
        <v>3.5647458023794658</v>
      </c>
      <c r="N29" s="97">
        <v>-13.30462727477717</v>
      </c>
      <c r="O29" s="102">
        <v>7.1949351919992894</v>
      </c>
      <c r="P29" s="99">
        <v>10.71560498912247</v>
      </c>
      <c r="Q29" s="98">
        <v>3.0858946548635453</v>
      </c>
      <c r="R29" s="100">
        <v>9.4118403996567146</v>
      </c>
      <c r="S29" s="101">
        <v>5.5002752631119183</v>
      </c>
      <c r="T29" s="97" t="s">
        <v>34</v>
      </c>
      <c r="U29" s="101" t="s">
        <v>34</v>
      </c>
      <c r="V29" s="97">
        <v>-1.3037645894657555</v>
      </c>
      <c r="W29" s="104">
        <v>6.2997265228993164</v>
      </c>
      <c r="X29" s="124"/>
      <c r="Y29" s="124"/>
      <c r="Z29" s="124"/>
      <c r="AA29" s="124"/>
      <c r="AB29" s="124"/>
      <c r="AC29" s="124"/>
      <c r="AD29" s="124"/>
      <c r="AE29" s="124"/>
    </row>
    <row r="30" spans="1:31" s="105" customFormat="1" x14ac:dyDescent="0.25">
      <c r="A30" s="118" t="s">
        <v>216</v>
      </c>
      <c r="B30" s="95">
        <v>128</v>
      </c>
      <c r="C30" s="96">
        <v>98.6534423828125</v>
      </c>
      <c r="D30" s="97">
        <v>3.746147053599453</v>
      </c>
      <c r="E30" s="98">
        <v>0.12782675593526668</v>
      </c>
      <c r="F30" s="99">
        <v>3.8612947902146151</v>
      </c>
      <c r="G30" s="98">
        <v>0.23226695569657174</v>
      </c>
      <c r="H30" s="100">
        <v>6.3051494965959964</v>
      </c>
      <c r="I30" s="101">
        <v>0.23464917633480231</v>
      </c>
      <c r="J30" s="97">
        <v>4.6483867951741269</v>
      </c>
      <c r="K30" s="98">
        <v>0.36090135463292539</v>
      </c>
      <c r="L30" s="100">
        <v>0</v>
      </c>
      <c r="M30" s="101" t="s">
        <v>35</v>
      </c>
      <c r="N30" s="97">
        <v>-3.8612947902146151</v>
      </c>
      <c r="O30" s="102">
        <v>0.23226695569657174</v>
      </c>
      <c r="P30" s="99">
        <v>3.8283962876540918</v>
      </c>
      <c r="Q30" s="98">
        <v>0.13062983886306676</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11.12259898911457</v>
      </c>
      <c r="E31" s="98">
        <v>2.623521667771159</v>
      </c>
      <c r="F31" s="99">
        <v>19.15869454814003</v>
      </c>
      <c r="G31" s="98">
        <v>6.8004821783192932</v>
      </c>
      <c r="H31" s="100">
        <v>4.929707289477343</v>
      </c>
      <c r="I31" s="101">
        <v>5.4642945049639504</v>
      </c>
      <c r="J31" s="97">
        <v>10.583133395403079</v>
      </c>
      <c r="K31" s="98">
        <v>5.6826256031934532</v>
      </c>
      <c r="L31" s="100">
        <v>9.9983965566634563</v>
      </c>
      <c r="M31" s="101">
        <v>5.0728606672019518</v>
      </c>
      <c r="N31" s="97">
        <v>-9.1602979914765736</v>
      </c>
      <c r="O31" s="102">
        <v>8.4696789765760325</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162</v>
      </c>
      <c r="C32" s="96">
        <v>94.275856018066406</v>
      </c>
      <c r="D32" s="97">
        <v>33.573643246364178</v>
      </c>
      <c r="E32" s="98">
        <v>3.8285215919228524</v>
      </c>
      <c r="F32" s="99">
        <v>43.240829130948264</v>
      </c>
      <c r="G32" s="98">
        <v>8.9841137922257328</v>
      </c>
      <c r="H32" s="100">
        <v>39.630810857901629</v>
      </c>
      <c r="I32" s="101">
        <v>8.6577160204140053</v>
      </c>
      <c r="J32" s="97">
        <v>37.26416669151682</v>
      </c>
      <c r="K32" s="98">
        <v>9.4362111202182533</v>
      </c>
      <c r="L32" s="100">
        <v>13.71418298470952</v>
      </c>
      <c r="M32" s="101">
        <v>6.0224638756114546</v>
      </c>
      <c r="N32" s="97">
        <v>-29.52664614623874</v>
      </c>
      <c r="O32" s="102">
        <v>11.338341182530717</v>
      </c>
      <c r="P32" s="99">
        <v>33.573643246364178</v>
      </c>
      <c r="Q32" s="98">
        <v>3.8285215919228524</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491</v>
      </c>
      <c r="C33" s="96">
        <v>94.403602600097656</v>
      </c>
      <c r="D33" s="97">
        <v>25.953086918257611</v>
      </c>
      <c r="E33" s="98">
        <v>2.827819179759719</v>
      </c>
      <c r="F33" s="99">
        <v>28.55985205559832</v>
      </c>
      <c r="G33" s="98">
        <v>5.9592010295736424</v>
      </c>
      <c r="H33" s="100">
        <v>29.23219533362111</v>
      </c>
      <c r="I33" s="101">
        <v>6.2073841115653314</v>
      </c>
      <c r="J33" s="97">
        <v>26.561549968773718</v>
      </c>
      <c r="K33" s="98">
        <v>8.258293909007838</v>
      </c>
      <c r="L33" s="100">
        <v>19.397834543033529</v>
      </c>
      <c r="M33" s="101">
        <v>6.1570439956805805</v>
      </c>
      <c r="N33" s="97">
        <v>-9.1620175125647947</v>
      </c>
      <c r="O33" s="102">
        <v>8.2308633715452739</v>
      </c>
      <c r="P33" s="99">
        <v>25.617225425078839</v>
      </c>
      <c r="Q33" s="98">
        <v>2.815320924051135</v>
      </c>
      <c r="R33" s="100">
        <v>35.750428820317808</v>
      </c>
      <c r="S33" s="101">
        <v>22.766518755698954</v>
      </c>
      <c r="T33" s="97">
        <v>20.94865160311274</v>
      </c>
      <c r="U33" s="101">
        <v>21.582119212551785</v>
      </c>
      <c r="V33" s="97">
        <v>1.4172688748691513</v>
      </c>
      <c r="W33" s="104">
        <v>16.382169388597546</v>
      </c>
      <c r="X33" s="124"/>
      <c r="Y33" s="124"/>
      <c r="Z33" s="124"/>
      <c r="AA33" s="124"/>
      <c r="AB33" s="124"/>
      <c r="AC33" s="124"/>
      <c r="AD33" s="124"/>
      <c r="AE33" s="124"/>
    </row>
    <row r="34" spans="1:31" s="105" customFormat="1" x14ac:dyDescent="0.25">
      <c r="A34" s="118" t="s">
        <v>220</v>
      </c>
      <c r="B34" s="95">
        <v>183</v>
      </c>
      <c r="C34" s="96">
        <v>100</v>
      </c>
      <c r="D34" s="97">
        <v>39.966450726624657</v>
      </c>
      <c r="E34" s="98">
        <v>3.3918352217783641</v>
      </c>
      <c r="F34" s="99">
        <v>51.412291116411673</v>
      </c>
      <c r="G34" s="98">
        <v>8.0853504863197916</v>
      </c>
      <c r="H34" s="100">
        <v>44.231309569990493</v>
      </c>
      <c r="I34" s="101">
        <v>7.3180943201456579</v>
      </c>
      <c r="J34" s="97">
        <v>39.168368010890909</v>
      </c>
      <c r="K34" s="98">
        <v>10.079627040657307</v>
      </c>
      <c r="L34" s="100">
        <v>25.54624895235839</v>
      </c>
      <c r="M34" s="101">
        <v>7.1467518843863447</v>
      </c>
      <c r="N34" s="97">
        <v>-25.86604216405328</v>
      </c>
      <c r="O34" s="102">
        <v>10.486124433138608</v>
      </c>
      <c r="P34" s="99">
        <v>35.794064832246868</v>
      </c>
      <c r="Q34" s="98">
        <v>4.1827183431330548</v>
      </c>
      <c r="R34" s="100">
        <v>41.677029219116122</v>
      </c>
      <c r="S34" s="101">
        <v>18.264560369612152</v>
      </c>
      <c r="T34" s="97">
        <v>48.954928435816868</v>
      </c>
      <c r="U34" s="101">
        <v>6.0475970803160708</v>
      </c>
      <c r="V34" s="97">
        <v>12.378055319692379</v>
      </c>
      <c r="W34" s="104">
        <v>6.7618485042837113</v>
      </c>
      <c r="X34" s="124"/>
      <c r="Y34" s="124"/>
      <c r="Z34" s="124"/>
      <c r="AA34" s="124"/>
      <c r="AB34" s="124"/>
      <c r="AC34" s="124"/>
      <c r="AD34" s="124"/>
      <c r="AE34" s="124"/>
    </row>
    <row r="35" spans="1:31" s="105" customFormat="1" x14ac:dyDescent="0.25">
      <c r="A35" s="118" t="s">
        <v>221</v>
      </c>
      <c r="B35" s="95">
        <v>151</v>
      </c>
      <c r="C35" s="96">
        <v>82.322242736816406</v>
      </c>
      <c r="D35" s="97">
        <v>18.872772454752031</v>
      </c>
      <c r="E35" s="98">
        <v>3.1482848084560229</v>
      </c>
      <c r="F35" s="99">
        <v>22.710680351571391</v>
      </c>
      <c r="G35" s="98">
        <v>8.0168164671414228</v>
      </c>
      <c r="H35" s="100">
        <v>21.112964091660899</v>
      </c>
      <c r="I35" s="101">
        <v>7.7435021413737113</v>
      </c>
      <c r="J35" s="97">
        <v>21.42655712843051</v>
      </c>
      <c r="K35" s="98">
        <v>8.1486654014722202</v>
      </c>
      <c r="L35" s="100">
        <v>9.9480225061662395</v>
      </c>
      <c r="M35" s="101">
        <v>5.007028766204094</v>
      </c>
      <c r="N35" s="97">
        <v>-12.762657845405149</v>
      </c>
      <c r="O35" s="102">
        <v>9.7272947964881933</v>
      </c>
      <c r="P35" s="99">
        <v>18.97093304993437</v>
      </c>
      <c r="Q35" s="98">
        <v>3.9912628411967108</v>
      </c>
      <c r="R35" s="100">
        <v>20.42947773382144</v>
      </c>
      <c r="S35" s="101">
        <v>5.5176609685658509</v>
      </c>
      <c r="T35" s="97">
        <v>8.8954126826732072</v>
      </c>
      <c r="U35" s="101">
        <v>8.8329856874201944</v>
      </c>
      <c r="V35" s="97">
        <v>-0.22755266324564971</v>
      </c>
      <c r="W35" s="104">
        <v>6.309906880189013</v>
      </c>
      <c r="X35" s="124"/>
      <c r="Y35" s="124"/>
      <c r="Z35" s="124"/>
      <c r="AA35" s="124"/>
      <c r="AB35" s="124"/>
      <c r="AC35" s="124"/>
      <c r="AD35" s="124"/>
      <c r="AE35" s="124"/>
    </row>
    <row r="36" spans="1:31" s="105" customFormat="1" x14ac:dyDescent="0.25">
      <c r="A36" s="118" t="s">
        <v>222</v>
      </c>
      <c r="B36" s="95">
        <v>288</v>
      </c>
      <c r="C36" s="96">
        <v>93.174911499023438</v>
      </c>
      <c r="D36" s="97">
        <v>10.32568276668894</v>
      </c>
      <c r="E36" s="98">
        <v>1.0867236283677866</v>
      </c>
      <c r="F36" s="99">
        <v>6.1632821891367922</v>
      </c>
      <c r="G36" s="98">
        <v>2.256113469580812</v>
      </c>
      <c r="H36" s="100">
        <v>10.70759486643083</v>
      </c>
      <c r="I36" s="101">
        <v>3.7237374661006966</v>
      </c>
      <c r="J36" s="97">
        <v>12.310421646235239</v>
      </c>
      <c r="K36" s="98">
        <v>3.9198337893239668</v>
      </c>
      <c r="L36" s="100">
        <v>12.12785348350817</v>
      </c>
      <c r="M36" s="101">
        <v>1.5759135567769098</v>
      </c>
      <c r="N36" s="97">
        <v>5.9645712943713729</v>
      </c>
      <c r="O36" s="102">
        <v>2.5047656392640349</v>
      </c>
      <c r="P36" s="99">
        <v>10.280096293779669</v>
      </c>
      <c r="Q36" s="98">
        <v>1.0886378748165448</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359</v>
      </c>
      <c r="C37" s="96">
        <v>99.33123779296875</v>
      </c>
      <c r="D37" s="97">
        <v>3.5861117252045158</v>
      </c>
      <c r="E37" s="98">
        <v>0.88230706699027894</v>
      </c>
      <c r="F37" s="99">
        <v>3.1461418107465202</v>
      </c>
      <c r="G37" s="98">
        <v>1.6836844039875027</v>
      </c>
      <c r="H37" s="100">
        <v>4.8691260711498083</v>
      </c>
      <c r="I37" s="101">
        <v>2.8958303522449409</v>
      </c>
      <c r="J37" s="97">
        <v>2.0750548946506671</v>
      </c>
      <c r="K37" s="98">
        <v>2.2153938958278139</v>
      </c>
      <c r="L37" s="100">
        <v>4.2552880248058624</v>
      </c>
      <c r="M37" s="101">
        <v>0.89286066650741802</v>
      </c>
      <c r="N37" s="97">
        <v>1.1091462140593431</v>
      </c>
      <c r="O37" s="102">
        <v>1.8901323338354323</v>
      </c>
      <c r="P37" s="99">
        <v>3.468001789130355</v>
      </c>
      <c r="Q37" s="98">
        <v>0.89574349017421884</v>
      </c>
      <c r="R37" s="100">
        <v>8.7944783436647676</v>
      </c>
      <c r="S37" s="101">
        <v>5.9743796626187295</v>
      </c>
      <c r="T37" s="97" t="s">
        <v>34</v>
      </c>
      <c r="U37" s="101" t="s">
        <v>34</v>
      </c>
      <c r="V37" s="97">
        <v>5.3264765545344126</v>
      </c>
      <c r="W37" s="104">
        <v>6.0375163321813368</v>
      </c>
      <c r="X37" s="124"/>
      <c r="Y37" s="124"/>
      <c r="Z37" s="124"/>
      <c r="AA37" s="124"/>
      <c r="AB37" s="124"/>
      <c r="AC37" s="124"/>
      <c r="AD37" s="124"/>
      <c r="AE37" s="124"/>
    </row>
    <row r="38" spans="1:31" s="105" customFormat="1" x14ac:dyDescent="0.25">
      <c r="A38" s="118" t="s">
        <v>224</v>
      </c>
      <c r="B38" s="95">
        <v>43</v>
      </c>
      <c r="C38" s="96">
        <v>96.65936279296875</v>
      </c>
      <c r="D38" s="97">
        <v>13.04147413071197</v>
      </c>
      <c r="E38" s="98">
        <v>7.7830684939777739E-2</v>
      </c>
      <c r="F38" s="99">
        <v>19.96729018447888</v>
      </c>
      <c r="G38" s="98">
        <v>0.14587123752932887</v>
      </c>
      <c r="H38" s="100">
        <v>0</v>
      </c>
      <c r="I38" s="101" t="s">
        <v>35</v>
      </c>
      <c r="J38" s="97">
        <v>18.71410307800355</v>
      </c>
      <c r="K38" s="98">
        <v>0.17380918225287367</v>
      </c>
      <c r="L38" s="100">
        <v>12.10210716210343</v>
      </c>
      <c r="M38" s="101">
        <v>0.21453214363933809</v>
      </c>
      <c r="N38" s="97">
        <v>-7.8651830223754509</v>
      </c>
      <c r="O38" s="102">
        <v>0.2484776009534797</v>
      </c>
      <c r="P38" s="99">
        <v>15.504710235978269</v>
      </c>
      <c r="Q38" s="98">
        <v>8.2282676636222407E-2</v>
      </c>
      <c r="R38" s="100">
        <v>3.210821703188266</v>
      </c>
      <c r="S38" s="101">
        <v>0.31583739798643556</v>
      </c>
      <c r="T38" s="97" t="s">
        <v>34</v>
      </c>
      <c r="U38" s="101" t="s">
        <v>34</v>
      </c>
      <c r="V38" s="97">
        <v>-12.293888532790003</v>
      </c>
      <c r="W38" s="104">
        <v>0.32409807303135874</v>
      </c>
      <c r="X38" s="124"/>
      <c r="Y38" s="124"/>
      <c r="Z38" s="124"/>
      <c r="AA38" s="124"/>
      <c r="AB38" s="124"/>
      <c r="AC38" s="124"/>
      <c r="AD38" s="124"/>
      <c r="AE38" s="124"/>
    </row>
    <row r="39" spans="1:31" s="105" customFormat="1" x14ac:dyDescent="0.25">
      <c r="A39" s="118" t="s">
        <v>225</v>
      </c>
      <c r="B39" s="95">
        <v>205</v>
      </c>
      <c r="C39" s="96">
        <v>77.213287353515625</v>
      </c>
      <c r="D39" s="97">
        <v>9.2715402258308224</v>
      </c>
      <c r="E39" s="98">
        <v>2.2430351155019435</v>
      </c>
      <c r="F39" s="99">
        <v>5.4889078457183826</v>
      </c>
      <c r="G39" s="98">
        <v>4.5277558696170406</v>
      </c>
      <c r="H39" s="100">
        <v>11.58008748738108</v>
      </c>
      <c r="I39" s="101">
        <v>5.5697270139288149</v>
      </c>
      <c r="J39" s="97">
        <v>14.087185236839421</v>
      </c>
      <c r="K39" s="98">
        <v>5.9893804915438471</v>
      </c>
      <c r="L39" s="100">
        <v>5.915749460282024</v>
      </c>
      <c r="M39" s="101">
        <v>3.4723991725133168</v>
      </c>
      <c r="N39" s="97">
        <v>0.42684161456364128</v>
      </c>
      <c r="O39" s="102">
        <v>5.6678075009302242</v>
      </c>
      <c r="P39" s="99">
        <v>9.9450953729027365</v>
      </c>
      <c r="Q39" s="98">
        <v>2.4862878987067076</v>
      </c>
      <c r="R39" s="100" t="s">
        <v>34</v>
      </c>
      <c r="S39" s="101" t="s">
        <v>34</v>
      </c>
      <c r="T39" s="97">
        <v>4.7776840432438359</v>
      </c>
      <c r="U39" s="101">
        <v>4.6784238086228616</v>
      </c>
      <c r="V39" s="97">
        <v>-5.1674113296589006</v>
      </c>
      <c r="W39" s="104">
        <v>5.2927573614302199</v>
      </c>
      <c r="X39" s="124"/>
      <c r="Y39" s="124"/>
      <c r="Z39" s="124"/>
      <c r="AA39" s="124"/>
      <c r="AB39" s="124"/>
      <c r="AC39" s="124"/>
      <c r="AD39" s="124"/>
      <c r="AE39" s="124"/>
    </row>
    <row r="40" spans="1:31" s="105" customFormat="1" x14ac:dyDescent="0.25">
      <c r="A40" s="118" t="s">
        <v>300</v>
      </c>
      <c r="B40" s="95">
        <v>144</v>
      </c>
      <c r="C40" s="96">
        <v>92.40850830078125</v>
      </c>
      <c r="D40" s="97">
        <v>23.164246673288339</v>
      </c>
      <c r="E40" s="98">
        <v>3.6089393029556955</v>
      </c>
      <c r="F40" s="99">
        <v>23.091099161226211</v>
      </c>
      <c r="G40" s="98">
        <v>7.2375269311822548</v>
      </c>
      <c r="H40" s="100">
        <v>31.371590336483951</v>
      </c>
      <c r="I40" s="101">
        <v>10.059235033546225</v>
      </c>
      <c r="J40" s="97">
        <v>19.444047719875439</v>
      </c>
      <c r="K40" s="98">
        <v>8.726793286435278</v>
      </c>
      <c r="L40" s="100">
        <v>18.852641961489439</v>
      </c>
      <c r="M40" s="101">
        <v>6.7288003963918079</v>
      </c>
      <c r="N40" s="97">
        <v>-4.2384571997367706</v>
      </c>
      <c r="O40" s="102">
        <v>9.9658210403887768</v>
      </c>
      <c r="P40" s="99">
        <v>26.459063370954141</v>
      </c>
      <c r="Q40" s="98">
        <v>6.1228907391899865</v>
      </c>
      <c r="R40" s="100">
        <v>21.506440182876979</v>
      </c>
      <c r="S40" s="101">
        <v>4.5518136800524971</v>
      </c>
      <c r="T40" s="97" t="s">
        <v>34</v>
      </c>
      <c r="U40" s="101" t="s">
        <v>34</v>
      </c>
      <c r="V40" s="97">
        <v>-4.9526231880771618</v>
      </c>
      <c r="W40" s="104">
        <v>7.6573342018772133</v>
      </c>
      <c r="X40" s="124"/>
      <c r="Y40" s="124"/>
      <c r="Z40" s="124"/>
      <c r="AA40" s="124"/>
      <c r="AB40" s="124"/>
      <c r="AC40" s="124"/>
      <c r="AD40" s="124"/>
      <c r="AE40" s="124"/>
    </row>
    <row r="41" spans="1:31" s="105" customFormat="1" x14ac:dyDescent="0.25">
      <c r="A41" s="118" t="s">
        <v>226</v>
      </c>
      <c r="B41" s="95">
        <v>184</v>
      </c>
      <c r="C41" s="96">
        <v>96.0885009765625</v>
      </c>
      <c r="D41" s="97">
        <v>16.464669408326699</v>
      </c>
      <c r="E41" s="98">
        <v>2.2115039989042371</v>
      </c>
      <c r="F41" s="99">
        <v>22.854858846440759</v>
      </c>
      <c r="G41" s="98">
        <v>6.235346775325354</v>
      </c>
      <c r="H41" s="100">
        <v>20.24195105146369</v>
      </c>
      <c r="I41" s="101">
        <v>6.675559365651921</v>
      </c>
      <c r="J41" s="97">
        <v>9.8603116455071103</v>
      </c>
      <c r="K41" s="98">
        <v>6.5597746839505691</v>
      </c>
      <c r="L41" s="100">
        <v>12.89243524155528</v>
      </c>
      <c r="M41" s="101">
        <v>6.4289293512608827</v>
      </c>
      <c r="N41" s="97">
        <v>-9.9624236048854797</v>
      </c>
      <c r="O41" s="102">
        <v>8.3610433391766694</v>
      </c>
      <c r="P41" s="99">
        <v>17.522076505588991</v>
      </c>
      <c r="Q41" s="98">
        <v>2.3553426305373524</v>
      </c>
      <c r="R41" s="100" t="s">
        <v>34</v>
      </c>
      <c r="S41" s="101" t="s">
        <v>34</v>
      </c>
      <c r="T41" s="97">
        <v>0</v>
      </c>
      <c r="U41" s="101" t="s">
        <v>35</v>
      </c>
      <c r="V41" s="97">
        <v>-17.522076505588991</v>
      </c>
      <c r="W41" s="104">
        <v>2.3553426305373524</v>
      </c>
      <c r="X41" s="124"/>
      <c r="Y41" s="124"/>
      <c r="Z41" s="124"/>
      <c r="AA41" s="124"/>
      <c r="AB41" s="124"/>
      <c r="AC41" s="124"/>
      <c r="AD41" s="124"/>
      <c r="AE41" s="124"/>
    </row>
    <row r="42" spans="1:31" s="105" customFormat="1" x14ac:dyDescent="0.25">
      <c r="A42" s="118" t="s">
        <v>227</v>
      </c>
      <c r="B42" s="95">
        <v>243</v>
      </c>
      <c r="C42" s="96">
        <v>97.620384216308594</v>
      </c>
      <c r="D42" s="97">
        <v>4.9762785998316827</v>
      </c>
      <c r="E42" s="98">
        <v>1.3888510456398544</v>
      </c>
      <c r="F42" s="99">
        <v>14.740643577815259</v>
      </c>
      <c r="G42" s="98">
        <v>4.4224777078394331</v>
      </c>
      <c r="H42" s="100">
        <v>0</v>
      </c>
      <c r="I42" s="101">
        <v>1.0492898828093964</v>
      </c>
      <c r="J42" s="97">
        <v>3.186411590256427</v>
      </c>
      <c r="K42" s="98">
        <v>2.3533053911921482</v>
      </c>
      <c r="L42" s="100">
        <v>2.057983904166631</v>
      </c>
      <c r="M42" s="101">
        <v>2.1658361686004715</v>
      </c>
      <c r="N42" s="97">
        <v>-12.682659673648629</v>
      </c>
      <c r="O42" s="102">
        <v>4.9008202128755514</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0.94086419155355627</v>
      </c>
      <c r="E43" s="98">
        <v>0.65947816461996756</v>
      </c>
      <c r="F43" s="99">
        <v>0</v>
      </c>
      <c r="G43" s="98" t="s">
        <v>35</v>
      </c>
      <c r="H43" s="100">
        <v>2.0900143497808101</v>
      </c>
      <c r="I43" s="101">
        <v>2.0426091687981862</v>
      </c>
      <c r="J43" s="97">
        <v>0</v>
      </c>
      <c r="K43" s="98" t="s">
        <v>35</v>
      </c>
      <c r="L43" s="100">
        <v>1.7541212019632</v>
      </c>
      <c r="M43" s="101">
        <v>1.6962036253018558</v>
      </c>
      <c r="N43" s="97">
        <v>1.7541212019632</v>
      </c>
      <c r="O43" s="102">
        <v>1.6962036253018558</v>
      </c>
      <c r="P43" s="99">
        <v>0.98573551823415928</v>
      </c>
      <c r="Q43" s="98">
        <v>0.69083609377164079</v>
      </c>
      <c r="R43" s="100">
        <v>0</v>
      </c>
      <c r="S43" s="101" t="s">
        <v>35</v>
      </c>
      <c r="T43" s="97" t="s">
        <v>34</v>
      </c>
      <c r="U43" s="101" t="s">
        <v>34</v>
      </c>
      <c r="V43" s="97">
        <v>-0.98573551823415928</v>
      </c>
      <c r="W43" s="104">
        <v>0.69083609377164079</v>
      </c>
      <c r="X43" s="124"/>
      <c r="Y43" s="124"/>
      <c r="Z43" s="124"/>
      <c r="AA43" s="124"/>
      <c r="AB43" s="124"/>
      <c r="AC43" s="124"/>
      <c r="AD43" s="124"/>
      <c r="AE43" s="124"/>
    </row>
    <row r="44" spans="1:31" s="105" customFormat="1" x14ac:dyDescent="0.25">
      <c r="A44" s="118" t="s">
        <v>301</v>
      </c>
      <c r="B44" s="95">
        <v>231</v>
      </c>
      <c r="C44" s="96">
        <v>87.534088134765625</v>
      </c>
      <c r="D44" s="97">
        <v>24.248507208324391</v>
      </c>
      <c r="E44" s="98">
        <v>3.2049817766182742</v>
      </c>
      <c r="F44" s="99">
        <v>19.748379858150631</v>
      </c>
      <c r="G44" s="98">
        <v>6.1635767864947466</v>
      </c>
      <c r="H44" s="100">
        <v>35.183136595965642</v>
      </c>
      <c r="I44" s="101">
        <v>9.0908396351791776</v>
      </c>
      <c r="J44" s="97">
        <v>17.961046574469691</v>
      </c>
      <c r="K44" s="98">
        <v>7.0044300798164247</v>
      </c>
      <c r="L44" s="100">
        <v>24.228202524184098</v>
      </c>
      <c r="M44" s="101">
        <v>7.0295043609203507</v>
      </c>
      <c r="N44" s="97">
        <v>4.4798226660334706</v>
      </c>
      <c r="O44" s="102">
        <v>9.2773388574990356</v>
      </c>
      <c r="P44" s="99">
        <v>28.002504814394989</v>
      </c>
      <c r="Q44" s="98">
        <v>3.6793305055435885</v>
      </c>
      <c r="R44" s="100">
        <v>3.309427586870465</v>
      </c>
      <c r="S44" s="101">
        <v>3.3048811913491125</v>
      </c>
      <c r="T44" s="97">
        <v>3.4996561604335201</v>
      </c>
      <c r="U44" s="101">
        <v>3.5135379213184392</v>
      </c>
      <c r="V44" s="97">
        <v>-24.595997344760857</v>
      </c>
      <c r="W44" s="104">
        <v>4.3934974936677129</v>
      </c>
      <c r="X44" s="124"/>
      <c r="Y44" s="124"/>
      <c r="Z44" s="124"/>
      <c r="AA44" s="124"/>
      <c r="AB44" s="124"/>
      <c r="AC44" s="124"/>
      <c r="AD44" s="124"/>
      <c r="AE44" s="124"/>
    </row>
    <row r="45" spans="1:31" s="105" customFormat="1" x14ac:dyDescent="0.25">
      <c r="A45" s="118" t="s">
        <v>229</v>
      </c>
      <c r="B45" s="95">
        <v>354</v>
      </c>
      <c r="C45" s="96">
        <v>94.707992553710938</v>
      </c>
      <c r="D45" s="97">
        <v>4.8940269333634241</v>
      </c>
      <c r="E45" s="98">
        <v>1.1477141030322155</v>
      </c>
      <c r="F45" s="99">
        <v>7.4386402832904004</v>
      </c>
      <c r="G45" s="98">
        <v>2.7966295406195254</v>
      </c>
      <c r="H45" s="100">
        <v>5.5532669047948646</v>
      </c>
      <c r="I45" s="101">
        <v>3.0781202282854685</v>
      </c>
      <c r="J45" s="97">
        <v>5.0737047108885474</v>
      </c>
      <c r="K45" s="98">
        <v>2.2204510026150341</v>
      </c>
      <c r="L45" s="100">
        <v>0.69162766798394237</v>
      </c>
      <c r="M45" s="101">
        <v>0.69612035550862117</v>
      </c>
      <c r="N45" s="97">
        <v>-6.7470126153064571</v>
      </c>
      <c r="O45" s="102">
        <v>2.9857626480136417</v>
      </c>
      <c r="P45" s="99">
        <v>4.6779239705610474</v>
      </c>
      <c r="Q45" s="98">
        <v>1.1604164035811477</v>
      </c>
      <c r="R45" s="100">
        <v>6.9363996086875348</v>
      </c>
      <c r="S45" s="101">
        <v>3.9680969971812723</v>
      </c>
      <c r="T45" s="97" t="s">
        <v>34</v>
      </c>
      <c r="U45" s="101" t="s">
        <v>34</v>
      </c>
      <c r="V45" s="97">
        <v>2.2584756381264874</v>
      </c>
      <c r="W45" s="104">
        <v>4.0385223654475837</v>
      </c>
      <c r="X45" s="124"/>
      <c r="Y45" s="124"/>
      <c r="Z45" s="124"/>
      <c r="AA45" s="124"/>
      <c r="AB45" s="124"/>
      <c r="AC45" s="124"/>
      <c r="AD45" s="124"/>
      <c r="AE45" s="124"/>
    </row>
    <row r="46" spans="1:31" s="105" customFormat="1" x14ac:dyDescent="0.25">
      <c r="A46" s="118" t="s">
        <v>230</v>
      </c>
      <c r="B46" s="95">
        <v>275</v>
      </c>
      <c r="C46" s="96">
        <v>87.199737548828125</v>
      </c>
      <c r="D46" s="97">
        <v>11.90516898956861</v>
      </c>
      <c r="E46" s="98">
        <v>0.10033335623854982</v>
      </c>
      <c r="F46" s="99">
        <v>16.463481324119339</v>
      </c>
      <c r="G46" s="98">
        <v>0.32985575721053273</v>
      </c>
      <c r="H46" s="100">
        <v>15.71899746492543</v>
      </c>
      <c r="I46" s="101">
        <v>0.35159360009150908</v>
      </c>
      <c r="J46" s="97">
        <v>15.025207586394201</v>
      </c>
      <c r="K46" s="98">
        <v>0.2725993919719828</v>
      </c>
      <c r="L46" s="100">
        <v>0.60639126077756977</v>
      </c>
      <c r="M46" s="101">
        <v>3.4871099540005043E-2</v>
      </c>
      <c r="N46" s="97">
        <v>-15.85709006334177</v>
      </c>
      <c r="O46" s="102">
        <v>0.33226149685863943</v>
      </c>
      <c r="P46" s="99">
        <v>12.249223821115841</v>
      </c>
      <c r="Q46" s="98">
        <v>0.10224282437940073</v>
      </c>
      <c r="R46" s="100">
        <v>0</v>
      </c>
      <c r="S46" s="101" t="s">
        <v>35</v>
      </c>
      <c r="T46" s="97" t="s">
        <v>34</v>
      </c>
      <c r="U46" s="101" t="s">
        <v>34</v>
      </c>
      <c r="V46" s="97">
        <v>-12.249223821115841</v>
      </c>
      <c r="W46" s="104">
        <v>0.10224282437940073</v>
      </c>
      <c r="X46" s="124"/>
      <c r="Y46" s="124"/>
      <c r="Z46" s="124"/>
      <c r="AA46" s="124"/>
      <c r="AB46" s="124"/>
      <c r="AC46" s="124"/>
      <c r="AD46" s="124"/>
      <c r="AE46" s="124"/>
    </row>
    <row r="47" spans="1:31" s="105" customFormat="1" x14ac:dyDescent="0.25">
      <c r="A47" s="118" t="s">
        <v>231</v>
      </c>
      <c r="B47" s="95">
        <v>1042</v>
      </c>
      <c r="C47" s="96">
        <v>95.271591186523438</v>
      </c>
      <c r="D47" s="97">
        <v>22.22706726737265</v>
      </c>
      <c r="E47" s="98">
        <v>1.8184369477736808</v>
      </c>
      <c r="F47" s="99">
        <v>32.360430545694918</v>
      </c>
      <c r="G47" s="98">
        <v>5.0339181802274791</v>
      </c>
      <c r="H47" s="100">
        <v>29.001801978350908</v>
      </c>
      <c r="I47" s="101">
        <v>4.1623380965975452</v>
      </c>
      <c r="J47" s="97">
        <v>19.983348963916669</v>
      </c>
      <c r="K47" s="98">
        <v>3.5261514967970258</v>
      </c>
      <c r="L47" s="100">
        <v>7.4391954819605086</v>
      </c>
      <c r="M47" s="101">
        <v>1.6866425984523854</v>
      </c>
      <c r="N47" s="97">
        <v>-24.921235063734411</v>
      </c>
      <c r="O47" s="102">
        <v>5.2629121299965664</v>
      </c>
      <c r="P47" s="99">
        <v>30.618601443168711</v>
      </c>
      <c r="Q47" s="98">
        <v>2.6297187298425073</v>
      </c>
      <c r="R47" s="100">
        <v>4.4021872590063031</v>
      </c>
      <c r="S47" s="101">
        <v>1.1705172536854669</v>
      </c>
      <c r="T47" s="97">
        <v>2.5619425952126971</v>
      </c>
      <c r="U47" s="101">
        <v>1.8847711634405198</v>
      </c>
      <c r="V47" s="97">
        <v>-26.579005630623527</v>
      </c>
      <c r="W47" s="104">
        <v>2.7673579296044721</v>
      </c>
      <c r="X47" s="124"/>
      <c r="Y47" s="124"/>
      <c r="Z47" s="124"/>
      <c r="AA47" s="124"/>
      <c r="AB47" s="124"/>
      <c r="AC47" s="124"/>
      <c r="AD47" s="124"/>
      <c r="AE47" s="124"/>
    </row>
    <row r="48" spans="1:31" s="105" customFormat="1" x14ac:dyDescent="0.25">
      <c r="A48" s="118" t="s">
        <v>232</v>
      </c>
      <c r="B48" s="95">
        <v>199</v>
      </c>
      <c r="C48" s="96">
        <v>95.580207824707031</v>
      </c>
      <c r="D48" s="97">
        <v>32.133875979570227</v>
      </c>
      <c r="E48" s="98">
        <v>3.078017750736779</v>
      </c>
      <c r="F48" s="99">
        <v>49.380685378712172</v>
      </c>
      <c r="G48" s="98">
        <v>9.5600129048315647</v>
      </c>
      <c r="H48" s="100">
        <v>36.793956486178807</v>
      </c>
      <c r="I48" s="101">
        <v>9.2594356939397251</v>
      </c>
      <c r="J48" s="97">
        <v>21.546528284334659</v>
      </c>
      <c r="K48" s="98">
        <v>7.205980841686265</v>
      </c>
      <c r="L48" s="100">
        <v>20.696311291575341</v>
      </c>
      <c r="M48" s="101">
        <v>5.860690672500831</v>
      </c>
      <c r="N48" s="97">
        <v>-28.684374087136831</v>
      </c>
      <c r="O48" s="102">
        <v>11.09737232097325</v>
      </c>
      <c r="P48" s="99">
        <v>33.611866878632497</v>
      </c>
      <c r="Q48" s="98">
        <v>3.5415201531900027</v>
      </c>
      <c r="R48" s="100">
        <v>25.933562396911739</v>
      </c>
      <c r="S48" s="101">
        <v>7.3187900763957359</v>
      </c>
      <c r="T48" s="97" t="s">
        <v>34</v>
      </c>
      <c r="U48" s="101" t="s">
        <v>34</v>
      </c>
      <c r="V48" s="97">
        <v>-7.6783044817207582</v>
      </c>
      <c r="W48" s="104">
        <v>8.3710863481386646</v>
      </c>
      <c r="X48" s="124"/>
      <c r="Y48" s="124"/>
      <c r="Z48" s="124"/>
      <c r="AA48" s="124"/>
      <c r="AB48" s="124"/>
      <c r="AC48" s="124"/>
      <c r="AD48" s="124"/>
      <c r="AE48" s="124"/>
    </row>
    <row r="49" spans="1:31" s="105" customFormat="1" x14ac:dyDescent="0.25">
      <c r="A49" s="118" t="s">
        <v>233</v>
      </c>
      <c r="B49" s="95">
        <v>156</v>
      </c>
      <c r="C49" s="96">
        <v>74.044235229492188</v>
      </c>
      <c r="D49" s="97">
        <v>5.0441022306013652</v>
      </c>
      <c r="E49" s="98">
        <v>1.7690348108048981</v>
      </c>
      <c r="F49" s="99">
        <v>10.194800435153461</v>
      </c>
      <c r="G49" s="98">
        <v>4.9691635030582919</v>
      </c>
      <c r="H49" s="100">
        <v>0.67327346720151571</v>
      </c>
      <c r="I49" s="101">
        <v>0.85058424395189203</v>
      </c>
      <c r="J49" s="97">
        <v>6.0786839508022732</v>
      </c>
      <c r="K49" s="98">
        <v>3.9092540376642591</v>
      </c>
      <c r="L49" s="100">
        <v>3.2143249233419842</v>
      </c>
      <c r="M49" s="101">
        <v>3.2483507852352633</v>
      </c>
      <c r="N49" s="97">
        <v>-6.9804755118114734</v>
      </c>
      <c r="O49" s="102">
        <v>5.7853851103114362</v>
      </c>
      <c r="P49" s="99">
        <v>4.7167511610149386</v>
      </c>
      <c r="Q49" s="98">
        <v>1.7971206262059956</v>
      </c>
      <c r="R49" s="100" t="s">
        <v>34</v>
      </c>
      <c r="S49" s="101" t="s">
        <v>34</v>
      </c>
      <c r="T49" s="97">
        <v>12.301900307914091</v>
      </c>
      <c r="U49" s="101">
        <v>12.483093384907015</v>
      </c>
      <c r="V49" s="97">
        <v>7.5851491468991519</v>
      </c>
      <c r="W49" s="104">
        <v>12.672950359583936</v>
      </c>
      <c r="X49" s="124"/>
      <c r="Y49" s="124"/>
      <c r="Z49" s="124"/>
      <c r="AA49" s="124"/>
      <c r="AB49" s="124"/>
      <c r="AC49" s="124"/>
      <c r="AD49" s="124"/>
      <c r="AE49" s="124"/>
    </row>
    <row r="50" spans="1:31" s="105" customFormat="1" x14ac:dyDescent="0.25">
      <c r="A50" s="118" t="s">
        <v>234</v>
      </c>
      <c r="B50" s="95">
        <v>179</v>
      </c>
      <c r="C50" s="96">
        <v>98.9569091796875</v>
      </c>
      <c r="D50" s="97">
        <v>20.388815218013619</v>
      </c>
      <c r="E50" s="98">
        <v>3.197327200258528</v>
      </c>
      <c r="F50" s="99">
        <v>24.244834548182869</v>
      </c>
      <c r="G50" s="98">
        <v>5.937963921718576</v>
      </c>
      <c r="H50" s="100">
        <v>26.813318135210231</v>
      </c>
      <c r="I50" s="101">
        <v>7.9246596045620965</v>
      </c>
      <c r="J50" s="97">
        <v>21.352410936881469</v>
      </c>
      <c r="K50" s="98">
        <v>6.7747996731467772</v>
      </c>
      <c r="L50" s="100">
        <v>9.021061279201076</v>
      </c>
      <c r="M50" s="101">
        <v>4.9521194969719202</v>
      </c>
      <c r="N50" s="97">
        <v>-15.2237732689818</v>
      </c>
      <c r="O50" s="102">
        <v>7.1452631586972117</v>
      </c>
      <c r="P50" s="99">
        <v>23.229555782564251</v>
      </c>
      <c r="Q50" s="98">
        <v>3.5298964267434179</v>
      </c>
      <c r="R50" s="100" t="s">
        <v>34</v>
      </c>
      <c r="S50" s="101" t="s">
        <v>34</v>
      </c>
      <c r="T50" s="97">
        <v>0</v>
      </c>
      <c r="U50" s="101" t="s">
        <v>35</v>
      </c>
      <c r="V50" s="97">
        <v>-23.229555782564251</v>
      </c>
      <c r="W50" s="104">
        <v>3.5298964267434179</v>
      </c>
      <c r="X50" s="124"/>
      <c r="Y50" s="124"/>
      <c r="Z50" s="124"/>
      <c r="AA50" s="124"/>
      <c r="AB50" s="124"/>
      <c r="AC50" s="124"/>
      <c r="AD50" s="124"/>
      <c r="AE50" s="124"/>
    </row>
    <row r="51" spans="1:31" s="105" customFormat="1" x14ac:dyDescent="0.25">
      <c r="A51" s="118" t="s">
        <v>235</v>
      </c>
      <c r="B51" s="95">
        <v>381</v>
      </c>
      <c r="C51" s="96">
        <v>77.028648376464844</v>
      </c>
      <c r="D51" s="97">
        <v>8.6263372809843091</v>
      </c>
      <c r="E51" s="98">
        <v>1.901619229967457</v>
      </c>
      <c r="F51" s="99">
        <v>12.15321256266615</v>
      </c>
      <c r="G51" s="98">
        <v>5.5580264779004196</v>
      </c>
      <c r="H51" s="100">
        <v>13.270986786783549</v>
      </c>
      <c r="I51" s="101">
        <v>5.8425605663676121</v>
      </c>
      <c r="J51" s="97">
        <v>6.3930011189493454</v>
      </c>
      <c r="K51" s="98">
        <v>4.1472961736121432</v>
      </c>
      <c r="L51" s="100">
        <v>3.1033679622364638</v>
      </c>
      <c r="M51" s="101">
        <v>1.8926484484476718</v>
      </c>
      <c r="N51" s="97">
        <v>-9.0498446004296831</v>
      </c>
      <c r="O51" s="102">
        <v>5.8973993939831582</v>
      </c>
      <c r="P51" s="99">
        <v>8.5827764111762548</v>
      </c>
      <c r="Q51" s="98">
        <v>2.7874141314399594</v>
      </c>
      <c r="R51" s="100">
        <v>9.4086213668781387</v>
      </c>
      <c r="S51" s="101">
        <v>2.572107188842502</v>
      </c>
      <c r="T51" s="97">
        <v>0</v>
      </c>
      <c r="U51" s="101" t="s">
        <v>35</v>
      </c>
      <c r="V51" s="97">
        <v>-0.59246579291523815</v>
      </c>
      <c r="W51" s="104">
        <v>3.2666345010103339</v>
      </c>
      <c r="X51" s="124"/>
      <c r="Y51" s="124"/>
      <c r="Z51" s="124"/>
      <c r="AA51" s="124"/>
      <c r="AB51" s="124"/>
      <c r="AC51" s="124"/>
      <c r="AD51" s="124"/>
      <c r="AE51" s="124"/>
    </row>
    <row r="52" spans="1:31" s="105" customFormat="1" x14ac:dyDescent="0.25">
      <c r="A52" s="118" t="s">
        <v>302</v>
      </c>
      <c r="B52" s="95">
        <v>146</v>
      </c>
      <c r="C52" s="96">
        <v>89.849540710449219</v>
      </c>
      <c r="D52" s="97">
        <v>13.19189533280046</v>
      </c>
      <c r="E52" s="98">
        <v>2.1217313835108524</v>
      </c>
      <c r="F52" s="99">
        <v>22.626740513132781</v>
      </c>
      <c r="G52" s="98">
        <v>6.7513052467480001</v>
      </c>
      <c r="H52" s="100">
        <v>12.067631843744509</v>
      </c>
      <c r="I52" s="101">
        <v>6.3475736247023278</v>
      </c>
      <c r="J52" s="97">
        <v>10.123202045880159</v>
      </c>
      <c r="K52" s="98">
        <v>5.4526300274364878</v>
      </c>
      <c r="L52" s="100">
        <v>7.8191266029858646</v>
      </c>
      <c r="M52" s="101">
        <v>4.7344054998768383</v>
      </c>
      <c r="N52" s="97">
        <v>-14.80761391014692</v>
      </c>
      <c r="O52" s="102">
        <v>9.091979071323669</v>
      </c>
      <c r="P52" s="99">
        <v>13.64403739705133</v>
      </c>
      <c r="Q52" s="98">
        <v>2.2642696954690509</v>
      </c>
      <c r="R52" s="100" t="s">
        <v>34</v>
      </c>
      <c r="S52" s="101" t="s">
        <v>34</v>
      </c>
      <c r="T52" s="97">
        <v>0</v>
      </c>
      <c r="U52" s="101" t="s">
        <v>35</v>
      </c>
      <c r="V52" s="97">
        <v>-13.64403739705133</v>
      </c>
      <c r="W52" s="104">
        <v>2.2642696954690509</v>
      </c>
      <c r="X52" s="124"/>
      <c r="Y52" s="124"/>
      <c r="Z52" s="124"/>
      <c r="AA52" s="124"/>
      <c r="AB52" s="124"/>
      <c r="AC52" s="124"/>
      <c r="AD52" s="124"/>
      <c r="AE52" s="124"/>
    </row>
    <row r="53" spans="1:31" s="105" customFormat="1" x14ac:dyDescent="0.25">
      <c r="A53" s="118" t="s">
        <v>236</v>
      </c>
      <c r="B53" s="95" t="s">
        <v>34</v>
      </c>
      <c r="C53" s="96" t="s">
        <v>34</v>
      </c>
      <c r="D53" s="97">
        <v>15.102149467642031</v>
      </c>
      <c r="E53" s="98">
        <v>0.3793281503548418</v>
      </c>
      <c r="F53" s="99">
        <v>20.419027326731069</v>
      </c>
      <c r="G53" s="98">
        <v>0.9219311204706534</v>
      </c>
      <c r="H53" s="100">
        <v>16.894199973590489</v>
      </c>
      <c r="I53" s="101">
        <v>0.93508001597227164</v>
      </c>
      <c r="J53" s="97">
        <v>13.56173799698816</v>
      </c>
      <c r="K53" s="98">
        <v>0.9237196869738854</v>
      </c>
      <c r="L53" s="100">
        <v>10.12636143038698</v>
      </c>
      <c r="M53" s="101">
        <v>0.72455443606691006</v>
      </c>
      <c r="N53" s="97">
        <v>-10.29266589634409</v>
      </c>
      <c r="O53" s="102">
        <v>1.169670318175986</v>
      </c>
      <c r="P53" s="99">
        <v>16.483476879271411</v>
      </c>
      <c r="Q53" s="98">
        <v>0.49129519324319543</v>
      </c>
      <c r="R53" s="100">
        <v>11.86573712827702</v>
      </c>
      <c r="S53" s="101">
        <v>1.958846804415769</v>
      </c>
      <c r="T53" s="97">
        <v>8.5861455248761214</v>
      </c>
      <c r="U53" s="101">
        <v>2.0474365744904741</v>
      </c>
      <c r="V53" s="97">
        <v>-6.7122188132597262</v>
      </c>
      <c r="W53" s="104">
        <v>1.4367870008196011</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323</v>
      </c>
      <c r="C55" s="96">
        <v>98.605331420898438</v>
      </c>
      <c r="D55" s="97">
        <v>4.4095453638518123</v>
      </c>
      <c r="E55" s="98">
        <v>1.0359872008164097</v>
      </c>
      <c r="F55" s="99">
        <v>7.4221795735385117</v>
      </c>
      <c r="G55" s="98">
        <v>2.5515965839281711</v>
      </c>
      <c r="H55" s="100">
        <v>3.010356486671427</v>
      </c>
      <c r="I55" s="101">
        <v>1.8342718963471845</v>
      </c>
      <c r="J55" s="97">
        <v>3.9135829822520671</v>
      </c>
      <c r="K55" s="98">
        <v>2.6215398855299754</v>
      </c>
      <c r="L55" s="100">
        <v>3.2702817840590912</v>
      </c>
      <c r="M55" s="101">
        <v>1.7704190922196272</v>
      </c>
      <c r="N55" s="97">
        <v>-4.1518977894794196</v>
      </c>
      <c r="O55" s="102">
        <v>3.0769178797659671</v>
      </c>
      <c r="P55" s="99">
        <v>4.7651473619246199</v>
      </c>
      <c r="Q55" s="98">
        <v>1.168722245720704</v>
      </c>
      <c r="R55" s="100" t="s">
        <v>34</v>
      </c>
      <c r="S55" s="101" t="s">
        <v>34</v>
      </c>
      <c r="T55" s="97">
        <v>1.602529099237749</v>
      </c>
      <c r="U55" s="101">
        <v>1.1817208252889095</v>
      </c>
      <c r="V55" s="97">
        <v>-3.1626182626868706</v>
      </c>
      <c r="W55" s="104">
        <v>1.6954513136567004</v>
      </c>
      <c r="X55" s="124"/>
      <c r="Y55" s="124"/>
      <c r="Z55" s="124"/>
      <c r="AA55" s="124"/>
      <c r="AB55" s="124"/>
      <c r="AC55" s="124"/>
      <c r="AD55" s="124"/>
      <c r="AE55" s="124"/>
    </row>
    <row r="56" spans="1:31" s="105" customFormat="1" x14ac:dyDescent="0.25">
      <c r="A56" s="118" t="s">
        <v>238</v>
      </c>
      <c r="B56" s="95">
        <v>432</v>
      </c>
      <c r="C56" s="96">
        <v>94.33917236328125</v>
      </c>
      <c r="D56" s="97">
        <v>17.914707750919199</v>
      </c>
      <c r="E56" s="98">
        <v>2.5629208734740536</v>
      </c>
      <c r="F56" s="99">
        <v>21.886308695458119</v>
      </c>
      <c r="G56" s="98">
        <v>5.8322196959456596</v>
      </c>
      <c r="H56" s="100">
        <v>22.505689314898571</v>
      </c>
      <c r="I56" s="101">
        <v>6.6468097946449607</v>
      </c>
      <c r="J56" s="97">
        <v>18.441697131366059</v>
      </c>
      <c r="K56" s="98">
        <v>5.5450532900777931</v>
      </c>
      <c r="L56" s="100">
        <v>8.7480759921987801</v>
      </c>
      <c r="M56" s="101">
        <v>3.7649379271176371</v>
      </c>
      <c r="N56" s="97">
        <v>-13.138232703259339</v>
      </c>
      <c r="O56" s="102">
        <v>7.066419998124891</v>
      </c>
      <c r="P56" s="99">
        <v>23.420922413670329</v>
      </c>
      <c r="Q56" s="98">
        <v>3.4609399572425383</v>
      </c>
      <c r="R56" s="100">
        <v>9.0787747218203805</v>
      </c>
      <c r="S56" s="101">
        <v>4.1607655029429438</v>
      </c>
      <c r="T56" s="97">
        <v>0</v>
      </c>
      <c r="U56" s="101" t="s">
        <v>35</v>
      </c>
      <c r="V56" s="97">
        <v>-16.826096240489985</v>
      </c>
      <c r="W56" s="104">
        <v>4.4615942074351125</v>
      </c>
      <c r="X56" s="124"/>
      <c r="Y56" s="124"/>
      <c r="Z56" s="124"/>
      <c r="AA56" s="124"/>
      <c r="AB56" s="124"/>
      <c r="AC56" s="124"/>
      <c r="AD56" s="124"/>
      <c r="AE56" s="124"/>
    </row>
    <row r="57" spans="1:31" s="105" customFormat="1" x14ac:dyDescent="0.25">
      <c r="A57" s="118" t="s">
        <v>239</v>
      </c>
      <c r="B57" s="95">
        <v>124</v>
      </c>
      <c r="C57" s="96">
        <v>60.621807098388672</v>
      </c>
      <c r="D57" s="97">
        <v>27.88678896840841</v>
      </c>
      <c r="E57" s="98">
        <v>3.9527982966982358</v>
      </c>
      <c r="F57" s="99">
        <v>27.783249629032809</v>
      </c>
      <c r="G57" s="98">
        <v>7.5950535180300909</v>
      </c>
      <c r="H57" s="100">
        <v>20.69244097431115</v>
      </c>
      <c r="I57" s="101">
        <v>8.189909790878426</v>
      </c>
      <c r="J57" s="97">
        <v>32.96320839615354</v>
      </c>
      <c r="K57" s="98">
        <v>9.4777252723730268</v>
      </c>
      <c r="L57" s="100">
        <v>30.233667116432891</v>
      </c>
      <c r="M57" s="101">
        <v>9.176956231485887</v>
      </c>
      <c r="N57" s="97">
        <v>2.450417487400081</v>
      </c>
      <c r="O57" s="102">
        <v>11.848147868027858</v>
      </c>
      <c r="P57" s="99">
        <v>28.021227747828281</v>
      </c>
      <c r="Q57" s="98">
        <v>3.9772887939644694</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11.818436708333049</v>
      </c>
      <c r="E58" s="98">
        <v>2.4132089771255489</v>
      </c>
      <c r="F58" s="99">
        <v>9.5261158892864088</v>
      </c>
      <c r="G58" s="98">
        <v>4.1795067788011968</v>
      </c>
      <c r="H58" s="100">
        <v>6.4944355800261269</v>
      </c>
      <c r="I58" s="101">
        <v>4.8568706122893177</v>
      </c>
      <c r="J58" s="97">
        <v>20.56030251410089</v>
      </c>
      <c r="K58" s="98">
        <v>7.3256267064600236</v>
      </c>
      <c r="L58" s="100">
        <v>10.593161732063351</v>
      </c>
      <c r="M58" s="101">
        <v>5.530736923386784</v>
      </c>
      <c r="N58" s="97">
        <v>1.067045842776942</v>
      </c>
      <c r="O58" s="102">
        <v>6.8215865633577444</v>
      </c>
      <c r="P58" s="99">
        <v>11.86469840201592</v>
      </c>
      <c r="Q58" s="98">
        <v>2.4224148968358006</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4.216219832123965</v>
      </c>
      <c r="E59" s="98">
        <v>1.5435623582966189</v>
      </c>
      <c r="F59" s="99">
        <v>10.152396379149311</v>
      </c>
      <c r="G59" s="98">
        <v>4.6399769761154532</v>
      </c>
      <c r="H59" s="100">
        <v>3.5311993334829448</v>
      </c>
      <c r="I59" s="101">
        <v>2.4893253377824132</v>
      </c>
      <c r="J59" s="97">
        <v>3.058673581094614</v>
      </c>
      <c r="K59" s="98">
        <v>3.1767835258002242</v>
      </c>
      <c r="L59" s="100">
        <v>0</v>
      </c>
      <c r="M59" s="101" t="s">
        <v>35</v>
      </c>
      <c r="N59" s="97">
        <v>-10.152396379149311</v>
      </c>
      <c r="O59" s="102">
        <v>4.6399769761154532</v>
      </c>
      <c r="P59" s="99">
        <v>4.2660082336313234</v>
      </c>
      <c r="Q59" s="98">
        <v>1.5629581357958102</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414</v>
      </c>
      <c r="C60" s="96">
        <v>76.534011840820313</v>
      </c>
      <c r="D60" s="97">
        <v>11.77172272908148</v>
      </c>
      <c r="E60" s="98">
        <v>1.8654946853662535</v>
      </c>
      <c r="F60" s="99">
        <v>9.5739256778673116</v>
      </c>
      <c r="G60" s="98">
        <v>3.1955878355515916</v>
      </c>
      <c r="H60" s="100">
        <v>17.525590850390369</v>
      </c>
      <c r="I60" s="101">
        <v>4.6308128420154011</v>
      </c>
      <c r="J60" s="97">
        <v>15.061478699114129</v>
      </c>
      <c r="K60" s="98">
        <v>4.2744814872563355</v>
      </c>
      <c r="L60" s="100">
        <v>4.8919620799010453</v>
      </c>
      <c r="M60" s="101">
        <v>2.3009431082768614</v>
      </c>
      <c r="N60" s="97">
        <v>-4.6819635979662664</v>
      </c>
      <c r="O60" s="102">
        <v>3.8842009710527527</v>
      </c>
      <c r="P60" s="99">
        <v>14.099252316648739</v>
      </c>
      <c r="Q60" s="98">
        <v>2.2327207205445023</v>
      </c>
      <c r="R60" s="100" t="s">
        <v>34</v>
      </c>
      <c r="S60" s="101" t="s">
        <v>34</v>
      </c>
      <c r="T60" s="97">
        <v>1.4904359441597379</v>
      </c>
      <c r="U60" s="101">
        <v>1.5761149905554321</v>
      </c>
      <c r="V60" s="97">
        <v>-12.608816372489001</v>
      </c>
      <c r="W60" s="104">
        <v>2.7177935991797879</v>
      </c>
      <c r="X60" s="124"/>
      <c r="Y60" s="124"/>
      <c r="Z60" s="124"/>
      <c r="AA60" s="124"/>
      <c r="AB60" s="124"/>
      <c r="AC60" s="124"/>
      <c r="AD60" s="124"/>
      <c r="AE60" s="124"/>
    </row>
    <row r="61" spans="1:31" s="105" customFormat="1" x14ac:dyDescent="0.25">
      <c r="A61" s="118" t="s">
        <v>243</v>
      </c>
      <c r="B61" s="95">
        <v>55</v>
      </c>
      <c r="C61" s="96">
        <v>100</v>
      </c>
      <c r="D61" s="97">
        <v>6.5048176157555746</v>
      </c>
      <c r="E61" s="98">
        <v>4.3512611531920126E-2</v>
      </c>
      <c r="F61" s="99">
        <v>9.4809370820307333</v>
      </c>
      <c r="G61" s="98">
        <v>0.13607304184922001</v>
      </c>
      <c r="H61" s="100">
        <v>12.93350602008022</v>
      </c>
      <c r="I61" s="101">
        <v>0.11428762325379217</v>
      </c>
      <c r="J61" s="97">
        <v>0.88431252815207495</v>
      </c>
      <c r="K61" s="98">
        <v>1.2991827875173872E-2</v>
      </c>
      <c r="L61" s="100">
        <v>2.7861129893634802</v>
      </c>
      <c r="M61" s="101">
        <v>6.2777483535464015E-2</v>
      </c>
      <c r="N61" s="97">
        <v>-6.694824092667254</v>
      </c>
      <c r="O61" s="102">
        <v>0.15732524015926744</v>
      </c>
      <c r="P61" s="99">
        <v>6.9462389249156331</v>
      </c>
      <c r="Q61" s="98">
        <v>5.0379714488821788E-2</v>
      </c>
      <c r="R61" s="100" t="s">
        <v>34</v>
      </c>
      <c r="S61" s="101" t="s">
        <v>34</v>
      </c>
      <c r="T61" s="97">
        <v>4.1264555937634784</v>
      </c>
      <c r="U61" s="101">
        <v>9.6054856413099479E-2</v>
      </c>
      <c r="V61" s="97">
        <v>-2.8197833311521547</v>
      </c>
      <c r="W61" s="104">
        <v>0.11368109801371727</v>
      </c>
      <c r="X61" s="124"/>
      <c r="Y61" s="124"/>
      <c r="Z61" s="124"/>
      <c r="AA61" s="124"/>
      <c r="AB61" s="124"/>
      <c r="AC61" s="124"/>
      <c r="AD61" s="124"/>
      <c r="AE61" s="124"/>
    </row>
    <row r="62" spans="1:31" s="105" customFormat="1" x14ac:dyDescent="0.25">
      <c r="A62" s="118" t="s">
        <v>244</v>
      </c>
      <c r="B62" s="95">
        <v>361</v>
      </c>
      <c r="C62" s="96">
        <v>100</v>
      </c>
      <c r="D62" s="97">
        <v>40.743191979446031</v>
      </c>
      <c r="E62" s="98">
        <v>3.7558878476334119</v>
      </c>
      <c r="F62" s="99">
        <v>46.614341652673282</v>
      </c>
      <c r="G62" s="98">
        <v>7.171671897433467</v>
      </c>
      <c r="H62" s="100">
        <v>49.385839804131137</v>
      </c>
      <c r="I62" s="101">
        <v>8.5610274296942226</v>
      </c>
      <c r="J62" s="97">
        <v>39.507891525068871</v>
      </c>
      <c r="K62" s="98">
        <v>9.3572618145914674</v>
      </c>
      <c r="L62" s="100">
        <v>27.283330155802201</v>
      </c>
      <c r="M62" s="101">
        <v>4.8803562311748161</v>
      </c>
      <c r="N62" s="97">
        <v>-19.331011496871081</v>
      </c>
      <c r="O62" s="102">
        <v>9.2121038897084109</v>
      </c>
      <c r="P62" s="99">
        <v>41.864498966868659</v>
      </c>
      <c r="Q62" s="98">
        <v>4.0053994486608104</v>
      </c>
      <c r="R62" s="100" t="s">
        <v>34</v>
      </c>
      <c r="S62" s="101" t="s">
        <v>34</v>
      </c>
      <c r="T62" s="97">
        <v>32.554065842333962</v>
      </c>
      <c r="U62" s="101">
        <v>8.6390776462529359</v>
      </c>
      <c r="V62" s="97">
        <v>-9.310433124534697</v>
      </c>
      <c r="W62" s="104">
        <v>9.2216086723359503</v>
      </c>
      <c r="X62" s="124"/>
      <c r="Y62" s="124"/>
      <c r="Z62" s="124"/>
      <c r="AA62" s="124"/>
      <c r="AB62" s="124"/>
      <c r="AC62" s="124"/>
      <c r="AD62" s="124"/>
      <c r="AE62" s="124"/>
    </row>
    <row r="63" spans="1:31" s="105" customFormat="1" x14ac:dyDescent="0.25">
      <c r="A63" s="118" t="s">
        <v>245</v>
      </c>
      <c r="B63" s="95">
        <v>189</v>
      </c>
      <c r="C63" s="96">
        <v>96.292770385742188</v>
      </c>
      <c r="D63" s="97">
        <v>5.8624024252408757</v>
      </c>
      <c r="E63" s="98">
        <v>1.771023206150584</v>
      </c>
      <c r="F63" s="99">
        <v>6.2405085525278414</v>
      </c>
      <c r="G63" s="98">
        <v>3.2790146206785544</v>
      </c>
      <c r="H63" s="100">
        <v>2.600239195558244</v>
      </c>
      <c r="I63" s="101">
        <v>2.8303960015709131</v>
      </c>
      <c r="J63" s="97">
        <v>7.2540684343363822</v>
      </c>
      <c r="K63" s="98">
        <v>4.5667959430825329</v>
      </c>
      <c r="L63" s="100">
        <v>7.3181528531697806</v>
      </c>
      <c r="M63" s="101">
        <v>4.8384272903181929</v>
      </c>
      <c r="N63" s="97">
        <v>1.0776443006419409</v>
      </c>
      <c r="O63" s="102">
        <v>6.0688066171766399</v>
      </c>
      <c r="P63" s="99">
        <v>5.9456149353338246</v>
      </c>
      <c r="Q63" s="98">
        <v>1.7907343891643415</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35.679551097610378</v>
      </c>
      <c r="E64" s="98">
        <v>3.2720792778881651</v>
      </c>
      <c r="F64" s="99">
        <v>40.351814702525303</v>
      </c>
      <c r="G64" s="98">
        <v>7.008927307763221</v>
      </c>
      <c r="H64" s="100">
        <v>29.654714481542641</v>
      </c>
      <c r="I64" s="101">
        <v>5.8348630701824327</v>
      </c>
      <c r="J64" s="97">
        <v>36.390068010752259</v>
      </c>
      <c r="K64" s="98">
        <v>10.543792626185111</v>
      </c>
      <c r="L64" s="100">
        <v>36.466919381265008</v>
      </c>
      <c r="M64" s="101">
        <v>10.871268464663714</v>
      </c>
      <c r="N64" s="97">
        <v>-3.8848953212602879</v>
      </c>
      <c r="O64" s="102">
        <v>13.06588762021968</v>
      </c>
      <c r="P64" s="99">
        <v>34.717048946127257</v>
      </c>
      <c r="Q64" s="98">
        <v>3.3733078777121519</v>
      </c>
      <c r="R64" s="100" t="s">
        <v>34</v>
      </c>
      <c r="S64" s="101" t="s">
        <v>34</v>
      </c>
      <c r="T64" s="97">
        <v>43.910902518196252</v>
      </c>
      <c r="U64" s="101">
        <v>11.318201571292771</v>
      </c>
      <c r="V64" s="97">
        <v>9.1938535720689956</v>
      </c>
      <c r="W64" s="104">
        <v>11.880854872995771</v>
      </c>
      <c r="X64" s="124"/>
      <c r="Y64" s="124"/>
      <c r="Z64" s="124"/>
      <c r="AA64" s="124"/>
      <c r="AB64" s="124"/>
      <c r="AC64" s="124"/>
      <c r="AD64" s="124"/>
      <c r="AE64" s="124"/>
    </row>
    <row r="65" spans="1:31" s="105" customFormat="1" x14ac:dyDescent="0.25">
      <c r="A65" s="118" t="s">
        <v>247</v>
      </c>
      <c r="B65" s="95">
        <v>176</v>
      </c>
      <c r="C65" s="96">
        <v>97.777084350585938</v>
      </c>
      <c r="D65" s="97">
        <v>15.496798160458169</v>
      </c>
      <c r="E65" s="98">
        <v>2.4075149967319711</v>
      </c>
      <c r="F65" s="99">
        <v>11.65184160494298</v>
      </c>
      <c r="G65" s="98">
        <v>6.6927723105915815</v>
      </c>
      <c r="H65" s="100">
        <v>15.697773427745901</v>
      </c>
      <c r="I65" s="101">
        <v>7.3035401846037891</v>
      </c>
      <c r="J65" s="97">
        <v>20.55647024961187</v>
      </c>
      <c r="K65" s="98">
        <v>6.2822177509549455</v>
      </c>
      <c r="L65" s="100">
        <v>14.31143705310606</v>
      </c>
      <c r="M65" s="101">
        <v>4.430381558684533</v>
      </c>
      <c r="N65" s="97">
        <v>2.6595954481630781</v>
      </c>
      <c r="O65" s="102">
        <v>8.7606483014780778</v>
      </c>
      <c r="P65" s="99">
        <v>15.973063871391799</v>
      </c>
      <c r="Q65" s="98">
        <v>2.5013712353380964</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16.297208963410888</v>
      </c>
      <c r="E66" s="98">
        <v>0.12810791094423987</v>
      </c>
      <c r="F66" s="99">
        <v>32.147722414268323</v>
      </c>
      <c r="G66" s="98">
        <v>0.35022187267667038</v>
      </c>
      <c r="H66" s="100">
        <v>23.577637977588591</v>
      </c>
      <c r="I66" s="101">
        <v>0.14470904874990473</v>
      </c>
      <c r="J66" s="97">
        <v>8.4295404086433567</v>
      </c>
      <c r="K66" s="98">
        <v>0.1902124717905663</v>
      </c>
      <c r="L66" s="100">
        <v>0</v>
      </c>
      <c r="M66" s="101" t="s">
        <v>35</v>
      </c>
      <c r="N66" s="97">
        <v>-32.147722414268323</v>
      </c>
      <c r="O66" s="102">
        <v>0.35022187267667038</v>
      </c>
      <c r="P66" s="99">
        <v>19.73163191381575</v>
      </c>
      <c r="Q66" s="98">
        <v>0.14957684608386773</v>
      </c>
      <c r="R66" s="100" t="s">
        <v>34</v>
      </c>
      <c r="S66" s="101" t="s">
        <v>34</v>
      </c>
      <c r="T66" s="97">
        <v>0</v>
      </c>
      <c r="U66" s="101" t="s">
        <v>35</v>
      </c>
      <c r="V66" s="97">
        <v>-19.73163191381575</v>
      </c>
      <c r="W66" s="104">
        <v>0.14957684608386773</v>
      </c>
      <c r="X66" s="124"/>
      <c r="Y66" s="124"/>
      <c r="Z66" s="124"/>
      <c r="AA66" s="124"/>
      <c r="AB66" s="124"/>
      <c r="AC66" s="124"/>
      <c r="AD66" s="124"/>
      <c r="AE66" s="124"/>
    </row>
    <row r="67" spans="1:31" s="105" customFormat="1" x14ac:dyDescent="0.25">
      <c r="A67" s="118" t="s">
        <v>249</v>
      </c>
      <c r="B67" s="95">
        <v>205</v>
      </c>
      <c r="C67" s="96">
        <v>87.0787353515625</v>
      </c>
      <c r="D67" s="97">
        <v>19.061624957072649</v>
      </c>
      <c r="E67" s="98">
        <v>2.7274601512493799</v>
      </c>
      <c r="F67" s="99">
        <v>22.268079748991219</v>
      </c>
      <c r="G67" s="98">
        <v>5.2254523693193562</v>
      </c>
      <c r="H67" s="100">
        <v>22.424743203794751</v>
      </c>
      <c r="I67" s="101">
        <v>7.4673813110321898</v>
      </c>
      <c r="J67" s="97">
        <v>20.416667273386281</v>
      </c>
      <c r="K67" s="98">
        <v>6.5985374338664897</v>
      </c>
      <c r="L67" s="100">
        <v>10.93731353248875</v>
      </c>
      <c r="M67" s="101">
        <v>7.1229997965032936</v>
      </c>
      <c r="N67" s="97">
        <v>-11.330766216502459</v>
      </c>
      <c r="O67" s="102">
        <v>8.5930852561932038</v>
      </c>
      <c r="P67" s="99">
        <v>21.30460248589252</v>
      </c>
      <c r="Q67" s="98">
        <v>3.2489980848632976</v>
      </c>
      <c r="R67" s="100">
        <v>0</v>
      </c>
      <c r="S67" s="101" t="s">
        <v>35</v>
      </c>
      <c r="T67" s="97">
        <v>9.6478276857985961</v>
      </c>
      <c r="U67" s="101">
        <v>5.6961737185955252</v>
      </c>
      <c r="V67" s="97">
        <v>-12.66949370446833</v>
      </c>
      <c r="W67" s="104">
        <v>6.3578750630693319</v>
      </c>
      <c r="X67" s="124"/>
      <c r="Y67" s="124"/>
      <c r="Z67" s="124"/>
      <c r="AA67" s="124"/>
      <c r="AB67" s="124"/>
      <c r="AC67" s="124"/>
      <c r="AD67" s="124"/>
      <c r="AE67" s="124"/>
    </row>
    <row r="68" spans="1:31" s="105" customFormat="1" x14ac:dyDescent="0.25">
      <c r="A68" s="118" t="s">
        <v>250</v>
      </c>
      <c r="B68" s="95">
        <v>306</v>
      </c>
      <c r="C68" s="96">
        <v>97.850662231445313</v>
      </c>
      <c r="D68" s="97">
        <v>19.816088460775319</v>
      </c>
      <c r="E68" s="98">
        <v>2.9502585937381038</v>
      </c>
      <c r="F68" s="99">
        <v>21.888539027910081</v>
      </c>
      <c r="G68" s="98">
        <v>5.0271886873471239</v>
      </c>
      <c r="H68" s="100">
        <v>17.243150880286471</v>
      </c>
      <c r="I68" s="101">
        <v>6.0120209313920139</v>
      </c>
      <c r="J68" s="97">
        <v>21.289191543707151</v>
      </c>
      <c r="K68" s="98">
        <v>6.2573929824768859</v>
      </c>
      <c r="L68" s="100">
        <v>18.855986201677219</v>
      </c>
      <c r="M68" s="101">
        <v>6.2075006091900669</v>
      </c>
      <c r="N68" s="97">
        <v>-3.032552826232866</v>
      </c>
      <c r="O68" s="102">
        <v>7.5857472866317259</v>
      </c>
      <c r="P68" s="99">
        <v>19.680618943778409</v>
      </c>
      <c r="Q68" s="98">
        <v>3.1744609251561147</v>
      </c>
      <c r="R68" s="100" t="s">
        <v>34</v>
      </c>
      <c r="S68" s="101" t="s">
        <v>34</v>
      </c>
      <c r="T68" s="97">
        <v>19.011037319280049</v>
      </c>
      <c r="U68" s="101">
        <v>6.6018000569848576</v>
      </c>
      <c r="V68" s="97">
        <v>-0.66958162449835967</v>
      </c>
      <c r="W68" s="104">
        <v>7.2439670349192848</v>
      </c>
      <c r="X68" s="124"/>
      <c r="Y68" s="124"/>
      <c r="Z68" s="124"/>
      <c r="AA68" s="124"/>
      <c r="AB68" s="124"/>
      <c r="AC68" s="124"/>
      <c r="AD68" s="124"/>
      <c r="AE68" s="124"/>
    </row>
    <row r="69" spans="1:31" s="105" customFormat="1" x14ac:dyDescent="0.25">
      <c r="A69" s="118" t="s">
        <v>303</v>
      </c>
      <c r="B69" s="95">
        <v>112</v>
      </c>
      <c r="C69" s="96">
        <v>75.546546936035156</v>
      </c>
      <c r="D69" s="97">
        <v>10.64433504531519</v>
      </c>
      <c r="E69" s="98">
        <v>2.9315437885359739</v>
      </c>
      <c r="F69" s="99">
        <v>20.351594789827061</v>
      </c>
      <c r="G69" s="98">
        <v>11.125934480982872</v>
      </c>
      <c r="H69" s="100">
        <v>11.729025539321039</v>
      </c>
      <c r="I69" s="101">
        <v>10.253807755425274</v>
      </c>
      <c r="J69" s="97">
        <v>10.45096383539793</v>
      </c>
      <c r="K69" s="98">
        <v>5.7786114442599699</v>
      </c>
      <c r="L69" s="100">
        <v>0</v>
      </c>
      <c r="M69" s="101" t="s">
        <v>35</v>
      </c>
      <c r="N69" s="97">
        <v>-20.351594789827061</v>
      </c>
      <c r="O69" s="102">
        <v>11.125934480982872</v>
      </c>
      <c r="P69" s="99">
        <v>9.6977083262510551</v>
      </c>
      <c r="Q69" s="98">
        <v>9.2329519587752262</v>
      </c>
      <c r="R69" s="100">
        <v>11.140279226225051</v>
      </c>
      <c r="S69" s="101">
        <v>3.2436848673222003</v>
      </c>
      <c r="T69" s="97" t="s">
        <v>34</v>
      </c>
      <c r="U69" s="101" t="s">
        <v>34</v>
      </c>
      <c r="V69" s="97">
        <v>1.4425708999739957</v>
      </c>
      <c r="W69" s="104">
        <v>9.9105696667595424</v>
      </c>
      <c r="X69" s="124"/>
      <c r="Y69" s="124"/>
      <c r="Z69" s="124"/>
      <c r="AA69" s="124"/>
      <c r="AB69" s="124"/>
      <c r="AC69" s="124"/>
      <c r="AD69" s="124"/>
      <c r="AE69" s="124"/>
    </row>
    <row r="70" spans="1:31" s="105" customFormat="1" x14ac:dyDescent="0.25">
      <c r="A70" s="118" t="s">
        <v>251</v>
      </c>
      <c r="B70" s="95">
        <v>339</v>
      </c>
      <c r="C70" s="96">
        <v>88.048240661621094</v>
      </c>
      <c r="D70" s="97">
        <v>24.853166729599799</v>
      </c>
      <c r="E70" s="98">
        <v>4.047747929320157</v>
      </c>
      <c r="F70" s="99">
        <v>37.706516847476983</v>
      </c>
      <c r="G70" s="98">
        <v>8.9814025531479889</v>
      </c>
      <c r="H70" s="100">
        <v>15.941635767799241</v>
      </c>
      <c r="I70" s="101">
        <v>6.9273736203121956</v>
      </c>
      <c r="J70" s="97">
        <v>28.858418208964331</v>
      </c>
      <c r="K70" s="98">
        <v>9.6504678456319635</v>
      </c>
      <c r="L70" s="100">
        <v>17.404408554974001</v>
      </c>
      <c r="M70" s="101">
        <v>9.1050092369878595</v>
      </c>
      <c r="N70" s="97">
        <v>-20.302108292502979</v>
      </c>
      <c r="O70" s="102">
        <v>12.691635318171905</v>
      </c>
      <c r="P70" s="99">
        <v>27.488866047481579</v>
      </c>
      <c r="Q70" s="98">
        <v>5.2572576988758613</v>
      </c>
      <c r="R70" s="100">
        <v>14.30736269355315</v>
      </c>
      <c r="S70" s="101">
        <v>5.5751044617027512</v>
      </c>
      <c r="T70" s="97">
        <v>31.96830151204308</v>
      </c>
      <c r="U70" s="101">
        <v>12.18074696986683</v>
      </c>
      <c r="V70" s="97">
        <v>-5.4187446910842993</v>
      </c>
      <c r="W70" s="104">
        <v>8.6134077846397847</v>
      </c>
      <c r="X70" s="124"/>
      <c r="Y70" s="124"/>
      <c r="Z70" s="124"/>
      <c r="AA70" s="124"/>
      <c r="AB70" s="124"/>
      <c r="AC70" s="124"/>
      <c r="AD70" s="124"/>
      <c r="AE70" s="124"/>
    </row>
    <row r="71" spans="1:31" s="105" customFormat="1" x14ac:dyDescent="0.25">
      <c r="A71" s="118" t="s">
        <v>252</v>
      </c>
      <c r="B71" s="95">
        <v>305</v>
      </c>
      <c r="C71" s="96">
        <v>97.547958374023438</v>
      </c>
      <c r="D71" s="97">
        <v>40.309487716794493</v>
      </c>
      <c r="E71" s="98">
        <v>2.9290338532686038</v>
      </c>
      <c r="F71" s="99">
        <v>41.076451994806398</v>
      </c>
      <c r="G71" s="98">
        <v>6.4146572568461284</v>
      </c>
      <c r="H71" s="100">
        <v>44.428965421043337</v>
      </c>
      <c r="I71" s="101">
        <v>6.4778637052887591</v>
      </c>
      <c r="J71" s="97">
        <v>37.566100820097297</v>
      </c>
      <c r="K71" s="98">
        <v>8.6970449054076848</v>
      </c>
      <c r="L71" s="100">
        <v>38.060867749737326</v>
      </c>
      <c r="M71" s="101">
        <v>8.3808406422388746</v>
      </c>
      <c r="N71" s="97">
        <v>-3.0155842450690642</v>
      </c>
      <c r="O71" s="102">
        <v>10.13612672598175</v>
      </c>
      <c r="P71" s="99">
        <v>42.586103261685331</v>
      </c>
      <c r="Q71" s="98">
        <v>3.2323047471263178</v>
      </c>
      <c r="R71" s="100" t="s">
        <v>34</v>
      </c>
      <c r="S71" s="101" t="s">
        <v>34</v>
      </c>
      <c r="T71" s="97">
        <v>31.386152962525841</v>
      </c>
      <c r="U71" s="101">
        <v>6.7196797600454206</v>
      </c>
      <c r="V71" s="97">
        <v>-11.199950299159489</v>
      </c>
      <c r="W71" s="104">
        <v>7.4198507208284994</v>
      </c>
      <c r="X71" s="124"/>
      <c r="Y71" s="124"/>
      <c r="Z71" s="124"/>
      <c r="AA71" s="124"/>
      <c r="AB71" s="124"/>
      <c r="AC71" s="124"/>
      <c r="AD71" s="124"/>
      <c r="AE71" s="124"/>
    </row>
    <row r="72" spans="1:31" s="105" customFormat="1" x14ac:dyDescent="0.25">
      <c r="A72" s="118" t="s">
        <v>253</v>
      </c>
      <c r="B72" s="95">
        <v>516</v>
      </c>
      <c r="C72" s="96">
        <v>80.3912353515625</v>
      </c>
      <c r="D72" s="97">
        <v>18.730085786572641</v>
      </c>
      <c r="E72" s="98">
        <v>2.2661983232436511</v>
      </c>
      <c r="F72" s="99">
        <v>25.36853213080785</v>
      </c>
      <c r="G72" s="98">
        <v>5.8871080205489195</v>
      </c>
      <c r="H72" s="100">
        <v>22.05703453496757</v>
      </c>
      <c r="I72" s="101">
        <v>4.6039192136460798</v>
      </c>
      <c r="J72" s="97">
        <v>14.231671584398489</v>
      </c>
      <c r="K72" s="98">
        <v>3.7547704240015789</v>
      </c>
      <c r="L72" s="100">
        <v>13.080827536116081</v>
      </c>
      <c r="M72" s="101">
        <v>3.5554715665980066</v>
      </c>
      <c r="N72" s="97">
        <v>-12.287704594691769</v>
      </c>
      <c r="O72" s="102">
        <v>7.0325644209382299</v>
      </c>
      <c r="P72" s="99">
        <v>18.894534133977132</v>
      </c>
      <c r="Q72" s="98">
        <v>2.3249312553754056</v>
      </c>
      <c r="R72" s="100">
        <v>0</v>
      </c>
      <c r="S72" s="101" t="s">
        <v>35</v>
      </c>
      <c r="T72" s="97" t="s">
        <v>34</v>
      </c>
      <c r="U72" s="101" t="s">
        <v>34</v>
      </c>
      <c r="V72" s="97">
        <v>-18.894534133977132</v>
      </c>
      <c r="W72" s="104">
        <v>2.3249312553754056</v>
      </c>
      <c r="X72" s="124"/>
      <c r="Y72" s="124"/>
      <c r="Z72" s="124"/>
      <c r="AA72" s="124"/>
      <c r="AB72" s="124"/>
      <c r="AC72" s="124"/>
      <c r="AD72" s="124"/>
      <c r="AE72" s="124"/>
    </row>
    <row r="73" spans="1:31" s="105" customFormat="1" x14ac:dyDescent="0.25">
      <c r="A73" s="118" t="s">
        <v>254</v>
      </c>
      <c r="B73" s="95">
        <v>87</v>
      </c>
      <c r="C73" s="96">
        <v>72.684814453125</v>
      </c>
      <c r="D73" s="97">
        <v>9.4205168175076821</v>
      </c>
      <c r="E73" s="98">
        <v>1.0744189393395973</v>
      </c>
      <c r="F73" s="99">
        <v>13.137168437098749</v>
      </c>
      <c r="G73" s="98">
        <v>4.8139946340977016</v>
      </c>
      <c r="H73" s="100">
        <v>17.164639455812662</v>
      </c>
      <c r="I73" s="101">
        <v>5.3280203668491701</v>
      </c>
      <c r="J73" s="97">
        <v>5.1517560069100714</v>
      </c>
      <c r="K73" s="98">
        <v>3.5997674400776449</v>
      </c>
      <c r="L73" s="100">
        <v>2.1227959791110549</v>
      </c>
      <c r="M73" s="101">
        <v>0.23622663686787912</v>
      </c>
      <c r="N73" s="97">
        <v>-11.014372457987699</v>
      </c>
      <c r="O73" s="102">
        <v>4.8390782016325637</v>
      </c>
      <c r="P73" s="99">
        <v>9.0245763191152175</v>
      </c>
      <c r="Q73" s="98">
        <v>1.0912298339850304</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201</v>
      </c>
      <c r="C74" s="96">
        <v>75.003646850585938</v>
      </c>
      <c r="D74" s="97">
        <v>12.32016566963345</v>
      </c>
      <c r="E74" s="98">
        <v>2.4018272800426379</v>
      </c>
      <c r="F74" s="99">
        <v>10.3486014964937</v>
      </c>
      <c r="G74" s="98">
        <v>5.3179153946604982</v>
      </c>
      <c r="H74" s="100">
        <v>14.42987477562983</v>
      </c>
      <c r="I74" s="101">
        <v>6.396773188845633</v>
      </c>
      <c r="J74" s="97">
        <v>13.14411789079417</v>
      </c>
      <c r="K74" s="98">
        <v>6.2480368818911449</v>
      </c>
      <c r="L74" s="100">
        <v>11.411855336193639</v>
      </c>
      <c r="M74" s="101">
        <v>5.8134941508518647</v>
      </c>
      <c r="N74" s="97">
        <v>1.0632538396999409</v>
      </c>
      <c r="O74" s="102">
        <v>8.1781995533542915</v>
      </c>
      <c r="P74" s="99">
        <v>15.89726157364362</v>
      </c>
      <c r="Q74" s="98">
        <v>4.4437293266734628</v>
      </c>
      <c r="R74" s="100" t="s">
        <v>34</v>
      </c>
      <c r="S74" s="101" t="s">
        <v>34</v>
      </c>
      <c r="T74" s="97">
        <v>7.5835295060913319</v>
      </c>
      <c r="U74" s="101">
        <v>3.3361281527084823</v>
      </c>
      <c r="V74" s="97">
        <v>-8.3137320675522872</v>
      </c>
      <c r="W74" s="104">
        <v>5.7613779565974665</v>
      </c>
      <c r="X74" s="124"/>
      <c r="Y74" s="124"/>
      <c r="Z74" s="124"/>
      <c r="AA74" s="124"/>
      <c r="AB74" s="124"/>
      <c r="AC74" s="124"/>
      <c r="AD74" s="124"/>
      <c r="AE74" s="124"/>
    </row>
    <row r="75" spans="1:31" s="105" customFormat="1" x14ac:dyDescent="0.25">
      <c r="A75" s="118" t="s">
        <v>256</v>
      </c>
      <c r="B75" s="95">
        <v>45</v>
      </c>
      <c r="C75" s="96">
        <v>100</v>
      </c>
      <c r="D75" s="97">
        <v>23.85629184408759</v>
      </c>
      <c r="E75" s="98">
        <v>4.4417755350037773E-2</v>
      </c>
      <c r="F75" s="99">
        <v>22.179913994344609</v>
      </c>
      <c r="G75" s="98">
        <v>8.541229470227267E-2</v>
      </c>
      <c r="H75" s="100">
        <v>25.63536434936201</v>
      </c>
      <c r="I75" s="101">
        <v>5.8351628123205136E-2</v>
      </c>
      <c r="J75" s="97">
        <v>32.978930928808118</v>
      </c>
      <c r="K75" s="98">
        <v>9.7156423979824852E-2</v>
      </c>
      <c r="L75" s="100">
        <v>14.69940714457247</v>
      </c>
      <c r="M75" s="101">
        <v>9.9073366092591764E-2</v>
      </c>
      <c r="N75" s="97">
        <v>-7.4805068497721372</v>
      </c>
      <c r="O75" s="102">
        <v>0.13595426779316208</v>
      </c>
      <c r="P75" s="99">
        <v>73.355073143539983</v>
      </c>
      <c r="Q75" s="98">
        <v>4.1894430025136188E-2</v>
      </c>
      <c r="R75" s="100">
        <v>23.04628811730143</v>
      </c>
      <c r="S75" s="101">
        <v>5.0860204957067216E-2</v>
      </c>
      <c r="T75" s="97" t="s">
        <v>34</v>
      </c>
      <c r="U75" s="101" t="s">
        <v>34</v>
      </c>
      <c r="V75" s="97">
        <v>-50.308785026238553</v>
      </c>
      <c r="W75" s="104">
        <v>6.3254567492780453E-2</v>
      </c>
      <c r="X75" s="124"/>
      <c r="Y75" s="124"/>
      <c r="Z75" s="124"/>
      <c r="AA75" s="124"/>
      <c r="AB75" s="124"/>
      <c r="AC75" s="124"/>
      <c r="AD75" s="124"/>
      <c r="AE75" s="124"/>
    </row>
    <row r="76" spans="1:31" s="105" customFormat="1" x14ac:dyDescent="0.25">
      <c r="A76" s="118" t="s">
        <v>257</v>
      </c>
      <c r="B76" s="95">
        <v>190</v>
      </c>
      <c r="C76" s="96">
        <v>99.531219482421875</v>
      </c>
      <c r="D76" s="97">
        <v>12.589076224443801</v>
      </c>
      <c r="E76" s="98">
        <v>2.549027890515204</v>
      </c>
      <c r="F76" s="99">
        <v>22.073132508343061</v>
      </c>
      <c r="G76" s="98">
        <v>6.5241438492535702</v>
      </c>
      <c r="H76" s="100">
        <v>6.5685552291533513</v>
      </c>
      <c r="I76" s="101">
        <v>4.384645886601124</v>
      </c>
      <c r="J76" s="97">
        <v>10.620939651952011</v>
      </c>
      <c r="K76" s="98">
        <v>5.351575638816132</v>
      </c>
      <c r="L76" s="100">
        <v>11.238177958267791</v>
      </c>
      <c r="M76" s="101">
        <v>6.3628645761316633</v>
      </c>
      <c r="N76" s="97">
        <v>-10.834954550075279</v>
      </c>
      <c r="O76" s="102">
        <v>9.5796386401091915</v>
      </c>
      <c r="P76" s="99">
        <v>10.593688748471729</v>
      </c>
      <c r="Q76" s="98">
        <v>2.3986282387364217</v>
      </c>
      <c r="R76" s="100" t="s">
        <v>34</v>
      </c>
      <c r="S76" s="101" t="s">
        <v>34</v>
      </c>
      <c r="T76" s="97">
        <v>46.7760090313229</v>
      </c>
      <c r="U76" s="101">
        <v>19.520876020546286</v>
      </c>
      <c r="V76" s="97">
        <v>36.182320282851173</v>
      </c>
      <c r="W76" s="104">
        <v>19.655713897500849</v>
      </c>
      <c r="X76" s="124"/>
      <c r="Y76" s="124"/>
      <c r="Z76" s="124"/>
      <c r="AA76" s="124"/>
      <c r="AB76" s="124"/>
      <c r="AC76" s="124"/>
      <c r="AD76" s="124"/>
      <c r="AE76" s="124"/>
    </row>
    <row r="77" spans="1:31" s="105" customFormat="1" x14ac:dyDescent="0.25">
      <c r="A77" s="118" t="s">
        <v>258</v>
      </c>
      <c r="B77" s="95">
        <v>49</v>
      </c>
      <c r="C77" s="96">
        <v>99.911201477050781</v>
      </c>
      <c r="D77" s="97">
        <v>15.28920296449223</v>
      </c>
      <c r="E77" s="98">
        <v>0.10131459413618306</v>
      </c>
      <c r="F77" s="99">
        <v>37.115054245966292</v>
      </c>
      <c r="G77" s="98">
        <v>0.22587550644004706</v>
      </c>
      <c r="H77" s="100">
        <v>13.3496396278166</v>
      </c>
      <c r="I77" s="101">
        <v>0.18735276043850224</v>
      </c>
      <c r="J77" s="97">
        <v>8.1821907669105887</v>
      </c>
      <c r="K77" s="98">
        <v>0.21088350560061009</v>
      </c>
      <c r="L77" s="100">
        <v>2.9187220446209432</v>
      </c>
      <c r="M77" s="101">
        <v>0.16888913784141246</v>
      </c>
      <c r="N77" s="97">
        <v>-34.196332201345349</v>
      </c>
      <c r="O77" s="102">
        <v>0.27657401404044285</v>
      </c>
      <c r="P77" s="99">
        <v>23.077895141793409</v>
      </c>
      <c r="Q77" s="98">
        <v>0.12155840993405154</v>
      </c>
      <c r="R77" s="100">
        <v>5.9399786149452032</v>
      </c>
      <c r="S77" s="101">
        <v>0.15145596146760051</v>
      </c>
      <c r="T77" s="97">
        <v>5.4669794268388241</v>
      </c>
      <c r="U77" s="101">
        <v>0.31548445789671992</v>
      </c>
      <c r="V77" s="97">
        <v>-17.282310600161225</v>
      </c>
      <c r="W77" s="104">
        <v>0.18061366550228936</v>
      </c>
      <c r="X77" s="124"/>
      <c r="Y77" s="124"/>
      <c r="Z77" s="124"/>
      <c r="AA77" s="124"/>
      <c r="AB77" s="124"/>
      <c r="AC77" s="124"/>
      <c r="AD77" s="124"/>
      <c r="AE77" s="124"/>
    </row>
    <row r="78" spans="1:31" s="105" customFormat="1" x14ac:dyDescent="0.25">
      <c r="A78" s="118" t="s">
        <v>259</v>
      </c>
      <c r="B78" s="95">
        <v>213</v>
      </c>
      <c r="C78" s="96">
        <v>93.053962707519531</v>
      </c>
      <c r="D78" s="97">
        <v>12.98050006287481</v>
      </c>
      <c r="E78" s="98">
        <v>2.3425623145598191</v>
      </c>
      <c r="F78" s="99">
        <v>12.95086707991253</v>
      </c>
      <c r="G78" s="98">
        <v>4.4220292565862467</v>
      </c>
      <c r="H78" s="100">
        <v>14.01836234690083</v>
      </c>
      <c r="I78" s="101">
        <v>5.2704548250436964</v>
      </c>
      <c r="J78" s="97">
        <v>11.231788640157969</v>
      </c>
      <c r="K78" s="98">
        <v>5.1501475739202638</v>
      </c>
      <c r="L78" s="100">
        <v>13.72728857394417</v>
      </c>
      <c r="M78" s="101">
        <v>7.2811853781506857</v>
      </c>
      <c r="N78" s="97">
        <v>0.7764214940316414</v>
      </c>
      <c r="O78" s="102">
        <v>8.8700703003178329</v>
      </c>
      <c r="P78" s="99">
        <v>13.062072888222581</v>
      </c>
      <c r="Q78" s="98">
        <v>2.3579110975381892</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2.5436680233799489</v>
      </c>
      <c r="E79" s="98">
        <v>4.1714873638848534E-3</v>
      </c>
      <c r="F79" s="99">
        <v>5.0645568859976784</v>
      </c>
      <c r="G79" s="98">
        <v>1.6741491500795406E-2</v>
      </c>
      <c r="H79" s="100">
        <v>0</v>
      </c>
      <c r="I79" s="101" t="s">
        <v>35</v>
      </c>
      <c r="J79" s="97">
        <v>0</v>
      </c>
      <c r="K79" s="98" t="s">
        <v>35</v>
      </c>
      <c r="L79" s="100">
        <v>4.2822587185827361</v>
      </c>
      <c r="M79" s="101">
        <v>7.4999405630652299E-3</v>
      </c>
      <c r="N79" s="97">
        <v>-0.7822981674149414</v>
      </c>
      <c r="O79" s="102">
        <v>1.6923863518651754E-2</v>
      </c>
      <c r="P79" s="99">
        <v>2.548504602835159</v>
      </c>
      <c r="Q79" s="98">
        <v>4.1652144859622049E-3</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171</v>
      </c>
      <c r="C80" s="96">
        <v>95.747550964355469</v>
      </c>
      <c r="D80" s="97">
        <v>31.56172020483482</v>
      </c>
      <c r="E80" s="98">
        <v>3.8076712488204407</v>
      </c>
      <c r="F80" s="99">
        <v>28.664274039439171</v>
      </c>
      <c r="G80" s="98">
        <v>8.3672611205026168</v>
      </c>
      <c r="H80" s="100">
        <v>47.676183444539689</v>
      </c>
      <c r="I80" s="101">
        <v>11.157874477252006</v>
      </c>
      <c r="J80" s="97">
        <v>31.470784700614232</v>
      </c>
      <c r="K80" s="98">
        <v>8.2134277448114386</v>
      </c>
      <c r="L80" s="100">
        <v>18.691447309568581</v>
      </c>
      <c r="M80" s="101">
        <v>7.0145167217318969</v>
      </c>
      <c r="N80" s="97">
        <v>-9.9728267298705866</v>
      </c>
      <c r="O80" s="102">
        <v>9.9415642919481311</v>
      </c>
      <c r="P80" s="99">
        <v>32.310936653080191</v>
      </c>
      <c r="Q80" s="98">
        <v>4.1598877920955584</v>
      </c>
      <c r="R80" s="100" t="s">
        <v>34</v>
      </c>
      <c r="S80" s="101" t="s">
        <v>34</v>
      </c>
      <c r="T80" s="97">
        <v>16.071635525058419</v>
      </c>
      <c r="U80" s="101">
        <v>10.802684534721514</v>
      </c>
      <c r="V80" s="97">
        <v>-16.239301128021772</v>
      </c>
      <c r="W80" s="104">
        <v>11.633982137178185</v>
      </c>
      <c r="X80" s="124"/>
      <c r="Y80" s="124"/>
      <c r="Z80" s="124"/>
      <c r="AA80" s="124"/>
      <c r="AB80" s="124"/>
      <c r="AC80" s="124"/>
      <c r="AD80" s="124"/>
      <c r="AE80" s="124"/>
    </row>
    <row r="81" spans="1:31" s="105" customFormat="1" x14ac:dyDescent="0.25">
      <c r="A81" s="118" t="s">
        <v>262</v>
      </c>
      <c r="B81" s="95">
        <v>95</v>
      </c>
      <c r="C81" s="96">
        <v>89.153610229492188</v>
      </c>
      <c r="D81" s="97">
        <v>1.944994561186542</v>
      </c>
      <c r="E81" s="98">
        <v>9.0607103621771264E-3</v>
      </c>
      <c r="F81" s="99">
        <v>0</v>
      </c>
      <c r="G81" s="98" t="s">
        <v>35</v>
      </c>
      <c r="H81" s="100">
        <v>1.964025695875403</v>
      </c>
      <c r="I81" s="101">
        <v>7.3860935876930503E-3</v>
      </c>
      <c r="J81" s="97">
        <v>0.7322140349174695</v>
      </c>
      <c r="K81" s="98">
        <v>3.0388415041268595E-2</v>
      </c>
      <c r="L81" s="100">
        <v>5.220212588753971</v>
      </c>
      <c r="M81" s="101">
        <v>0.13055122820156409</v>
      </c>
      <c r="N81" s="97">
        <v>5.220212588753971</v>
      </c>
      <c r="O81" s="102">
        <v>0.13055122820156409</v>
      </c>
      <c r="P81" s="99">
        <v>1.9986867931341721</v>
      </c>
      <c r="Q81" s="98">
        <v>9.2344576799308908E-3</v>
      </c>
      <c r="R81" s="100" t="s">
        <v>34</v>
      </c>
      <c r="S81" s="101" t="s">
        <v>34</v>
      </c>
      <c r="T81" s="97">
        <v>0</v>
      </c>
      <c r="U81" s="101" t="s">
        <v>35</v>
      </c>
      <c r="V81" s="97">
        <v>-1.9986867931341721</v>
      </c>
      <c r="W81" s="104">
        <v>9.2344576799308908E-3</v>
      </c>
      <c r="X81" s="124"/>
      <c r="Y81" s="124"/>
      <c r="Z81" s="124"/>
      <c r="AA81" s="124"/>
      <c r="AB81" s="124"/>
      <c r="AC81" s="124"/>
      <c r="AD81" s="124"/>
      <c r="AE81" s="124"/>
    </row>
    <row r="82" spans="1:31" s="105" customFormat="1" x14ac:dyDescent="0.25">
      <c r="A82" s="118" t="s">
        <v>263</v>
      </c>
      <c r="B82" s="95">
        <v>141</v>
      </c>
      <c r="C82" s="96">
        <v>69.820892333984375</v>
      </c>
      <c r="D82" s="97">
        <v>10.1909587540605</v>
      </c>
      <c r="E82" s="98">
        <v>1.7712792521141829</v>
      </c>
      <c r="F82" s="99">
        <v>21.376007471135981</v>
      </c>
      <c r="G82" s="98">
        <v>6.4357586558877644</v>
      </c>
      <c r="H82" s="100">
        <v>3.1522870465431239</v>
      </c>
      <c r="I82" s="101">
        <v>3.5385686684878928</v>
      </c>
      <c r="J82" s="97">
        <v>15.61643096247777</v>
      </c>
      <c r="K82" s="98">
        <v>3.3925588516024456</v>
      </c>
      <c r="L82" s="100">
        <v>0</v>
      </c>
      <c r="M82" s="101" t="s">
        <v>35</v>
      </c>
      <c r="N82" s="97">
        <v>-21.376007471135981</v>
      </c>
      <c r="O82" s="102">
        <v>6.4357586558877644</v>
      </c>
      <c r="P82" s="99">
        <v>11.876774040617599</v>
      </c>
      <c r="Q82" s="98">
        <v>2.0503273346194288</v>
      </c>
      <c r="R82" s="100" t="s">
        <v>34</v>
      </c>
      <c r="S82" s="101" t="s">
        <v>34</v>
      </c>
      <c r="T82" s="97">
        <v>3.8686911958715231</v>
      </c>
      <c r="U82" s="101">
        <v>3.3934984710936358</v>
      </c>
      <c r="V82" s="97">
        <v>-8.0080828447460757</v>
      </c>
      <c r="W82" s="104">
        <v>3.9890726772058853</v>
      </c>
      <c r="X82" s="124"/>
      <c r="Y82" s="124"/>
      <c r="Z82" s="124"/>
      <c r="AA82" s="124"/>
      <c r="AB82" s="124"/>
      <c r="AC82" s="124"/>
      <c r="AD82" s="124"/>
      <c r="AE82" s="124"/>
    </row>
    <row r="83" spans="1:31" s="105" customFormat="1" x14ac:dyDescent="0.25">
      <c r="A83" s="118" t="s">
        <v>264</v>
      </c>
      <c r="B83" s="95">
        <v>323</v>
      </c>
      <c r="C83" s="96">
        <v>97.6805419921875</v>
      </c>
      <c r="D83" s="97">
        <v>20.901716628486611</v>
      </c>
      <c r="E83" s="98">
        <v>2.3641446392248238</v>
      </c>
      <c r="F83" s="99">
        <v>30.809605510603308</v>
      </c>
      <c r="G83" s="98">
        <v>5.547899476133157</v>
      </c>
      <c r="H83" s="100">
        <v>20.309045263933729</v>
      </c>
      <c r="I83" s="101">
        <v>6.4898949908917931</v>
      </c>
      <c r="J83" s="97">
        <v>19.313888688000439</v>
      </c>
      <c r="K83" s="98">
        <v>6.0950472956803941</v>
      </c>
      <c r="L83" s="100">
        <v>13.011132527242181</v>
      </c>
      <c r="M83" s="101">
        <v>3.9680358824379622</v>
      </c>
      <c r="N83" s="97">
        <v>-17.79847298336113</v>
      </c>
      <c r="O83" s="102">
        <v>6.9615583929135472</v>
      </c>
      <c r="P83" s="99">
        <v>23.093622275059531</v>
      </c>
      <c r="Q83" s="98">
        <v>2.830733674421837</v>
      </c>
      <c r="R83" s="100" t="s">
        <v>34</v>
      </c>
      <c r="S83" s="101" t="s">
        <v>34</v>
      </c>
      <c r="T83" s="97">
        <v>14.135327003038229</v>
      </c>
      <c r="U83" s="101">
        <v>3.5162897154962436</v>
      </c>
      <c r="V83" s="97">
        <v>-8.9582952720213012</v>
      </c>
      <c r="W83" s="104">
        <v>4.4027869360089396</v>
      </c>
      <c r="X83" s="124"/>
      <c r="Y83" s="124"/>
      <c r="Z83" s="124"/>
      <c r="AA83" s="124"/>
      <c r="AB83" s="124"/>
      <c r="AC83" s="124"/>
      <c r="AD83" s="124"/>
      <c r="AE83" s="124"/>
    </row>
    <row r="84" spans="1:31" s="105" customFormat="1" x14ac:dyDescent="0.25">
      <c r="A84" s="118" t="s">
        <v>265</v>
      </c>
      <c r="B84" s="95">
        <v>186</v>
      </c>
      <c r="C84" s="96">
        <v>99.705375671386719</v>
      </c>
      <c r="D84" s="97">
        <v>8.1566252061072682</v>
      </c>
      <c r="E84" s="98">
        <v>2.2404593122201559</v>
      </c>
      <c r="F84" s="99">
        <v>8.9791042285631164</v>
      </c>
      <c r="G84" s="98">
        <v>4.8753280996604378</v>
      </c>
      <c r="H84" s="100">
        <v>15.560125727439701</v>
      </c>
      <c r="I84" s="101">
        <v>5.9282359526419075</v>
      </c>
      <c r="J84" s="97">
        <v>1.7918369733832531</v>
      </c>
      <c r="K84" s="98">
        <v>1.9916542435880102</v>
      </c>
      <c r="L84" s="100">
        <v>6.4594285021945357</v>
      </c>
      <c r="M84" s="101">
        <v>3.7659822840096937</v>
      </c>
      <c r="N84" s="97">
        <v>-2.5196757263685812</v>
      </c>
      <c r="O84" s="102">
        <v>6.1530802381200829</v>
      </c>
      <c r="P84" s="99">
        <v>8.5637001835309352</v>
      </c>
      <c r="Q84" s="98">
        <v>2.5203529350008989</v>
      </c>
      <c r="R84" s="100">
        <v>5.5643046751021901</v>
      </c>
      <c r="S84" s="101">
        <v>5.4420752431155055</v>
      </c>
      <c r="T84" s="97">
        <v>6.9620196124300016</v>
      </c>
      <c r="U84" s="101">
        <v>6.7925444742196373</v>
      </c>
      <c r="V84" s="97">
        <v>-2.3318730055518904</v>
      </c>
      <c r="W84" s="104">
        <v>4.9466188814679422</v>
      </c>
      <c r="X84" s="124"/>
      <c r="Y84" s="124"/>
      <c r="Z84" s="124"/>
      <c r="AA84" s="124"/>
      <c r="AB84" s="124"/>
      <c r="AC84" s="124"/>
      <c r="AD84" s="124"/>
      <c r="AE84" s="124"/>
    </row>
    <row r="85" spans="1:31" s="105" customFormat="1" x14ac:dyDescent="0.25">
      <c r="A85" s="118" t="s">
        <v>266</v>
      </c>
      <c r="B85" s="95">
        <v>137</v>
      </c>
      <c r="C85" s="96">
        <v>86.319252014160156</v>
      </c>
      <c r="D85" s="97">
        <v>5.6376847610616316</v>
      </c>
      <c r="E85" s="98">
        <v>3.8487730557458688E-2</v>
      </c>
      <c r="F85" s="99">
        <v>4.6952660294742241</v>
      </c>
      <c r="G85" s="98">
        <v>5.3005544991951183E-2</v>
      </c>
      <c r="H85" s="100">
        <v>3.3728824838635769</v>
      </c>
      <c r="I85" s="101">
        <v>4.5674093955708012E-2</v>
      </c>
      <c r="J85" s="97">
        <v>8.6698366049789364</v>
      </c>
      <c r="K85" s="98">
        <v>0.11855367143160221</v>
      </c>
      <c r="L85" s="100">
        <v>5.9391347307212987</v>
      </c>
      <c r="M85" s="101">
        <v>6.0848782074983163E-2</v>
      </c>
      <c r="N85" s="97">
        <v>1.243868701247075</v>
      </c>
      <c r="O85" s="102">
        <v>8.2142453360463608E-2</v>
      </c>
      <c r="P85" s="99">
        <v>7.1309749327255059</v>
      </c>
      <c r="Q85" s="98">
        <v>4.1685078857880732E-2</v>
      </c>
      <c r="R85" s="100" t="s">
        <v>34</v>
      </c>
      <c r="S85" s="101" t="s">
        <v>34</v>
      </c>
      <c r="T85" s="97">
        <v>4.242033502988801</v>
      </c>
      <c r="U85" s="101">
        <v>6.9329566150006447E-2</v>
      </c>
      <c r="V85" s="97">
        <v>-2.8889414297367049</v>
      </c>
      <c r="W85" s="104">
        <v>8.1886525327536291E-2</v>
      </c>
      <c r="X85" s="124"/>
      <c r="Y85" s="124"/>
      <c r="Z85" s="124"/>
      <c r="AA85" s="124"/>
      <c r="AB85" s="124"/>
      <c r="AC85" s="124"/>
      <c r="AD85" s="124"/>
      <c r="AE85" s="124"/>
    </row>
    <row r="86" spans="1:31" s="105" customFormat="1" x14ac:dyDescent="0.25">
      <c r="A86" s="118" t="s">
        <v>267</v>
      </c>
      <c r="B86" s="95">
        <v>141</v>
      </c>
      <c r="C86" s="96">
        <v>93.061271667480469</v>
      </c>
      <c r="D86" s="97">
        <v>4.1075081279876562</v>
      </c>
      <c r="E86" s="98">
        <v>1.7163733606001677</v>
      </c>
      <c r="F86" s="99">
        <v>4.4572317980834439</v>
      </c>
      <c r="G86" s="98">
        <v>3.7407100136131741</v>
      </c>
      <c r="H86" s="100">
        <v>2.360508192557965</v>
      </c>
      <c r="I86" s="101">
        <v>2.1944892685389639</v>
      </c>
      <c r="J86" s="97">
        <v>3.0088425270218311</v>
      </c>
      <c r="K86" s="98">
        <v>3.1757001680673156</v>
      </c>
      <c r="L86" s="100">
        <v>6.6243164457671648</v>
      </c>
      <c r="M86" s="101">
        <v>4.7591515676389404</v>
      </c>
      <c r="N86" s="97">
        <v>2.1670846476837209</v>
      </c>
      <c r="O86" s="102">
        <v>6.0280458804470696</v>
      </c>
      <c r="P86" s="99">
        <v>4.1995989646957383</v>
      </c>
      <c r="Q86" s="98">
        <v>1.755419483936129</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36.980874763752126</v>
      </c>
      <c r="E87" s="98">
        <v>3.1164286879883885</v>
      </c>
      <c r="F87" s="99">
        <v>40.515284092140632</v>
      </c>
      <c r="G87" s="98">
        <v>7.7291742524264055</v>
      </c>
      <c r="H87" s="100">
        <v>39.040005972670578</v>
      </c>
      <c r="I87" s="101">
        <v>7.6497010280349569</v>
      </c>
      <c r="J87" s="97">
        <v>42.768578450154919</v>
      </c>
      <c r="K87" s="98">
        <v>8.4409373154968161</v>
      </c>
      <c r="L87" s="100">
        <v>25.161306551687769</v>
      </c>
      <c r="M87" s="101">
        <v>7.3347657110307809</v>
      </c>
      <c r="N87" s="97">
        <v>-15.35397754045286</v>
      </c>
      <c r="O87" s="102">
        <v>10.98845868715215</v>
      </c>
      <c r="P87" s="99">
        <v>36.980874763752126</v>
      </c>
      <c r="Q87" s="98">
        <v>3.1164286879883885</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168</v>
      </c>
      <c r="C88" s="96">
        <v>80.538841247558594</v>
      </c>
      <c r="D88" s="97">
        <v>38.635086618478979</v>
      </c>
      <c r="E88" s="98">
        <v>3.8197075261702533</v>
      </c>
      <c r="F88" s="99">
        <v>48.517835856548821</v>
      </c>
      <c r="G88" s="98">
        <v>9.421485740454564</v>
      </c>
      <c r="H88" s="100">
        <v>33.903359937935967</v>
      </c>
      <c r="I88" s="101">
        <v>8.6354935557443415</v>
      </c>
      <c r="J88" s="97">
        <v>39.785896689906203</v>
      </c>
      <c r="K88" s="98">
        <v>8.5969636052745688</v>
      </c>
      <c r="L88" s="100">
        <v>32.921962692921568</v>
      </c>
      <c r="M88" s="101">
        <v>8.0099382253009939</v>
      </c>
      <c r="N88" s="97">
        <v>-15.59587316362725</v>
      </c>
      <c r="O88" s="102">
        <v>12.924504986323049</v>
      </c>
      <c r="P88" s="99">
        <v>37.84714839507965</v>
      </c>
      <c r="Q88" s="98">
        <v>4.209418255269485</v>
      </c>
      <c r="R88" s="100" t="s">
        <v>34</v>
      </c>
      <c r="S88" s="101" t="s">
        <v>34</v>
      </c>
      <c r="T88" s="97">
        <v>49.07530987660023</v>
      </c>
      <c r="U88" s="101">
        <v>11.890973951145572</v>
      </c>
      <c r="V88" s="97">
        <v>11.22816148152058</v>
      </c>
      <c r="W88" s="104">
        <v>12.588135150642165</v>
      </c>
      <c r="X88" s="124"/>
      <c r="Y88" s="124"/>
      <c r="Z88" s="124"/>
      <c r="AA88" s="124"/>
      <c r="AB88" s="124"/>
      <c r="AC88" s="124"/>
      <c r="AD88" s="124"/>
      <c r="AE88" s="124"/>
    </row>
    <row r="89" spans="1:31" s="105" customFormat="1" x14ac:dyDescent="0.25">
      <c r="A89" s="118" t="s">
        <v>270</v>
      </c>
      <c r="B89" s="95">
        <v>177</v>
      </c>
      <c r="C89" s="96">
        <v>98.513496398925781</v>
      </c>
      <c r="D89" s="97">
        <v>3.357487043463784</v>
      </c>
      <c r="E89" s="98">
        <v>1.3237425699326821</v>
      </c>
      <c r="F89" s="99">
        <v>4.5781358638332703</v>
      </c>
      <c r="G89" s="98">
        <v>3.2533942628617072</v>
      </c>
      <c r="H89" s="100">
        <v>4.2308822737287999</v>
      </c>
      <c r="I89" s="101">
        <v>3.0108586339840731</v>
      </c>
      <c r="J89" s="97">
        <v>4.7008963912450508</v>
      </c>
      <c r="K89" s="98">
        <v>2.9272146227539175</v>
      </c>
      <c r="L89" s="100">
        <v>0</v>
      </c>
      <c r="M89" s="101" t="s">
        <v>35</v>
      </c>
      <c r="N89" s="97">
        <v>-4.5781358638332703</v>
      </c>
      <c r="O89" s="102">
        <v>3.2533942628617072</v>
      </c>
      <c r="P89" s="99">
        <v>3.46963685106605</v>
      </c>
      <c r="Q89" s="98">
        <v>1.3658752765397493</v>
      </c>
      <c r="R89" s="100" t="s">
        <v>34</v>
      </c>
      <c r="S89" s="101" t="s">
        <v>34</v>
      </c>
      <c r="T89" s="97">
        <v>0</v>
      </c>
      <c r="U89" s="101" t="s">
        <v>35</v>
      </c>
      <c r="V89" s="97">
        <v>-3.46963685106605</v>
      </c>
      <c r="W89" s="104">
        <v>1.3658752765397493</v>
      </c>
      <c r="X89" s="124"/>
      <c r="Y89" s="124"/>
      <c r="Z89" s="124"/>
      <c r="AA89" s="124"/>
      <c r="AB89" s="124"/>
      <c r="AC89" s="124"/>
      <c r="AD89" s="124"/>
      <c r="AE89" s="124"/>
    </row>
    <row r="90" spans="1:31" s="105" customFormat="1" x14ac:dyDescent="0.25">
      <c r="A90" s="118" t="s">
        <v>271</v>
      </c>
      <c r="B90" s="95">
        <v>166</v>
      </c>
      <c r="C90" s="96">
        <v>100</v>
      </c>
      <c r="D90" s="97">
        <v>6.2911970003804631</v>
      </c>
      <c r="E90" s="98">
        <v>0.16423806924150502</v>
      </c>
      <c r="F90" s="99">
        <v>3.2718066825208139</v>
      </c>
      <c r="G90" s="98">
        <v>8.9609086969780871E-2</v>
      </c>
      <c r="H90" s="100">
        <v>12.94026977147557</v>
      </c>
      <c r="I90" s="101">
        <v>0.57374782054227291</v>
      </c>
      <c r="J90" s="97">
        <v>2.9719175364765729</v>
      </c>
      <c r="K90" s="98">
        <v>0.41272366816125594</v>
      </c>
      <c r="L90" s="100">
        <v>5.9615501484566602</v>
      </c>
      <c r="M90" s="101">
        <v>0.10625586501613499</v>
      </c>
      <c r="N90" s="97">
        <v>2.6897434659358459</v>
      </c>
      <c r="O90" s="102">
        <v>0.11969177790265322</v>
      </c>
      <c r="P90" s="99">
        <v>5.9938444012510006</v>
      </c>
      <c r="Q90" s="98">
        <v>4.5869721515174475E-2</v>
      </c>
      <c r="R90" s="100" t="s">
        <v>34</v>
      </c>
      <c r="S90" s="101" t="s">
        <v>34</v>
      </c>
      <c r="T90" s="97">
        <v>2.173557964410131</v>
      </c>
      <c r="U90" s="101">
        <v>1.7151911975153193</v>
      </c>
      <c r="V90" s="97">
        <v>-3.8202864368408695</v>
      </c>
      <c r="W90" s="104">
        <v>1.7113450004243844</v>
      </c>
      <c r="X90" s="124"/>
      <c r="Y90" s="124"/>
      <c r="Z90" s="124"/>
      <c r="AA90" s="124"/>
      <c r="AB90" s="124"/>
      <c r="AC90" s="124"/>
      <c r="AD90" s="124"/>
      <c r="AE90" s="124"/>
    </row>
    <row r="91" spans="1:31" s="105" customFormat="1" x14ac:dyDescent="0.25">
      <c r="A91" s="118" t="s">
        <v>272</v>
      </c>
      <c r="B91" s="95">
        <v>184</v>
      </c>
      <c r="C91" s="96">
        <v>95.466926574707031</v>
      </c>
      <c r="D91" s="97">
        <v>15.94652266977319</v>
      </c>
      <c r="E91" s="98">
        <v>2.897480187215201</v>
      </c>
      <c r="F91" s="99">
        <v>14.80378852988401</v>
      </c>
      <c r="G91" s="98">
        <v>5.8608626456859385</v>
      </c>
      <c r="H91" s="100">
        <v>22.46498811174208</v>
      </c>
      <c r="I91" s="101">
        <v>7.7156440123624837</v>
      </c>
      <c r="J91" s="97">
        <v>21.22171748862635</v>
      </c>
      <c r="K91" s="98">
        <v>6.998125749529871</v>
      </c>
      <c r="L91" s="100">
        <v>5.3134497145788746</v>
      </c>
      <c r="M91" s="101">
        <v>3.7445840961796302</v>
      </c>
      <c r="N91" s="97">
        <v>-9.4903388153051402</v>
      </c>
      <c r="O91" s="102">
        <v>6.5745448484644591</v>
      </c>
      <c r="P91" s="99">
        <v>16.272013342736582</v>
      </c>
      <c r="Q91" s="98">
        <v>3.9069978882265644</v>
      </c>
      <c r="R91" s="100">
        <v>23.758970274981088</v>
      </c>
      <c r="S91" s="101">
        <v>8.9771615790487989</v>
      </c>
      <c r="T91" s="97">
        <v>11.3280505236471</v>
      </c>
      <c r="U91" s="101">
        <v>3.6970701162306239</v>
      </c>
      <c r="V91" s="97">
        <v>-0.50578588853455209</v>
      </c>
      <c r="W91" s="104">
        <v>5.6294998293226444</v>
      </c>
      <c r="X91" s="124"/>
      <c r="Y91" s="124"/>
      <c r="Z91" s="124"/>
      <c r="AA91" s="124"/>
      <c r="AB91" s="124"/>
      <c r="AC91" s="124"/>
      <c r="AD91" s="124"/>
      <c r="AE91" s="124"/>
    </row>
    <row r="92" spans="1:31" s="105" customFormat="1" x14ac:dyDescent="0.25">
      <c r="A92" s="118" t="s">
        <v>273</v>
      </c>
      <c r="B92" s="95">
        <v>204</v>
      </c>
      <c r="C92" s="96">
        <v>92.950508117675781</v>
      </c>
      <c r="D92" s="97">
        <v>15.75423041840164</v>
      </c>
      <c r="E92" s="98">
        <v>2.2916747411988871</v>
      </c>
      <c r="F92" s="99">
        <v>24.29591296627688</v>
      </c>
      <c r="G92" s="98">
        <v>6.0708145022231035</v>
      </c>
      <c r="H92" s="100">
        <v>17.129529101082891</v>
      </c>
      <c r="I92" s="101">
        <v>6.4255968965840609</v>
      </c>
      <c r="J92" s="97">
        <v>20.353476242548989</v>
      </c>
      <c r="K92" s="98">
        <v>7.3959886994346782</v>
      </c>
      <c r="L92" s="100">
        <v>0.5621573697716159</v>
      </c>
      <c r="M92" s="101">
        <v>5.3944679022340249</v>
      </c>
      <c r="N92" s="97">
        <v>-23.733755596505269</v>
      </c>
      <c r="O92" s="102">
        <v>7.4089610352709512</v>
      </c>
      <c r="P92" s="99">
        <v>18.001607893748879</v>
      </c>
      <c r="Q92" s="98">
        <v>2.5619722897974642</v>
      </c>
      <c r="R92" s="100">
        <v>8.0780103885739507</v>
      </c>
      <c r="S92" s="101">
        <v>7.7938768904732223</v>
      </c>
      <c r="T92" s="97">
        <v>0.41714750627727082</v>
      </c>
      <c r="U92" s="101">
        <v>0.31421923758058651</v>
      </c>
      <c r="V92" s="97">
        <v>-13.432493300991215</v>
      </c>
      <c r="W92" s="104">
        <v>5.1576522348432849</v>
      </c>
      <c r="X92" s="124"/>
      <c r="Y92" s="124"/>
      <c r="Z92" s="124"/>
      <c r="AA92" s="124"/>
      <c r="AB92" s="124"/>
      <c r="AC92" s="124"/>
      <c r="AD92" s="124"/>
      <c r="AE92" s="124"/>
    </row>
    <row r="93" spans="1:31" s="105" customFormat="1" x14ac:dyDescent="0.25">
      <c r="A93" s="118" t="s">
        <v>274</v>
      </c>
      <c r="B93" s="95">
        <v>247</v>
      </c>
      <c r="C93" s="96">
        <v>99.06884765625</v>
      </c>
      <c r="D93" s="97">
        <v>16.018788225119881</v>
      </c>
      <c r="E93" s="98">
        <v>2.5019743938730015</v>
      </c>
      <c r="F93" s="99">
        <v>16.790088195050391</v>
      </c>
      <c r="G93" s="98">
        <v>4.7720169644202253</v>
      </c>
      <c r="H93" s="100">
        <v>19.907328409874761</v>
      </c>
      <c r="I93" s="101">
        <v>5.6906881553345032</v>
      </c>
      <c r="J93" s="97">
        <v>11.47841207322551</v>
      </c>
      <c r="K93" s="98">
        <v>5.4114416616801062</v>
      </c>
      <c r="L93" s="100">
        <v>15.876471167411051</v>
      </c>
      <c r="M93" s="101">
        <v>5.6341497836260217</v>
      </c>
      <c r="N93" s="97">
        <v>-0.91361702763934005</v>
      </c>
      <c r="O93" s="102">
        <v>6.9238442931469857</v>
      </c>
      <c r="P93" s="99">
        <v>15.757424533265</v>
      </c>
      <c r="Q93" s="98">
        <v>2.4907702765804727</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593</v>
      </c>
      <c r="C94" s="96">
        <v>91.425956726074219</v>
      </c>
      <c r="D94" s="97">
        <v>29.48025412206627</v>
      </c>
      <c r="E94" s="98">
        <v>1.3359770350344962</v>
      </c>
      <c r="F94" s="99">
        <v>36.510822443478098</v>
      </c>
      <c r="G94" s="98">
        <v>1.578307706352674</v>
      </c>
      <c r="H94" s="100">
        <v>40.699659967569367</v>
      </c>
      <c r="I94" s="101">
        <v>2.7125566183475849</v>
      </c>
      <c r="J94" s="97">
        <v>26.05091118738202</v>
      </c>
      <c r="K94" s="98">
        <v>4.1468428958972039</v>
      </c>
      <c r="L94" s="100">
        <v>14.830186237210089</v>
      </c>
      <c r="M94" s="101">
        <v>2.8892379396218986</v>
      </c>
      <c r="N94" s="97">
        <v>-21.680636206268009</v>
      </c>
      <c r="O94" s="102">
        <v>3.59248129572264</v>
      </c>
      <c r="P94" s="99">
        <v>41.99630903247008</v>
      </c>
      <c r="Q94" s="98">
        <v>0.51819030812338851</v>
      </c>
      <c r="R94" s="100" t="s">
        <v>34</v>
      </c>
      <c r="S94" s="101" t="s">
        <v>34</v>
      </c>
      <c r="T94" s="97">
        <v>22.176277018903971</v>
      </c>
      <c r="U94" s="101">
        <v>2.0065648897079904</v>
      </c>
      <c r="V94" s="97">
        <v>-19.820032013566109</v>
      </c>
      <c r="W94" s="104">
        <v>2.0649070435129184</v>
      </c>
      <c r="X94" s="124"/>
      <c r="Y94" s="124"/>
      <c r="Z94" s="124"/>
      <c r="AA94" s="124"/>
      <c r="AB94" s="124"/>
      <c r="AC94" s="124"/>
      <c r="AD94" s="124"/>
      <c r="AE94" s="124"/>
    </row>
    <row r="95" spans="1:31" s="105" customFormat="1" x14ac:dyDescent="0.25">
      <c r="A95" s="118" t="s">
        <v>276</v>
      </c>
      <c r="B95" s="95">
        <v>189</v>
      </c>
      <c r="C95" s="96">
        <v>100</v>
      </c>
      <c r="D95" s="97">
        <v>26.74979820661212</v>
      </c>
      <c r="E95" s="98">
        <v>3.1707775625513506</v>
      </c>
      <c r="F95" s="99">
        <v>30.178605860571071</v>
      </c>
      <c r="G95" s="98">
        <v>6.4564771443554507</v>
      </c>
      <c r="H95" s="100">
        <v>28.99860707370766</v>
      </c>
      <c r="I95" s="101">
        <v>7.7409637481010654</v>
      </c>
      <c r="J95" s="97">
        <v>39.287244386601117</v>
      </c>
      <c r="K95" s="98">
        <v>9.3315320647531248</v>
      </c>
      <c r="L95" s="100">
        <v>8.1183851761696317</v>
      </c>
      <c r="M95" s="101">
        <v>6.894173801256537</v>
      </c>
      <c r="N95" s="97">
        <v>-22.06022068440144</v>
      </c>
      <c r="O95" s="102">
        <v>8.9020163411985518</v>
      </c>
      <c r="P95" s="99">
        <v>30.086243779366932</v>
      </c>
      <c r="Q95" s="98">
        <v>3.5756609632713805</v>
      </c>
      <c r="R95" s="100" t="s">
        <v>34</v>
      </c>
      <c r="S95" s="101" t="s">
        <v>34</v>
      </c>
      <c r="T95" s="97">
        <v>9.413689669933671</v>
      </c>
      <c r="U95" s="101">
        <v>6.0268453967414963</v>
      </c>
      <c r="V95" s="97">
        <v>-20.672554109433261</v>
      </c>
      <c r="W95" s="104">
        <v>6.9728897322798575</v>
      </c>
      <c r="X95" s="124"/>
      <c r="Y95" s="124"/>
      <c r="Z95" s="124"/>
      <c r="AA95" s="124"/>
      <c r="AB95" s="124"/>
      <c r="AC95" s="124"/>
      <c r="AD95" s="124"/>
      <c r="AE95" s="124"/>
    </row>
    <row r="96" spans="1:31" s="105" customFormat="1" ht="13.8" thickBot="1" x14ac:dyDescent="0.3">
      <c r="A96" s="125" t="s">
        <v>277</v>
      </c>
      <c r="B96" s="108">
        <v>121</v>
      </c>
      <c r="C96" s="109">
        <v>94.052749633789063</v>
      </c>
      <c r="D96" s="110">
        <v>15.681483662879391</v>
      </c>
      <c r="E96" s="111">
        <v>3.348273015272853</v>
      </c>
      <c r="F96" s="112">
        <v>16.254120093925749</v>
      </c>
      <c r="G96" s="111">
        <v>6.8153182897833808</v>
      </c>
      <c r="H96" s="113">
        <v>22.376137849637761</v>
      </c>
      <c r="I96" s="114">
        <v>9.5822909779635808</v>
      </c>
      <c r="J96" s="110">
        <v>10.38332111717909</v>
      </c>
      <c r="K96" s="111">
        <v>7.6858691997874304</v>
      </c>
      <c r="L96" s="113">
        <v>13.93962502783679</v>
      </c>
      <c r="M96" s="114">
        <v>6.4096797100394154</v>
      </c>
      <c r="N96" s="110">
        <v>-2.3144950660889592</v>
      </c>
      <c r="O96" s="115">
        <v>10.156375061267877</v>
      </c>
      <c r="P96" s="112">
        <v>14.322930969019019</v>
      </c>
      <c r="Q96" s="111">
        <v>3.5098523685552987</v>
      </c>
      <c r="R96" s="113" t="s">
        <v>34</v>
      </c>
      <c r="S96" s="114" t="s">
        <v>34</v>
      </c>
      <c r="T96" s="110">
        <v>42.835025837902137</v>
      </c>
      <c r="U96" s="114">
        <v>21.687682603407453</v>
      </c>
      <c r="V96" s="110">
        <v>28.512094868883118</v>
      </c>
      <c r="W96" s="117">
        <v>22.25792587867015</v>
      </c>
      <c r="X96" s="124"/>
      <c r="Y96" s="124"/>
      <c r="Z96" s="124"/>
      <c r="AA96" s="124"/>
      <c r="AB96" s="124"/>
      <c r="AC96" s="124"/>
      <c r="AD96" s="124"/>
      <c r="AE96" s="124"/>
    </row>
    <row r="97" spans="1:21" s="105" customFormat="1" x14ac:dyDescent="0.25">
      <c r="N97" s="148"/>
    </row>
    <row r="98" spans="1:21" s="105" customFormat="1" x14ac:dyDescent="0.25">
      <c r="N98" s="148"/>
    </row>
    <row r="99" spans="1:21" x14ac:dyDescent="0.25">
      <c r="N99" s="53"/>
    </row>
    <row r="100" spans="1:21" x14ac:dyDescent="0.25">
      <c r="N100" s="53"/>
    </row>
    <row r="101" spans="1:21" x14ac:dyDescent="0.25">
      <c r="N101" s="53"/>
    </row>
    <row r="102" spans="1:21" x14ac:dyDescent="0.25">
      <c r="N102" s="53"/>
    </row>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5:N96 V15:V96">
    <cfRule type="expression" dxfId="7"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167</v>
      </c>
      <c r="B6" s="51"/>
    </row>
    <row r="7" spans="1:31" x14ac:dyDescent="0.25">
      <c r="A7" s="51" t="s">
        <v>168</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169</v>
      </c>
      <c r="G11" s="202"/>
      <c r="H11" s="202"/>
      <c r="I11" s="202"/>
      <c r="J11" s="202"/>
      <c r="K11" s="202"/>
      <c r="L11" s="202"/>
      <c r="M11" s="202"/>
      <c r="N11" s="202"/>
      <c r="O11" s="202"/>
      <c r="P11" s="201" t="s">
        <v>170</v>
      </c>
      <c r="Q11" s="202"/>
      <c r="R11" s="202"/>
      <c r="S11" s="202"/>
      <c r="T11" s="202"/>
      <c r="U11" s="202"/>
      <c r="V11" s="202"/>
      <c r="W11" s="203"/>
    </row>
    <row r="12" spans="1:31" ht="70.5" customHeight="1" x14ac:dyDescent="0.25">
      <c r="A12" s="31"/>
      <c r="B12" s="215" t="s">
        <v>10</v>
      </c>
      <c r="C12" s="217" t="s">
        <v>11</v>
      </c>
      <c r="D12" s="218" t="s">
        <v>171</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693</v>
      </c>
      <c r="C16" s="96">
        <v>91.43878173828125</v>
      </c>
      <c r="D16" s="97">
        <v>12.509741698637271</v>
      </c>
      <c r="E16" s="98">
        <v>1.23899372358208</v>
      </c>
      <c r="F16" s="99">
        <v>18.918225918286179</v>
      </c>
      <c r="G16" s="98">
        <v>3.700822766991839</v>
      </c>
      <c r="H16" s="100">
        <v>15.102309334874199</v>
      </c>
      <c r="I16" s="101">
        <v>2.9838938583920358</v>
      </c>
      <c r="J16" s="97">
        <v>11.02393260922825</v>
      </c>
      <c r="K16" s="98">
        <v>2.6964914722272493</v>
      </c>
      <c r="L16" s="100">
        <v>6.0384632404508602</v>
      </c>
      <c r="M16" s="101">
        <v>1.6434120004486565</v>
      </c>
      <c r="N16" s="97">
        <v>-12.87976267783532</v>
      </c>
      <c r="O16" s="102">
        <v>3.9032480575274606</v>
      </c>
      <c r="P16" s="99">
        <v>17.365630909706351</v>
      </c>
      <c r="Q16" s="98">
        <v>1.9538896978656282</v>
      </c>
      <c r="R16" s="100">
        <v>7.0379077100595007</v>
      </c>
      <c r="S16" s="101">
        <v>2.0811546475368092</v>
      </c>
      <c r="T16" s="97">
        <v>5.2749319536006372</v>
      </c>
      <c r="U16" s="101">
        <v>2.0642231089116874</v>
      </c>
      <c r="V16" s="97">
        <v>-11.007529092055226</v>
      </c>
      <c r="W16" s="104">
        <v>2.5369810104121227</v>
      </c>
      <c r="X16" s="124"/>
      <c r="Y16" s="124"/>
      <c r="Z16" s="124"/>
      <c r="AA16" s="124"/>
      <c r="AB16" s="124"/>
      <c r="AC16" s="124"/>
      <c r="AD16" s="124"/>
      <c r="AE16" s="124"/>
    </row>
    <row r="17" spans="1:31" s="105" customFormat="1" x14ac:dyDescent="0.25">
      <c r="A17" s="118" t="s">
        <v>203</v>
      </c>
      <c r="B17" s="95">
        <v>291</v>
      </c>
      <c r="C17" s="96" t="s">
        <v>34</v>
      </c>
      <c r="D17" s="97">
        <v>66.003169878099825</v>
      </c>
      <c r="E17" s="98">
        <v>3.0380820263757076</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248</v>
      </c>
      <c r="C18" s="96">
        <v>89.817626953125</v>
      </c>
      <c r="D18" s="97">
        <v>33.019178762938182</v>
      </c>
      <c r="E18" s="98">
        <v>3.0022905737299639</v>
      </c>
      <c r="F18" s="99">
        <v>50.197581683327691</v>
      </c>
      <c r="G18" s="98">
        <v>6.260445612073676</v>
      </c>
      <c r="H18" s="100">
        <v>24.387152613383929</v>
      </c>
      <c r="I18" s="101">
        <v>6.663409403944657</v>
      </c>
      <c r="J18" s="97">
        <v>28.574162971175021</v>
      </c>
      <c r="K18" s="98">
        <v>7.379689623096569</v>
      </c>
      <c r="L18" s="100">
        <v>28.724744204980599</v>
      </c>
      <c r="M18" s="101">
        <v>5.6167095847007964</v>
      </c>
      <c r="N18" s="97">
        <v>-21.472837478347088</v>
      </c>
      <c r="O18" s="102">
        <v>8.1165265203683639</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767</v>
      </c>
      <c r="C19" s="96">
        <v>96.018966674804688</v>
      </c>
      <c r="D19" s="97">
        <v>27.88295594287198</v>
      </c>
      <c r="E19" s="98">
        <v>2.2202326579920184</v>
      </c>
      <c r="F19" s="99">
        <v>41.229463913305743</v>
      </c>
      <c r="G19" s="98">
        <v>4.741574730224503</v>
      </c>
      <c r="H19" s="100">
        <v>21.49161882293928</v>
      </c>
      <c r="I19" s="101">
        <v>4.512472626950796</v>
      </c>
      <c r="J19" s="97">
        <v>22.339153861621991</v>
      </c>
      <c r="K19" s="98">
        <v>3.8424822176744864</v>
      </c>
      <c r="L19" s="100">
        <v>26.534854543449828</v>
      </c>
      <c r="M19" s="101">
        <v>5.4491140905213369</v>
      </c>
      <c r="N19" s="97">
        <v>-14.694609369855909</v>
      </c>
      <c r="O19" s="102">
        <v>7.4510610205071979</v>
      </c>
      <c r="P19" s="99">
        <v>28.09274893628309</v>
      </c>
      <c r="Q19" s="98">
        <v>2.2900588406755169</v>
      </c>
      <c r="R19" s="100">
        <v>26.366705894944609</v>
      </c>
      <c r="S19" s="101">
        <v>10.369382528410146</v>
      </c>
      <c r="T19" s="97">
        <v>25.357375482434261</v>
      </c>
      <c r="U19" s="101">
        <v>8.8699224467020237</v>
      </c>
      <c r="V19" s="97">
        <v>-2.3300401434927593</v>
      </c>
      <c r="W19" s="104">
        <v>7.3148286066575583</v>
      </c>
      <c r="X19" s="124"/>
      <c r="Y19" s="124"/>
      <c r="Z19" s="124"/>
      <c r="AA19" s="124"/>
      <c r="AB19" s="124"/>
      <c r="AC19" s="124"/>
      <c r="AD19" s="124"/>
      <c r="AE19" s="124"/>
    </row>
    <row r="20" spans="1:31" s="105" customFormat="1" x14ac:dyDescent="0.25">
      <c r="A20" s="118" t="s">
        <v>206</v>
      </c>
      <c r="B20" s="95">
        <v>206</v>
      </c>
      <c r="C20" s="96">
        <v>85.525810241699219</v>
      </c>
      <c r="D20" s="97">
        <v>21.475159091608621</v>
      </c>
      <c r="E20" s="98">
        <v>3.4159846803372349</v>
      </c>
      <c r="F20" s="99">
        <v>29.176506593056519</v>
      </c>
      <c r="G20" s="98">
        <v>8.905806481619182</v>
      </c>
      <c r="H20" s="100">
        <v>30.040471631294899</v>
      </c>
      <c r="I20" s="101">
        <v>8.7900375779529547</v>
      </c>
      <c r="J20" s="97">
        <v>10.02129090294468</v>
      </c>
      <c r="K20" s="98">
        <v>6.0587155035343372</v>
      </c>
      <c r="L20" s="100">
        <v>16.619676115767099</v>
      </c>
      <c r="M20" s="101">
        <v>6.6262758509054374</v>
      </c>
      <c r="N20" s="97">
        <v>-12.55683047728942</v>
      </c>
      <c r="O20" s="102">
        <v>11.182417333503381</v>
      </c>
      <c r="P20" s="99">
        <v>35.17614081379989</v>
      </c>
      <c r="Q20" s="98">
        <v>7.7241502746416701</v>
      </c>
      <c r="R20" s="100">
        <v>15.75506432403524</v>
      </c>
      <c r="S20" s="101">
        <v>3.7722392290110527</v>
      </c>
      <c r="T20" s="97">
        <v>11.847908685732371</v>
      </c>
      <c r="U20" s="101">
        <v>6.7414558533958138</v>
      </c>
      <c r="V20" s="97">
        <v>-20.315383039410428</v>
      </c>
      <c r="W20" s="104">
        <v>8.3686954869171064</v>
      </c>
      <c r="X20" s="124"/>
      <c r="Y20" s="124"/>
      <c r="Z20" s="124"/>
      <c r="AA20" s="124"/>
      <c r="AB20" s="124"/>
      <c r="AC20" s="124"/>
      <c r="AD20" s="124"/>
      <c r="AE20" s="124"/>
    </row>
    <row r="21" spans="1:31" s="105" customFormat="1" x14ac:dyDescent="0.25">
      <c r="A21" s="118" t="s">
        <v>207</v>
      </c>
      <c r="B21" s="95">
        <v>245</v>
      </c>
      <c r="C21" s="96">
        <v>98.989761352539063</v>
      </c>
      <c r="D21" s="97">
        <v>58.826596178440226</v>
      </c>
      <c r="E21" s="98">
        <v>3.1616552702467904</v>
      </c>
      <c r="F21" s="99">
        <v>81.095077067882841</v>
      </c>
      <c r="G21" s="98">
        <v>7.4260752930432856</v>
      </c>
      <c r="H21" s="100">
        <v>66.695475971489088</v>
      </c>
      <c r="I21" s="101">
        <v>8.8503718386585142</v>
      </c>
      <c r="J21" s="97">
        <v>57.804647111758243</v>
      </c>
      <c r="K21" s="98">
        <v>8.5919303580040438</v>
      </c>
      <c r="L21" s="100">
        <v>29.205596274596431</v>
      </c>
      <c r="M21" s="101">
        <v>5.8368873698876556</v>
      </c>
      <c r="N21" s="97">
        <v>-51.88948079328641</v>
      </c>
      <c r="O21" s="102">
        <v>9.6871240482068721</v>
      </c>
      <c r="P21" s="99">
        <v>71.048954850634914</v>
      </c>
      <c r="Q21" s="98">
        <v>3.9197089513871526</v>
      </c>
      <c r="R21" s="100" t="s">
        <v>34</v>
      </c>
      <c r="S21" s="101" t="s">
        <v>34</v>
      </c>
      <c r="T21" s="97">
        <v>4.3422304352636711</v>
      </c>
      <c r="U21" s="101">
        <v>2.7308543250155739</v>
      </c>
      <c r="V21" s="97">
        <v>-66.706724415371241</v>
      </c>
      <c r="W21" s="104">
        <v>4.8219289999399404</v>
      </c>
      <c r="X21" s="124"/>
      <c r="Y21" s="124"/>
      <c r="Z21" s="124"/>
      <c r="AA21" s="124"/>
      <c r="AB21" s="124"/>
      <c r="AC21" s="124"/>
      <c r="AD21" s="124"/>
      <c r="AE21" s="124"/>
    </row>
    <row r="22" spans="1:31" s="105" customFormat="1" x14ac:dyDescent="0.25">
      <c r="A22" s="118" t="s">
        <v>208</v>
      </c>
      <c r="B22" s="95">
        <v>324</v>
      </c>
      <c r="C22" s="96">
        <v>97.015785217285156</v>
      </c>
      <c r="D22" s="97">
        <v>33.3840921666634</v>
      </c>
      <c r="E22" s="98">
        <v>2.7887089528923714</v>
      </c>
      <c r="F22" s="99">
        <v>23.320208973845581</v>
      </c>
      <c r="G22" s="98">
        <v>5.2030228145902742</v>
      </c>
      <c r="H22" s="100">
        <v>32.193892477264328</v>
      </c>
      <c r="I22" s="101">
        <v>8.0804640081827586</v>
      </c>
      <c r="J22" s="97">
        <v>34.551140264442488</v>
      </c>
      <c r="K22" s="98">
        <v>8.1446673528561799</v>
      </c>
      <c r="L22" s="100">
        <v>43.343360298286328</v>
      </c>
      <c r="M22" s="101">
        <v>6.3952032543737971</v>
      </c>
      <c r="N22" s="97">
        <v>20.02315132444075</v>
      </c>
      <c r="O22" s="102">
        <v>7.5550685443036372</v>
      </c>
      <c r="P22" s="99">
        <v>34.593114253006497</v>
      </c>
      <c r="Q22" s="98">
        <v>3.0193660008726106</v>
      </c>
      <c r="R22" s="100">
        <v>12.298891598733089</v>
      </c>
      <c r="S22" s="101">
        <v>8.0696995616053719</v>
      </c>
      <c r="T22" s="97" t="s">
        <v>34</v>
      </c>
      <c r="U22" s="101" t="s">
        <v>34</v>
      </c>
      <c r="V22" s="97">
        <v>-22.294222654273408</v>
      </c>
      <c r="W22" s="104">
        <v>8.8925472481678476</v>
      </c>
      <c r="X22" s="124"/>
      <c r="Y22" s="124"/>
      <c r="Z22" s="124"/>
      <c r="AA22" s="124"/>
      <c r="AB22" s="124"/>
      <c r="AC22" s="124"/>
      <c r="AD22" s="124"/>
      <c r="AE22" s="124"/>
    </row>
    <row r="23" spans="1:31" s="105" customFormat="1" x14ac:dyDescent="0.25">
      <c r="A23" s="118" t="s">
        <v>209</v>
      </c>
      <c r="B23" s="95">
        <v>262</v>
      </c>
      <c r="C23" s="96">
        <v>79.4007568359375</v>
      </c>
      <c r="D23" s="97">
        <v>13.26384688804216</v>
      </c>
      <c r="E23" s="98">
        <v>2.1817926846341407</v>
      </c>
      <c r="F23" s="99">
        <v>20.801122150670551</v>
      </c>
      <c r="G23" s="98">
        <v>7.6296422700070288</v>
      </c>
      <c r="H23" s="100">
        <v>25.523884082473622</v>
      </c>
      <c r="I23" s="101">
        <v>6.5007453782713345</v>
      </c>
      <c r="J23" s="97">
        <v>2.453018404569042</v>
      </c>
      <c r="K23" s="98">
        <v>3.0779569743402275</v>
      </c>
      <c r="L23" s="100">
        <v>4.2518736504844794</v>
      </c>
      <c r="M23" s="101">
        <v>2.2716134916578001</v>
      </c>
      <c r="N23" s="97">
        <v>-16.549248500186071</v>
      </c>
      <c r="O23" s="102">
        <v>7.8180108598696822</v>
      </c>
      <c r="P23" s="99">
        <v>18.5364906664066</v>
      </c>
      <c r="Q23" s="98">
        <v>2.9748870983527511</v>
      </c>
      <c r="R23" s="100">
        <v>0</v>
      </c>
      <c r="S23" s="101" t="s">
        <v>35</v>
      </c>
      <c r="T23" s="97">
        <v>0</v>
      </c>
      <c r="U23" s="101" t="s">
        <v>35</v>
      </c>
      <c r="V23" s="97">
        <v>-18.5364906664066</v>
      </c>
      <c r="W23" s="104">
        <v>2.9748870983527511</v>
      </c>
      <c r="X23" s="124"/>
      <c r="Y23" s="124"/>
      <c r="Z23" s="124"/>
      <c r="AA23" s="124"/>
      <c r="AB23" s="124"/>
      <c r="AC23" s="124"/>
      <c r="AD23" s="124"/>
      <c r="AE23" s="124"/>
    </row>
    <row r="24" spans="1:31" s="105" customFormat="1" x14ac:dyDescent="0.25">
      <c r="A24" s="118" t="s">
        <v>210</v>
      </c>
      <c r="B24" s="95">
        <v>224</v>
      </c>
      <c r="C24" s="96">
        <v>99.549774169921875</v>
      </c>
      <c r="D24" s="97">
        <v>37.378769351065372</v>
      </c>
      <c r="E24" s="98">
        <v>1.9615162051144213</v>
      </c>
      <c r="F24" s="99">
        <v>41.733646565690222</v>
      </c>
      <c r="G24" s="98">
        <v>6.2249361581781111</v>
      </c>
      <c r="H24" s="100">
        <v>30.853662856070361</v>
      </c>
      <c r="I24" s="101">
        <v>5.5516058325309086</v>
      </c>
      <c r="J24" s="97">
        <v>37.529065736958991</v>
      </c>
      <c r="K24" s="98">
        <v>4.0291588819343733</v>
      </c>
      <c r="L24" s="100">
        <v>39.267563199423527</v>
      </c>
      <c r="M24" s="101">
        <v>3.7104876580795016</v>
      </c>
      <c r="N24" s="97">
        <v>-2.466083366266687</v>
      </c>
      <c r="O24" s="102">
        <v>6.9589768782261441</v>
      </c>
      <c r="P24" s="99">
        <v>37.883886498664793</v>
      </c>
      <c r="Q24" s="98">
        <v>1.9279468477095127</v>
      </c>
      <c r="R24" s="100">
        <v>36.590975529478747</v>
      </c>
      <c r="S24" s="101">
        <v>19.20483443611554</v>
      </c>
      <c r="T24" s="97">
        <v>8.9365521395550385</v>
      </c>
      <c r="U24" s="101">
        <v>10.512021073351702</v>
      </c>
      <c r="V24" s="97">
        <v>-12.768363523650923</v>
      </c>
      <c r="W24" s="104">
        <v>14.130852721267129</v>
      </c>
      <c r="X24" s="124"/>
      <c r="Y24" s="124"/>
      <c r="Z24" s="124"/>
      <c r="AA24" s="124"/>
      <c r="AB24" s="124"/>
      <c r="AC24" s="124"/>
      <c r="AD24" s="124"/>
      <c r="AE24" s="124"/>
    </row>
    <row r="25" spans="1:31" s="105" customFormat="1" x14ac:dyDescent="0.25">
      <c r="A25" s="118" t="s">
        <v>211</v>
      </c>
      <c r="B25" s="95">
        <v>207</v>
      </c>
      <c r="C25" s="96">
        <v>97.800559997558594</v>
      </c>
      <c r="D25" s="97">
        <v>38.0064611002541</v>
      </c>
      <c r="E25" s="98">
        <v>3.3750618497306943</v>
      </c>
      <c r="F25" s="99">
        <v>21.58256285878792</v>
      </c>
      <c r="G25" s="98">
        <v>6.2569016595980536</v>
      </c>
      <c r="H25" s="100">
        <v>38.309114244575959</v>
      </c>
      <c r="I25" s="101">
        <v>8.1552063600988269</v>
      </c>
      <c r="J25" s="97">
        <v>51.376422568346158</v>
      </c>
      <c r="K25" s="98">
        <v>8.1156435966919993</v>
      </c>
      <c r="L25" s="100">
        <v>40.616736553925158</v>
      </c>
      <c r="M25" s="101">
        <v>7.5377536301949224</v>
      </c>
      <c r="N25" s="97">
        <v>19.034173695137252</v>
      </c>
      <c r="O25" s="102">
        <v>10.376743450640481</v>
      </c>
      <c r="P25" s="99">
        <v>38.202012728971461</v>
      </c>
      <c r="Q25" s="98">
        <v>3.4827073133007347</v>
      </c>
      <c r="R25" s="100">
        <v>33.39066080529431</v>
      </c>
      <c r="S25" s="101">
        <v>20.613837158576644</v>
      </c>
      <c r="T25" s="97" t="s">
        <v>34</v>
      </c>
      <c r="U25" s="101" t="s">
        <v>34</v>
      </c>
      <c r="V25" s="97">
        <v>-4.8113519236771509</v>
      </c>
      <c r="W25" s="104">
        <v>21.113242485375196</v>
      </c>
      <c r="X25" s="124"/>
      <c r="Y25" s="124"/>
      <c r="Z25" s="124"/>
      <c r="AA25" s="124"/>
      <c r="AB25" s="124"/>
      <c r="AC25" s="124"/>
      <c r="AD25" s="124"/>
      <c r="AE25" s="124"/>
    </row>
    <row r="26" spans="1:31" s="105" customFormat="1" x14ac:dyDescent="0.25">
      <c r="A26" s="118" t="s">
        <v>212</v>
      </c>
      <c r="B26" s="95">
        <v>161</v>
      </c>
      <c r="C26" s="96">
        <v>75.288307189941406</v>
      </c>
      <c r="D26" s="97">
        <v>31.31764328850576</v>
      </c>
      <c r="E26" s="98">
        <v>3.6386774519836593</v>
      </c>
      <c r="F26" s="99">
        <v>29.5405439342317</v>
      </c>
      <c r="G26" s="98">
        <v>8.2518165929792815</v>
      </c>
      <c r="H26" s="100">
        <v>37.821664238751488</v>
      </c>
      <c r="I26" s="101">
        <v>8.8188710251765823</v>
      </c>
      <c r="J26" s="97">
        <v>30.0872652176072</v>
      </c>
      <c r="K26" s="98">
        <v>9.5735498110446517</v>
      </c>
      <c r="L26" s="100">
        <v>27.835193398762399</v>
      </c>
      <c r="M26" s="101">
        <v>7.9584860772178025</v>
      </c>
      <c r="N26" s="97">
        <v>-1.705350535469297</v>
      </c>
      <c r="O26" s="102">
        <v>11.852808341584385</v>
      </c>
      <c r="P26" s="99">
        <v>33.10889294094315</v>
      </c>
      <c r="Q26" s="98">
        <v>4.200230424090182</v>
      </c>
      <c r="R26" s="100">
        <v>37.52198043368098</v>
      </c>
      <c r="S26" s="101">
        <v>10.394016166959611</v>
      </c>
      <c r="T26" s="97">
        <v>7.3034309286575576</v>
      </c>
      <c r="U26" s="101">
        <v>6.9298038827343271</v>
      </c>
      <c r="V26" s="97">
        <v>-10.621172948103681</v>
      </c>
      <c r="W26" s="104">
        <v>7.7432397950329568</v>
      </c>
      <c r="X26" s="124"/>
      <c r="Y26" s="124"/>
      <c r="Z26" s="124"/>
      <c r="AA26" s="124"/>
      <c r="AB26" s="124"/>
      <c r="AC26" s="124"/>
      <c r="AD26" s="124"/>
      <c r="AE26" s="124"/>
    </row>
    <row r="27" spans="1:31" s="105" customFormat="1" x14ac:dyDescent="0.25">
      <c r="A27" s="118" t="s">
        <v>213</v>
      </c>
      <c r="B27" s="95">
        <v>181</v>
      </c>
      <c r="C27" s="96">
        <v>80.470245361328125</v>
      </c>
      <c r="D27" s="97">
        <v>49.088300106348072</v>
      </c>
      <c r="E27" s="98">
        <v>3.4865315900673228</v>
      </c>
      <c r="F27" s="99">
        <v>60.898333829006653</v>
      </c>
      <c r="G27" s="98">
        <v>7.6775494181267572</v>
      </c>
      <c r="H27" s="100">
        <v>56.413053692659467</v>
      </c>
      <c r="I27" s="101">
        <v>8.9579955354323832</v>
      </c>
      <c r="J27" s="97">
        <v>41.613157380922203</v>
      </c>
      <c r="K27" s="98">
        <v>8.7178377212512572</v>
      </c>
      <c r="L27" s="100">
        <v>39.444893049497338</v>
      </c>
      <c r="M27" s="101">
        <v>9.8485271279339877</v>
      </c>
      <c r="N27" s="97">
        <v>-21.453440779509311</v>
      </c>
      <c r="O27" s="102">
        <v>11.738802260181172</v>
      </c>
      <c r="P27" s="99">
        <v>50.085171808495303</v>
      </c>
      <c r="Q27" s="98">
        <v>3.5106721473370075</v>
      </c>
      <c r="R27" s="100">
        <v>16.913555119390381</v>
      </c>
      <c r="S27" s="101">
        <v>16.920821742586377</v>
      </c>
      <c r="T27" s="97" t="s">
        <v>34</v>
      </c>
      <c r="U27" s="101" t="s">
        <v>34</v>
      </c>
      <c r="V27" s="97">
        <v>-33.171616689104923</v>
      </c>
      <c r="W27" s="104">
        <v>17.45121212404737</v>
      </c>
      <c r="X27" s="124"/>
      <c r="Y27" s="124"/>
      <c r="Z27" s="124"/>
      <c r="AA27" s="124"/>
      <c r="AB27" s="124"/>
      <c r="AC27" s="124"/>
      <c r="AD27" s="124"/>
      <c r="AE27" s="124"/>
    </row>
    <row r="28" spans="1:31" s="105" customFormat="1" x14ac:dyDescent="0.25">
      <c r="A28" s="118" t="s">
        <v>214</v>
      </c>
      <c r="B28" s="95">
        <v>200</v>
      </c>
      <c r="C28" s="96">
        <v>92.194198608398438</v>
      </c>
      <c r="D28" s="97">
        <v>63.905877155771407</v>
      </c>
      <c r="E28" s="98">
        <v>3.6026419684421178</v>
      </c>
      <c r="F28" s="99">
        <v>65.759037075658</v>
      </c>
      <c r="G28" s="98">
        <v>8.321381065698084</v>
      </c>
      <c r="H28" s="100">
        <v>62.879447022402587</v>
      </c>
      <c r="I28" s="101">
        <v>8.1579959502592416</v>
      </c>
      <c r="J28" s="97">
        <v>76.549905346795555</v>
      </c>
      <c r="K28" s="98">
        <v>9.6700512032821333</v>
      </c>
      <c r="L28" s="100">
        <v>50.648976160686551</v>
      </c>
      <c r="M28" s="101">
        <v>7.941849089719514</v>
      </c>
      <c r="N28" s="97">
        <v>-15.11006091497145</v>
      </c>
      <c r="O28" s="102">
        <v>10.950425701326878</v>
      </c>
      <c r="P28" s="99">
        <v>66.5598487635623</v>
      </c>
      <c r="Q28" s="98">
        <v>3.6336813142316617</v>
      </c>
      <c r="R28" s="100" t="s">
        <v>34</v>
      </c>
      <c r="S28" s="101" t="s">
        <v>34</v>
      </c>
      <c r="T28" s="97">
        <v>9.696452181090482</v>
      </c>
      <c r="U28" s="101">
        <v>10.21147097650319</v>
      </c>
      <c r="V28" s="97">
        <v>-56.863396582471822</v>
      </c>
      <c r="W28" s="104">
        <v>10.797383151241741</v>
      </c>
      <c r="X28" s="124"/>
      <c r="Y28" s="124"/>
      <c r="Z28" s="124"/>
      <c r="AA28" s="124"/>
      <c r="AB28" s="124"/>
      <c r="AC28" s="124"/>
      <c r="AD28" s="124"/>
      <c r="AE28" s="124"/>
    </row>
    <row r="29" spans="1:31" s="105" customFormat="1" x14ac:dyDescent="0.25">
      <c r="A29" s="118" t="s">
        <v>215</v>
      </c>
      <c r="B29" s="95">
        <v>161</v>
      </c>
      <c r="C29" s="96">
        <v>89.597335815429688</v>
      </c>
      <c r="D29" s="97">
        <v>43.726216765514167</v>
      </c>
      <c r="E29" s="98">
        <v>3.9731168863477553</v>
      </c>
      <c r="F29" s="99">
        <v>47.831352009876383</v>
      </c>
      <c r="G29" s="98">
        <v>7.2701881252628144</v>
      </c>
      <c r="H29" s="100">
        <v>40.48074365664332</v>
      </c>
      <c r="I29" s="101">
        <v>8.4063162331635137</v>
      </c>
      <c r="J29" s="97">
        <v>42.369262180950713</v>
      </c>
      <c r="K29" s="98">
        <v>8.7437533519705788</v>
      </c>
      <c r="L29" s="100">
        <v>44.134182285702231</v>
      </c>
      <c r="M29" s="101">
        <v>8.8941590961639765</v>
      </c>
      <c r="N29" s="97">
        <v>-3.6971697241741519</v>
      </c>
      <c r="O29" s="102">
        <v>11.499270693828342</v>
      </c>
      <c r="P29" s="99">
        <v>50.617246408617397</v>
      </c>
      <c r="Q29" s="98">
        <v>4.3830974764647488</v>
      </c>
      <c r="R29" s="100">
        <v>20.818338635051092</v>
      </c>
      <c r="S29" s="101">
        <v>6.7535218178424286</v>
      </c>
      <c r="T29" s="97" t="s">
        <v>34</v>
      </c>
      <c r="U29" s="101" t="s">
        <v>34</v>
      </c>
      <c r="V29" s="97">
        <v>-29.798907773566306</v>
      </c>
      <c r="W29" s="104">
        <v>7.695221362920722</v>
      </c>
      <c r="X29" s="124"/>
      <c r="Y29" s="124"/>
      <c r="Z29" s="124"/>
      <c r="AA29" s="124"/>
      <c r="AB29" s="124"/>
      <c r="AC29" s="124"/>
      <c r="AD29" s="124"/>
      <c r="AE29" s="124"/>
    </row>
    <row r="30" spans="1:31" s="105" customFormat="1" x14ac:dyDescent="0.25">
      <c r="A30" s="118" t="s">
        <v>216</v>
      </c>
      <c r="B30" s="95">
        <v>129</v>
      </c>
      <c r="C30" s="96">
        <v>98.818824768066406</v>
      </c>
      <c r="D30" s="97">
        <v>17.668670968770851</v>
      </c>
      <c r="E30" s="98">
        <v>0.2124653132273808</v>
      </c>
      <c r="F30" s="99">
        <v>21.4886358141557</v>
      </c>
      <c r="G30" s="98">
        <v>0.45431331508318584</v>
      </c>
      <c r="H30" s="100">
        <v>9.0757852880237877</v>
      </c>
      <c r="I30" s="101">
        <v>0.30389130152303873</v>
      </c>
      <c r="J30" s="97">
        <v>33.24588087860139</v>
      </c>
      <c r="K30" s="98">
        <v>0.49754954348146246</v>
      </c>
      <c r="L30" s="100">
        <v>6.513927907841909</v>
      </c>
      <c r="M30" s="101">
        <v>0.25698433698886741</v>
      </c>
      <c r="N30" s="97">
        <v>-14.974707906313791</v>
      </c>
      <c r="O30" s="102">
        <v>0.53735487125482539</v>
      </c>
      <c r="P30" s="99">
        <v>18.055935320240469</v>
      </c>
      <c r="Q30" s="98">
        <v>0.21651365171450968</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153</v>
      </c>
      <c r="C31" s="96">
        <v>97.44952392578125</v>
      </c>
      <c r="D31" s="97">
        <v>26.000024219054829</v>
      </c>
      <c r="E31" s="98">
        <v>3.5319338918582144</v>
      </c>
      <c r="F31" s="99">
        <v>29.1892717565126</v>
      </c>
      <c r="G31" s="98">
        <v>7.0446088542155136</v>
      </c>
      <c r="H31" s="100">
        <v>25.288507421552389</v>
      </c>
      <c r="I31" s="101">
        <v>8.4290386569274496</v>
      </c>
      <c r="J31" s="97">
        <v>30.898670031392221</v>
      </c>
      <c r="K31" s="98">
        <v>8.4074332583308209</v>
      </c>
      <c r="L31" s="100">
        <v>18.338415351439401</v>
      </c>
      <c r="M31" s="101">
        <v>7.3683577250300312</v>
      </c>
      <c r="N31" s="97">
        <v>-10.850856405073189</v>
      </c>
      <c r="O31" s="102">
        <v>10.525618984910283</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163</v>
      </c>
      <c r="C32" s="96">
        <v>95.360801696777344</v>
      </c>
      <c r="D32" s="97">
        <v>36.56782519491</v>
      </c>
      <c r="E32" s="98">
        <v>3.831630171686339</v>
      </c>
      <c r="F32" s="99">
        <v>39.420740442523723</v>
      </c>
      <c r="G32" s="98">
        <v>9.654526617319922</v>
      </c>
      <c r="H32" s="100">
        <v>40.302328408999173</v>
      </c>
      <c r="I32" s="101">
        <v>8.8804213317516183</v>
      </c>
      <c r="J32" s="97">
        <v>43.313606120519182</v>
      </c>
      <c r="K32" s="98">
        <v>9.1836756862024682</v>
      </c>
      <c r="L32" s="100">
        <v>22.79661124178892</v>
      </c>
      <c r="M32" s="101">
        <v>7.145575766766032</v>
      </c>
      <c r="N32" s="97">
        <v>-16.624129200734799</v>
      </c>
      <c r="O32" s="102">
        <v>12.496284873530563</v>
      </c>
      <c r="P32" s="99">
        <v>36.56782519491</v>
      </c>
      <c r="Q32" s="98">
        <v>3.831630171686339</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489</v>
      </c>
      <c r="C33" s="96">
        <v>93.583366394042969</v>
      </c>
      <c r="D33" s="97">
        <v>48.398688430966637</v>
      </c>
      <c r="E33" s="98">
        <v>3.4304600349283856</v>
      </c>
      <c r="F33" s="99">
        <v>59.303818583367779</v>
      </c>
      <c r="G33" s="98">
        <v>6.7668310585562068</v>
      </c>
      <c r="H33" s="100">
        <v>46.14135443549344</v>
      </c>
      <c r="I33" s="101">
        <v>6.8757963983281787</v>
      </c>
      <c r="J33" s="97">
        <v>33.377180769663788</v>
      </c>
      <c r="K33" s="98">
        <v>7.7939153792408264</v>
      </c>
      <c r="L33" s="100">
        <v>55.158597522459658</v>
      </c>
      <c r="M33" s="101">
        <v>6.6073032468172457</v>
      </c>
      <c r="N33" s="97">
        <v>-4.1452210609081206</v>
      </c>
      <c r="O33" s="102">
        <v>9.1165980018297574</v>
      </c>
      <c r="P33" s="99">
        <v>49.811135263749946</v>
      </c>
      <c r="Q33" s="98">
        <v>3.502414095295578</v>
      </c>
      <c r="R33" s="100">
        <v>9.3014682449921473</v>
      </c>
      <c r="S33" s="101">
        <v>6.0638243286798259</v>
      </c>
      <c r="T33" s="97">
        <v>16.951796424522051</v>
      </c>
      <c r="U33" s="101">
        <v>15.132441993639532</v>
      </c>
      <c r="V33" s="97">
        <v>-36.004818817515016</v>
      </c>
      <c r="W33" s="104">
        <v>10.179510215568447</v>
      </c>
      <c r="X33" s="124"/>
      <c r="Y33" s="124"/>
      <c r="Z33" s="124"/>
      <c r="AA33" s="124"/>
      <c r="AB33" s="124"/>
      <c r="AC33" s="124"/>
      <c r="AD33" s="124"/>
      <c r="AE33" s="124"/>
    </row>
    <row r="34" spans="1:31" s="105" customFormat="1" x14ac:dyDescent="0.25">
      <c r="A34" s="118" t="s">
        <v>220</v>
      </c>
      <c r="B34" s="95">
        <v>183</v>
      </c>
      <c r="C34" s="96">
        <v>100</v>
      </c>
      <c r="D34" s="97">
        <v>31.687239412393239</v>
      </c>
      <c r="E34" s="98">
        <v>3.4325893927137621</v>
      </c>
      <c r="F34" s="99">
        <v>35.187095255901482</v>
      </c>
      <c r="G34" s="98">
        <v>8.3935616807256217</v>
      </c>
      <c r="H34" s="100">
        <v>30.96374285333852</v>
      </c>
      <c r="I34" s="101">
        <v>6.0613718522680138</v>
      </c>
      <c r="J34" s="97">
        <v>29.606595945270861</v>
      </c>
      <c r="K34" s="98">
        <v>8.6912474750400186</v>
      </c>
      <c r="L34" s="100">
        <v>31.076214785902391</v>
      </c>
      <c r="M34" s="101">
        <v>7.5723643475557623</v>
      </c>
      <c r="N34" s="97">
        <v>-4.110880469999092</v>
      </c>
      <c r="O34" s="102">
        <v>12.022991049528546</v>
      </c>
      <c r="P34" s="99">
        <v>33.629887625617513</v>
      </c>
      <c r="Q34" s="98">
        <v>4.3367739478235592</v>
      </c>
      <c r="R34" s="100">
        <v>13.33016720134499</v>
      </c>
      <c r="S34" s="101">
        <v>11.988354072398261</v>
      </c>
      <c r="T34" s="97">
        <v>29.618697114898069</v>
      </c>
      <c r="U34" s="101">
        <v>5.95362551311052</v>
      </c>
      <c r="V34" s="97">
        <v>-5.7631790679748534</v>
      </c>
      <c r="W34" s="104">
        <v>6.968828973812597</v>
      </c>
      <c r="X34" s="124"/>
      <c r="Y34" s="124"/>
      <c r="Z34" s="124"/>
      <c r="AA34" s="124"/>
      <c r="AB34" s="124"/>
      <c r="AC34" s="124"/>
      <c r="AD34" s="124"/>
      <c r="AE34" s="124"/>
    </row>
    <row r="35" spans="1:31" s="105" customFormat="1" x14ac:dyDescent="0.25">
      <c r="A35" s="118" t="s">
        <v>221</v>
      </c>
      <c r="B35" s="95">
        <v>153</v>
      </c>
      <c r="C35" s="96">
        <v>83.323898315429688</v>
      </c>
      <c r="D35" s="97">
        <v>56.087880089788293</v>
      </c>
      <c r="E35" s="98">
        <v>4.2626887600907315</v>
      </c>
      <c r="F35" s="99">
        <v>67.705378122182523</v>
      </c>
      <c r="G35" s="98">
        <v>8.3636175996978643</v>
      </c>
      <c r="H35" s="100">
        <v>46.473064603855342</v>
      </c>
      <c r="I35" s="101">
        <v>8.9899842497142721</v>
      </c>
      <c r="J35" s="97">
        <v>58.900180198564676</v>
      </c>
      <c r="K35" s="98">
        <v>9.278087949677241</v>
      </c>
      <c r="L35" s="100">
        <v>51.798315699114703</v>
      </c>
      <c r="M35" s="101">
        <v>8.8566349804717994</v>
      </c>
      <c r="N35" s="97">
        <v>-15.907062423067821</v>
      </c>
      <c r="O35" s="102">
        <v>12.459453117904788</v>
      </c>
      <c r="P35" s="99">
        <v>53.010827019385829</v>
      </c>
      <c r="Q35" s="98">
        <v>5.8785519143024647</v>
      </c>
      <c r="R35" s="100">
        <v>63.463360301937968</v>
      </c>
      <c r="S35" s="101">
        <v>6.9016756879085666</v>
      </c>
      <c r="T35" s="97">
        <v>41.350029769830194</v>
      </c>
      <c r="U35" s="101">
        <v>16.596873516926276</v>
      </c>
      <c r="V35" s="97">
        <v>7.2199151395892684</v>
      </c>
      <c r="W35" s="104">
        <v>8.9400387328412734</v>
      </c>
      <c r="X35" s="124"/>
      <c r="Y35" s="124"/>
      <c r="Z35" s="124"/>
      <c r="AA35" s="124"/>
      <c r="AB35" s="124"/>
      <c r="AC35" s="124"/>
      <c r="AD35" s="124"/>
      <c r="AE35" s="124"/>
    </row>
    <row r="36" spans="1:31" s="105" customFormat="1" x14ac:dyDescent="0.25">
      <c r="A36" s="118" t="s">
        <v>222</v>
      </c>
      <c r="B36" s="95">
        <v>289</v>
      </c>
      <c r="C36" s="96">
        <v>93.604774475097656</v>
      </c>
      <c r="D36" s="97">
        <v>17.01393874167125</v>
      </c>
      <c r="E36" s="98">
        <v>1.9239950020035688</v>
      </c>
      <c r="F36" s="99">
        <v>23.16096842057831</v>
      </c>
      <c r="G36" s="98">
        <v>4.5598814066740072</v>
      </c>
      <c r="H36" s="100">
        <v>19.18380079599957</v>
      </c>
      <c r="I36" s="101">
        <v>4.1945292182810467</v>
      </c>
      <c r="J36" s="97">
        <v>11.96900042156682</v>
      </c>
      <c r="K36" s="98">
        <v>3.7437498181082587</v>
      </c>
      <c r="L36" s="100">
        <v>13.841019501463469</v>
      </c>
      <c r="M36" s="101">
        <v>2.2612831494034857</v>
      </c>
      <c r="N36" s="97">
        <v>-9.3199489191148377</v>
      </c>
      <c r="O36" s="102">
        <v>4.9618978607110407</v>
      </c>
      <c r="P36" s="99">
        <v>16.829416929593471</v>
      </c>
      <c r="Q36" s="98">
        <v>1.9254898908938212</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6.6546624620487176</v>
      </c>
      <c r="E37" s="98">
        <v>0.94885466032072463</v>
      </c>
      <c r="F37" s="99">
        <v>5.3825851529436806</v>
      </c>
      <c r="G37" s="98">
        <v>2.2662552107011296</v>
      </c>
      <c r="H37" s="100">
        <v>4.3504214212608767</v>
      </c>
      <c r="I37" s="101">
        <v>2.7062345449433969</v>
      </c>
      <c r="J37" s="97">
        <v>3.4894120548814329</v>
      </c>
      <c r="K37" s="98">
        <v>2.1050836768778791</v>
      </c>
      <c r="L37" s="100">
        <v>13.299244406055051</v>
      </c>
      <c r="M37" s="101">
        <v>0.76983297420158292</v>
      </c>
      <c r="N37" s="97">
        <v>7.916659253111364</v>
      </c>
      <c r="O37" s="102">
        <v>2.4574492818070026</v>
      </c>
      <c r="P37" s="99">
        <v>6.8327879694836069</v>
      </c>
      <c r="Q37" s="98">
        <v>0.98269977633400407</v>
      </c>
      <c r="R37" s="100">
        <v>3.5812033215544581</v>
      </c>
      <c r="S37" s="101">
        <v>3.5165704038072487</v>
      </c>
      <c r="T37" s="97" t="s">
        <v>34</v>
      </c>
      <c r="U37" s="101" t="s">
        <v>34</v>
      </c>
      <c r="V37" s="97">
        <v>-3.2515846479291488</v>
      </c>
      <c r="W37" s="104">
        <v>3.6623232976303015</v>
      </c>
      <c r="X37" s="124"/>
      <c r="Y37" s="124"/>
      <c r="Z37" s="124"/>
      <c r="AA37" s="124"/>
      <c r="AB37" s="124"/>
      <c r="AC37" s="124"/>
      <c r="AD37" s="124"/>
      <c r="AE37" s="124"/>
    </row>
    <row r="38" spans="1:31" s="105" customFormat="1" x14ac:dyDescent="0.25">
      <c r="A38" s="118" t="s">
        <v>224</v>
      </c>
      <c r="B38" s="95">
        <v>43</v>
      </c>
      <c r="C38" s="96">
        <v>96.65936279296875</v>
      </c>
      <c r="D38" s="97">
        <v>54.989702842673537</v>
      </c>
      <c r="E38" s="98">
        <v>0.11626002030618814</v>
      </c>
      <c r="F38" s="99">
        <v>67.166010991299544</v>
      </c>
      <c r="G38" s="98">
        <v>0.19942257517779366</v>
      </c>
      <c r="H38" s="100">
        <v>78.544260390234257</v>
      </c>
      <c r="I38" s="101">
        <v>0.1945695280911417</v>
      </c>
      <c r="J38" s="97">
        <v>31.89856956817669</v>
      </c>
      <c r="K38" s="98">
        <v>0.18797094919245388</v>
      </c>
      <c r="L38" s="100">
        <v>43.329969249470857</v>
      </c>
      <c r="M38" s="101">
        <v>0.20041627128907263</v>
      </c>
      <c r="N38" s="97">
        <v>-23.83604174182868</v>
      </c>
      <c r="O38" s="102">
        <v>0.28306389674904509</v>
      </c>
      <c r="P38" s="99">
        <v>62.639564878252187</v>
      </c>
      <c r="Q38" s="98">
        <v>0.11898750364958072</v>
      </c>
      <c r="R38" s="100">
        <v>32.757591758879379</v>
      </c>
      <c r="S38" s="101">
        <v>0.36063500594613496</v>
      </c>
      <c r="T38" s="97" t="s">
        <v>34</v>
      </c>
      <c r="U38" s="101" t="s">
        <v>34</v>
      </c>
      <c r="V38" s="97">
        <v>-29.881973119372809</v>
      </c>
      <c r="W38" s="104">
        <v>0.36338764623267883</v>
      </c>
      <c r="X38" s="124"/>
      <c r="Y38" s="124"/>
      <c r="Z38" s="124"/>
      <c r="AA38" s="124"/>
      <c r="AB38" s="124"/>
      <c r="AC38" s="124"/>
      <c r="AD38" s="124"/>
      <c r="AE38" s="124"/>
    </row>
    <row r="39" spans="1:31" s="105" customFormat="1" x14ac:dyDescent="0.25">
      <c r="A39" s="118" t="s">
        <v>225</v>
      </c>
      <c r="B39" s="95">
        <v>206</v>
      </c>
      <c r="C39" s="96">
        <v>77.506950378417969</v>
      </c>
      <c r="D39" s="97">
        <v>33.039163589107048</v>
      </c>
      <c r="E39" s="98">
        <v>3.2484234305709636</v>
      </c>
      <c r="F39" s="99">
        <v>38.220479172224373</v>
      </c>
      <c r="G39" s="98">
        <v>6.238504436991005</v>
      </c>
      <c r="H39" s="100">
        <v>32.993440478051284</v>
      </c>
      <c r="I39" s="101">
        <v>8.7914256003861198</v>
      </c>
      <c r="J39" s="97">
        <v>42.006329207020308</v>
      </c>
      <c r="K39" s="98">
        <v>8.9097296903158245</v>
      </c>
      <c r="L39" s="100">
        <v>18.146141012493239</v>
      </c>
      <c r="M39" s="101">
        <v>4.9885015835154407</v>
      </c>
      <c r="N39" s="97">
        <v>-20.07433815973112</v>
      </c>
      <c r="O39" s="102">
        <v>7.2070723913332229</v>
      </c>
      <c r="P39" s="99">
        <v>37.969628553540261</v>
      </c>
      <c r="Q39" s="98">
        <v>3.7583948781275613</v>
      </c>
      <c r="R39" s="100" t="s">
        <v>34</v>
      </c>
      <c r="S39" s="101" t="s">
        <v>34</v>
      </c>
      <c r="T39" s="97">
        <v>0</v>
      </c>
      <c r="U39" s="101" t="s">
        <v>35</v>
      </c>
      <c r="V39" s="97">
        <v>-37.969628553540261</v>
      </c>
      <c r="W39" s="104">
        <v>3.7583948781275613</v>
      </c>
      <c r="X39" s="124"/>
      <c r="Y39" s="124"/>
      <c r="Z39" s="124"/>
      <c r="AA39" s="124"/>
      <c r="AB39" s="124"/>
      <c r="AC39" s="124"/>
      <c r="AD39" s="124"/>
      <c r="AE39" s="124"/>
    </row>
    <row r="40" spans="1:31" s="105" customFormat="1" x14ac:dyDescent="0.25">
      <c r="A40" s="118" t="s">
        <v>300</v>
      </c>
      <c r="B40" s="95">
        <v>145</v>
      </c>
      <c r="C40" s="96">
        <v>93.125473022460938</v>
      </c>
      <c r="D40" s="97">
        <v>10.032989496938921</v>
      </c>
      <c r="E40" s="98">
        <v>2.7789985026309472</v>
      </c>
      <c r="F40" s="99">
        <v>10.04021260036351</v>
      </c>
      <c r="G40" s="98">
        <v>5.4874732191863709</v>
      </c>
      <c r="H40" s="100">
        <v>10.15477482748075</v>
      </c>
      <c r="I40" s="101">
        <v>6.2111585379386076</v>
      </c>
      <c r="J40" s="97">
        <v>12.15871929398272</v>
      </c>
      <c r="K40" s="98">
        <v>6.4989936689545189</v>
      </c>
      <c r="L40" s="100">
        <v>7.5111746071671543</v>
      </c>
      <c r="M40" s="101">
        <v>4.5830400846121098</v>
      </c>
      <c r="N40" s="97">
        <v>-2.529037993196352</v>
      </c>
      <c r="O40" s="102">
        <v>7.2343287190226162</v>
      </c>
      <c r="P40" s="99">
        <v>4.6859824710171294</v>
      </c>
      <c r="Q40" s="98">
        <v>3.3555128732840189</v>
      </c>
      <c r="R40" s="100">
        <v>13.17444378270247</v>
      </c>
      <c r="S40" s="101">
        <v>3.7710209035742221</v>
      </c>
      <c r="T40" s="97" t="s">
        <v>34</v>
      </c>
      <c r="U40" s="101" t="s">
        <v>34</v>
      </c>
      <c r="V40" s="97">
        <v>8.4884613116853416</v>
      </c>
      <c r="W40" s="104">
        <v>4.8430892527157701</v>
      </c>
      <c r="X40" s="124"/>
      <c r="Y40" s="124"/>
      <c r="Z40" s="124"/>
      <c r="AA40" s="124"/>
      <c r="AB40" s="124"/>
      <c r="AC40" s="124"/>
      <c r="AD40" s="124"/>
      <c r="AE40" s="124"/>
    </row>
    <row r="41" spans="1:31" s="105" customFormat="1" x14ac:dyDescent="0.25">
      <c r="A41" s="118" t="s">
        <v>226</v>
      </c>
      <c r="B41" s="95">
        <v>184</v>
      </c>
      <c r="C41" s="96">
        <v>96.0885009765625</v>
      </c>
      <c r="D41" s="97">
        <v>19.434432410309761</v>
      </c>
      <c r="E41" s="98">
        <v>2.7334688241461942</v>
      </c>
      <c r="F41" s="99">
        <v>29.554996212091609</v>
      </c>
      <c r="G41" s="98">
        <v>7.201895161520766</v>
      </c>
      <c r="H41" s="100">
        <v>19.857293738573471</v>
      </c>
      <c r="I41" s="101">
        <v>6.7083168028207849</v>
      </c>
      <c r="J41" s="97">
        <v>19.586223911444829</v>
      </c>
      <c r="K41" s="98">
        <v>6.8875268191413266</v>
      </c>
      <c r="L41" s="100">
        <v>8.4827965066025079</v>
      </c>
      <c r="M41" s="101">
        <v>3.0870325279927369</v>
      </c>
      <c r="N41" s="97">
        <v>-21.072199705489101</v>
      </c>
      <c r="O41" s="102">
        <v>7.7034501313537262</v>
      </c>
      <c r="P41" s="99">
        <v>20.004200213964651</v>
      </c>
      <c r="Q41" s="98">
        <v>2.9145318370584081</v>
      </c>
      <c r="R41" s="100" t="s">
        <v>34</v>
      </c>
      <c r="S41" s="101" t="s">
        <v>34</v>
      </c>
      <c r="T41" s="97">
        <v>10.562694599040579</v>
      </c>
      <c r="U41" s="101">
        <v>3.5692749180086478</v>
      </c>
      <c r="V41" s="97">
        <v>-9.4415056149240719</v>
      </c>
      <c r="W41" s="104">
        <v>4.6283760314302382</v>
      </c>
      <c r="X41" s="124"/>
      <c r="Y41" s="124"/>
      <c r="Z41" s="124"/>
      <c r="AA41" s="124"/>
      <c r="AB41" s="124"/>
      <c r="AC41" s="124"/>
      <c r="AD41" s="124"/>
      <c r="AE41" s="124"/>
    </row>
    <row r="42" spans="1:31" s="105" customFormat="1" x14ac:dyDescent="0.25">
      <c r="A42" s="118" t="s">
        <v>227</v>
      </c>
      <c r="B42" s="95">
        <v>240</v>
      </c>
      <c r="C42" s="96">
        <v>96.466339111328125</v>
      </c>
      <c r="D42" s="97">
        <v>7.9490774907959727</v>
      </c>
      <c r="E42" s="98">
        <v>2.0821251901047249</v>
      </c>
      <c r="F42" s="99">
        <v>6.9306617956979304</v>
      </c>
      <c r="G42" s="98">
        <v>3.2269520768830611</v>
      </c>
      <c r="H42" s="100">
        <v>8.8010860755502662</v>
      </c>
      <c r="I42" s="101">
        <v>4.4023828702346668</v>
      </c>
      <c r="J42" s="97">
        <v>12.061371876144801</v>
      </c>
      <c r="K42" s="98">
        <v>5.1661994863018181</v>
      </c>
      <c r="L42" s="100">
        <v>3.9936255694705229</v>
      </c>
      <c r="M42" s="101">
        <v>2.9560389934742783</v>
      </c>
      <c r="N42" s="97">
        <v>-2.9370362262274061</v>
      </c>
      <c r="O42" s="102">
        <v>4.3948297335564819</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8.8221912678859002</v>
      </c>
      <c r="E43" s="98">
        <v>1.8862729033612946</v>
      </c>
      <c r="F43" s="99">
        <v>7.8591812383745197</v>
      </c>
      <c r="G43" s="98">
        <v>3.3420776184120906</v>
      </c>
      <c r="H43" s="100">
        <v>21.6053659622042</v>
      </c>
      <c r="I43" s="101">
        <v>6.4451149418531228</v>
      </c>
      <c r="J43" s="97">
        <v>1.964416443179096</v>
      </c>
      <c r="K43" s="98">
        <v>2.0320578973501502</v>
      </c>
      <c r="L43" s="100">
        <v>4.3249224664563606</v>
      </c>
      <c r="M43" s="101">
        <v>2.7997621380829321</v>
      </c>
      <c r="N43" s="97">
        <v>-3.5342587719181591</v>
      </c>
      <c r="O43" s="102">
        <v>4.3126080841162704</v>
      </c>
      <c r="P43" s="99">
        <v>9.1436226807957439</v>
      </c>
      <c r="Q43" s="98">
        <v>1.9703733277621329</v>
      </c>
      <c r="R43" s="100">
        <v>0</v>
      </c>
      <c r="S43" s="101" t="s">
        <v>35</v>
      </c>
      <c r="T43" s="97" t="s">
        <v>34</v>
      </c>
      <c r="U43" s="101" t="s">
        <v>34</v>
      </c>
      <c r="V43" s="97">
        <v>-9.1436226807957439</v>
      </c>
      <c r="W43" s="104">
        <v>1.9703733277621329</v>
      </c>
      <c r="X43" s="124"/>
      <c r="Y43" s="124"/>
      <c r="Z43" s="124"/>
      <c r="AA43" s="124"/>
      <c r="AB43" s="124"/>
      <c r="AC43" s="124"/>
      <c r="AD43" s="124"/>
      <c r="AE43" s="124"/>
    </row>
    <row r="44" spans="1:31" s="105" customFormat="1" x14ac:dyDescent="0.25">
      <c r="A44" s="118" t="s">
        <v>301</v>
      </c>
      <c r="B44" s="95">
        <v>229</v>
      </c>
      <c r="C44" s="96">
        <v>87.0318603515625</v>
      </c>
      <c r="D44" s="97">
        <v>64.279711090148751</v>
      </c>
      <c r="E44" s="98">
        <v>3.121905587750077</v>
      </c>
      <c r="F44" s="99">
        <v>59.365484389715817</v>
      </c>
      <c r="G44" s="98">
        <v>8.1022811752885371</v>
      </c>
      <c r="H44" s="100">
        <v>72.836662112334579</v>
      </c>
      <c r="I44" s="101">
        <v>6.8154992067310429</v>
      </c>
      <c r="J44" s="97">
        <v>71.920193726741672</v>
      </c>
      <c r="K44" s="98">
        <v>8.7790506909399593</v>
      </c>
      <c r="L44" s="100">
        <v>53.381662583694613</v>
      </c>
      <c r="M44" s="101">
        <v>7.6307692808825536</v>
      </c>
      <c r="N44" s="97">
        <v>-5.9838218060212114</v>
      </c>
      <c r="O44" s="102">
        <v>11.754890482756762</v>
      </c>
      <c r="P44" s="99">
        <v>73.211653593900621</v>
      </c>
      <c r="Q44" s="98">
        <v>3.3287646801166306</v>
      </c>
      <c r="R44" s="100">
        <v>26.71401609788148</v>
      </c>
      <c r="S44" s="101">
        <v>9.3433567253123311</v>
      </c>
      <c r="T44" s="97">
        <v>3.4996561604335201</v>
      </c>
      <c r="U44" s="101">
        <v>3.5135379213184392</v>
      </c>
      <c r="V44" s="97">
        <v>-58.344687068800553</v>
      </c>
      <c r="W44" s="104">
        <v>6.2341024475648901</v>
      </c>
      <c r="X44" s="124"/>
      <c r="Y44" s="124"/>
      <c r="Z44" s="124"/>
      <c r="AA44" s="124"/>
      <c r="AB44" s="124"/>
      <c r="AC44" s="124"/>
      <c r="AD44" s="124"/>
      <c r="AE44" s="124"/>
    </row>
    <row r="45" spans="1:31" s="105" customFormat="1" x14ac:dyDescent="0.25">
      <c r="A45" s="118" t="s">
        <v>229</v>
      </c>
      <c r="B45" s="95">
        <v>351</v>
      </c>
      <c r="C45" s="96">
        <v>93.280685424804688</v>
      </c>
      <c r="D45" s="97">
        <v>29.079720472837341</v>
      </c>
      <c r="E45" s="98">
        <v>2.4289919136332805</v>
      </c>
      <c r="F45" s="99">
        <v>38.845276104988088</v>
      </c>
      <c r="G45" s="98">
        <v>5.9870155519268993</v>
      </c>
      <c r="H45" s="100">
        <v>36.067522850025497</v>
      </c>
      <c r="I45" s="101">
        <v>6.3266626027765787</v>
      </c>
      <c r="J45" s="97">
        <v>22.842995053086799</v>
      </c>
      <c r="K45" s="98">
        <v>5.2298485156689045</v>
      </c>
      <c r="L45" s="100">
        <v>17.62190885879567</v>
      </c>
      <c r="M45" s="101">
        <v>4.4430496182393497</v>
      </c>
      <c r="N45" s="97">
        <v>-21.223367246192421</v>
      </c>
      <c r="O45" s="102">
        <v>7.4429457658438229</v>
      </c>
      <c r="P45" s="99">
        <v>28.422197850271012</v>
      </c>
      <c r="Q45" s="98">
        <v>2.4836718321104496</v>
      </c>
      <c r="R45" s="100">
        <v>36.935490639240399</v>
      </c>
      <c r="S45" s="101">
        <v>8.1615181484490389</v>
      </c>
      <c r="T45" s="97" t="s">
        <v>34</v>
      </c>
      <c r="U45" s="101" t="s">
        <v>34</v>
      </c>
      <c r="V45" s="97">
        <v>8.5132927889693875</v>
      </c>
      <c r="W45" s="104">
        <v>8.4759685160257785</v>
      </c>
      <c r="X45" s="124"/>
      <c r="Y45" s="124"/>
      <c r="Z45" s="124"/>
      <c r="AA45" s="124"/>
      <c r="AB45" s="124"/>
      <c r="AC45" s="124"/>
      <c r="AD45" s="124"/>
      <c r="AE45" s="124"/>
    </row>
    <row r="46" spans="1:31" s="105" customFormat="1" x14ac:dyDescent="0.25">
      <c r="A46" s="118" t="s">
        <v>230</v>
      </c>
      <c r="B46" s="95">
        <v>276</v>
      </c>
      <c r="C46" s="96">
        <v>87.400062561035156</v>
      </c>
      <c r="D46" s="97">
        <v>26.407074997573289</v>
      </c>
      <c r="E46" s="98">
        <v>0.12238782923171918</v>
      </c>
      <c r="F46" s="99">
        <v>29.792472148887061</v>
      </c>
      <c r="G46" s="98">
        <v>0.27250809778426466</v>
      </c>
      <c r="H46" s="100">
        <v>34.577974787883313</v>
      </c>
      <c r="I46" s="101">
        <v>0.35237363391909449</v>
      </c>
      <c r="J46" s="97">
        <v>33.35318226648576</v>
      </c>
      <c r="K46" s="98">
        <v>0.23884031531843158</v>
      </c>
      <c r="L46" s="100">
        <v>8.1586491007189252</v>
      </c>
      <c r="M46" s="101">
        <v>0.21238860754533306</v>
      </c>
      <c r="N46" s="97">
        <v>-21.633823048168139</v>
      </c>
      <c r="O46" s="102">
        <v>0.34794565227449725</v>
      </c>
      <c r="P46" s="99">
        <v>27.168429764262239</v>
      </c>
      <c r="Q46" s="98">
        <v>0.12347136327631282</v>
      </c>
      <c r="R46" s="100">
        <v>0</v>
      </c>
      <c r="S46" s="101" t="s">
        <v>35</v>
      </c>
      <c r="T46" s="97" t="s">
        <v>34</v>
      </c>
      <c r="U46" s="101" t="s">
        <v>34</v>
      </c>
      <c r="V46" s="97">
        <v>-27.168429764262239</v>
      </c>
      <c r="W46" s="104">
        <v>0.12347136327631282</v>
      </c>
      <c r="X46" s="124"/>
      <c r="Y46" s="124"/>
      <c r="Z46" s="124"/>
      <c r="AA46" s="124"/>
      <c r="AB46" s="124"/>
      <c r="AC46" s="124"/>
      <c r="AD46" s="124"/>
      <c r="AE46" s="124"/>
    </row>
    <row r="47" spans="1:31" s="105" customFormat="1" x14ac:dyDescent="0.25">
      <c r="A47" s="118" t="s">
        <v>231</v>
      </c>
      <c r="B47" s="95">
        <v>1046</v>
      </c>
      <c r="C47" s="96">
        <v>96.410224914550781</v>
      </c>
      <c r="D47" s="97">
        <v>59.418550295252039</v>
      </c>
      <c r="E47" s="98">
        <v>2.2896067553647228</v>
      </c>
      <c r="F47" s="99">
        <v>60.195587076669383</v>
      </c>
      <c r="G47" s="98">
        <v>4.3987152234922249</v>
      </c>
      <c r="H47" s="100">
        <v>66.430449818431015</v>
      </c>
      <c r="I47" s="101">
        <v>3.6275848947746181</v>
      </c>
      <c r="J47" s="97">
        <v>60.786230708417378</v>
      </c>
      <c r="K47" s="98">
        <v>4.9180352203392781</v>
      </c>
      <c r="L47" s="100">
        <v>50.389365495604089</v>
      </c>
      <c r="M47" s="101">
        <v>4.9349384489581452</v>
      </c>
      <c r="N47" s="97">
        <v>-9.8062215810652944</v>
      </c>
      <c r="O47" s="102">
        <v>6.416108413361159</v>
      </c>
      <c r="P47" s="99">
        <v>59.396352438411242</v>
      </c>
      <c r="Q47" s="98">
        <v>2.7092969676929775</v>
      </c>
      <c r="R47" s="100">
        <v>63.712421331770862</v>
      </c>
      <c r="S47" s="101">
        <v>4.3157498617913577</v>
      </c>
      <c r="T47" s="97">
        <v>39.630909902876347</v>
      </c>
      <c r="U47" s="101">
        <v>8.4301125394681939</v>
      </c>
      <c r="V47" s="97">
        <v>-0.37269520129812861</v>
      </c>
      <c r="W47" s="104">
        <v>4.6960220087966853</v>
      </c>
      <c r="X47" s="124"/>
      <c r="Y47" s="124"/>
      <c r="Z47" s="124"/>
      <c r="AA47" s="124"/>
      <c r="AB47" s="124"/>
      <c r="AC47" s="124"/>
      <c r="AD47" s="124"/>
      <c r="AE47" s="124"/>
    </row>
    <row r="48" spans="1:31" s="105" customFormat="1" x14ac:dyDescent="0.25">
      <c r="A48" s="118" t="s">
        <v>232</v>
      </c>
      <c r="B48" s="95">
        <v>201</v>
      </c>
      <c r="C48" s="96">
        <v>95.6641845703125</v>
      </c>
      <c r="D48" s="97">
        <v>29.6537507713583</v>
      </c>
      <c r="E48" s="98">
        <v>3.4724357345384509</v>
      </c>
      <c r="F48" s="99">
        <v>36.162837366570137</v>
      </c>
      <c r="G48" s="98">
        <v>7.9659577786952847</v>
      </c>
      <c r="H48" s="100">
        <v>34.415966191644479</v>
      </c>
      <c r="I48" s="101">
        <v>8.0940638299864833</v>
      </c>
      <c r="J48" s="97">
        <v>21.684698931944428</v>
      </c>
      <c r="K48" s="98">
        <v>6.4403061617589668</v>
      </c>
      <c r="L48" s="100">
        <v>26.61623231046871</v>
      </c>
      <c r="M48" s="101">
        <v>7.4383816694106617</v>
      </c>
      <c r="N48" s="97">
        <v>-9.5466050561014306</v>
      </c>
      <c r="O48" s="102">
        <v>9.3445264783455961</v>
      </c>
      <c r="P48" s="99">
        <v>30.97578049592056</v>
      </c>
      <c r="Q48" s="98">
        <v>3.7655255923936588</v>
      </c>
      <c r="R48" s="100">
        <v>24.104950823623842</v>
      </c>
      <c r="S48" s="101">
        <v>6.8378167317211433</v>
      </c>
      <c r="T48" s="97" t="s">
        <v>34</v>
      </c>
      <c r="U48" s="101" t="s">
        <v>34</v>
      </c>
      <c r="V48" s="97">
        <v>-6.8708296722967184</v>
      </c>
      <c r="W48" s="104">
        <v>7.319569376396684</v>
      </c>
      <c r="X48" s="124"/>
      <c r="Y48" s="124"/>
      <c r="Z48" s="124"/>
      <c r="AA48" s="124"/>
      <c r="AB48" s="124"/>
      <c r="AC48" s="124"/>
      <c r="AD48" s="124"/>
      <c r="AE48" s="124"/>
    </row>
    <row r="49" spans="1:31" s="105" customFormat="1" x14ac:dyDescent="0.25">
      <c r="A49" s="118" t="s">
        <v>233</v>
      </c>
      <c r="B49" s="95">
        <v>157</v>
      </c>
      <c r="C49" s="96">
        <v>74.739677429199219</v>
      </c>
      <c r="D49" s="97">
        <v>11.37861862037516</v>
      </c>
      <c r="E49" s="98">
        <v>2.5945867877895448</v>
      </c>
      <c r="F49" s="99">
        <v>8.3505896351850133</v>
      </c>
      <c r="G49" s="98">
        <v>6.8583859237043869</v>
      </c>
      <c r="H49" s="100">
        <v>14.835111495988521</v>
      </c>
      <c r="I49" s="101">
        <v>7.9111730320024423</v>
      </c>
      <c r="J49" s="97">
        <v>17.132878783048689</v>
      </c>
      <c r="K49" s="98">
        <v>9.0673353526556735</v>
      </c>
      <c r="L49" s="100">
        <v>5.3439139906812629</v>
      </c>
      <c r="M49" s="101">
        <v>7.5709821982435059</v>
      </c>
      <c r="N49" s="97">
        <v>-3.0066756445037499</v>
      </c>
      <c r="O49" s="102">
        <v>9.9249479384457011</v>
      </c>
      <c r="P49" s="99">
        <v>10.99533420684252</v>
      </c>
      <c r="Q49" s="98">
        <v>2.6649886828137515</v>
      </c>
      <c r="R49" s="100" t="s">
        <v>34</v>
      </c>
      <c r="S49" s="101" t="s">
        <v>34</v>
      </c>
      <c r="T49" s="97">
        <v>20.684566193844869</v>
      </c>
      <c r="U49" s="101">
        <v>15.961027670290841</v>
      </c>
      <c r="V49" s="97">
        <v>9.6892319870023496</v>
      </c>
      <c r="W49" s="104">
        <v>16.258748287879662</v>
      </c>
      <c r="X49" s="124"/>
      <c r="Y49" s="124"/>
      <c r="Z49" s="124"/>
      <c r="AA49" s="124"/>
      <c r="AB49" s="124"/>
      <c r="AC49" s="124"/>
      <c r="AD49" s="124"/>
      <c r="AE49" s="124"/>
    </row>
    <row r="50" spans="1:31" s="105" customFormat="1" x14ac:dyDescent="0.25">
      <c r="A50" s="118" t="s">
        <v>234</v>
      </c>
      <c r="B50" s="95">
        <v>179</v>
      </c>
      <c r="C50" s="96">
        <v>98.9569091796875</v>
      </c>
      <c r="D50" s="97">
        <v>35.362518827213869</v>
      </c>
      <c r="E50" s="98">
        <v>3.6055929815324177</v>
      </c>
      <c r="F50" s="99">
        <v>44.907784722032943</v>
      </c>
      <c r="G50" s="98">
        <v>7.233808098871199</v>
      </c>
      <c r="H50" s="100">
        <v>29.857331013385281</v>
      </c>
      <c r="I50" s="101">
        <v>8.2844530874394771</v>
      </c>
      <c r="J50" s="97">
        <v>47.603743776307738</v>
      </c>
      <c r="K50" s="98">
        <v>9.2015277988574713</v>
      </c>
      <c r="L50" s="100">
        <v>19.331628667420151</v>
      </c>
      <c r="M50" s="101">
        <v>6.7433431783914486</v>
      </c>
      <c r="N50" s="97">
        <v>-25.576156054612792</v>
      </c>
      <c r="O50" s="102">
        <v>10.237650157265046</v>
      </c>
      <c r="P50" s="99">
        <v>39.823540252094531</v>
      </c>
      <c r="Q50" s="98">
        <v>3.951760704201035</v>
      </c>
      <c r="R50" s="100" t="s">
        <v>34</v>
      </c>
      <c r="S50" s="101" t="s">
        <v>34</v>
      </c>
      <c r="T50" s="97">
        <v>3.684392472034915</v>
      </c>
      <c r="U50" s="101">
        <v>2.6252072412741998</v>
      </c>
      <c r="V50" s="97">
        <v>-36.139147780059616</v>
      </c>
      <c r="W50" s="104">
        <v>4.7640499069273696</v>
      </c>
      <c r="X50" s="124"/>
      <c r="Y50" s="124"/>
      <c r="Z50" s="124"/>
      <c r="AA50" s="124"/>
      <c r="AB50" s="124"/>
      <c r="AC50" s="124"/>
      <c r="AD50" s="124"/>
      <c r="AE50" s="124"/>
    </row>
    <row r="51" spans="1:31" s="105" customFormat="1" x14ac:dyDescent="0.25">
      <c r="A51" s="118" t="s">
        <v>235</v>
      </c>
      <c r="B51" s="95">
        <v>383</v>
      </c>
      <c r="C51" s="96">
        <v>77.094955444335938</v>
      </c>
      <c r="D51" s="97">
        <v>21.483907270987491</v>
      </c>
      <c r="E51" s="98">
        <v>2.6092545703559353</v>
      </c>
      <c r="F51" s="99">
        <v>21.628545269445539</v>
      </c>
      <c r="G51" s="98">
        <v>5.1676329714219902</v>
      </c>
      <c r="H51" s="100">
        <v>26.359529895134472</v>
      </c>
      <c r="I51" s="101">
        <v>6.4489384602810667</v>
      </c>
      <c r="J51" s="97">
        <v>20.778454747323671</v>
      </c>
      <c r="K51" s="98">
        <v>6.4919966700598764</v>
      </c>
      <c r="L51" s="100">
        <v>18.420118777773979</v>
      </c>
      <c r="M51" s="101">
        <v>4.9800251178472248</v>
      </c>
      <c r="N51" s="97">
        <v>-3.2084264916715561</v>
      </c>
      <c r="O51" s="102">
        <v>7.3891908442763805</v>
      </c>
      <c r="P51" s="99">
        <v>21.797304097125149</v>
      </c>
      <c r="Q51" s="98">
        <v>3.0335851243876384</v>
      </c>
      <c r="R51" s="100">
        <v>24.396449890290182</v>
      </c>
      <c r="S51" s="101">
        <v>4.5728358489387499</v>
      </c>
      <c r="T51" s="97">
        <v>0.23128036565683599</v>
      </c>
      <c r="U51" s="101">
        <v>0.23303838678210445</v>
      </c>
      <c r="V51" s="97">
        <v>-1.0392036677106979</v>
      </c>
      <c r="W51" s="104">
        <v>5.2566923902090394</v>
      </c>
      <c r="X51" s="124"/>
      <c r="Y51" s="124"/>
      <c r="Z51" s="124"/>
      <c r="AA51" s="124"/>
      <c r="AB51" s="124"/>
      <c r="AC51" s="124"/>
      <c r="AD51" s="124"/>
      <c r="AE51" s="124"/>
    </row>
    <row r="52" spans="1:31" s="105" customFormat="1" x14ac:dyDescent="0.25">
      <c r="A52" s="118" t="s">
        <v>302</v>
      </c>
      <c r="B52" s="95">
        <v>144</v>
      </c>
      <c r="C52" s="96">
        <v>88.6697998046875</v>
      </c>
      <c r="D52" s="97">
        <v>26.791240232739149</v>
      </c>
      <c r="E52" s="98">
        <v>3.6958420486047721</v>
      </c>
      <c r="F52" s="99">
        <v>33.33327581154375</v>
      </c>
      <c r="G52" s="98">
        <v>7.639000474760083</v>
      </c>
      <c r="H52" s="100">
        <v>41.845718917631913</v>
      </c>
      <c r="I52" s="101">
        <v>10.486324179668138</v>
      </c>
      <c r="J52" s="97">
        <v>16.088113759164639</v>
      </c>
      <c r="K52" s="98">
        <v>10.284428623867642</v>
      </c>
      <c r="L52" s="100">
        <v>15.574109135738841</v>
      </c>
      <c r="M52" s="101">
        <v>6.0808457527364972</v>
      </c>
      <c r="N52" s="97">
        <v>-17.759166675804909</v>
      </c>
      <c r="O52" s="102">
        <v>10.542091556114253</v>
      </c>
      <c r="P52" s="99">
        <v>26.70899958483681</v>
      </c>
      <c r="Q52" s="98">
        <v>3.9740553815359489</v>
      </c>
      <c r="R52" s="100" t="s">
        <v>34</v>
      </c>
      <c r="S52" s="101" t="s">
        <v>34</v>
      </c>
      <c r="T52" s="97">
        <v>22.604778561308009</v>
      </c>
      <c r="U52" s="101">
        <v>11.405973708008757</v>
      </c>
      <c r="V52" s="97">
        <v>-4.104221023528801</v>
      </c>
      <c r="W52" s="104">
        <v>12.387569143024715</v>
      </c>
      <c r="X52" s="124"/>
      <c r="Y52" s="124"/>
      <c r="Z52" s="124"/>
      <c r="AA52" s="124"/>
      <c r="AB52" s="124"/>
      <c r="AC52" s="124"/>
      <c r="AD52" s="124"/>
      <c r="AE52" s="124"/>
    </row>
    <row r="53" spans="1:31" s="105" customFormat="1" x14ac:dyDescent="0.25">
      <c r="A53" s="118" t="s">
        <v>236</v>
      </c>
      <c r="B53" s="95" t="s">
        <v>34</v>
      </c>
      <c r="C53" s="96" t="s">
        <v>34</v>
      </c>
      <c r="D53" s="97">
        <v>32.648367231636783</v>
      </c>
      <c r="E53" s="98">
        <v>0.47482161796441658</v>
      </c>
      <c r="F53" s="99">
        <v>36.257654184913363</v>
      </c>
      <c r="G53" s="98">
        <v>1.07174384945059</v>
      </c>
      <c r="H53" s="100">
        <v>34.254277345219407</v>
      </c>
      <c r="I53" s="101">
        <v>1.158373295472529</v>
      </c>
      <c r="J53" s="97">
        <v>31.19330758417362</v>
      </c>
      <c r="K53" s="98">
        <v>1.1664984327042709</v>
      </c>
      <c r="L53" s="100">
        <v>25.280963270128751</v>
      </c>
      <c r="M53" s="101">
        <v>0.98049531054413364</v>
      </c>
      <c r="N53" s="97">
        <v>-10.9766909147846</v>
      </c>
      <c r="O53" s="102">
        <v>1.452408476827417</v>
      </c>
      <c r="P53" s="99">
        <v>34.81668321161537</v>
      </c>
      <c r="Q53" s="98">
        <v>0.59812309882145365</v>
      </c>
      <c r="R53" s="100">
        <v>22.52894101934287</v>
      </c>
      <c r="S53" s="101">
        <v>1.905103336424097</v>
      </c>
      <c r="T53" s="97">
        <v>13.76724649319892</v>
      </c>
      <c r="U53" s="101">
        <v>1.987830730748539</v>
      </c>
      <c r="V53" s="97">
        <v>-17.360327496811561</v>
      </c>
      <c r="W53" s="104">
        <v>1.629562971301372</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322</v>
      </c>
      <c r="C55" s="96">
        <v>98.080482482910156</v>
      </c>
      <c r="D55" s="97">
        <v>13.55209458154015</v>
      </c>
      <c r="E55" s="98">
        <v>1.6499261977462414</v>
      </c>
      <c r="F55" s="99">
        <v>12.798726876574669</v>
      </c>
      <c r="G55" s="98">
        <v>3.5879212538962584</v>
      </c>
      <c r="H55" s="100">
        <v>13.65697614027891</v>
      </c>
      <c r="I55" s="101">
        <v>4.7762724722372489</v>
      </c>
      <c r="J55" s="97">
        <v>16.32676073496501</v>
      </c>
      <c r="K55" s="98">
        <v>4.5348786819790297</v>
      </c>
      <c r="L55" s="100">
        <v>11.360201983438721</v>
      </c>
      <c r="M55" s="101">
        <v>2.2913398844156321</v>
      </c>
      <c r="N55" s="97">
        <v>-1.4385248931359469</v>
      </c>
      <c r="O55" s="102">
        <v>4.1591497075193864</v>
      </c>
      <c r="P55" s="99">
        <v>15.2757760609662</v>
      </c>
      <c r="Q55" s="98">
        <v>1.8296169251872072</v>
      </c>
      <c r="R55" s="100" t="s">
        <v>34</v>
      </c>
      <c r="S55" s="101" t="s">
        <v>34</v>
      </c>
      <c r="T55" s="97">
        <v>0</v>
      </c>
      <c r="U55" s="101" t="s">
        <v>35</v>
      </c>
      <c r="V55" s="97">
        <v>-15.2757760609662</v>
      </c>
      <c r="W55" s="104">
        <v>1.8296169251872072</v>
      </c>
      <c r="X55" s="124"/>
      <c r="Y55" s="124"/>
      <c r="Z55" s="124"/>
      <c r="AA55" s="124"/>
      <c r="AB55" s="124"/>
      <c r="AC55" s="124"/>
      <c r="AD55" s="124"/>
      <c r="AE55" s="124"/>
    </row>
    <row r="56" spans="1:31" s="105" customFormat="1" x14ac:dyDescent="0.25">
      <c r="A56" s="118" t="s">
        <v>238</v>
      </c>
      <c r="B56" s="95">
        <v>430</v>
      </c>
      <c r="C56" s="96">
        <v>94.005218505859375</v>
      </c>
      <c r="D56" s="97">
        <v>35.30685364817014</v>
      </c>
      <c r="E56" s="98">
        <v>2.7650864251976977</v>
      </c>
      <c r="F56" s="99">
        <v>45.876930135456611</v>
      </c>
      <c r="G56" s="98">
        <v>7.2967376169532754</v>
      </c>
      <c r="H56" s="100">
        <v>38.147720688393413</v>
      </c>
      <c r="I56" s="101">
        <v>8.0088379309828959</v>
      </c>
      <c r="J56" s="97">
        <v>34.523262094673271</v>
      </c>
      <c r="K56" s="98">
        <v>6.8270190538403268</v>
      </c>
      <c r="L56" s="100">
        <v>22.590532798172632</v>
      </c>
      <c r="M56" s="101">
        <v>6.0047287311429232</v>
      </c>
      <c r="N56" s="97">
        <v>-23.286397337283979</v>
      </c>
      <c r="O56" s="102">
        <v>9.8118974417788003</v>
      </c>
      <c r="P56" s="99">
        <v>40.660916926184413</v>
      </c>
      <c r="Q56" s="98">
        <v>3.3099113634597321</v>
      </c>
      <c r="R56" s="100">
        <v>27.109164840383531</v>
      </c>
      <c r="S56" s="101">
        <v>6.7541354234522073</v>
      </c>
      <c r="T56" s="97">
        <v>22.18605185318323</v>
      </c>
      <c r="U56" s="101">
        <v>10.84716150609354</v>
      </c>
      <c r="V56" s="97">
        <v>-14.868956952321934</v>
      </c>
      <c r="W56" s="104">
        <v>6.4884759770149723</v>
      </c>
      <c r="X56" s="124"/>
      <c r="Y56" s="124"/>
      <c r="Z56" s="124"/>
      <c r="AA56" s="124"/>
      <c r="AB56" s="124"/>
      <c r="AC56" s="124"/>
      <c r="AD56" s="124"/>
      <c r="AE56" s="124"/>
    </row>
    <row r="57" spans="1:31" s="105" customFormat="1" x14ac:dyDescent="0.25">
      <c r="A57" s="118" t="s">
        <v>239</v>
      </c>
      <c r="B57" s="95">
        <v>123</v>
      </c>
      <c r="C57" s="96">
        <v>60.663192749023438</v>
      </c>
      <c r="D57" s="97">
        <v>28.523352773706801</v>
      </c>
      <c r="E57" s="98">
        <v>3.8966896334339602</v>
      </c>
      <c r="F57" s="99">
        <v>48.143775664136228</v>
      </c>
      <c r="G57" s="98">
        <v>9.2493113091409569</v>
      </c>
      <c r="H57" s="100">
        <v>17.854485766109139</v>
      </c>
      <c r="I57" s="101">
        <v>6.8755797855069076</v>
      </c>
      <c r="J57" s="97">
        <v>27.791855658410551</v>
      </c>
      <c r="K57" s="98">
        <v>8.7867580564916175</v>
      </c>
      <c r="L57" s="100">
        <v>19.481594958319601</v>
      </c>
      <c r="M57" s="101">
        <v>6.7248079189582626</v>
      </c>
      <c r="N57" s="97">
        <v>-28.662180705816631</v>
      </c>
      <c r="O57" s="102">
        <v>11.316294988180593</v>
      </c>
      <c r="P57" s="99">
        <v>28.660766086862889</v>
      </c>
      <c r="Q57" s="98">
        <v>3.9210020683516067</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8.7608972236728029</v>
      </c>
      <c r="E58" s="98">
        <v>1.9133186704255174</v>
      </c>
      <c r="F58" s="99">
        <v>2.0535791317459959</v>
      </c>
      <c r="G58" s="98">
        <v>1.6142443828756448</v>
      </c>
      <c r="H58" s="100">
        <v>6.6877731108472824</v>
      </c>
      <c r="I58" s="101">
        <v>4.5459591869102862</v>
      </c>
      <c r="J58" s="97">
        <v>18.712212369757431</v>
      </c>
      <c r="K58" s="98">
        <v>5.6775326118113307</v>
      </c>
      <c r="L58" s="100">
        <v>7.4236897054949802</v>
      </c>
      <c r="M58" s="101">
        <v>5.0055131957145136</v>
      </c>
      <c r="N58" s="97">
        <v>5.3701105737489847</v>
      </c>
      <c r="O58" s="102">
        <v>5.2174096230222142</v>
      </c>
      <c r="P58" s="99">
        <v>8.7951905869788707</v>
      </c>
      <c r="Q58" s="98">
        <v>1.9209861970323712</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12.65124164498312</v>
      </c>
      <c r="E59" s="98">
        <v>2.4049528390425299</v>
      </c>
      <c r="F59" s="99">
        <v>18.13006958882626</v>
      </c>
      <c r="G59" s="98">
        <v>7.5311042122823677</v>
      </c>
      <c r="H59" s="100">
        <v>12.28906678763704</v>
      </c>
      <c r="I59" s="101">
        <v>7.4893806193501833</v>
      </c>
      <c r="J59" s="97">
        <v>13.69572986947624</v>
      </c>
      <c r="K59" s="98">
        <v>7.3724933918800772</v>
      </c>
      <c r="L59" s="100">
        <v>6.3588080754144674</v>
      </c>
      <c r="M59" s="101">
        <v>5.301542596883678</v>
      </c>
      <c r="N59" s="97">
        <v>-11.77126151341179</v>
      </c>
      <c r="O59" s="102">
        <v>9.0227496731072971</v>
      </c>
      <c r="P59" s="99">
        <v>12.33418678963938</v>
      </c>
      <c r="Q59" s="98">
        <v>2.5319477093846459</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417</v>
      </c>
      <c r="C60" s="96">
        <v>77.251350402832031</v>
      </c>
      <c r="D60" s="97">
        <v>33.551432282458819</v>
      </c>
      <c r="E60" s="98">
        <v>2.443440186435871</v>
      </c>
      <c r="F60" s="99">
        <v>42.719840069858769</v>
      </c>
      <c r="G60" s="98">
        <v>5.2827460696758033</v>
      </c>
      <c r="H60" s="100">
        <v>38.432552831497418</v>
      </c>
      <c r="I60" s="101">
        <v>5.7422152242058004</v>
      </c>
      <c r="J60" s="97">
        <v>37.117137725104662</v>
      </c>
      <c r="K60" s="98">
        <v>5.7050968995685745</v>
      </c>
      <c r="L60" s="100">
        <v>15.830152632311449</v>
      </c>
      <c r="M60" s="101">
        <v>4.6697462519653739</v>
      </c>
      <c r="N60" s="97">
        <v>-26.88968743754732</v>
      </c>
      <c r="O60" s="102">
        <v>6.7841700333518462</v>
      </c>
      <c r="P60" s="99">
        <v>39.403226035601627</v>
      </c>
      <c r="Q60" s="98">
        <v>2.6667612516117107</v>
      </c>
      <c r="R60" s="100" t="s">
        <v>34</v>
      </c>
      <c r="S60" s="101" t="s">
        <v>34</v>
      </c>
      <c r="T60" s="97">
        <v>7.4541633135433303</v>
      </c>
      <c r="U60" s="101">
        <v>4.7149661785274981</v>
      </c>
      <c r="V60" s="97">
        <v>-31.949062722058297</v>
      </c>
      <c r="W60" s="104">
        <v>5.2022361987695938</v>
      </c>
      <c r="X60" s="124"/>
      <c r="Y60" s="124"/>
      <c r="Z60" s="124"/>
      <c r="AA60" s="124"/>
      <c r="AB60" s="124"/>
      <c r="AC60" s="124"/>
      <c r="AD60" s="124"/>
      <c r="AE60" s="124"/>
    </row>
    <row r="61" spans="1:31" s="105" customFormat="1" x14ac:dyDescent="0.25">
      <c r="A61" s="118" t="s">
        <v>243</v>
      </c>
      <c r="B61" s="95">
        <v>55</v>
      </c>
      <c r="C61" s="96">
        <v>100</v>
      </c>
      <c r="D61" s="97">
        <v>27.49037929160643</v>
      </c>
      <c r="E61" s="98">
        <v>8.5714988831228175E-2</v>
      </c>
      <c r="F61" s="99">
        <v>63.167957443578509</v>
      </c>
      <c r="G61" s="98">
        <v>0.17941592319162292</v>
      </c>
      <c r="H61" s="100">
        <v>33.932699825315566</v>
      </c>
      <c r="I61" s="101">
        <v>0.16237413369243581</v>
      </c>
      <c r="J61" s="97">
        <v>0.88431252815207495</v>
      </c>
      <c r="K61" s="98">
        <v>1.2991827875173872E-2</v>
      </c>
      <c r="L61" s="100">
        <v>12.253322641600811</v>
      </c>
      <c r="M61" s="101">
        <v>8.3065941008791694E-2</v>
      </c>
      <c r="N61" s="97">
        <v>-50.914634801977698</v>
      </c>
      <c r="O61" s="102">
        <v>0.19404077389898367</v>
      </c>
      <c r="P61" s="99">
        <v>30.238206599874651</v>
      </c>
      <c r="Q61" s="98">
        <v>9.8648473388388502E-2</v>
      </c>
      <c r="R61" s="100" t="s">
        <v>34</v>
      </c>
      <c r="S61" s="101" t="s">
        <v>34</v>
      </c>
      <c r="T61" s="97">
        <v>12.685185302640599</v>
      </c>
      <c r="U61" s="101">
        <v>0.11970542536823811</v>
      </c>
      <c r="V61" s="97">
        <v>-17.553021297234054</v>
      </c>
      <c r="W61" s="104">
        <v>0.15518155365015729</v>
      </c>
      <c r="X61" s="124"/>
      <c r="Y61" s="124"/>
      <c r="Z61" s="124"/>
      <c r="AA61" s="124"/>
      <c r="AB61" s="124"/>
      <c r="AC61" s="124"/>
      <c r="AD61" s="124"/>
      <c r="AE61" s="124"/>
    </row>
    <row r="62" spans="1:31" s="105" customFormat="1" x14ac:dyDescent="0.25">
      <c r="A62" s="118" t="s">
        <v>244</v>
      </c>
      <c r="B62" s="95">
        <v>361</v>
      </c>
      <c r="C62" s="96">
        <v>100</v>
      </c>
      <c r="D62" s="97">
        <v>26.273167034768701</v>
      </c>
      <c r="E62" s="98">
        <v>3.2188231386111088</v>
      </c>
      <c r="F62" s="99">
        <v>35.983759599782687</v>
      </c>
      <c r="G62" s="98">
        <v>5.7688868486648364</v>
      </c>
      <c r="H62" s="100">
        <v>22.726942697701212</v>
      </c>
      <c r="I62" s="101">
        <v>7.596130787476203</v>
      </c>
      <c r="J62" s="97">
        <v>26.39329896467326</v>
      </c>
      <c r="K62" s="98">
        <v>8.4746061599555578</v>
      </c>
      <c r="L62" s="100">
        <v>19.982004738443031</v>
      </c>
      <c r="M62" s="101">
        <v>4.7627637662492068</v>
      </c>
      <c r="N62" s="97">
        <v>-16.001754861339659</v>
      </c>
      <c r="O62" s="102">
        <v>7.2625998653719348</v>
      </c>
      <c r="P62" s="99">
        <v>27.690144079358991</v>
      </c>
      <c r="Q62" s="98">
        <v>3.5730870864043291</v>
      </c>
      <c r="R62" s="100" t="s">
        <v>34</v>
      </c>
      <c r="S62" s="101" t="s">
        <v>34</v>
      </c>
      <c r="T62" s="97">
        <v>17.491474443093502</v>
      </c>
      <c r="U62" s="101">
        <v>7.0819695529060889</v>
      </c>
      <c r="V62" s="97">
        <v>-10.198669636265489</v>
      </c>
      <c r="W62" s="104">
        <v>7.9033948015857431</v>
      </c>
      <c r="X62" s="124"/>
      <c r="Y62" s="124"/>
      <c r="Z62" s="124"/>
      <c r="AA62" s="124"/>
      <c r="AB62" s="124"/>
      <c r="AC62" s="124"/>
      <c r="AD62" s="124"/>
      <c r="AE62" s="124"/>
    </row>
    <row r="63" spans="1:31" s="105" customFormat="1" x14ac:dyDescent="0.25">
      <c r="A63" s="118" t="s">
        <v>245</v>
      </c>
      <c r="B63" s="95">
        <v>189</v>
      </c>
      <c r="C63" s="96">
        <v>96.269073486328125</v>
      </c>
      <c r="D63" s="97">
        <v>4.2673761533511518</v>
      </c>
      <c r="E63" s="98">
        <v>1.5505405299619688</v>
      </c>
      <c r="F63" s="99">
        <v>2.502808100726146</v>
      </c>
      <c r="G63" s="98">
        <v>1.6607989375701613</v>
      </c>
      <c r="H63" s="100">
        <v>2.607340711475358</v>
      </c>
      <c r="I63" s="101">
        <v>2.54827069935192</v>
      </c>
      <c r="J63" s="97">
        <v>7.2022927751804611</v>
      </c>
      <c r="K63" s="98">
        <v>4.4596871436219923</v>
      </c>
      <c r="L63" s="100">
        <v>4.8248987220151189</v>
      </c>
      <c r="M63" s="101">
        <v>4.0420122728140528</v>
      </c>
      <c r="N63" s="97">
        <v>2.3220906212889729</v>
      </c>
      <c r="O63" s="102">
        <v>4.3547655156025957</v>
      </c>
      <c r="P63" s="99">
        <v>4.3279635550784796</v>
      </c>
      <c r="Q63" s="98">
        <v>1.5644158755063955</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47.503915479587448</v>
      </c>
      <c r="E64" s="98">
        <v>3.6728275970698085</v>
      </c>
      <c r="F64" s="99">
        <v>52.984135583189683</v>
      </c>
      <c r="G64" s="98">
        <v>9.0349222865777925</v>
      </c>
      <c r="H64" s="100">
        <v>40.431126213431362</v>
      </c>
      <c r="I64" s="101">
        <v>7.9187418390505027</v>
      </c>
      <c r="J64" s="97">
        <v>44.822021758144203</v>
      </c>
      <c r="K64" s="98">
        <v>9.0575466729698437</v>
      </c>
      <c r="L64" s="100">
        <v>51.981637973176603</v>
      </c>
      <c r="M64" s="101">
        <v>9.9645382871339301</v>
      </c>
      <c r="N64" s="97">
        <v>-1.0024976100130869</v>
      </c>
      <c r="O64" s="102">
        <v>13.815191083985152</v>
      </c>
      <c r="P64" s="99">
        <v>46.276196381052642</v>
      </c>
      <c r="Q64" s="98">
        <v>4.0259270584705718</v>
      </c>
      <c r="R64" s="100" t="s">
        <v>34</v>
      </c>
      <c r="S64" s="101" t="s">
        <v>34</v>
      </c>
      <c r="T64" s="97">
        <v>54.498632785626057</v>
      </c>
      <c r="U64" s="101">
        <v>9.9836380166251448</v>
      </c>
      <c r="V64" s="97">
        <v>8.2224364045734148</v>
      </c>
      <c r="W64" s="104">
        <v>10.994697821957875</v>
      </c>
      <c r="X64" s="124"/>
      <c r="Y64" s="124"/>
      <c r="Z64" s="124"/>
      <c r="AA64" s="124"/>
      <c r="AB64" s="124"/>
      <c r="AC64" s="124"/>
      <c r="AD64" s="124"/>
      <c r="AE64" s="124"/>
    </row>
    <row r="65" spans="1:31" s="105" customFormat="1" x14ac:dyDescent="0.25">
      <c r="A65" s="118" t="s">
        <v>247</v>
      </c>
      <c r="B65" s="95">
        <v>176</v>
      </c>
      <c r="C65" s="96">
        <v>97.777084350585938</v>
      </c>
      <c r="D65" s="97">
        <v>45.063888222886867</v>
      </c>
      <c r="E65" s="98">
        <v>3.6881681457900428</v>
      </c>
      <c r="F65" s="99">
        <v>46.935080017536329</v>
      </c>
      <c r="G65" s="98">
        <v>7.5168218590243416</v>
      </c>
      <c r="H65" s="100">
        <v>45.615716218909128</v>
      </c>
      <c r="I65" s="101">
        <v>6.8531170590913906</v>
      </c>
      <c r="J65" s="97">
        <v>40.952640880403003</v>
      </c>
      <c r="K65" s="98">
        <v>8.3339507516427282</v>
      </c>
      <c r="L65" s="100">
        <v>46.588797073622239</v>
      </c>
      <c r="M65" s="101">
        <v>9.5260406419596979</v>
      </c>
      <c r="N65" s="97">
        <v>-0.34628294391409042</v>
      </c>
      <c r="O65" s="102">
        <v>12.487289553169028</v>
      </c>
      <c r="P65" s="99">
        <v>45.88713994155777</v>
      </c>
      <c r="Q65" s="98">
        <v>3.7506909314610168</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26.785222234203619</v>
      </c>
      <c r="E66" s="98">
        <v>0.11395321559403895</v>
      </c>
      <c r="F66" s="99">
        <v>42.891941962974762</v>
      </c>
      <c r="G66" s="98">
        <v>0.33832289327355203</v>
      </c>
      <c r="H66" s="100">
        <v>34.438141143500772</v>
      </c>
      <c r="I66" s="101">
        <v>0.14110346777792943</v>
      </c>
      <c r="J66" s="97">
        <v>18.644786117496661</v>
      </c>
      <c r="K66" s="98">
        <v>0.20764027660316006</v>
      </c>
      <c r="L66" s="100">
        <v>10.092010339266061</v>
      </c>
      <c r="M66" s="101">
        <v>3.0736664276677525E-2</v>
      </c>
      <c r="N66" s="97">
        <v>-32.799931623708687</v>
      </c>
      <c r="O66" s="102">
        <v>0.34361256972819287</v>
      </c>
      <c r="P66" s="99">
        <v>29.47559322811583</v>
      </c>
      <c r="Q66" s="98">
        <v>0.13460408742328289</v>
      </c>
      <c r="R66" s="100" t="s">
        <v>34</v>
      </c>
      <c r="S66" s="101" t="s">
        <v>34</v>
      </c>
      <c r="T66" s="97">
        <v>14.01872873295383</v>
      </c>
      <c r="U66" s="101">
        <v>4.9336654754140397E-2</v>
      </c>
      <c r="V66" s="97">
        <v>-15.456864495162</v>
      </c>
      <c r="W66" s="104">
        <v>0.14372803996156197</v>
      </c>
      <c r="X66" s="124"/>
      <c r="Y66" s="124"/>
      <c r="Z66" s="124"/>
      <c r="AA66" s="124"/>
      <c r="AB66" s="124"/>
      <c r="AC66" s="124"/>
      <c r="AD66" s="124"/>
      <c r="AE66" s="124"/>
    </row>
    <row r="67" spans="1:31" s="105" customFormat="1" x14ac:dyDescent="0.25">
      <c r="A67" s="118" t="s">
        <v>249</v>
      </c>
      <c r="B67" s="95">
        <v>208</v>
      </c>
      <c r="C67" s="96">
        <v>88.357177734375</v>
      </c>
      <c r="D67" s="97">
        <v>31.705131253430149</v>
      </c>
      <c r="E67" s="98">
        <v>3.1655137835461038</v>
      </c>
      <c r="F67" s="99">
        <v>43.192906551607201</v>
      </c>
      <c r="G67" s="98">
        <v>7.6494462673157679</v>
      </c>
      <c r="H67" s="100">
        <v>31.398186102808261</v>
      </c>
      <c r="I67" s="101">
        <v>8.0994588621189472</v>
      </c>
      <c r="J67" s="97">
        <v>36.468519026229878</v>
      </c>
      <c r="K67" s="98">
        <v>8.3761287062930823</v>
      </c>
      <c r="L67" s="100">
        <v>15.330782111282829</v>
      </c>
      <c r="M67" s="101">
        <v>6.6763868615057094</v>
      </c>
      <c r="N67" s="97">
        <v>-27.862124440324369</v>
      </c>
      <c r="O67" s="102">
        <v>10.345547914368376</v>
      </c>
      <c r="P67" s="99">
        <v>36.431267939618998</v>
      </c>
      <c r="Q67" s="98">
        <v>4.0442307306936334</v>
      </c>
      <c r="R67" s="100">
        <v>0</v>
      </c>
      <c r="S67" s="101" t="s">
        <v>35</v>
      </c>
      <c r="T67" s="97">
        <v>11.264305526168011</v>
      </c>
      <c r="U67" s="101">
        <v>6.3411991024892611</v>
      </c>
      <c r="V67" s="97">
        <v>-26.301440148182628</v>
      </c>
      <c r="W67" s="104">
        <v>7.8968696042208402</v>
      </c>
      <c r="X67" s="124"/>
      <c r="Y67" s="124"/>
      <c r="Z67" s="124"/>
      <c r="AA67" s="124"/>
      <c r="AB67" s="124"/>
      <c r="AC67" s="124"/>
      <c r="AD67" s="124"/>
      <c r="AE67" s="124"/>
    </row>
    <row r="68" spans="1:31" s="105" customFormat="1" x14ac:dyDescent="0.25">
      <c r="A68" s="118" t="s">
        <v>250</v>
      </c>
      <c r="B68" s="95">
        <v>305</v>
      </c>
      <c r="C68" s="96">
        <v>97.637611389160156</v>
      </c>
      <c r="D68" s="97">
        <v>29.575219194403839</v>
      </c>
      <c r="E68" s="98">
        <v>3.1677238737425641</v>
      </c>
      <c r="F68" s="99">
        <v>27.055376443170701</v>
      </c>
      <c r="G68" s="98">
        <v>6.0911980996195627</v>
      </c>
      <c r="H68" s="100">
        <v>33.01233997888292</v>
      </c>
      <c r="I68" s="101">
        <v>6.2100568111024721</v>
      </c>
      <c r="J68" s="97">
        <v>26.714199725003049</v>
      </c>
      <c r="K68" s="98">
        <v>7.830373368463885</v>
      </c>
      <c r="L68" s="100">
        <v>31.433815691446789</v>
      </c>
      <c r="M68" s="101">
        <v>7.1790641152666099</v>
      </c>
      <c r="N68" s="97">
        <v>4.3784392482760843</v>
      </c>
      <c r="O68" s="102">
        <v>9.3041154986606074</v>
      </c>
      <c r="P68" s="99">
        <v>32.535952438674158</v>
      </c>
      <c r="Q68" s="98">
        <v>3.4373196450596422</v>
      </c>
      <c r="R68" s="100" t="s">
        <v>34</v>
      </c>
      <c r="S68" s="101" t="s">
        <v>34</v>
      </c>
      <c r="T68" s="97">
        <v>4.245290431822597</v>
      </c>
      <c r="U68" s="101">
        <v>4.385311892381992</v>
      </c>
      <c r="V68" s="97">
        <v>-28.290662006851562</v>
      </c>
      <c r="W68" s="104">
        <v>5.5197816731278433</v>
      </c>
      <c r="X68" s="124"/>
      <c r="Y68" s="124"/>
      <c r="Z68" s="124"/>
      <c r="AA68" s="124"/>
      <c r="AB68" s="124"/>
      <c r="AC68" s="124"/>
      <c r="AD68" s="124"/>
      <c r="AE68" s="124"/>
    </row>
    <row r="69" spans="1:31" s="105" customFormat="1" x14ac:dyDescent="0.25">
      <c r="A69" s="118" t="s">
        <v>303</v>
      </c>
      <c r="B69" s="95">
        <v>112</v>
      </c>
      <c r="C69" s="96">
        <v>75.546546936035156</v>
      </c>
      <c r="D69" s="97">
        <v>39.568892223236098</v>
      </c>
      <c r="E69" s="98">
        <v>4.6349639012201616</v>
      </c>
      <c r="F69" s="99">
        <v>66.795473988400488</v>
      </c>
      <c r="G69" s="98">
        <v>10.956634580238346</v>
      </c>
      <c r="H69" s="100">
        <v>30.333476339122761</v>
      </c>
      <c r="I69" s="101">
        <v>12.020177218027989</v>
      </c>
      <c r="J69" s="97">
        <v>29.70768472749835</v>
      </c>
      <c r="K69" s="98">
        <v>10.193414870482835</v>
      </c>
      <c r="L69" s="100">
        <v>30.47949811942685</v>
      </c>
      <c r="M69" s="101">
        <v>11.520955425356057</v>
      </c>
      <c r="N69" s="97">
        <v>-36.315975868973638</v>
      </c>
      <c r="O69" s="102">
        <v>16.325337767841432</v>
      </c>
      <c r="P69" s="99">
        <v>44.142900765523969</v>
      </c>
      <c r="Q69" s="98">
        <v>8.1926369017474041</v>
      </c>
      <c r="R69" s="100">
        <v>40.612752503283097</v>
      </c>
      <c r="S69" s="101">
        <v>5.038880496578324</v>
      </c>
      <c r="T69" s="97" t="s">
        <v>34</v>
      </c>
      <c r="U69" s="101" t="s">
        <v>34</v>
      </c>
      <c r="V69" s="97">
        <v>-3.5301482622408713</v>
      </c>
      <c r="W69" s="104">
        <v>8.998355278952344</v>
      </c>
      <c r="X69" s="124"/>
      <c r="Y69" s="124"/>
      <c r="Z69" s="124"/>
      <c r="AA69" s="124"/>
      <c r="AB69" s="124"/>
      <c r="AC69" s="124"/>
      <c r="AD69" s="124"/>
      <c r="AE69" s="124"/>
    </row>
    <row r="70" spans="1:31" s="105" customFormat="1" x14ac:dyDescent="0.25">
      <c r="A70" s="118" t="s">
        <v>251</v>
      </c>
      <c r="B70" s="95">
        <v>338</v>
      </c>
      <c r="C70" s="96">
        <v>87.021202087402344</v>
      </c>
      <c r="D70" s="97">
        <v>41.702352006700181</v>
      </c>
      <c r="E70" s="98">
        <v>4.3692921693138347</v>
      </c>
      <c r="F70" s="99">
        <v>55.865268968343663</v>
      </c>
      <c r="G70" s="98">
        <v>9.5435633119467269</v>
      </c>
      <c r="H70" s="100">
        <v>24.414456695376401</v>
      </c>
      <c r="I70" s="101">
        <v>8.6417558947368995</v>
      </c>
      <c r="J70" s="97">
        <v>50.588135729005451</v>
      </c>
      <c r="K70" s="98">
        <v>9.430040480812341</v>
      </c>
      <c r="L70" s="100">
        <v>35.195931772033759</v>
      </c>
      <c r="M70" s="101">
        <v>10.711933458286556</v>
      </c>
      <c r="N70" s="97">
        <v>-20.6693371963099</v>
      </c>
      <c r="O70" s="102">
        <v>14.15956083254852</v>
      </c>
      <c r="P70" s="99">
        <v>45.175012363037183</v>
      </c>
      <c r="Q70" s="98">
        <v>5.0635833551745115</v>
      </c>
      <c r="R70" s="100">
        <v>40.686185059872003</v>
      </c>
      <c r="S70" s="101">
        <v>9.7174850203743013</v>
      </c>
      <c r="T70" s="97">
        <v>36.64418187508921</v>
      </c>
      <c r="U70" s="101">
        <v>12.159233228677831</v>
      </c>
      <c r="V70" s="97">
        <v>-6.3465320361705935</v>
      </c>
      <c r="W70" s="104">
        <v>9.2706480229811987</v>
      </c>
      <c r="X70" s="124"/>
      <c r="Y70" s="124"/>
      <c r="Z70" s="124"/>
      <c r="AA70" s="124"/>
      <c r="AB70" s="124"/>
      <c r="AC70" s="124"/>
      <c r="AD70" s="124"/>
      <c r="AE70" s="124"/>
    </row>
    <row r="71" spans="1:31" s="105" customFormat="1" x14ac:dyDescent="0.25">
      <c r="A71" s="118" t="s">
        <v>252</v>
      </c>
      <c r="B71" s="95">
        <v>299</v>
      </c>
      <c r="C71" s="96">
        <v>95.0323486328125</v>
      </c>
      <c r="D71" s="97">
        <v>50.425570435038232</v>
      </c>
      <c r="E71" s="98">
        <v>3.4436252343661615</v>
      </c>
      <c r="F71" s="99">
        <v>58.617311226875373</v>
      </c>
      <c r="G71" s="98">
        <v>9.0573380882713419</v>
      </c>
      <c r="H71" s="100">
        <v>53.096401192868058</v>
      </c>
      <c r="I71" s="101">
        <v>9.3159482265075351</v>
      </c>
      <c r="J71" s="97">
        <v>51.957519924878731</v>
      </c>
      <c r="K71" s="98">
        <v>7.6154577210784007</v>
      </c>
      <c r="L71" s="100">
        <v>37.631533782640908</v>
      </c>
      <c r="M71" s="101">
        <v>6.0890897447626182</v>
      </c>
      <c r="N71" s="97">
        <v>-20.985777444234451</v>
      </c>
      <c r="O71" s="102">
        <v>11.357189110613009</v>
      </c>
      <c r="P71" s="99">
        <v>54.675603606071228</v>
      </c>
      <c r="Q71" s="98">
        <v>4.2142288766757554</v>
      </c>
      <c r="R71" s="100" t="s">
        <v>34</v>
      </c>
      <c r="S71" s="101" t="s">
        <v>34</v>
      </c>
      <c r="T71" s="97">
        <v>33.965828592215843</v>
      </c>
      <c r="U71" s="101">
        <v>5.5984377347682175</v>
      </c>
      <c r="V71" s="97">
        <v>-20.709775013855385</v>
      </c>
      <c r="W71" s="104">
        <v>7.1918855691905401</v>
      </c>
      <c r="X71" s="124"/>
      <c r="Y71" s="124"/>
      <c r="Z71" s="124"/>
      <c r="AA71" s="124"/>
      <c r="AB71" s="124"/>
      <c r="AC71" s="124"/>
      <c r="AD71" s="124"/>
      <c r="AE71" s="124"/>
    </row>
    <row r="72" spans="1:31" s="105" customFormat="1" x14ac:dyDescent="0.25">
      <c r="A72" s="118" t="s">
        <v>253</v>
      </c>
      <c r="B72" s="95">
        <v>516</v>
      </c>
      <c r="C72" s="96">
        <v>80.3912353515625</v>
      </c>
      <c r="D72" s="97">
        <v>14.495910448648109</v>
      </c>
      <c r="E72" s="98">
        <v>1.8209772194281655</v>
      </c>
      <c r="F72" s="99">
        <v>21.549576167118719</v>
      </c>
      <c r="G72" s="98">
        <v>4.9355493247683029</v>
      </c>
      <c r="H72" s="100">
        <v>7.1999561014382243</v>
      </c>
      <c r="I72" s="101">
        <v>2.2410352719809983</v>
      </c>
      <c r="J72" s="97">
        <v>11.185636159300611</v>
      </c>
      <c r="K72" s="98">
        <v>4.9134591905817802</v>
      </c>
      <c r="L72" s="100">
        <v>18.185209106871341</v>
      </c>
      <c r="M72" s="101">
        <v>5.213541894289329</v>
      </c>
      <c r="N72" s="97">
        <v>-3.3643670602473779</v>
      </c>
      <c r="O72" s="102">
        <v>6.985183316960379</v>
      </c>
      <c r="P72" s="99">
        <v>14.734355175592921</v>
      </c>
      <c r="Q72" s="98">
        <v>1.8561734982471223</v>
      </c>
      <c r="R72" s="100">
        <v>0</v>
      </c>
      <c r="S72" s="101" t="s">
        <v>35</v>
      </c>
      <c r="T72" s="97" t="s">
        <v>34</v>
      </c>
      <c r="U72" s="101" t="s">
        <v>34</v>
      </c>
      <c r="V72" s="97">
        <v>-14.734355175592921</v>
      </c>
      <c r="W72" s="104">
        <v>1.8561734982471223</v>
      </c>
      <c r="X72" s="124"/>
      <c r="Y72" s="124"/>
      <c r="Z72" s="124"/>
      <c r="AA72" s="124"/>
      <c r="AB72" s="124"/>
      <c r="AC72" s="124"/>
      <c r="AD72" s="124"/>
      <c r="AE72" s="124"/>
    </row>
    <row r="73" spans="1:31" s="105" customFormat="1" x14ac:dyDescent="0.25">
      <c r="A73" s="118" t="s">
        <v>254</v>
      </c>
      <c r="B73" s="95">
        <v>87</v>
      </c>
      <c r="C73" s="96">
        <v>71.880645751953125</v>
      </c>
      <c r="D73" s="97">
        <v>27.046356256297859</v>
      </c>
      <c r="E73" s="98">
        <v>1.3628710236068053</v>
      </c>
      <c r="F73" s="99">
        <v>18.399138554640601</v>
      </c>
      <c r="G73" s="98">
        <v>5.2996490152077689</v>
      </c>
      <c r="H73" s="100">
        <v>30.158536720631488</v>
      </c>
      <c r="I73" s="101">
        <v>6.3806347760983577</v>
      </c>
      <c r="J73" s="97">
        <v>35.546596434276218</v>
      </c>
      <c r="K73" s="98">
        <v>12.299644960126475</v>
      </c>
      <c r="L73" s="100">
        <v>24.129852644002511</v>
      </c>
      <c r="M73" s="101">
        <v>11.477294540151858</v>
      </c>
      <c r="N73" s="97">
        <v>5.7307140893619177</v>
      </c>
      <c r="O73" s="102">
        <v>14.791797271942732</v>
      </c>
      <c r="P73" s="99">
        <v>27.506410820818481</v>
      </c>
      <c r="Q73" s="98">
        <v>1.3244122068331416</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203</v>
      </c>
      <c r="C74" s="96">
        <v>75.265129089355469</v>
      </c>
      <c r="D74" s="97">
        <v>24.34600578256638</v>
      </c>
      <c r="E74" s="98">
        <v>2.7010234198816998</v>
      </c>
      <c r="F74" s="99">
        <v>33.177016582800647</v>
      </c>
      <c r="G74" s="98">
        <v>7.0702381995937342</v>
      </c>
      <c r="H74" s="100">
        <v>31.564568334827229</v>
      </c>
      <c r="I74" s="101">
        <v>7.9393005654382414</v>
      </c>
      <c r="J74" s="97">
        <v>23.198932258487169</v>
      </c>
      <c r="K74" s="98">
        <v>7.3205218190938481</v>
      </c>
      <c r="L74" s="100">
        <v>9.0932107862148364</v>
      </c>
      <c r="M74" s="101">
        <v>4.5474089894940866</v>
      </c>
      <c r="N74" s="97">
        <v>-24.083805796585821</v>
      </c>
      <c r="O74" s="102">
        <v>9.2063313113202465</v>
      </c>
      <c r="P74" s="99">
        <v>37.893709925762053</v>
      </c>
      <c r="Q74" s="98">
        <v>5.1039541426258976</v>
      </c>
      <c r="R74" s="100" t="s">
        <v>34</v>
      </c>
      <c r="S74" s="101" t="s">
        <v>34</v>
      </c>
      <c r="T74" s="97">
        <v>13.573404595859429</v>
      </c>
      <c r="U74" s="101">
        <v>4.7492672925647685</v>
      </c>
      <c r="V74" s="97">
        <v>-24.320305329902624</v>
      </c>
      <c r="W74" s="104">
        <v>7.3900575421719417</v>
      </c>
      <c r="X74" s="124"/>
      <c r="Y74" s="124"/>
      <c r="Z74" s="124"/>
      <c r="AA74" s="124"/>
      <c r="AB74" s="124"/>
      <c r="AC74" s="124"/>
      <c r="AD74" s="124"/>
      <c r="AE74" s="124"/>
    </row>
    <row r="75" spans="1:31" s="105" customFormat="1" x14ac:dyDescent="0.25">
      <c r="A75" s="118" t="s">
        <v>256</v>
      </c>
      <c r="B75" s="95">
        <v>45</v>
      </c>
      <c r="C75" s="96">
        <v>100</v>
      </c>
      <c r="D75" s="97">
        <v>11.71915723916154</v>
      </c>
      <c r="E75" s="98">
        <v>4.5334365526596782E-2</v>
      </c>
      <c r="F75" s="99">
        <v>4.2420265800402959</v>
      </c>
      <c r="G75" s="98">
        <v>9.6408876478447245E-2</v>
      </c>
      <c r="H75" s="100">
        <v>17.922103153517341</v>
      </c>
      <c r="I75" s="101">
        <v>4.8458606912422764E-2</v>
      </c>
      <c r="J75" s="97">
        <v>11.569657735680231</v>
      </c>
      <c r="K75" s="98">
        <v>9.8264802662290873E-2</v>
      </c>
      <c r="L75" s="100">
        <v>15.254238839414111</v>
      </c>
      <c r="M75" s="101">
        <v>9.8056666816515911E-2</v>
      </c>
      <c r="N75" s="97">
        <v>11.01221225937382</v>
      </c>
      <c r="O75" s="102">
        <v>0.14372023831110065</v>
      </c>
      <c r="P75" s="99">
        <v>38.900426346393417</v>
      </c>
      <c r="Q75" s="98">
        <v>9.6068250740442424E-2</v>
      </c>
      <c r="R75" s="100">
        <v>11.128714359033101</v>
      </c>
      <c r="S75" s="101">
        <v>5.2036857523135423E-2</v>
      </c>
      <c r="T75" s="97" t="s">
        <v>34</v>
      </c>
      <c r="U75" s="101" t="s">
        <v>34</v>
      </c>
      <c r="V75" s="97">
        <v>-27.771711987360316</v>
      </c>
      <c r="W75" s="104">
        <v>0.10708329049760248</v>
      </c>
      <c r="X75" s="124"/>
      <c r="Y75" s="124"/>
      <c r="Z75" s="124"/>
      <c r="AA75" s="124"/>
      <c r="AB75" s="124"/>
      <c r="AC75" s="124"/>
      <c r="AD75" s="124"/>
      <c r="AE75" s="124"/>
    </row>
    <row r="76" spans="1:31" s="105" customFormat="1" x14ac:dyDescent="0.25">
      <c r="A76" s="118" t="s">
        <v>257</v>
      </c>
      <c r="B76" s="95">
        <v>190</v>
      </c>
      <c r="C76" s="96">
        <v>99.531219482421875</v>
      </c>
      <c r="D76" s="97">
        <v>12.678743097063141</v>
      </c>
      <c r="E76" s="98">
        <v>2.5088373968494646</v>
      </c>
      <c r="F76" s="99">
        <v>22.06287833584712</v>
      </c>
      <c r="G76" s="98">
        <v>6.3618390452583551</v>
      </c>
      <c r="H76" s="100">
        <v>4.2913526147325536</v>
      </c>
      <c r="I76" s="101">
        <v>3.5860893308663635</v>
      </c>
      <c r="J76" s="97">
        <v>7.6019788119893077</v>
      </c>
      <c r="K76" s="98">
        <v>5.7207713377117155</v>
      </c>
      <c r="L76" s="100">
        <v>16.959290298058121</v>
      </c>
      <c r="M76" s="101">
        <v>5.5502976818356711</v>
      </c>
      <c r="N76" s="97">
        <v>-5.1035880377889953</v>
      </c>
      <c r="O76" s="102">
        <v>7.4045611453900637</v>
      </c>
      <c r="P76" s="99">
        <v>12.428378900124191</v>
      </c>
      <c r="Q76" s="98">
        <v>2.3828421412521226</v>
      </c>
      <c r="R76" s="100" t="s">
        <v>34</v>
      </c>
      <c r="S76" s="101" t="s">
        <v>34</v>
      </c>
      <c r="T76" s="97">
        <v>17.931216482367631</v>
      </c>
      <c r="U76" s="101">
        <v>12.902326049354146</v>
      </c>
      <c r="V76" s="97">
        <v>5.5028375822434406</v>
      </c>
      <c r="W76" s="104">
        <v>12.552936719626883</v>
      </c>
      <c r="X76" s="124"/>
      <c r="Y76" s="124"/>
      <c r="Z76" s="124"/>
      <c r="AA76" s="124"/>
      <c r="AB76" s="124"/>
      <c r="AC76" s="124"/>
      <c r="AD76" s="124"/>
      <c r="AE76" s="124"/>
    </row>
    <row r="77" spans="1:31" s="105" customFormat="1" x14ac:dyDescent="0.25">
      <c r="A77" s="118" t="s">
        <v>258</v>
      </c>
      <c r="B77" s="95">
        <v>49</v>
      </c>
      <c r="C77" s="96">
        <v>99.911201477050781</v>
      </c>
      <c r="D77" s="97">
        <v>24.202063062626738</v>
      </c>
      <c r="E77" s="98">
        <v>0.12428214480509449</v>
      </c>
      <c r="F77" s="99">
        <v>49.624683363651513</v>
      </c>
      <c r="G77" s="98">
        <v>0.30572812680613304</v>
      </c>
      <c r="H77" s="100">
        <v>13.3496396278166</v>
      </c>
      <c r="I77" s="101">
        <v>0.18735276043850224</v>
      </c>
      <c r="J77" s="97">
        <v>25.160370619961292</v>
      </c>
      <c r="K77" s="98">
        <v>0.28273018245833459</v>
      </c>
      <c r="L77" s="100">
        <v>10.67857938569402</v>
      </c>
      <c r="M77" s="101">
        <v>0.23326079720785142</v>
      </c>
      <c r="N77" s="97">
        <v>-38.946103977957492</v>
      </c>
      <c r="O77" s="102">
        <v>0.39223947783947138</v>
      </c>
      <c r="P77" s="99">
        <v>32.348267520905289</v>
      </c>
      <c r="Q77" s="98">
        <v>0.19074790617149862</v>
      </c>
      <c r="R77" s="100">
        <v>11.885562370962941</v>
      </c>
      <c r="S77" s="101">
        <v>0.16960361135995214</v>
      </c>
      <c r="T77" s="97">
        <v>19.70514753114356</v>
      </c>
      <c r="U77" s="101">
        <v>0.42414917602976598</v>
      </c>
      <c r="V77" s="97">
        <v>-18.07559375252788</v>
      </c>
      <c r="W77" s="104">
        <v>0.26739463059311086</v>
      </c>
      <c r="X77" s="124"/>
      <c r="Y77" s="124"/>
      <c r="Z77" s="124"/>
      <c r="AA77" s="124"/>
      <c r="AB77" s="124"/>
      <c r="AC77" s="124"/>
      <c r="AD77" s="124"/>
      <c r="AE77" s="124"/>
    </row>
    <row r="78" spans="1:31" s="105" customFormat="1" x14ac:dyDescent="0.25">
      <c r="A78" s="118" t="s">
        <v>259</v>
      </c>
      <c r="B78" s="95">
        <v>216</v>
      </c>
      <c r="C78" s="96">
        <v>94.535285949707031</v>
      </c>
      <c r="D78" s="97">
        <v>23.17047289918445</v>
      </c>
      <c r="E78" s="98">
        <v>3.2767347638790509</v>
      </c>
      <c r="F78" s="99">
        <v>10.71084612031359</v>
      </c>
      <c r="G78" s="98">
        <v>3.1958497687366347</v>
      </c>
      <c r="H78" s="100">
        <v>18.119111312847679</v>
      </c>
      <c r="I78" s="101">
        <v>4.6858046845577972</v>
      </c>
      <c r="J78" s="97">
        <v>20.00495486635349</v>
      </c>
      <c r="K78" s="98">
        <v>7.2613029515826115</v>
      </c>
      <c r="L78" s="100">
        <v>44.644826377664003</v>
      </c>
      <c r="M78" s="101">
        <v>9.9267845890801141</v>
      </c>
      <c r="N78" s="97">
        <v>33.933980257350399</v>
      </c>
      <c r="O78" s="102">
        <v>10.671456861563222</v>
      </c>
      <c r="P78" s="99">
        <v>23.33007452581024</v>
      </c>
      <c r="Q78" s="98">
        <v>3.302248147277683</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7.2771990059179688</v>
      </c>
      <c r="E79" s="98">
        <v>2.0714847027122431E-2</v>
      </c>
      <c r="F79" s="99">
        <v>5.0645568859976784</v>
      </c>
      <c r="G79" s="98">
        <v>1.6741491500795406E-2</v>
      </c>
      <c r="H79" s="100">
        <v>11.85728224205533</v>
      </c>
      <c r="I79" s="101">
        <v>7.0515690358629743E-2</v>
      </c>
      <c r="J79" s="97">
        <v>9.0834458587655558</v>
      </c>
      <c r="K79" s="98">
        <v>5.4539062200644674E-2</v>
      </c>
      <c r="L79" s="100">
        <v>4.2822587185827361</v>
      </c>
      <c r="M79" s="101">
        <v>7.4999405630652299E-3</v>
      </c>
      <c r="N79" s="97">
        <v>-0.7822981674149414</v>
      </c>
      <c r="O79" s="102">
        <v>1.6923863518651754E-2</v>
      </c>
      <c r="P79" s="99">
        <v>7.2910360125084468</v>
      </c>
      <c r="Q79" s="98">
        <v>2.0730734413407646E-2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174</v>
      </c>
      <c r="C80" s="96">
        <v>96.936439514160156</v>
      </c>
      <c r="D80" s="97">
        <v>74.088362555923368</v>
      </c>
      <c r="E80" s="98">
        <v>2.8153265162738035</v>
      </c>
      <c r="F80" s="99">
        <v>78.944521050947245</v>
      </c>
      <c r="G80" s="98">
        <v>6.5836280458298226</v>
      </c>
      <c r="H80" s="100">
        <v>84.578298515326495</v>
      </c>
      <c r="I80" s="101">
        <v>5.9500816109362509</v>
      </c>
      <c r="J80" s="97">
        <v>81.013439755430682</v>
      </c>
      <c r="K80" s="98">
        <v>6.3621174722816178</v>
      </c>
      <c r="L80" s="100">
        <v>51.62350553343996</v>
      </c>
      <c r="M80" s="101">
        <v>8.720248540763512</v>
      </c>
      <c r="N80" s="97">
        <v>-27.321015517507281</v>
      </c>
      <c r="O80" s="102">
        <v>12.551634481025408</v>
      </c>
      <c r="P80" s="99">
        <v>79.280239677464991</v>
      </c>
      <c r="Q80" s="98">
        <v>2.9330167873182429</v>
      </c>
      <c r="R80" s="100" t="s">
        <v>34</v>
      </c>
      <c r="S80" s="101" t="s">
        <v>34</v>
      </c>
      <c r="T80" s="97">
        <v>0</v>
      </c>
      <c r="U80" s="101" t="s">
        <v>35</v>
      </c>
      <c r="V80" s="97">
        <v>-79.280239677464991</v>
      </c>
      <c r="W80" s="104">
        <v>2.9330167873182429</v>
      </c>
      <c r="X80" s="124"/>
      <c r="Y80" s="124"/>
      <c r="Z80" s="124"/>
      <c r="AA80" s="124"/>
      <c r="AB80" s="124"/>
      <c r="AC80" s="124"/>
      <c r="AD80" s="124"/>
      <c r="AE80" s="124"/>
    </row>
    <row r="81" spans="1:31" s="105" customFormat="1" x14ac:dyDescent="0.25">
      <c r="A81" s="118" t="s">
        <v>262</v>
      </c>
      <c r="B81" s="95">
        <v>96</v>
      </c>
      <c r="C81" s="96">
        <v>89.810783386230469</v>
      </c>
      <c r="D81" s="97">
        <v>31.071095214407091</v>
      </c>
      <c r="E81" s="98">
        <v>8.0135170717501397E-2</v>
      </c>
      <c r="F81" s="99">
        <v>24.623534329479991</v>
      </c>
      <c r="G81" s="98">
        <v>0.14799782135205147</v>
      </c>
      <c r="H81" s="100">
        <v>26.894518381973601</v>
      </c>
      <c r="I81" s="101">
        <v>0.17226174508119577</v>
      </c>
      <c r="J81" s="97">
        <v>45.287704625498883</v>
      </c>
      <c r="K81" s="98">
        <v>0.25632411426868379</v>
      </c>
      <c r="L81" s="100">
        <v>27.932540339553729</v>
      </c>
      <c r="M81" s="101">
        <v>0.17478089968055324</v>
      </c>
      <c r="N81" s="97">
        <v>3.3090060100737411</v>
      </c>
      <c r="O81" s="102">
        <v>0.23840139073593014</v>
      </c>
      <c r="P81" s="99">
        <v>31.922375120997021</v>
      </c>
      <c r="Q81" s="98">
        <v>8.3618718830381272E-2</v>
      </c>
      <c r="R81" s="100" t="s">
        <v>34</v>
      </c>
      <c r="S81" s="101" t="s">
        <v>34</v>
      </c>
      <c r="T81" s="97">
        <v>0</v>
      </c>
      <c r="U81" s="101" t="s">
        <v>35</v>
      </c>
      <c r="V81" s="97">
        <v>-31.922375120997021</v>
      </c>
      <c r="W81" s="104">
        <v>8.3618718830381272E-2</v>
      </c>
      <c r="X81" s="124"/>
      <c r="Y81" s="124"/>
      <c r="Z81" s="124"/>
      <c r="AA81" s="124"/>
      <c r="AB81" s="124"/>
      <c r="AC81" s="124"/>
      <c r="AD81" s="124"/>
      <c r="AE81" s="124"/>
    </row>
    <row r="82" spans="1:31" s="105" customFormat="1" x14ac:dyDescent="0.25">
      <c r="A82" s="118" t="s">
        <v>263</v>
      </c>
      <c r="B82" s="95">
        <v>140</v>
      </c>
      <c r="C82" s="96">
        <v>69.271575927734375</v>
      </c>
      <c r="D82" s="97">
        <v>52.832345373483598</v>
      </c>
      <c r="E82" s="98">
        <v>2.5623116723343293</v>
      </c>
      <c r="F82" s="99">
        <v>68.958935204261664</v>
      </c>
      <c r="G82" s="98">
        <v>8.1939719228971768</v>
      </c>
      <c r="H82" s="100">
        <v>62.852861227628757</v>
      </c>
      <c r="I82" s="101">
        <v>5.9158809488459632</v>
      </c>
      <c r="J82" s="97">
        <v>55.119514701923563</v>
      </c>
      <c r="K82" s="98">
        <v>5.9241452302466744</v>
      </c>
      <c r="L82" s="100">
        <v>23.206140162480281</v>
      </c>
      <c r="M82" s="101">
        <v>6.5759184190131057</v>
      </c>
      <c r="N82" s="97">
        <v>-45.752795041781383</v>
      </c>
      <c r="O82" s="102">
        <v>10.519387946126981</v>
      </c>
      <c r="P82" s="99">
        <v>64.594105581369348</v>
      </c>
      <c r="Q82" s="98">
        <v>2.3886811413195512</v>
      </c>
      <c r="R82" s="100" t="s">
        <v>34</v>
      </c>
      <c r="S82" s="101" t="s">
        <v>34</v>
      </c>
      <c r="T82" s="97">
        <v>7.8088814223340899</v>
      </c>
      <c r="U82" s="101">
        <v>4.107643558620933</v>
      </c>
      <c r="V82" s="97">
        <v>-56.785224159035259</v>
      </c>
      <c r="W82" s="104">
        <v>4.8330539291646843</v>
      </c>
      <c r="X82" s="124"/>
      <c r="Y82" s="124"/>
      <c r="Z82" s="124"/>
      <c r="AA82" s="124"/>
      <c r="AB82" s="124"/>
      <c r="AC82" s="124"/>
      <c r="AD82" s="124"/>
      <c r="AE82" s="124"/>
    </row>
    <row r="83" spans="1:31" s="105" customFormat="1" x14ac:dyDescent="0.25">
      <c r="A83" s="118" t="s">
        <v>264</v>
      </c>
      <c r="B83" s="95">
        <v>323</v>
      </c>
      <c r="C83" s="96">
        <v>97.6805419921875</v>
      </c>
      <c r="D83" s="97">
        <v>41.959389580044522</v>
      </c>
      <c r="E83" s="98">
        <v>2.6412567674287351</v>
      </c>
      <c r="F83" s="99">
        <v>61.215532916087497</v>
      </c>
      <c r="G83" s="98">
        <v>5.0962447943259601</v>
      </c>
      <c r="H83" s="100">
        <v>49.461673658435068</v>
      </c>
      <c r="I83" s="101">
        <v>6.5939711088122595</v>
      </c>
      <c r="J83" s="97">
        <v>39.876956962666043</v>
      </c>
      <c r="K83" s="98">
        <v>6.2754628473182308</v>
      </c>
      <c r="L83" s="100">
        <v>17.034508263864431</v>
      </c>
      <c r="M83" s="101">
        <v>4.3163778355433564</v>
      </c>
      <c r="N83" s="97">
        <v>-44.181024652223073</v>
      </c>
      <c r="O83" s="102">
        <v>6.7995266242115289</v>
      </c>
      <c r="P83" s="99">
        <v>51.83311169202139</v>
      </c>
      <c r="Q83" s="98">
        <v>3.2863238377874584</v>
      </c>
      <c r="R83" s="100" t="s">
        <v>34</v>
      </c>
      <c r="S83" s="101" t="s">
        <v>34</v>
      </c>
      <c r="T83" s="97">
        <v>10.902083067462961</v>
      </c>
      <c r="U83" s="101">
        <v>3.1264912578791866</v>
      </c>
      <c r="V83" s="97">
        <v>-40.931028624558429</v>
      </c>
      <c r="W83" s="104">
        <v>4.3606927708075123</v>
      </c>
      <c r="X83" s="124"/>
      <c r="Y83" s="124"/>
      <c r="Z83" s="124"/>
      <c r="AA83" s="124"/>
      <c r="AB83" s="124"/>
      <c r="AC83" s="124"/>
      <c r="AD83" s="124"/>
      <c r="AE83" s="124"/>
    </row>
    <row r="84" spans="1:31" s="105" customFormat="1" x14ac:dyDescent="0.25">
      <c r="A84" s="118" t="s">
        <v>265</v>
      </c>
      <c r="B84" s="95">
        <v>186</v>
      </c>
      <c r="C84" s="96">
        <v>99.705375671386719</v>
      </c>
      <c r="D84" s="97">
        <v>24.150741123911921</v>
      </c>
      <c r="E84" s="98">
        <v>3.2265127944674381</v>
      </c>
      <c r="F84" s="99">
        <v>34.910937791589973</v>
      </c>
      <c r="G84" s="98">
        <v>8.2367144440339146</v>
      </c>
      <c r="H84" s="100">
        <v>25.093479814904772</v>
      </c>
      <c r="I84" s="101">
        <v>7.3062561473502035</v>
      </c>
      <c r="J84" s="97">
        <v>25.36688058019552</v>
      </c>
      <c r="K84" s="98">
        <v>7.5472392184011099</v>
      </c>
      <c r="L84" s="100">
        <v>11.14048657258966</v>
      </c>
      <c r="M84" s="101">
        <v>4.6033064288800922</v>
      </c>
      <c r="N84" s="97">
        <v>-23.770451219000311</v>
      </c>
      <c r="O84" s="102">
        <v>9.0339252073452592</v>
      </c>
      <c r="P84" s="99">
        <v>25.877721952248599</v>
      </c>
      <c r="Q84" s="98">
        <v>3.6694654161868017</v>
      </c>
      <c r="R84" s="100">
        <v>25.41734023648425</v>
      </c>
      <c r="S84" s="101">
        <v>10.646588355201603</v>
      </c>
      <c r="T84" s="97">
        <v>5.6670054353742039</v>
      </c>
      <c r="U84" s="101">
        <v>5.7277284477923835</v>
      </c>
      <c r="V84" s="97">
        <v>-9.8927720887955992</v>
      </c>
      <c r="W84" s="104">
        <v>7.217925543291912</v>
      </c>
      <c r="X84" s="124"/>
      <c r="Y84" s="124"/>
      <c r="Z84" s="124"/>
      <c r="AA84" s="124"/>
      <c r="AB84" s="124"/>
      <c r="AC84" s="124"/>
      <c r="AD84" s="124"/>
      <c r="AE84" s="124"/>
    </row>
    <row r="85" spans="1:31" s="105" customFormat="1" x14ac:dyDescent="0.25">
      <c r="A85" s="118" t="s">
        <v>266</v>
      </c>
      <c r="B85" s="95">
        <v>137</v>
      </c>
      <c r="C85" s="96">
        <v>86.319252014160156</v>
      </c>
      <c r="D85" s="97">
        <v>13.15835029197296</v>
      </c>
      <c r="E85" s="98">
        <v>4.6721034583003189E-2</v>
      </c>
      <c r="F85" s="99">
        <v>16.410423065594021</v>
      </c>
      <c r="G85" s="98">
        <v>0.11255006113649084</v>
      </c>
      <c r="H85" s="100">
        <v>8.1782069011787133</v>
      </c>
      <c r="I85" s="101">
        <v>8.3728458503937703E-2</v>
      </c>
      <c r="J85" s="97">
        <v>17.938827593280259</v>
      </c>
      <c r="K85" s="98">
        <v>0.10234604448257344</v>
      </c>
      <c r="L85" s="100">
        <v>10.441512507143219</v>
      </c>
      <c r="M85" s="101">
        <v>0.11069374949394201</v>
      </c>
      <c r="N85" s="97">
        <v>-5.9689105584508049</v>
      </c>
      <c r="O85" s="102">
        <v>0.17030713723705196</v>
      </c>
      <c r="P85" s="99">
        <v>17.271617291120329</v>
      </c>
      <c r="Q85" s="98">
        <v>8.1440671022755373E-2</v>
      </c>
      <c r="R85" s="100" t="s">
        <v>34</v>
      </c>
      <c r="S85" s="101" t="s">
        <v>34</v>
      </c>
      <c r="T85" s="97">
        <v>9.2266126842952119</v>
      </c>
      <c r="U85" s="101">
        <v>4.5514841508821367E-2</v>
      </c>
      <c r="V85" s="97">
        <v>-8.0450046068251169</v>
      </c>
      <c r="W85" s="104">
        <v>9.2775932826868995E-2</v>
      </c>
      <c r="X85" s="124"/>
      <c r="Y85" s="124"/>
      <c r="Z85" s="124"/>
      <c r="AA85" s="124"/>
      <c r="AB85" s="124"/>
      <c r="AC85" s="124"/>
      <c r="AD85" s="124"/>
      <c r="AE85" s="124"/>
    </row>
    <row r="86" spans="1:31" s="105" customFormat="1" x14ac:dyDescent="0.25">
      <c r="A86" s="118" t="s">
        <v>267</v>
      </c>
      <c r="B86" s="95">
        <v>140</v>
      </c>
      <c r="C86" s="96">
        <v>92.333717346191406</v>
      </c>
      <c r="D86" s="97">
        <v>20.682504550598331</v>
      </c>
      <c r="E86" s="98">
        <v>3.4990258278221908</v>
      </c>
      <c r="F86" s="99">
        <v>11.324288287614049</v>
      </c>
      <c r="G86" s="98">
        <v>5.4430015612779883</v>
      </c>
      <c r="H86" s="100">
        <v>19.35032826861131</v>
      </c>
      <c r="I86" s="101">
        <v>7.4582480926767944</v>
      </c>
      <c r="J86" s="97">
        <v>29.56937394251128</v>
      </c>
      <c r="K86" s="98">
        <v>7.9450667822877694</v>
      </c>
      <c r="L86" s="100">
        <v>22.651307257856519</v>
      </c>
      <c r="M86" s="101">
        <v>7.0163495878667694</v>
      </c>
      <c r="N86" s="97">
        <v>11.32701897024247</v>
      </c>
      <c r="O86" s="102">
        <v>8.4653164033213795</v>
      </c>
      <c r="P86" s="99">
        <v>21.14994523458477</v>
      </c>
      <c r="Q86" s="98">
        <v>3.5803901712110577</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22.407320906222811</v>
      </c>
      <c r="E87" s="98">
        <v>2.7573534095268171</v>
      </c>
      <c r="F87" s="99">
        <v>21.764534887420769</v>
      </c>
      <c r="G87" s="98">
        <v>5.3460420679068594</v>
      </c>
      <c r="H87" s="100">
        <v>24.741078044353319</v>
      </c>
      <c r="I87" s="101">
        <v>6.1487770296347986</v>
      </c>
      <c r="J87" s="97">
        <v>24.776910119725581</v>
      </c>
      <c r="K87" s="98">
        <v>6.2213123561304187</v>
      </c>
      <c r="L87" s="100">
        <v>18.154659812220299</v>
      </c>
      <c r="M87" s="101">
        <v>5.8785809105810927</v>
      </c>
      <c r="N87" s="97">
        <v>-3.60987507520047</v>
      </c>
      <c r="O87" s="102">
        <v>9.1613345055612019</v>
      </c>
      <c r="P87" s="99">
        <v>22.407320906222811</v>
      </c>
      <c r="Q87" s="98">
        <v>2.7573534095268171</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168</v>
      </c>
      <c r="C88" s="96">
        <v>80.207710266113281</v>
      </c>
      <c r="D88" s="97">
        <v>48.898432715294689</v>
      </c>
      <c r="E88" s="98">
        <v>4.383093678273811</v>
      </c>
      <c r="F88" s="99">
        <v>69.992373108692277</v>
      </c>
      <c r="G88" s="98">
        <v>7.8970096930353764</v>
      </c>
      <c r="H88" s="100">
        <v>44.697868436729962</v>
      </c>
      <c r="I88" s="101">
        <v>9.5428015094109817</v>
      </c>
      <c r="J88" s="97">
        <v>48.773095803096382</v>
      </c>
      <c r="K88" s="98">
        <v>9.9881056218167554</v>
      </c>
      <c r="L88" s="100">
        <v>32.721030495084058</v>
      </c>
      <c r="M88" s="101">
        <v>9.478023817053284</v>
      </c>
      <c r="N88" s="97">
        <v>-37.271342613608219</v>
      </c>
      <c r="O88" s="102">
        <v>13.014900530023555</v>
      </c>
      <c r="P88" s="99">
        <v>52.784955578664032</v>
      </c>
      <c r="Q88" s="98">
        <v>4.8724335971495174</v>
      </c>
      <c r="R88" s="100" t="s">
        <v>34</v>
      </c>
      <c r="S88" s="101" t="s">
        <v>34</v>
      </c>
      <c r="T88" s="97">
        <v>28.761929297473682</v>
      </c>
      <c r="U88" s="101">
        <v>11.460959382336551</v>
      </c>
      <c r="V88" s="97">
        <v>-24.023026281190351</v>
      </c>
      <c r="W88" s="104">
        <v>12.401356898319611</v>
      </c>
      <c r="X88" s="124"/>
      <c r="Y88" s="124"/>
      <c r="Z88" s="124"/>
      <c r="AA88" s="124"/>
      <c r="AB88" s="124"/>
      <c r="AC88" s="124"/>
      <c r="AD88" s="124"/>
      <c r="AE88" s="124"/>
    </row>
    <row r="89" spans="1:31" s="105" customFormat="1" x14ac:dyDescent="0.25">
      <c r="A89" s="118" t="s">
        <v>270</v>
      </c>
      <c r="B89" s="95">
        <v>177</v>
      </c>
      <c r="C89" s="96">
        <v>98.513496398925781</v>
      </c>
      <c r="D89" s="97">
        <v>20.992500917448758</v>
      </c>
      <c r="E89" s="98">
        <v>3.0447961844577427</v>
      </c>
      <c r="F89" s="99">
        <v>19.500331116954499</v>
      </c>
      <c r="G89" s="98">
        <v>5.2898369963017444</v>
      </c>
      <c r="H89" s="100">
        <v>17.49415578562925</v>
      </c>
      <c r="I89" s="101">
        <v>6.8340939656677762</v>
      </c>
      <c r="J89" s="97">
        <v>24.771747961826069</v>
      </c>
      <c r="K89" s="98">
        <v>7.5217495517183899</v>
      </c>
      <c r="L89" s="100">
        <v>22.332898094572791</v>
      </c>
      <c r="M89" s="101">
        <v>7.3492531340435354</v>
      </c>
      <c r="N89" s="97">
        <v>2.832566977618292</v>
      </c>
      <c r="O89" s="102">
        <v>9.5664199009914679</v>
      </c>
      <c r="P89" s="99">
        <v>21.69371134909154</v>
      </c>
      <c r="Q89" s="98">
        <v>3.0913675531973421</v>
      </c>
      <c r="R89" s="100" t="s">
        <v>34</v>
      </c>
      <c r="S89" s="101" t="s">
        <v>34</v>
      </c>
      <c r="T89" s="97">
        <v>0</v>
      </c>
      <c r="U89" s="101" t="s">
        <v>35</v>
      </c>
      <c r="V89" s="97">
        <v>-21.69371134909154</v>
      </c>
      <c r="W89" s="104">
        <v>3.0913675531973421</v>
      </c>
      <c r="X89" s="124"/>
      <c r="Y89" s="124"/>
      <c r="Z89" s="124"/>
      <c r="AA89" s="124"/>
      <c r="AB89" s="124"/>
      <c r="AC89" s="124"/>
      <c r="AD89" s="124"/>
      <c r="AE89" s="124"/>
    </row>
    <row r="90" spans="1:31" s="105" customFormat="1" x14ac:dyDescent="0.25">
      <c r="A90" s="118" t="s">
        <v>271</v>
      </c>
      <c r="B90" s="95">
        <v>166</v>
      </c>
      <c r="C90" s="96">
        <v>100</v>
      </c>
      <c r="D90" s="97">
        <v>7.2437193485943654</v>
      </c>
      <c r="E90" s="98">
        <v>0.15325715574376403</v>
      </c>
      <c r="F90" s="99">
        <v>7.616212693368154</v>
      </c>
      <c r="G90" s="98">
        <v>0.15090241247091948</v>
      </c>
      <c r="H90" s="100">
        <v>10.49921235876131</v>
      </c>
      <c r="I90" s="101">
        <v>0.41756297605510478</v>
      </c>
      <c r="J90" s="97">
        <v>7.9416614020387204</v>
      </c>
      <c r="K90" s="98">
        <v>2.3136482838844761</v>
      </c>
      <c r="L90" s="100">
        <v>2.8476633120726191</v>
      </c>
      <c r="M90" s="101">
        <v>2.5913574556661905</v>
      </c>
      <c r="N90" s="97">
        <v>-4.7685493812955357</v>
      </c>
      <c r="O90" s="102">
        <v>2.5937200002853409</v>
      </c>
      <c r="P90" s="99">
        <v>7.046707795081022</v>
      </c>
      <c r="Q90" s="98">
        <v>4.9804557024485607E-2</v>
      </c>
      <c r="R90" s="100" t="s">
        <v>34</v>
      </c>
      <c r="S90" s="101" t="s">
        <v>34</v>
      </c>
      <c r="T90" s="97">
        <v>2.173557964410131</v>
      </c>
      <c r="U90" s="101">
        <v>1.7151911975153193</v>
      </c>
      <c r="V90" s="97">
        <v>-4.8731498306708909</v>
      </c>
      <c r="W90" s="104">
        <v>1.7308914774372182</v>
      </c>
      <c r="X90" s="124"/>
      <c r="Y90" s="124"/>
      <c r="Z90" s="124"/>
      <c r="AA90" s="124"/>
      <c r="AB90" s="124"/>
      <c r="AC90" s="124"/>
      <c r="AD90" s="124"/>
      <c r="AE90" s="124"/>
    </row>
    <row r="91" spans="1:31" s="105" customFormat="1" x14ac:dyDescent="0.25">
      <c r="A91" s="118" t="s">
        <v>272</v>
      </c>
      <c r="B91" s="95">
        <v>184</v>
      </c>
      <c r="C91" s="96">
        <v>95.787322998046875</v>
      </c>
      <c r="D91" s="97">
        <v>12.94625753130229</v>
      </c>
      <c r="E91" s="98">
        <v>2.3837900997353656</v>
      </c>
      <c r="F91" s="99">
        <v>12.377633154702799</v>
      </c>
      <c r="G91" s="98">
        <v>6.5708517668480102</v>
      </c>
      <c r="H91" s="100">
        <v>22.208870363768941</v>
      </c>
      <c r="I91" s="101">
        <v>6.0871092166852305</v>
      </c>
      <c r="J91" s="97">
        <v>11.635245577613681</v>
      </c>
      <c r="K91" s="98">
        <v>5.5623643322560277</v>
      </c>
      <c r="L91" s="100">
        <v>5.6726332813074078</v>
      </c>
      <c r="M91" s="101">
        <v>4.4675604282001</v>
      </c>
      <c r="N91" s="97">
        <v>-6.704999873395395</v>
      </c>
      <c r="O91" s="102">
        <v>7.1675071720768004</v>
      </c>
      <c r="P91" s="99">
        <v>14.29483628047873</v>
      </c>
      <c r="Q91" s="98">
        <v>3.1057977015280969</v>
      </c>
      <c r="R91" s="100">
        <v>13.960638987282209</v>
      </c>
      <c r="S91" s="101">
        <v>7.8368473080080419</v>
      </c>
      <c r="T91" s="97">
        <v>2.039727493188622</v>
      </c>
      <c r="U91" s="101">
        <v>1.5599550622039462</v>
      </c>
      <c r="V91" s="97">
        <v>-7.9412618617842554</v>
      </c>
      <c r="W91" s="104">
        <v>4.5415873454008109</v>
      </c>
      <c r="X91" s="124"/>
      <c r="Y91" s="124"/>
      <c r="Z91" s="124"/>
      <c r="AA91" s="124"/>
      <c r="AB91" s="124"/>
      <c r="AC91" s="124"/>
      <c r="AD91" s="124"/>
      <c r="AE91" s="124"/>
    </row>
    <row r="92" spans="1:31" s="105" customFormat="1" x14ac:dyDescent="0.25">
      <c r="A92" s="118" t="s">
        <v>273</v>
      </c>
      <c r="B92" s="95">
        <v>204</v>
      </c>
      <c r="C92" s="96">
        <v>92.950508117675781</v>
      </c>
      <c r="D92" s="97">
        <v>33.333109980507089</v>
      </c>
      <c r="E92" s="98">
        <v>3.4039904373647736</v>
      </c>
      <c r="F92" s="99">
        <v>51.214243551409993</v>
      </c>
      <c r="G92" s="98">
        <v>7.4585225241011752</v>
      </c>
      <c r="H92" s="100">
        <v>29.660734498739181</v>
      </c>
      <c r="I92" s="101">
        <v>11.712393059966951</v>
      </c>
      <c r="J92" s="97">
        <v>40.728190371046168</v>
      </c>
      <c r="K92" s="98">
        <v>9.8333062429256639</v>
      </c>
      <c r="L92" s="100">
        <v>10.46360647305951</v>
      </c>
      <c r="M92" s="101">
        <v>6.5011823256632963</v>
      </c>
      <c r="N92" s="97">
        <v>-40.750637078350472</v>
      </c>
      <c r="O92" s="102">
        <v>10.310029762010698</v>
      </c>
      <c r="P92" s="99">
        <v>36.858302641989617</v>
      </c>
      <c r="Q92" s="98">
        <v>3.5234280852359072</v>
      </c>
      <c r="R92" s="100">
        <v>28.778814840180271</v>
      </c>
      <c r="S92" s="101">
        <v>11.496123479021506</v>
      </c>
      <c r="T92" s="97">
        <v>0.41714750627727082</v>
      </c>
      <c r="U92" s="101">
        <v>0.31421923758058651</v>
      </c>
      <c r="V92" s="97">
        <v>-21.069948119307867</v>
      </c>
      <c r="W92" s="104">
        <v>8.381818915851504</v>
      </c>
      <c r="X92" s="124"/>
      <c r="Y92" s="124"/>
      <c r="Z92" s="124"/>
      <c r="AA92" s="124"/>
      <c r="AB92" s="124"/>
      <c r="AC92" s="124"/>
      <c r="AD92" s="124"/>
      <c r="AE92" s="124"/>
    </row>
    <row r="93" spans="1:31" s="105" customFormat="1" x14ac:dyDescent="0.25">
      <c r="A93" s="118" t="s">
        <v>274</v>
      </c>
      <c r="B93" s="95">
        <v>248</v>
      </c>
      <c r="C93" s="96">
        <v>99.065010070800781</v>
      </c>
      <c r="D93" s="97">
        <v>24.761955107324461</v>
      </c>
      <c r="E93" s="98">
        <v>3.0798671148466847</v>
      </c>
      <c r="F93" s="99">
        <v>37.112052256060558</v>
      </c>
      <c r="G93" s="98">
        <v>7.0801266114461683</v>
      </c>
      <c r="H93" s="100">
        <v>20.769967413407532</v>
      </c>
      <c r="I93" s="101">
        <v>7.3404554084994871</v>
      </c>
      <c r="J93" s="97">
        <v>23.3440254158992</v>
      </c>
      <c r="K93" s="98">
        <v>8.4603567076089128</v>
      </c>
      <c r="L93" s="100">
        <v>17.853485854534409</v>
      </c>
      <c r="M93" s="101">
        <v>7.4335991740300438</v>
      </c>
      <c r="N93" s="97">
        <v>-19.258566401526149</v>
      </c>
      <c r="O93" s="102">
        <v>10.490955658569399</v>
      </c>
      <c r="P93" s="99">
        <v>24.46411743764526</v>
      </c>
      <c r="Q93" s="98">
        <v>3.0690239024897679</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590</v>
      </c>
      <c r="C94" s="96">
        <v>90.749443054199219</v>
      </c>
      <c r="D94" s="97">
        <v>29.80235309162855</v>
      </c>
      <c r="E94" s="98">
        <v>1.2416063806898237</v>
      </c>
      <c r="F94" s="99">
        <v>46.210166947173427</v>
      </c>
      <c r="G94" s="98">
        <v>2.0690860943454936</v>
      </c>
      <c r="H94" s="100">
        <v>34.601183053903547</v>
      </c>
      <c r="I94" s="101">
        <v>2.7648593779234125</v>
      </c>
      <c r="J94" s="97">
        <v>22.770295513268099</v>
      </c>
      <c r="K94" s="98">
        <v>3.1101425781496186</v>
      </c>
      <c r="L94" s="100">
        <v>15.75623178972555</v>
      </c>
      <c r="M94" s="101">
        <v>3.1850527912697855</v>
      </c>
      <c r="N94" s="97">
        <v>-30.453935157447891</v>
      </c>
      <c r="O94" s="102">
        <v>4.4838847050205359</v>
      </c>
      <c r="P94" s="99">
        <v>45.806755444595993</v>
      </c>
      <c r="Q94" s="98">
        <v>0.57568959925072027</v>
      </c>
      <c r="R94" s="100" t="s">
        <v>34</v>
      </c>
      <c r="S94" s="101" t="s">
        <v>34</v>
      </c>
      <c r="T94" s="97">
        <v>20.905267041402869</v>
      </c>
      <c r="U94" s="101">
        <v>1.7702854578170244</v>
      </c>
      <c r="V94" s="97">
        <v>-24.901488403193124</v>
      </c>
      <c r="W94" s="104">
        <v>1.7629322141347321</v>
      </c>
      <c r="X94" s="124"/>
      <c r="Y94" s="124"/>
      <c r="Z94" s="124"/>
      <c r="AA94" s="124"/>
      <c r="AB94" s="124"/>
      <c r="AC94" s="124"/>
      <c r="AD94" s="124"/>
      <c r="AE94" s="124"/>
    </row>
    <row r="95" spans="1:31" s="105" customFormat="1" x14ac:dyDescent="0.25">
      <c r="A95" s="118" t="s">
        <v>276</v>
      </c>
      <c r="B95" s="95">
        <v>189</v>
      </c>
      <c r="C95" s="96">
        <v>100</v>
      </c>
      <c r="D95" s="97">
        <v>53.219086873384981</v>
      </c>
      <c r="E95" s="98">
        <v>3.4280789052664167</v>
      </c>
      <c r="F95" s="99">
        <v>69.927850767473771</v>
      </c>
      <c r="G95" s="98">
        <v>7.0607199728687391</v>
      </c>
      <c r="H95" s="100">
        <v>62.052982638638632</v>
      </c>
      <c r="I95" s="101">
        <v>8.1937132575069018</v>
      </c>
      <c r="J95" s="97">
        <v>57.692729838489022</v>
      </c>
      <c r="K95" s="98">
        <v>8.2996559803956576</v>
      </c>
      <c r="L95" s="100">
        <v>22.686912958975341</v>
      </c>
      <c r="M95" s="101">
        <v>7.6102196211330568</v>
      </c>
      <c r="N95" s="97">
        <v>-47.24093780849843</v>
      </c>
      <c r="O95" s="102">
        <v>10.236203073461038</v>
      </c>
      <c r="P95" s="99">
        <v>61.180320036469887</v>
      </c>
      <c r="Q95" s="98">
        <v>3.7889516136215065</v>
      </c>
      <c r="R95" s="100" t="s">
        <v>34</v>
      </c>
      <c r="S95" s="101" t="s">
        <v>34</v>
      </c>
      <c r="T95" s="97">
        <v>11.47358597084451</v>
      </c>
      <c r="U95" s="101">
        <v>6.347791456427772</v>
      </c>
      <c r="V95" s="97">
        <v>-49.706734065625376</v>
      </c>
      <c r="W95" s="104">
        <v>7.5232527961216995</v>
      </c>
      <c r="X95" s="124"/>
      <c r="Y95" s="124"/>
      <c r="Z95" s="124"/>
      <c r="AA95" s="124"/>
      <c r="AB95" s="124"/>
      <c r="AC95" s="124"/>
      <c r="AD95" s="124"/>
      <c r="AE95" s="124"/>
    </row>
    <row r="96" spans="1:31" s="105" customFormat="1" ht="13.8" thickBot="1" x14ac:dyDescent="0.3">
      <c r="A96" s="125" t="s">
        <v>277</v>
      </c>
      <c r="B96" s="108">
        <v>122</v>
      </c>
      <c r="C96" s="109">
        <v>94.736846923828125</v>
      </c>
      <c r="D96" s="110">
        <v>30.95511118371779</v>
      </c>
      <c r="E96" s="111">
        <v>5.0217137104267184</v>
      </c>
      <c r="F96" s="112">
        <v>37.449501610541148</v>
      </c>
      <c r="G96" s="111">
        <v>10.879475323080881</v>
      </c>
      <c r="H96" s="113">
        <v>36.485730434087223</v>
      </c>
      <c r="I96" s="114">
        <v>9.0471470495441384</v>
      </c>
      <c r="J96" s="110">
        <v>22.3224574208771</v>
      </c>
      <c r="K96" s="111">
        <v>8.5417250319617288</v>
      </c>
      <c r="L96" s="113">
        <v>27.792427506411979</v>
      </c>
      <c r="M96" s="114">
        <v>10.336274317277461</v>
      </c>
      <c r="N96" s="110">
        <v>-9.6570741041291726</v>
      </c>
      <c r="O96" s="115">
        <v>14.572725384328102</v>
      </c>
      <c r="P96" s="112">
        <v>31.38078914908133</v>
      </c>
      <c r="Q96" s="111">
        <v>5.0817966743268279</v>
      </c>
      <c r="R96" s="113" t="s">
        <v>34</v>
      </c>
      <c r="S96" s="114" t="s">
        <v>34</v>
      </c>
      <c r="T96" s="110">
        <v>22.38205935189983</v>
      </c>
      <c r="U96" s="114">
        <v>18.272568418195732</v>
      </c>
      <c r="V96" s="110">
        <v>-8.9987297971815003</v>
      </c>
      <c r="W96" s="117">
        <v>18.415701592390633</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5:N96 V15:V96">
    <cfRule type="expression" dxfId="6"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172</v>
      </c>
      <c r="B6" s="51"/>
    </row>
    <row r="7" spans="1:31" x14ac:dyDescent="0.25">
      <c r="A7" s="51" t="s">
        <v>173</v>
      </c>
    </row>
    <row r="8" spans="1:31" x14ac:dyDescent="0.25">
      <c r="A8" s="52" t="s">
        <v>174</v>
      </c>
    </row>
    <row r="9" spans="1:31" x14ac:dyDescent="0.25">
      <c r="A9" s="52"/>
    </row>
    <row r="10" spans="1:31" ht="13.8" thickBot="1" x14ac:dyDescent="0.3"/>
    <row r="11" spans="1:31" ht="27.75" customHeight="1" x14ac:dyDescent="0.25">
      <c r="A11" s="28"/>
      <c r="B11" s="211" t="s">
        <v>7</v>
      </c>
      <c r="C11" s="212"/>
      <c r="D11" s="212"/>
      <c r="E11" s="237"/>
      <c r="F11" s="201" t="s">
        <v>175</v>
      </c>
      <c r="G11" s="202"/>
      <c r="H11" s="202"/>
      <c r="I11" s="202"/>
      <c r="J11" s="202"/>
      <c r="K11" s="202"/>
      <c r="L11" s="202"/>
      <c r="M11" s="202"/>
      <c r="N11" s="202"/>
      <c r="O11" s="202"/>
      <c r="P11" s="201" t="s">
        <v>176</v>
      </c>
      <c r="Q11" s="202"/>
      <c r="R11" s="202"/>
      <c r="S11" s="202"/>
      <c r="T11" s="202"/>
      <c r="U11" s="202"/>
      <c r="V11" s="202"/>
      <c r="W11" s="203"/>
    </row>
    <row r="12" spans="1:31" ht="70.5" customHeight="1" x14ac:dyDescent="0.25">
      <c r="A12" s="31"/>
      <c r="B12" s="215" t="s">
        <v>10</v>
      </c>
      <c r="C12" s="217" t="s">
        <v>11</v>
      </c>
      <c r="D12" s="218" t="s">
        <v>177</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694</v>
      </c>
      <c r="C16" s="96">
        <v>91.641273498535156</v>
      </c>
      <c r="D16" s="97">
        <v>7.727653713981689</v>
      </c>
      <c r="E16" s="98">
        <v>0.9710404125626676</v>
      </c>
      <c r="F16" s="99">
        <v>15.10045433012629</v>
      </c>
      <c r="G16" s="98">
        <v>3.1348394126512082</v>
      </c>
      <c r="H16" s="100">
        <v>7.1812109996350442</v>
      </c>
      <c r="I16" s="101">
        <v>2.4406398310184207</v>
      </c>
      <c r="J16" s="97">
        <v>7.84962845352758</v>
      </c>
      <c r="K16" s="98">
        <v>2.421773528318671</v>
      </c>
      <c r="L16" s="100">
        <v>0.47572616385520061</v>
      </c>
      <c r="M16" s="101">
        <v>0.43615715428459856</v>
      </c>
      <c r="N16" s="97">
        <v>-14.62472816627109</v>
      </c>
      <c r="O16" s="102">
        <v>3.1930995160538331</v>
      </c>
      <c r="P16" s="99">
        <v>9.5901802415221731</v>
      </c>
      <c r="Q16" s="98">
        <v>1.4094078053592631</v>
      </c>
      <c r="R16" s="100">
        <v>6.4544912151293374</v>
      </c>
      <c r="S16" s="101">
        <v>2.1753849278244628</v>
      </c>
      <c r="T16" s="97">
        <v>2.3118552675029211</v>
      </c>
      <c r="U16" s="101">
        <v>1.3320047120801557</v>
      </c>
      <c r="V16" s="97">
        <v>-4.7330951829901498</v>
      </c>
      <c r="W16" s="104">
        <v>2.1288884114186373</v>
      </c>
      <c r="X16" s="124"/>
      <c r="Y16" s="124"/>
      <c r="Z16" s="124"/>
      <c r="AA16" s="124"/>
      <c r="AB16" s="124"/>
      <c r="AC16" s="124"/>
      <c r="AD16" s="124"/>
      <c r="AE16" s="124"/>
    </row>
    <row r="17" spans="1:31" s="105" customFormat="1" x14ac:dyDescent="0.25">
      <c r="A17" s="118" t="s">
        <v>203</v>
      </c>
      <c r="B17" s="95">
        <v>291</v>
      </c>
      <c r="C17" s="96" t="s">
        <v>34</v>
      </c>
      <c r="D17" s="97">
        <v>28.249974655476361</v>
      </c>
      <c r="E17" s="98">
        <v>3.2879719654617512</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247</v>
      </c>
      <c r="C18" s="96">
        <v>89.148681640625</v>
      </c>
      <c r="D18" s="97">
        <v>17.401645581264049</v>
      </c>
      <c r="E18" s="98">
        <v>2.4804052040975288</v>
      </c>
      <c r="F18" s="99">
        <v>22.076397088155328</v>
      </c>
      <c r="G18" s="98">
        <v>5.3656832724103278</v>
      </c>
      <c r="H18" s="100">
        <v>15.651899499482671</v>
      </c>
      <c r="I18" s="101">
        <v>5.5855518270242239</v>
      </c>
      <c r="J18" s="97">
        <v>16.994844168479361</v>
      </c>
      <c r="K18" s="98">
        <v>5.6139891375192148</v>
      </c>
      <c r="L18" s="100">
        <v>14.719988421066491</v>
      </c>
      <c r="M18" s="101">
        <v>4.6456935918502378</v>
      </c>
      <c r="N18" s="97">
        <v>-7.3564086670888429</v>
      </c>
      <c r="O18" s="102">
        <v>7.1470414389182526</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763</v>
      </c>
      <c r="C19" s="96">
        <v>95.365509033203125</v>
      </c>
      <c r="D19" s="97">
        <v>11.220503616560849</v>
      </c>
      <c r="E19" s="98">
        <v>1.4313170237080055</v>
      </c>
      <c r="F19" s="99">
        <v>19.392683296759341</v>
      </c>
      <c r="G19" s="98">
        <v>4.235244951268661</v>
      </c>
      <c r="H19" s="100">
        <v>6.7512528951583368</v>
      </c>
      <c r="I19" s="101">
        <v>3.4584336131727844</v>
      </c>
      <c r="J19" s="97">
        <v>12.057148113859681</v>
      </c>
      <c r="K19" s="98">
        <v>3.5631342121490608</v>
      </c>
      <c r="L19" s="100">
        <v>6.8692985321737092</v>
      </c>
      <c r="M19" s="101">
        <v>2.0262938865084994</v>
      </c>
      <c r="N19" s="97">
        <v>-12.523384764585639</v>
      </c>
      <c r="O19" s="102">
        <v>4.6806320818701961</v>
      </c>
      <c r="P19" s="99">
        <v>11.740465891082479</v>
      </c>
      <c r="Q19" s="98">
        <v>1.5324167241073878</v>
      </c>
      <c r="R19" s="100">
        <v>13.66659322633776</v>
      </c>
      <c r="S19" s="101">
        <v>8.9213815853418961</v>
      </c>
      <c r="T19" s="97">
        <v>0</v>
      </c>
      <c r="U19" s="101" t="s">
        <v>35</v>
      </c>
      <c r="V19" s="97">
        <v>-6.2521486809196762</v>
      </c>
      <c r="W19" s="104">
        <v>4.2025674560777366</v>
      </c>
      <c r="X19" s="124"/>
      <c r="Y19" s="124"/>
      <c r="Z19" s="124"/>
      <c r="AA19" s="124"/>
      <c r="AB19" s="124"/>
      <c r="AC19" s="124"/>
      <c r="AD19" s="124"/>
      <c r="AE19" s="124"/>
    </row>
    <row r="20" spans="1:31" s="105" customFormat="1" x14ac:dyDescent="0.25">
      <c r="A20" s="118" t="s">
        <v>206</v>
      </c>
      <c r="B20" s="95">
        <v>206</v>
      </c>
      <c r="C20" s="96">
        <v>85.480026245117188</v>
      </c>
      <c r="D20" s="97">
        <v>15.95601456258971</v>
      </c>
      <c r="E20" s="98">
        <v>2.7846847472114917</v>
      </c>
      <c r="F20" s="99">
        <v>16.74736438543588</v>
      </c>
      <c r="G20" s="98">
        <v>6.484103431943435</v>
      </c>
      <c r="H20" s="100">
        <v>27.69904233207907</v>
      </c>
      <c r="I20" s="101">
        <v>8.2368952355155134</v>
      </c>
      <c r="J20" s="97">
        <v>11.81413604738886</v>
      </c>
      <c r="K20" s="98">
        <v>6.3742160831126151</v>
      </c>
      <c r="L20" s="100">
        <v>7.5283581601200646</v>
      </c>
      <c r="M20" s="101">
        <v>3.6125386869036711</v>
      </c>
      <c r="N20" s="97">
        <v>-9.2190062253158125</v>
      </c>
      <c r="O20" s="102">
        <v>7.8353371000113681</v>
      </c>
      <c r="P20" s="99">
        <v>22.43222916588908</v>
      </c>
      <c r="Q20" s="98">
        <v>6.2087174234007412</v>
      </c>
      <c r="R20" s="100">
        <v>14.18788748929034</v>
      </c>
      <c r="S20" s="101">
        <v>3.5402510416202766</v>
      </c>
      <c r="T20" s="97">
        <v>9.4542055721247849</v>
      </c>
      <c r="U20" s="101">
        <v>4.6350771563555133</v>
      </c>
      <c r="V20" s="97">
        <v>-9.3009502114988294</v>
      </c>
      <c r="W20" s="104">
        <v>6.9256210729600109</v>
      </c>
      <c r="X20" s="124"/>
      <c r="Y20" s="124"/>
      <c r="Z20" s="124"/>
      <c r="AA20" s="124"/>
      <c r="AB20" s="124"/>
      <c r="AC20" s="124"/>
      <c r="AD20" s="124"/>
      <c r="AE20" s="124"/>
    </row>
    <row r="21" spans="1:31" s="105" customFormat="1" x14ac:dyDescent="0.25">
      <c r="A21" s="118" t="s">
        <v>207</v>
      </c>
      <c r="B21" s="95">
        <v>244</v>
      </c>
      <c r="C21" s="96">
        <v>98.509407043457031</v>
      </c>
      <c r="D21" s="97">
        <v>26.666108306844091</v>
      </c>
      <c r="E21" s="98">
        <v>2.8708567820223778</v>
      </c>
      <c r="F21" s="99">
        <v>33.186511701403496</v>
      </c>
      <c r="G21" s="98">
        <v>7.361413728742991</v>
      </c>
      <c r="H21" s="100">
        <v>26.93193628892142</v>
      </c>
      <c r="I21" s="101">
        <v>11.766430733374097</v>
      </c>
      <c r="J21" s="97">
        <v>27.694379471861371</v>
      </c>
      <c r="K21" s="98">
        <v>9.5651606845531703</v>
      </c>
      <c r="L21" s="100">
        <v>18.980722264771881</v>
      </c>
      <c r="M21" s="101">
        <v>6.0396472127361314</v>
      </c>
      <c r="N21" s="97">
        <v>-14.205789436631621</v>
      </c>
      <c r="O21" s="102">
        <v>9.5962589684234789</v>
      </c>
      <c r="P21" s="99">
        <v>32.472096545543273</v>
      </c>
      <c r="Q21" s="98">
        <v>3.5736650474316565</v>
      </c>
      <c r="R21" s="100" t="s">
        <v>34</v>
      </c>
      <c r="S21" s="101" t="s">
        <v>34</v>
      </c>
      <c r="T21" s="97">
        <v>0</v>
      </c>
      <c r="U21" s="101" t="s">
        <v>35</v>
      </c>
      <c r="V21" s="97">
        <v>-32.472096545543273</v>
      </c>
      <c r="W21" s="104">
        <v>3.5736650474316565</v>
      </c>
      <c r="X21" s="124"/>
      <c r="Y21" s="124"/>
      <c r="Z21" s="124"/>
      <c r="AA21" s="124"/>
      <c r="AB21" s="124"/>
      <c r="AC21" s="124"/>
      <c r="AD21" s="124"/>
      <c r="AE21" s="124"/>
    </row>
    <row r="22" spans="1:31" s="105" customFormat="1" x14ac:dyDescent="0.25">
      <c r="A22" s="118" t="s">
        <v>208</v>
      </c>
      <c r="B22" s="95">
        <v>323</v>
      </c>
      <c r="C22" s="96">
        <v>96.789085388183594</v>
      </c>
      <c r="D22" s="97">
        <v>15.005802786387539</v>
      </c>
      <c r="E22" s="98">
        <v>2.2244106537350583</v>
      </c>
      <c r="F22" s="99">
        <v>14.12561536825719</v>
      </c>
      <c r="G22" s="98">
        <v>3.9430949448304973</v>
      </c>
      <c r="H22" s="100">
        <v>15.114903001712531</v>
      </c>
      <c r="I22" s="101">
        <v>5.4816624065371924</v>
      </c>
      <c r="J22" s="97">
        <v>15.263154341727599</v>
      </c>
      <c r="K22" s="98">
        <v>5.6547143114487071</v>
      </c>
      <c r="L22" s="100">
        <v>15.52283355560013</v>
      </c>
      <c r="M22" s="101">
        <v>4.1420741774485572</v>
      </c>
      <c r="N22" s="97">
        <v>1.3972181873429419</v>
      </c>
      <c r="O22" s="102">
        <v>5.4617655930287485</v>
      </c>
      <c r="P22" s="99">
        <v>15.63551636240102</v>
      </c>
      <c r="Q22" s="98">
        <v>2.3733357020322163</v>
      </c>
      <c r="R22" s="100">
        <v>0</v>
      </c>
      <c r="S22" s="101" t="s">
        <v>35</v>
      </c>
      <c r="T22" s="97" t="s">
        <v>34</v>
      </c>
      <c r="U22" s="101" t="s">
        <v>34</v>
      </c>
      <c r="V22" s="97">
        <v>-15.63551636240102</v>
      </c>
      <c r="W22" s="104">
        <v>2.3733357020322163</v>
      </c>
      <c r="X22" s="124"/>
      <c r="Y22" s="124"/>
      <c r="Z22" s="124"/>
      <c r="AA22" s="124"/>
      <c r="AB22" s="124"/>
      <c r="AC22" s="124"/>
      <c r="AD22" s="124"/>
      <c r="AE22" s="124"/>
    </row>
    <row r="23" spans="1:31" s="105" customFormat="1" x14ac:dyDescent="0.25">
      <c r="A23" s="118" t="s">
        <v>209</v>
      </c>
      <c r="B23" s="95">
        <v>262</v>
      </c>
      <c r="C23" s="96">
        <v>78.678726196289063</v>
      </c>
      <c r="D23" s="97">
        <v>6.0373271829475126</v>
      </c>
      <c r="E23" s="98">
        <v>1.6923641253205317</v>
      </c>
      <c r="F23" s="99">
        <v>8.2020436368508278</v>
      </c>
      <c r="G23" s="98">
        <v>3.8028321053523046</v>
      </c>
      <c r="H23" s="100">
        <v>8.5504386372513643</v>
      </c>
      <c r="I23" s="101">
        <v>5.9104781545347462</v>
      </c>
      <c r="J23" s="97">
        <v>4.9364704111492239</v>
      </c>
      <c r="K23" s="98">
        <v>4.2556932016915061</v>
      </c>
      <c r="L23" s="100">
        <v>2.3317884616969011</v>
      </c>
      <c r="M23" s="101">
        <v>4.1148355440186499</v>
      </c>
      <c r="N23" s="97">
        <v>-5.8702551751539271</v>
      </c>
      <c r="O23" s="102">
        <v>5.5573109037954111</v>
      </c>
      <c r="P23" s="99">
        <v>7.0745359990030012</v>
      </c>
      <c r="Q23" s="98">
        <v>2.110773058949627</v>
      </c>
      <c r="R23" s="100">
        <v>4.6234717708865274</v>
      </c>
      <c r="S23" s="101">
        <v>3.2339056574399487</v>
      </c>
      <c r="T23" s="97">
        <v>0</v>
      </c>
      <c r="U23" s="101" t="s">
        <v>35</v>
      </c>
      <c r="V23" s="97">
        <v>-3.5160252551028113</v>
      </c>
      <c r="W23" s="104">
        <v>3.1665648046390547</v>
      </c>
      <c r="X23" s="124"/>
      <c r="Y23" s="124"/>
      <c r="Z23" s="124"/>
      <c r="AA23" s="124"/>
      <c r="AB23" s="124"/>
      <c r="AC23" s="124"/>
      <c r="AD23" s="124"/>
      <c r="AE23" s="124"/>
    </row>
    <row r="24" spans="1:31" s="105" customFormat="1" x14ac:dyDescent="0.25">
      <c r="A24" s="118" t="s">
        <v>210</v>
      </c>
      <c r="B24" s="95">
        <v>224</v>
      </c>
      <c r="C24" s="96">
        <v>99.549774169921875</v>
      </c>
      <c r="D24" s="97">
        <v>19.808444895609991</v>
      </c>
      <c r="E24" s="98">
        <v>1.5764211672841111</v>
      </c>
      <c r="F24" s="99">
        <v>25.03824779284604</v>
      </c>
      <c r="G24" s="98">
        <v>5.1185235078889875</v>
      </c>
      <c r="H24" s="100">
        <v>17.035816398309379</v>
      </c>
      <c r="I24" s="101">
        <v>3.0152809864110663</v>
      </c>
      <c r="J24" s="97">
        <v>14.77437797827594</v>
      </c>
      <c r="K24" s="98">
        <v>3.3237836681354955</v>
      </c>
      <c r="L24" s="100">
        <v>22.221609848522249</v>
      </c>
      <c r="M24" s="101">
        <v>1.3743787290299254</v>
      </c>
      <c r="N24" s="97">
        <v>-2.8166379443237979</v>
      </c>
      <c r="O24" s="102">
        <v>5.4886247583528895</v>
      </c>
      <c r="P24" s="99">
        <v>19.99125383730993</v>
      </c>
      <c r="Q24" s="98">
        <v>1.5458166137633329</v>
      </c>
      <c r="R24" s="100">
        <v>19.933479021617192</v>
      </c>
      <c r="S24" s="101">
        <v>17.091326170762265</v>
      </c>
      <c r="T24" s="97">
        <v>8.9365521395550385</v>
      </c>
      <c r="U24" s="101">
        <v>10.512021073351702</v>
      </c>
      <c r="V24" s="97">
        <v>-4.6210488677564907</v>
      </c>
      <c r="W24" s="104">
        <v>11.521076742493229</v>
      </c>
      <c r="X24" s="124"/>
      <c r="Y24" s="124"/>
      <c r="Z24" s="124"/>
      <c r="AA24" s="124"/>
      <c r="AB24" s="124"/>
      <c r="AC24" s="124"/>
      <c r="AD24" s="124"/>
      <c r="AE24" s="124"/>
    </row>
    <row r="25" spans="1:31" s="105" customFormat="1" x14ac:dyDescent="0.25">
      <c r="A25" s="118" t="s">
        <v>211</v>
      </c>
      <c r="B25" s="95">
        <v>209</v>
      </c>
      <c r="C25" s="96">
        <v>98.806083679199219</v>
      </c>
      <c r="D25" s="97">
        <v>22.00299953375654</v>
      </c>
      <c r="E25" s="98">
        <v>2.7710459874446656</v>
      </c>
      <c r="F25" s="99">
        <v>10.87588381948269</v>
      </c>
      <c r="G25" s="98">
        <v>4.9261605465578793</v>
      </c>
      <c r="H25" s="100">
        <v>25.562092447861911</v>
      </c>
      <c r="I25" s="101">
        <v>7.3675852980291223</v>
      </c>
      <c r="J25" s="97">
        <v>31.145922106241041</v>
      </c>
      <c r="K25" s="98">
        <v>6.8323861569511548</v>
      </c>
      <c r="L25" s="100">
        <v>20.365432082722641</v>
      </c>
      <c r="M25" s="101">
        <v>6.1717760173180487</v>
      </c>
      <c r="N25" s="97">
        <v>9.4895482632399517</v>
      </c>
      <c r="O25" s="102">
        <v>7.4808782798381275</v>
      </c>
      <c r="P25" s="99">
        <v>22.425117330528149</v>
      </c>
      <c r="Q25" s="98">
        <v>2.8237134267819046</v>
      </c>
      <c r="R25" s="100">
        <v>11.932551238284811</v>
      </c>
      <c r="S25" s="101">
        <v>12.725770239393368</v>
      </c>
      <c r="T25" s="97" t="s">
        <v>34</v>
      </c>
      <c r="U25" s="101" t="s">
        <v>34</v>
      </c>
      <c r="V25" s="97">
        <v>-10.492566092243338</v>
      </c>
      <c r="W25" s="104">
        <v>12.962265736999667</v>
      </c>
      <c r="X25" s="124"/>
      <c r="Y25" s="124"/>
      <c r="Z25" s="124"/>
      <c r="AA25" s="124"/>
      <c r="AB25" s="124"/>
      <c r="AC25" s="124"/>
      <c r="AD25" s="124"/>
      <c r="AE25" s="124"/>
    </row>
    <row r="26" spans="1:31" s="105" customFormat="1" x14ac:dyDescent="0.25">
      <c r="A26" s="118" t="s">
        <v>212</v>
      </c>
      <c r="B26" s="95">
        <v>161</v>
      </c>
      <c r="C26" s="96">
        <v>75.390457153320313</v>
      </c>
      <c r="D26" s="97">
        <v>10.52353100152764</v>
      </c>
      <c r="E26" s="98">
        <v>2.1346725463757816</v>
      </c>
      <c r="F26" s="99">
        <v>7.7268201216176537</v>
      </c>
      <c r="G26" s="98">
        <v>4.800362270728785</v>
      </c>
      <c r="H26" s="100">
        <v>13.10738626018853</v>
      </c>
      <c r="I26" s="101">
        <v>5.9749118548781146</v>
      </c>
      <c r="J26" s="97">
        <v>16.130653304638781</v>
      </c>
      <c r="K26" s="98">
        <v>6.2804922482290353</v>
      </c>
      <c r="L26" s="100">
        <v>5.3815620555280086</v>
      </c>
      <c r="M26" s="101">
        <v>3.9395253982321443</v>
      </c>
      <c r="N26" s="97">
        <v>-2.3452580660896438</v>
      </c>
      <c r="O26" s="102">
        <v>6.1136007435900472</v>
      </c>
      <c r="P26" s="99">
        <v>12.79656719498483</v>
      </c>
      <c r="Q26" s="98">
        <v>2.7541971225186788</v>
      </c>
      <c r="R26" s="100">
        <v>0.75060917475585021</v>
      </c>
      <c r="S26" s="101">
        <v>0.79135523724650914</v>
      </c>
      <c r="T26" s="97">
        <v>0</v>
      </c>
      <c r="U26" s="101" t="s">
        <v>35</v>
      </c>
      <c r="V26" s="97">
        <v>-12.406753019889365</v>
      </c>
      <c r="W26" s="104">
        <v>2.7712324394511021</v>
      </c>
      <c r="X26" s="124"/>
      <c r="Y26" s="124"/>
      <c r="Z26" s="124"/>
      <c r="AA26" s="124"/>
      <c r="AB26" s="124"/>
      <c r="AC26" s="124"/>
      <c r="AD26" s="124"/>
      <c r="AE26" s="124"/>
    </row>
    <row r="27" spans="1:31" s="105" customFormat="1" x14ac:dyDescent="0.25">
      <c r="A27" s="118" t="s">
        <v>213</v>
      </c>
      <c r="B27" s="95">
        <v>182</v>
      </c>
      <c r="C27" s="96">
        <v>81.1644287109375</v>
      </c>
      <c r="D27" s="97">
        <v>18.403070520374321</v>
      </c>
      <c r="E27" s="98">
        <v>3.0819040519953327</v>
      </c>
      <c r="F27" s="99">
        <v>32.075396954025948</v>
      </c>
      <c r="G27" s="98">
        <v>7.1596296225641609</v>
      </c>
      <c r="H27" s="100">
        <v>22.756834373101249</v>
      </c>
      <c r="I27" s="101">
        <v>7.5602251965077043</v>
      </c>
      <c r="J27" s="97">
        <v>10.69562568027869</v>
      </c>
      <c r="K27" s="98">
        <v>5.5637856456424997</v>
      </c>
      <c r="L27" s="100">
        <v>8.9574705893389961</v>
      </c>
      <c r="M27" s="101">
        <v>4.4238964044233668</v>
      </c>
      <c r="N27" s="97">
        <v>-23.117926364686959</v>
      </c>
      <c r="O27" s="102">
        <v>8.4727539188346483</v>
      </c>
      <c r="P27" s="99">
        <v>19.140712691579189</v>
      </c>
      <c r="Q27" s="98">
        <v>3.2080656703757104</v>
      </c>
      <c r="R27" s="100">
        <v>0</v>
      </c>
      <c r="S27" s="101" t="s">
        <v>35</v>
      </c>
      <c r="T27" s="97" t="s">
        <v>34</v>
      </c>
      <c r="U27" s="101" t="s">
        <v>34</v>
      </c>
      <c r="V27" s="97">
        <v>-19.140712691579189</v>
      </c>
      <c r="W27" s="104">
        <v>3.2080656703757104</v>
      </c>
      <c r="X27" s="124"/>
      <c r="Y27" s="124"/>
      <c r="Z27" s="124"/>
      <c r="AA27" s="124"/>
      <c r="AB27" s="124"/>
      <c r="AC27" s="124"/>
      <c r="AD27" s="124"/>
      <c r="AE27" s="124"/>
    </row>
    <row r="28" spans="1:31" s="105" customFormat="1" x14ac:dyDescent="0.25">
      <c r="A28" s="118" t="s">
        <v>214</v>
      </c>
      <c r="B28" s="95">
        <v>192</v>
      </c>
      <c r="C28" s="96">
        <v>88.744697570800781</v>
      </c>
      <c r="D28" s="97">
        <v>26.472954072152721</v>
      </c>
      <c r="E28" s="98">
        <v>3.3865654286150337</v>
      </c>
      <c r="F28" s="99">
        <v>23.939358303209591</v>
      </c>
      <c r="G28" s="98">
        <v>6.9970059232098105</v>
      </c>
      <c r="H28" s="100">
        <v>30.536715476514839</v>
      </c>
      <c r="I28" s="101">
        <v>8.1744285451887535</v>
      </c>
      <c r="J28" s="97">
        <v>25.62295302824057</v>
      </c>
      <c r="K28" s="98">
        <v>7.4203651402914019</v>
      </c>
      <c r="L28" s="100">
        <v>25.776430984783069</v>
      </c>
      <c r="M28" s="101">
        <v>6.5981584911558437</v>
      </c>
      <c r="N28" s="97">
        <v>1.837072681573471</v>
      </c>
      <c r="O28" s="102">
        <v>9.528325802615198</v>
      </c>
      <c r="P28" s="99">
        <v>27.821955208106409</v>
      </c>
      <c r="Q28" s="98">
        <v>3.5427781634670454</v>
      </c>
      <c r="R28" s="100" t="s">
        <v>34</v>
      </c>
      <c r="S28" s="101" t="s">
        <v>34</v>
      </c>
      <c r="T28" s="97">
        <v>0</v>
      </c>
      <c r="U28" s="101" t="s">
        <v>35</v>
      </c>
      <c r="V28" s="97">
        <v>-27.821955208106409</v>
      </c>
      <c r="W28" s="104">
        <v>3.5427781634670454</v>
      </c>
      <c r="X28" s="124"/>
      <c r="Y28" s="124"/>
      <c r="Z28" s="124"/>
      <c r="AA28" s="124"/>
      <c r="AB28" s="124"/>
      <c r="AC28" s="124"/>
      <c r="AD28" s="124"/>
      <c r="AE28" s="124"/>
    </row>
    <row r="29" spans="1:31" s="105" customFormat="1" x14ac:dyDescent="0.25">
      <c r="A29" s="118" t="s">
        <v>215</v>
      </c>
      <c r="B29" s="95">
        <v>161</v>
      </c>
      <c r="C29" s="96">
        <v>89.597335815429688</v>
      </c>
      <c r="D29" s="97">
        <v>9.0063930142747317</v>
      </c>
      <c r="E29" s="98">
        <v>2.4625414655658782</v>
      </c>
      <c r="F29" s="99">
        <v>11.84962977440547</v>
      </c>
      <c r="G29" s="98">
        <v>5.7031306406770712</v>
      </c>
      <c r="H29" s="100">
        <v>8.1367645191023179</v>
      </c>
      <c r="I29" s="101">
        <v>4.9060874246495496</v>
      </c>
      <c r="J29" s="97">
        <v>5.1327699054326059</v>
      </c>
      <c r="K29" s="98">
        <v>3.7365548793880254</v>
      </c>
      <c r="L29" s="100">
        <v>10.88475515000132</v>
      </c>
      <c r="M29" s="101">
        <v>5.6334332599932306</v>
      </c>
      <c r="N29" s="97">
        <v>-0.96487462440415683</v>
      </c>
      <c r="O29" s="102">
        <v>8.0999586626390752</v>
      </c>
      <c r="P29" s="99">
        <v>11.487762668569649</v>
      </c>
      <c r="Q29" s="98">
        <v>3.0821748188024349</v>
      </c>
      <c r="R29" s="100">
        <v>0</v>
      </c>
      <c r="S29" s="101" t="s">
        <v>35</v>
      </c>
      <c r="T29" s="97" t="s">
        <v>34</v>
      </c>
      <c r="U29" s="101" t="s">
        <v>34</v>
      </c>
      <c r="V29" s="97">
        <v>-11.487762668569649</v>
      </c>
      <c r="W29" s="104">
        <v>3.0821748188024349</v>
      </c>
      <c r="X29" s="124"/>
      <c r="Y29" s="124"/>
      <c r="Z29" s="124"/>
      <c r="AA29" s="124"/>
      <c r="AB29" s="124"/>
      <c r="AC29" s="124"/>
      <c r="AD29" s="124"/>
      <c r="AE29" s="124"/>
    </row>
    <row r="30" spans="1:31" s="105" customFormat="1" x14ac:dyDescent="0.25">
      <c r="A30" s="118" t="s">
        <v>216</v>
      </c>
      <c r="B30" s="95">
        <v>129</v>
      </c>
      <c r="C30" s="96">
        <v>98.818824768066406</v>
      </c>
      <c r="D30" s="97">
        <v>12.176868728385511</v>
      </c>
      <c r="E30" s="98">
        <v>0.2118076692254387</v>
      </c>
      <c r="F30" s="99">
        <v>17.117631277290911</v>
      </c>
      <c r="G30" s="98">
        <v>0.56504186188637628</v>
      </c>
      <c r="H30" s="100">
        <v>17.066953947099819</v>
      </c>
      <c r="I30" s="101">
        <v>0.43694524793153711</v>
      </c>
      <c r="J30" s="97">
        <v>8.3557037574165598</v>
      </c>
      <c r="K30" s="98">
        <v>0.32737429179224553</v>
      </c>
      <c r="L30" s="100">
        <v>5.8230279557915354</v>
      </c>
      <c r="M30" s="101">
        <v>0.25785369147853787</v>
      </c>
      <c r="N30" s="97">
        <v>-11.29460332149938</v>
      </c>
      <c r="O30" s="102">
        <v>0.63071009677543521</v>
      </c>
      <c r="P30" s="99">
        <v>12.44376300579686</v>
      </c>
      <c r="Q30" s="98">
        <v>0.21706480160023472</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152</v>
      </c>
      <c r="C31" s="96">
        <v>97.200706481933594</v>
      </c>
      <c r="D31" s="97">
        <v>15.6102389853503</v>
      </c>
      <c r="E31" s="98">
        <v>3.201957673707077</v>
      </c>
      <c r="F31" s="99">
        <v>20.98203206772634</v>
      </c>
      <c r="G31" s="98">
        <v>7.2268226842222765</v>
      </c>
      <c r="H31" s="100">
        <v>14.06456511877858</v>
      </c>
      <c r="I31" s="101">
        <v>9.1014114364489185</v>
      </c>
      <c r="J31" s="97">
        <v>17.651382694333179</v>
      </c>
      <c r="K31" s="98">
        <v>9.359946434082401</v>
      </c>
      <c r="L31" s="100">
        <v>9.5876608852837677</v>
      </c>
      <c r="M31" s="101">
        <v>5.6692969475955355</v>
      </c>
      <c r="N31" s="97">
        <v>-11.394371182442571</v>
      </c>
      <c r="O31" s="102">
        <v>9.3873389427101905</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163</v>
      </c>
      <c r="C32" s="96">
        <v>95.360801696777344</v>
      </c>
      <c r="D32" s="97">
        <v>28.240033283243729</v>
      </c>
      <c r="E32" s="98">
        <v>3.6204647927002362</v>
      </c>
      <c r="F32" s="99">
        <v>34.404440905922868</v>
      </c>
      <c r="G32" s="98">
        <v>8.6465130456626991</v>
      </c>
      <c r="H32" s="100">
        <v>25.82947437393473</v>
      </c>
      <c r="I32" s="101">
        <v>8.6847294895323053</v>
      </c>
      <c r="J32" s="97">
        <v>38.829219747386666</v>
      </c>
      <c r="K32" s="98">
        <v>8.5716667583010686</v>
      </c>
      <c r="L32" s="100">
        <v>13.33504307252241</v>
      </c>
      <c r="M32" s="101">
        <v>6.3684272635236585</v>
      </c>
      <c r="N32" s="97">
        <v>-21.069397833400458</v>
      </c>
      <c r="O32" s="102">
        <v>10.98608384344498</v>
      </c>
      <c r="P32" s="99">
        <v>28.240033283243729</v>
      </c>
      <c r="Q32" s="98">
        <v>3.6204647927002362</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488</v>
      </c>
      <c r="C33" s="96">
        <v>94.017799377441406</v>
      </c>
      <c r="D33" s="97">
        <v>31.60622898794368</v>
      </c>
      <c r="E33" s="98">
        <v>2.984911197501694</v>
      </c>
      <c r="F33" s="99">
        <v>32.695202501429719</v>
      </c>
      <c r="G33" s="98">
        <v>7.019514157109513</v>
      </c>
      <c r="H33" s="100">
        <v>36.093322341557972</v>
      </c>
      <c r="I33" s="101">
        <v>6.9061129556596104</v>
      </c>
      <c r="J33" s="97">
        <v>28.14537545329199</v>
      </c>
      <c r="K33" s="98">
        <v>6.8712070843713162</v>
      </c>
      <c r="L33" s="100">
        <v>29.541282556411659</v>
      </c>
      <c r="M33" s="101">
        <v>5.8299665074085567</v>
      </c>
      <c r="N33" s="97">
        <v>-3.1539199450180639</v>
      </c>
      <c r="O33" s="102">
        <v>9.2149337510167655</v>
      </c>
      <c r="P33" s="99">
        <v>32.805973680376439</v>
      </c>
      <c r="Q33" s="98">
        <v>3.0890592536546548</v>
      </c>
      <c r="R33" s="100">
        <v>1.930115435137715</v>
      </c>
      <c r="S33" s="101">
        <v>1.0503533760221602</v>
      </c>
      <c r="T33" s="97">
        <v>0.1870887590339573</v>
      </c>
      <c r="U33" s="101">
        <v>7.3346759025469749E-2</v>
      </c>
      <c r="V33" s="97">
        <v>-31.90222867044141</v>
      </c>
      <c r="W33" s="104">
        <v>3.0784585678151606</v>
      </c>
      <c r="X33" s="124"/>
      <c r="Y33" s="124"/>
      <c r="Z33" s="124"/>
      <c r="AA33" s="124"/>
      <c r="AB33" s="124"/>
      <c r="AC33" s="124"/>
      <c r="AD33" s="124"/>
      <c r="AE33" s="124"/>
    </row>
    <row r="34" spans="1:31" s="105" customFormat="1" x14ac:dyDescent="0.25">
      <c r="A34" s="118" t="s">
        <v>220</v>
      </c>
      <c r="B34" s="95">
        <v>183</v>
      </c>
      <c r="C34" s="96">
        <v>100</v>
      </c>
      <c r="D34" s="97">
        <v>19.524192914493149</v>
      </c>
      <c r="E34" s="98">
        <v>2.4133737009568748</v>
      </c>
      <c r="F34" s="99">
        <v>25.663755324754572</v>
      </c>
      <c r="G34" s="98">
        <v>5.7943781230034368</v>
      </c>
      <c r="H34" s="100">
        <v>22.588488332382049</v>
      </c>
      <c r="I34" s="101">
        <v>5.4580469325995642</v>
      </c>
      <c r="J34" s="97">
        <v>21.190601704415691</v>
      </c>
      <c r="K34" s="98">
        <v>7.4820537328779393</v>
      </c>
      <c r="L34" s="100">
        <v>8.945043371906225</v>
      </c>
      <c r="M34" s="101">
        <v>4.9982909998379439</v>
      </c>
      <c r="N34" s="97">
        <v>-16.718711952848341</v>
      </c>
      <c r="O34" s="102">
        <v>7.8074409751275233</v>
      </c>
      <c r="P34" s="99">
        <v>17.731432618698999</v>
      </c>
      <c r="Q34" s="98">
        <v>2.7731591990439686</v>
      </c>
      <c r="R34" s="100">
        <v>0</v>
      </c>
      <c r="S34" s="101" t="s">
        <v>35</v>
      </c>
      <c r="T34" s="97">
        <v>25.827995101327708</v>
      </c>
      <c r="U34" s="101">
        <v>5.0893817628671947</v>
      </c>
      <c r="V34" s="97">
        <v>5.31851239986932</v>
      </c>
      <c r="W34" s="104">
        <v>5.3992596981841343</v>
      </c>
      <c r="X34" s="124"/>
      <c r="Y34" s="124"/>
      <c r="Z34" s="124"/>
      <c r="AA34" s="124"/>
      <c r="AB34" s="124"/>
      <c r="AC34" s="124"/>
      <c r="AD34" s="124"/>
      <c r="AE34" s="124"/>
    </row>
    <row r="35" spans="1:31" s="105" customFormat="1" x14ac:dyDescent="0.25">
      <c r="A35" s="118" t="s">
        <v>221</v>
      </c>
      <c r="B35" s="95">
        <v>152</v>
      </c>
      <c r="C35" s="96">
        <v>82.825172424316406</v>
      </c>
      <c r="D35" s="97">
        <v>11.398686654544001</v>
      </c>
      <c r="E35" s="98">
        <v>2.6867473936487674</v>
      </c>
      <c r="F35" s="99">
        <v>20.538359901296431</v>
      </c>
      <c r="G35" s="98">
        <v>6.8606929842966</v>
      </c>
      <c r="H35" s="100">
        <v>11.64818463844135</v>
      </c>
      <c r="I35" s="101">
        <v>5.6427320097039182</v>
      </c>
      <c r="J35" s="97">
        <v>8.3765791940025274</v>
      </c>
      <c r="K35" s="98">
        <v>5.0352551916205144</v>
      </c>
      <c r="L35" s="100">
        <v>4.8561055668980213</v>
      </c>
      <c r="M35" s="101">
        <v>3.4233735545223904</v>
      </c>
      <c r="N35" s="97">
        <v>-15.68225433439841</v>
      </c>
      <c r="O35" s="102">
        <v>7.5739322265849758</v>
      </c>
      <c r="P35" s="99">
        <v>9.6960239732110054</v>
      </c>
      <c r="Q35" s="98">
        <v>3.4295995745832828</v>
      </c>
      <c r="R35" s="100">
        <v>16.007191601296309</v>
      </c>
      <c r="S35" s="101">
        <v>4.5293115568108711</v>
      </c>
      <c r="T35" s="97">
        <v>0</v>
      </c>
      <c r="U35" s="101" t="s">
        <v>35</v>
      </c>
      <c r="V35" s="97">
        <v>3.9711701359345248</v>
      </c>
      <c r="W35" s="104">
        <v>5.1023944764017459</v>
      </c>
      <c r="X35" s="124"/>
      <c r="Y35" s="124"/>
      <c r="Z35" s="124"/>
      <c r="AA35" s="124"/>
      <c r="AB35" s="124"/>
      <c r="AC35" s="124"/>
      <c r="AD35" s="124"/>
      <c r="AE35" s="124"/>
    </row>
    <row r="36" spans="1:31" s="105" customFormat="1" x14ac:dyDescent="0.25">
      <c r="A36" s="118" t="s">
        <v>222</v>
      </c>
      <c r="B36" s="95">
        <v>289</v>
      </c>
      <c r="C36" s="96">
        <v>93.939895629882813</v>
      </c>
      <c r="D36" s="97">
        <v>9.4710860357478488</v>
      </c>
      <c r="E36" s="98">
        <v>1.4008594062934914</v>
      </c>
      <c r="F36" s="99">
        <v>13.11042384440568</v>
      </c>
      <c r="G36" s="98">
        <v>3.6516646227498804</v>
      </c>
      <c r="H36" s="100">
        <v>8.8429835015070424</v>
      </c>
      <c r="I36" s="101">
        <v>3.7075016175846849</v>
      </c>
      <c r="J36" s="97">
        <v>4.9530332832523971</v>
      </c>
      <c r="K36" s="98">
        <v>2.5508862088350717</v>
      </c>
      <c r="L36" s="100">
        <v>11.086179213023041</v>
      </c>
      <c r="M36" s="101">
        <v>2.5590304744524084</v>
      </c>
      <c r="N36" s="97">
        <v>-2.0242446313826359</v>
      </c>
      <c r="O36" s="102">
        <v>4.5051060999182591</v>
      </c>
      <c r="P36" s="99">
        <v>9.438275309042524</v>
      </c>
      <c r="Q36" s="98">
        <v>1.4267047236219312</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361</v>
      </c>
      <c r="C37" s="96">
        <v>99.794486999511719</v>
      </c>
      <c r="D37" s="97">
        <v>4.6021327030859958</v>
      </c>
      <c r="E37" s="98">
        <v>0.84239818672033018</v>
      </c>
      <c r="F37" s="99">
        <v>2.6265899903705661</v>
      </c>
      <c r="G37" s="98">
        <v>1.5478670649718218</v>
      </c>
      <c r="H37" s="100">
        <v>3.8188442695017728</v>
      </c>
      <c r="I37" s="101">
        <v>2.5363426156677145</v>
      </c>
      <c r="J37" s="97">
        <v>4.7001983578328508</v>
      </c>
      <c r="K37" s="98">
        <v>2.1561214469154706</v>
      </c>
      <c r="L37" s="100">
        <v>7.229308581983604</v>
      </c>
      <c r="M37" s="101">
        <v>0.78316601423770038</v>
      </c>
      <c r="N37" s="97">
        <v>4.602718591613038</v>
      </c>
      <c r="O37" s="102">
        <v>1.6609287528421171</v>
      </c>
      <c r="P37" s="99">
        <v>4.0515817868738226</v>
      </c>
      <c r="Q37" s="98">
        <v>0.86424675246663718</v>
      </c>
      <c r="R37" s="100">
        <v>24.136342474423959</v>
      </c>
      <c r="S37" s="101">
        <v>5.4068305489796922</v>
      </c>
      <c r="T37" s="97" t="s">
        <v>34</v>
      </c>
      <c r="U37" s="101" t="s">
        <v>34</v>
      </c>
      <c r="V37" s="97">
        <v>20.084760687550137</v>
      </c>
      <c r="W37" s="104">
        <v>5.4937354447215068</v>
      </c>
      <c r="X37" s="124"/>
      <c r="Y37" s="124"/>
      <c r="Z37" s="124"/>
      <c r="AA37" s="124"/>
      <c r="AB37" s="124"/>
      <c r="AC37" s="124"/>
      <c r="AD37" s="124"/>
      <c r="AE37" s="124"/>
    </row>
    <row r="38" spans="1:31" s="105" customFormat="1" x14ac:dyDescent="0.25">
      <c r="A38" s="118" t="s">
        <v>224</v>
      </c>
      <c r="B38" s="95">
        <v>43</v>
      </c>
      <c r="C38" s="96">
        <v>96.65936279296875</v>
      </c>
      <c r="D38" s="97">
        <v>11.28504284340733</v>
      </c>
      <c r="E38" s="98">
        <v>5.4227957549981512E-2</v>
      </c>
      <c r="F38" s="99">
        <v>29.383091662629049</v>
      </c>
      <c r="G38" s="98">
        <v>0.16622947882370953</v>
      </c>
      <c r="H38" s="100">
        <v>0</v>
      </c>
      <c r="I38" s="101" t="s">
        <v>35</v>
      </c>
      <c r="J38" s="97">
        <v>10.503558729045141</v>
      </c>
      <c r="K38" s="98">
        <v>9.6950611843334006E-2</v>
      </c>
      <c r="L38" s="100">
        <v>3.2331866385078492</v>
      </c>
      <c r="M38" s="101">
        <v>9.9176571699467544E-2</v>
      </c>
      <c r="N38" s="97">
        <v>-26.1499050241212</v>
      </c>
      <c r="O38" s="102">
        <v>0.19676161551917659</v>
      </c>
      <c r="P38" s="99">
        <v>13.81211916055897</v>
      </c>
      <c r="Q38" s="98">
        <v>6.4725248331079108E-2</v>
      </c>
      <c r="R38" s="100">
        <v>0</v>
      </c>
      <c r="S38" s="101" t="s">
        <v>35</v>
      </c>
      <c r="T38" s="97" t="s">
        <v>34</v>
      </c>
      <c r="U38" s="101" t="s">
        <v>34</v>
      </c>
      <c r="V38" s="97">
        <v>-13.81211916055897</v>
      </c>
      <c r="W38" s="104">
        <v>6.4725248331079108E-2</v>
      </c>
      <c r="X38" s="124"/>
      <c r="Y38" s="124"/>
      <c r="Z38" s="124"/>
      <c r="AA38" s="124"/>
      <c r="AB38" s="124"/>
      <c r="AC38" s="124"/>
      <c r="AD38" s="124"/>
      <c r="AE38" s="124"/>
    </row>
    <row r="39" spans="1:31" s="105" customFormat="1" x14ac:dyDescent="0.25">
      <c r="A39" s="118" t="s">
        <v>225</v>
      </c>
      <c r="B39" s="95">
        <v>207</v>
      </c>
      <c r="C39" s="96">
        <v>77.963554382324219</v>
      </c>
      <c r="D39" s="97">
        <v>15.397968774344591</v>
      </c>
      <c r="E39" s="98">
        <v>2.6565037937930187</v>
      </c>
      <c r="F39" s="99">
        <v>17.958144837831</v>
      </c>
      <c r="G39" s="98">
        <v>5.3519058665791652</v>
      </c>
      <c r="H39" s="100">
        <v>12.317351374089551</v>
      </c>
      <c r="I39" s="101">
        <v>8.3217864681381712</v>
      </c>
      <c r="J39" s="97">
        <v>23.011936235757599</v>
      </c>
      <c r="K39" s="98">
        <v>7.4344813949795814</v>
      </c>
      <c r="L39" s="100">
        <v>7.7591600646637104</v>
      </c>
      <c r="M39" s="101">
        <v>4.0223418482910276</v>
      </c>
      <c r="N39" s="97">
        <v>-10.19898477316729</v>
      </c>
      <c r="O39" s="102">
        <v>6.7331920907143612</v>
      </c>
      <c r="P39" s="99">
        <v>17.68036933361692</v>
      </c>
      <c r="Q39" s="98">
        <v>3.0575247683915778</v>
      </c>
      <c r="R39" s="100" t="s">
        <v>34</v>
      </c>
      <c r="S39" s="101" t="s">
        <v>34</v>
      </c>
      <c r="T39" s="97">
        <v>0</v>
      </c>
      <c r="U39" s="101" t="s">
        <v>35</v>
      </c>
      <c r="V39" s="97">
        <v>-17.68036933361692</v>
      </c>
      <c r="W39" s="104">
        <v>3.0575247683915778</v>
      </c>
      <c r="X39" s="124"/>
      <c r="Y39" s="124"/>
      <c r="Z39" s="124"/>
      <c r="AA39" s="124"/>
      <c r="AB39" s="124"/>
      <c r="AC39" s="124"/>
      <c r="AD39" s="124"/>
      <c r="AE39" s="124"/>
    </row>
    <row r="40" spans="1:31" s="105" customFormat="1" x14ac:dyDescent="0.25">
      <c r="A40" s="118" t="s">
        <v>300</v>
      </c>
      <c r="B40" s="95">
        <v>145</v>
      </c>
      <c r="C40" s="96">
        <v>93.125473022460938</v>
      </c>
      <c r="D40" s="97">
        <v>8.5389600323701451</v>
      </c>
      <c r="E40" s="98">
        <v>2.5096583358106503</v>
      </c>
      <c r="F40" s="99">
        <v>12.20680721164763</v>
      </c>
      <c r="G40" s="98">
        <v>5.59343879291833</v>
      </c>
      <c r="H40" s="100">
        <v>13.865492025958909</v>
      </c>
      <c r="I40" s="101">
        <v>6.5528982023039077</v>
      </c>
      <c r="J40" s="97">
        <v>0</v>
      </c>
      <c r="K40" s="98">
        <v>2.0738429885623257</v>
      </c>
      <c r="L40" s="100">
        <v>8.7439079714831038</v>
      </c>
      <c r="M40" s="101">
        <v>5.0823162525058958</v>
      </c>
      <c r="N40" s="97">
        <v>-3.462899240164528</v>
      </c>
      <c r="O40" s="102">
        <v>7.7812121276662651</v>
      </c>
      <c r="P40" s="99">
        <v>8.2055551369337412</v>
      </c>
      <c r="Q40" s="98">
        <v>3.9824692170170315</v>
      </c>
      <c r="R40" s="100">
        <v>8.8310941489510668</v>
      </c>
      <c r="S40" s="101">
        <v>3.0463007876901398</v>
      </c>
      <c r="T40" s="97" t="s">
        <v>34</v>
      </c>
      <c r="U40" s="101" t="s">
        <v>34</v>
      </c>
      <c r="V40" s="97">
        <v>0.62553901201732565</v>
      </c>
      <c r="W40" s="104">
        <v>4.7484552300145451</v>
      </c>
      <c r="X40" s="124"/>
      <c r="Y40" s="124"/>
      <c r="Z40" s="124"/>
      <c r="AA40" s="124"/>
      <c r="AB40" s="124"/>
      <c r="AC40" s="124"/>
      <c r="AD40" s="124"/>
      <c r="AE40" s="124"/>
    </row>
    <row r="41" spans="1:31" s="105" customFormat="1" x14ac:dyDescent="0.25">
      <c r="A41" s="118" t="s">
        <v>226</v>
      </c>
      <c r="B41" s="95">
        <v>184</v>
      </c>
      <c r="C41" s="96">
        <v>96.0885009765625</v>
      </c>
      <c r="D41" s="97">
        <v>8.2846013435361137</v>
      </c>
      <c r="E41" s="98">
        <v>1.7770310927452624</v>
      </c>
      <c r="F41" s="99">
        <v>18.219249329898819</v>
      </c>
      <c r="G41" s="98">
        <v>5.7685452285305043</v>
      </c>
      <c r="H41" s="100">
        <v>5.6316776829958934</v>
      </c>
      <c r="I41" s="101">
        <v>4.5915743935027109</v>
      </c>
      <c r="J41" s="97">
        <v>4.5065504162886727</v>
      </c>
      <c r="K41" s="98">
        <v>1.9908048177935436</v>
      </c>
      <c r="L41" s="100">
        <v>4.7098022385587957</v>
      </c>
      <c r="M41" s="101">
        <v>0.30669391655665251</v>
      </c>
      <c r="N41" s="97">
        <v>-13.50944709134002</v>
      </c>
      <c r="O41" s="102">
        <v>5.7856680690519289</v>
      </c>
      <c r="P41" s="99">
        <v>8.8166616018619539</v>
      </c>
      <c r="Q41" s="98">
        <v>1.8888542012554852</v>
      </c>
      <c r="R41" s="100" t="s">
        <v>34</v>
      </c>
      <c r="S41" s="101" t="s">
        <v>34</v>
      </c>
      <c r="T41" s="97">
        <v>0</v>
      </c>
      <c r="U41" s="101" t="s">
        <v>35</v>
      </c>
      <c r="V41" s="97">
        <v>-8.8166616018619539</v>
      </c>
      <c r="W41" s="104">
        <v>1.8888542012554852</v>
      </c>
      <c r="X41" s="124"/>
      <c r="Y41" s="124"/>
      <c r="Z41" s="124"/>
      <c r="AA41" s="124"/>
      <c r="AB41" s="124"/>
      <c r="AC41" s="124"/>
      <c r="AD41" s="124"/>
      <c r="AE41" s="124"/>
    </row>
    <row r="42" spans="1:31" s="105" customFormat="1" x14ac:dyDescent="0.25">
      <c r="A42" s="118" t="s">
        <v>227</v>
      </c>
      <c r="B42" s="95">
        <v>240</v>
      </c>
      <c r="C42" s="96">
        <v>96.423568725585938</v>
      </c>
      <c r="D42" s="97">
        <v>10.19982544473678</v>
      </c>
      <c r="E42" s="98">
        <v>1.9091662883570868</v>
      </c>
      <c r="F42" s="99">
        <v>16.104498388903519</v>
      </c>
      <c r="G42" s="98">
        <v>4.5498675921952509</v>
      </c>
      <c r="H42" s="100">
        <v>7.8497774837978929</v>
      </c>
      <c r="I42" s="101">
        <v>3.7243101754833305</v>
      </c>
      <c r="J42" s="97">
        <v>6.3165292894863834</v>
      </c>
      <c r="K42" s="98">
        <v>4.7401722389846599</v>
      </c>
      <c r="L42" s="100">
        <v>10.665442199907011</v>
      </c>
      <c r="M42" s="101">
        <v>5.109270857809955</v>
      </c>
      <c r="N42" s="97">
        <v>-5.4390561889965046</v>
      </c>
      <c r="O42" s="102">
        <v>6.8360412277406821</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5.7356381806534351</v>
      </c>
      <c r="E43" s="98">
        <v>1.692833954083736</v>
      </c>
      <c r="F43" s="99">
        <v>3.9403053153920951</v>
      </c>
      <c r="G43" s="98">
        <v>2.6537871961895885</v>
      </c>
      <c r="H43" s="100">
        <v>13.10733488351508</v>
      </c>
      <c r="I43" s="101">
        <v>4.8781650711154168</v>
      </c>
      <c r="J43" s="97">
        <v>0</v>
      </c>
      <c r="K43" s="98" t="s">
        <v>35</v>
      </c>
      <c r="L43" s="100">
        <v>6.2628637371203908</v>
      </c>
      <c r="M43" s="101">
        <v>3.453009565836616</v>
      </c>
      <c r="N43" s="97">
        <v>2.3225584217282962</v>
      </c>
      <c r="O43" s="102">
        <v>4.3184936474776832</v>
      </c>
      <c r="P43" s="99">
        <v>5.9353373511196601</v>
      </c>
      <c r="Q43" s="98">
        <v>1.7694156680482456</v>
      </c>
      <c r="R43" s="100">
        <v>0</v>
      </c>
      <c r="S43" s="101" t="s">
        <v>35</v>
      </c>
      <c r="T43" s="97" t="s">
        <v>34</v>
      </c>
      <c r="U43" s="101" t="s">
        <v>34</v>
      </c>
      <c r="V43" s="97">
        <v>-5.9353373511196601</v>
      </c>
      <c r="W43" s="104">
        <v>1.7694156680482456</v>
      </c>
      <c r="X43" s="124"/>
      <c r="Y43" s="124"/>
      <c r="Z43" s="124"/>
      <c r="AA43" s="124"/>
      <c r="AB43" s="124"/>
      <c r="AC43" s="124"/>
      <c r="AD43" s="124"/>
      <c r="AE43" s="124"/>
    </row>
    <row r="44" spans="1:31" s="105" customFormat="1" x14ac:dyDescent="0.25">
      <c r="A44" s="118" t="s">
        <v>301</v>
      </c>
      <c r="B44" s="95">
        <v>227</v>
      </c>
      <c r="C44" s="96">
        <v>85.337562561035156</v>
      </c>
      <c r="D44" s="97">
        <v>54.59197107201571</v>
      </c>
      <c r="E44" s="98">
        <v>3.8994253849523033</v>
      </c>
      <c r="F44" s="99">
        <v>53.107647073992197</v>
      </c>
      <c r="G44" s="98">
        <v>8.1774988312963739</v>
      </c>
      <c r="H44" s="100">
        <v>71.879113553944265</v>
      </c>
      <c r="I44" s="101">
        <v>6.5580712852699987</v>
      </c>
      <c r="J44" s="97">
        <v>54.349646537390697</v>
      </c>
      <c r="K44" s="98">
        <v>9.1361422508681187</v>
      </c>
      <c r="L44" s="100">
        <v>39.35643297687848</v>
      </c>
      <c r="M44" s="101">
        <v>8.145765485525617</v>
      </c>
      <c r="N44" s="97">
        <v>-13.751214097113721</v>
      </c>
      <c r="O44" s="102">
        <v>10.866646573593265</v>
      </c>
      <c r="P44" s="99">
        <v>60.827329990613521</v>
      </c>
      <c r="Q44" s="98">
        <v>4.0663938805763191</v>
      </c>
      <c r="R44" s="100">
        <v>3.558352441285066</v>
      </c>
      <c r="S44" s="101">
        <v>4.7756471848183004</v>
      </c>
      <c r="T44" s="97">
        <v>20.511717178776181</v>
      </c>
      <c r="U44" s="101">
        <v>14.306420684792785</v>
      </c>
      <c r="V44" s="97">
        <v>-47.315048010066889</v>
      </c>
      <c r="W44" s="104">
        <v>9.011031674863748</v>
      </c>
      <c r="X44" s="124"/>
      <c r="Y44" s="124"/>
      <c r="Z44" s="124"/>
      <c r="AA44" s="124"/>
      <c r="AB44" s="124"/>
      <c r="AC44" s="124"/>
      <c r="AD44" s="124"/>
      <c r="AE44" s="124"/>
    </row>
    <row r="45" spans="1:31" s="105" customFormat="1" x14ac:dyDescent="0.25">
      <c r="A45" s="118" t="s">
        <v>229</v>
      </c>
      <c r="B45" s="95">
        <v>346</v>
      </c>
      <c r="C45" s="96">
        <v>92.305686950683594</v>
      </c>
      <c r="D45" s="97">
        <v>10.69043459248031</v>
      </c>
      <c r="E45" s="98">
        <v>1.4974597373969836</v>
      </c>
      <c r="F45" s="99">
        <v>10.13914770365394</v>
      </c>
      <c r="G45" s="98">
        <v>3.7415564665625447</v>
      </c>
      <c r="H45" s="100">
        <v>13.495737275726841</v>
      </c>
      <c r="I45" s="101">
        <v>4.2028404975268465</v>
      </c>
      <c r="J45" s="97">
        <v>11.618120779322989</v>
      </c>
      <c r="K45" s="98">
        <v>3.5441258347260942</v>
      </c>
      <c r="L45" s="100">
        <v>7.5702371200454426</v>
      </c>
      <c r="M45" s="101">
        <v>2.8471371124951608</v>
      </c>
      <c r="N45" s="97">
        <v>-2.568910583608496</v>
      </c>
      <c r="O45" s="102">
        <v>4.8721415401396788</v>
      </c>
      <c r="P45" s="99">
        <v>9.982489076247079</v>
      </c>
      <c r="Q45" s="98">
        <v>1.6041990847226868</v>
      </c>
      <c r="R45" s="100">
        <v>17.34573298825239</v>
      </c>
      <c r="S45" s="101">
        <v>5.9207457739993954</v>
      </c>
      <c r="T45" s="97" t="s">
        <v>34</v>
      </c>
      <c r="U45" s="101" t="s">
        <v>34</v>
      </c>
      <c r="V45" s="97">
        <v>7.363243912005311</v>
      </c>
      <c r="W45" s="104">
        <v>6.2821394301877573</v>
      </c>
      <c r="X45" s="124"/>
      <c r="Y45" s="124"/>
      <c r="Z45" s="124"/>
      <c r="AA45" s="124"/>
      <c r="AB45" s="124"/>
      <c r="AC45" s="124"/>
      <c r="AD45" s="124"/>
      <c r="AE45" s="124"/>
    </row>
    <row r="46" spans="1:31" s="105" customFormat="1" x14ac:dyDescent="0.25">
      <c r="A46" s="118" t="s">
        <v>230</v>
      </c>
      <c r="B46" s="95">
        <v>276</v>
      </c>
      <c r="C46" s="96">
        <v>87.400062561035156</v>
      </c>
      <c r="D46" s="97">
        <v>8.428509927471362</v>
      </c>
      <c r="E46" s="98">
        <v>7.5016769864409888E-2</v>
      </c>
      <c r="F46" s="99">
        <v>14.54134747194475</v>
      </c>
      <c r="G46" s="98">
        <v>0.19065640445212159</v>
      </c>
      <c r="H46" s="100">
        <v>12.54863656620717</v>
      </c>
      <c r="I46" s="101">
        <v>0.21155182598105932</v>
      </c>
      <c r="J46" s="97">
        <v>1.2280840845969929</v>
      </c>
      <c r="K46" s="98">
        <v>5.6966674835184174E-2</v>
      </c>
      <c r="L46" s="100">
        <v>5.4275855297265521</v>
      </c>
      <c r="M46" s="101">
        <v>0.17889318130867199</v>
      </c>
      <c r="N46" s="97">
        <v>-9.1137619422182006</v>
      </c>
      <c r="O46" s="102">
        <v>0.26440796615714823</v>
      </c>
      <c r="P46" s="99">
        <v>8.6715162509644088</v>
      </c>
      <c r="Q46" s="98">
        <v>7.7155005710673921E-2</v>
      </c>
      <c r="R46" s="100">
        <v>0</v>
      </c>
      <c r="S46" s="101" t="s">
        <v>35</v>
      </c>
      <c r="T46" s="97" t="s">
        <v>34</v>
      </c>
      <c r="U46" s="101" t="s">
        <v>34</v>
      </c>
      <c r="V46" s="97">
        <v>-8.6715162509644088</v>
      </c>
      <c r="W46" s="104">
        <v>7.7155005710673921E-2</v>
      </c>
      <c r="X46" s="124"/>
      <c r="Y46" s="124"/>
      <c r="Z46" s="124"/>
      <c r="AA46" s="124"/>
      <c r="AB46" s="124"/>
      <c r="AC46" s="124"/>
      <c r="AD46" s="124"/>
      <c r="AE46" s="124"/>
    </row>
    <row r="47" spans="1:31" s="105" customFormat="1" x14ac:dyDescent="0.25">
      <c r="A47" s="118" t="s">
        <v>231</v>
      </c>
      <c r="B47" s="95">
        <v>1040</v>
      </c>
      <c r="C47" s="96">
        <v>95.367721557617188</v>
      </c>
      <c r="D47" s="97">
        <v>15.224046243600069</v>
      </c>
      <c r="E47" s="98">
        <v>1.3617928058394302</v>
      </c>
      <c r="F47" s="99">
        <v>17.341339028768129</v>
      </c>
      <c r="G47" s="98">
        <v>3.5986120106418422</v>
      </c>
      <c r="H47" s="100">
        <v>21.773747895883091</v>
      </c>
      <c r="I47" s="101">
        <v>3.6922187431275777</v>
      </c>
      <c r="J47" s="97">
        <v>14.446317932889491</v>
      </c>
      <c r="K47" s="98">
        <v>3.8044173379391335</v>
      </c>
      <c r="L47" s="100">
        <v>7.2562943207216124</v>
      </c>
      <c r="M47" s="101">
        <v>1.8543622358887728</v>
      </c>
      <c r="N47" s="97">
        <v>-10.08504470804651</v>
      </c>
      <c r="O47" s="102">
        <v>4.0922877538267182</v>
      </c>
      <c r="P47" s="99">
        <v>19.000875393695331</v>
      </c>
      <c r="Q47" s="98">
        <v>2.026995208728354</v>
      </c>
      <c r="R47" s="100">
        <v>8.1550085638296306</v>
      </c>
      <c r="S47" s="101">
        <v>2.185755017379087</v>
      </c>
      <c r="T47" s="97">
        <v>2.277781244656933</v>
      </c>
      <c r="U47" s="101">
        <v>2.2341976566200401</v>
      </c>
      <c r="V47" s="97">
        <v>-12.004886706975682</v>
      </c>
      <c r="W47" s="104">
        <v>2.9931578048076934</v>
      </c>
      <c r="X47" s="124"/>
      <c r="Y47" s="124"/>
      <c r="Z47" s="124"/>
      <c r="AA47" s="124"/>
      <c r="AB47" s="124"/>
      <c r="AC47" s="124"/>
      <c r="AD47" s="124"/>
      <c r="AE47" s="124"/>
    </row>
    <row r="48" spans="1:31" s="105" customFormat="1" x14ac:dyDescent="0.25">
      <c r="A48" s="118" t="s">
        <v>232</v>
      </c>
      <c r="B48" s="95">
        <v>201</v>
      </c>
      <c r="C48" s="96">
        <v>95.75482177734375</v>
      </c>
      <c r="D48" s="97">
        <v>39.2590557788102</v>
      </c>
      <c r="E48" s="98">
        <v>3.8795168128321595</v>
      </c>
      <c r="F48" s="99">
        <v>46.939546479962132</v>
      </c>
      <c r="G48" s="98">
        <v>9.7431442287870222</v>
      </c>
      <c r="H48" s="100">
        <v>40.04957376388338</v>
      </c>
      <c r="I48" s="101">
        <v>10.166816416894827</v>
      </c>
      <c r="J48" s="97">
        <v>33.080791024524487</v>
      </c>
      <c r="K48" s="98">
        <v>7.6876469448291642</v>
      </c>
      <c r="L48" s="100">
        <v>36.991057405462932</v>
      </c>
      <c r="M48" s="101">
        <v>8.3408638320422774</v>
      </c>
      <c r="N48" s="97">
        <v>-9.948489074499193</v>
      </c>
      <c r="O48" s="102">
        <v>11.000252507243427</v>
      </c>
      <c r="P48" s="99">
        <v>41.316195175263907</v>
      </c>
      <c r="Q48" s="98">
        <v>4.1009827784573103</v>
      </c>
      <c r="R48" s="100">
        <v>30.589067998425371</v>
      </c>
      <c r="S48" s="101">
        <v>7.6972788096307925</v>
      </c>
      <c r="T48" s="97" t="s">
        <v>34</v>
      </c>
      <c r="U48" s="101" t="s">
        <v>34</v>
      </c>
      <c r="V48" s="97">
        <v>-10.727127176838536</v>
      </c>
      <c r="W48" s="104">
        <v>7.9486099861783321</v>
      </c>
      <c r="X48" s="124"/>
      <c r="Y48" s="124"/>
      <c r="Z48" s="124"/>
      <c r="AA48" s="124"/>
      <c r="AB48" s="124"/>
      <c r="AC48" s="124"/>
      <c r="AD48" s="124"/>
      <c r="AE48" s="124"/>
    </row>
    <row r="49" spans="1:31" s="105" customFormat="1" x14ac:dyDescent="0.25">
      <c r="A49" s="118" t="s">
        <v>233</v>
      </c>
      <c r="B49" s="95">
        <v>157</v>
      </c>
      <c r="C49" s="96">
        <v>74.739677429199219</v>
      </c>
      <c r="D49" s="97">
        <v>5.0018069433966703</v>
      </c>
      <c r="E49" s="98">
        <v>2.0452182316448067</v>
      </c>
      <c r="F49" s="99">
        <v>13.545157595688259</v>
      </c>
      <c r="G49" s="98">
        <v>6.739405190727795</v>
      </c>
      <c r="H49" s="100">
        <v>1.8230583539195611</v>
      </c>
      <c r="I49" s="101">
        <v>3.3831939483321354</v>
      </c>
      <c r="J49" s="97">
        <v>4.5164184891303698</v>
      </c>
      <c r="K49" s="98">
        <v>4.8640457136092321</v>
      </c>
      <c r="L49" s="100">
        <v>0</v>
      </c>
      <c r="M49" s="101">
        <v>2.7700694339288727</v>
      </c>
      <c r="N49" s="97">
        <v>-13.545157595688259</v>
      </c>
      <c r="O49" s="102">
        <v>7.3709742332657759</v>
      </c>
      <c r="P49" s="99">
        <v>5.2809858280364343</v>
      </c>
      <c r="Q49" s="98">
        <v>2.1603475728441381</v>
      </c>
      <c r="R49" s="100" t="s">
        <v>34</v>
      </c>
      <c r="S49" s="101" t="s">
        <v>34</v>
      </c>
      <c r="T49" s="97">
        <v>0</v>
      </c>
      <c r="U49" s="101" t="s">
        <v>35</v>
      </c>
      <c r="V49" s="97">
        <v>-5.2809858280364343</v>
      </c>
      <c r="W49" s="104">
        <v>2.1603475728441381</v>
      </c>
      <c r="X49" s="124"/>
      <c r="Y49" s="124"/>
      <c r="Z49" s="124"/>
      <c r="AA49" s="124"/>
      <c r="AB49" s="124"/>
      <c r="AC49" s="124"/>
      <c r="AD49" s="124"/>
      <c r="AE49" s="124"/>
    </row>
    <row r="50" spans="1:31" s="105" customFormat="1" x14ac:dyDescent="0.25">
      <c r="A50" s="118" t="s">
        <v>234</v>
      </c>
      <c r="B50" s="95">
        <v>179</v>
      </c>
      <c r="C50" s="96">
        <v>98.9569091796875</v>
      </c>
      <c r="D50" s="97">
        <v>26.64418034359942</v>
      </c>
      <c r="E50" s="98">
        <v>3.4975587833191502</v>
      </c>
      <c r="F50" s="99">
        <v>33.118644890055769</v>
      </c>
      <c r="G50" s="98">
        <v>8.2869411611295085</v>
      </c>
      <c r="H50" s="100">
        <v>30.557860059364021</v>
      </c>
      <c r="I50" s="101">
        <v>7.4336688314162425</v>
      </c>
      <c r="J50" s="97">
        <v>31.56557746341856</v>
      </c>
      <c r="K50" s="98">
        <v>7.5990360973251843</v>
      </c>
      <c r="L50" s="100">
        <v>11.308911189949541</v>
      </c>
      <c r="M50" s="101">
        <v>4.6042117133107379</v>
      </c>
      <c r="N50" s="97">
        <v>-21.809733700106229</v>
      </c>
      <c r="O50" s="102">
        <v>9.2555558381079255</v>
      </c>
      <c r="P50" s="99">
        <v>29.890489804049459</v>
      </c>
      <c r="Q50" s="98">
        <v>3.7848904700398665</v>
      </c>
      <c r="R50" s="100" t="s">
        <v>34</v>
      </c>
      <c r="S50" s="101" t="s">
        <v>34</v>
      </c>
      <c r="T50" s="97">
        <v>3.684392472034915</v>
      </c>
      <c r="U50" s="101">
        <v>2.6252072412741998</v>
      </c>
      <c r="V50" s="97">
        <v>-26.206097332014544</v>
      </c>
      <c r="W50" s="104">
        <v>4.5691436431241188</v>
      </c>
      <c r="X50" s="124"/>
      <c r="Y50" s="124"/>
      <c r="Z50" s="124"/>
      <c r="AA50" s="124"/>
      <c r="AB50" s="124"/>
      <c r="AC50" s="124"/>
      <c r="AD50" s="124"/>
      <c r="AE50" s="124"/>
    </row>
    <row r="51" spans="1:31" s="105" customFormat="1" x14ac:dyDescent="0.25">
      <c r="A51" s="118" t="s">
        <v>235</v>
      </c>
      <c r="B51" s="95">
        <v>378</v>
      </c>
      <c r="C51" s="96">
        <v>75.627090454101563</v>
      </c>
      <c r="D51" s="97">
        <v>7.7922357183676034</v>
      </c>
      <c r="E51" s="98">
        <v>1.7271535212953892</v>
      </c>
      <c r="F51" s="99">
        <v>7.7607142273635823</v>
      </c>
      <c r="G51" s="98">
        <v>4.8049729628746567</v>
      </c>
      <c r="H51" s="100">
        <v>13.42043531167336</v>
      </c>
      <c r="I51" s="101">
        <v>6.5652623883285921</v>
      </c>
      <c r="J51" s="97">
        <v>6.2645061364878636</v>
      </c>
      <c r="K51" s="98">
        <v>2.4390099894694317</v>
      </c>
      <c r="L51" s="100">
        <v>4.3022931094861701</v>
      </c>
      <c r="M51" s="101">
        <v>1.9957799202533708</v>
      </c>
      <c r="N51" s="97">
        <v>-3.4584211178774118</v>
      </c>
      <c r="O51" s="102">
        <v>4.8838308089954534</v>
      </c>
      <c r="P51" s="99">
        <v>8.4160737797249467</v>
      </c>
      <c r="Q51" s="98">
        <v>1.977304068105229</v>
      </c>
      <c r="R51" s="100">
        <v>7.9064817272727144</v>
      </c>
      <c r="S51" s="101">
        <v>2.88541336485501</v>
      </c>
      <c r="T51" s="97">
        <v>0.38703230425955981</v>
      </c>
      <c r="U51" s="101">
        <v>0.40282435958412105</v>
      </c>
      <c r="V51" s="97">
        <v>-1.6743737934368088</v>
      </c>
      <c r="W51" s="104">
        <v>3.1989597883560279</v>
      </c>
      <c r="X51" s="124"/>
      <c r="Y51" s="124"/>
      <c r="Z51" s="124"/>
      <c r="AA51" s="124"/>
      <c r="AB51" s="124"/>
      <c r="AC51" s="124"/>
      <c r="AD51" s="124"/>
      <c r="AE51" s="124"/>
    </row>
    <row r="52" spans="1:31" s="105" customFormat="1" x14ac:dyDescent="0.25">
      <c r="A52" s="118" t="s">
        <v>302</v>
      </c>
      <c r="B52" s="95">
        <v>145</v>
      </c>
      <c r="C52" s="96">
        <v>89.079338073730469</v>
      </c>
      <c r="D52" s="97">
        <v>13.879397925588121</v>
      </c>
      <c r="E52" s="98">
        <v>2.609331218790266</v>
      </c>
      <c r="F52" s="99">
        <v>11.261043739987549</v>
      </c>
      <c r="G52" s="98">
        <v>6.8511647954403863</v>
      </c>
      <c r="H52" s="100">
        <v>23.203915918934729</v>
      </c>
      <c r="I52" s="101">
        <v>8.421441846436208</v>
      </c>
      <c r="J52" s="97">
        <v>5.5633631374869674</v>
      </c>
      <c r="K52" s="98">
        <v>6.7462838161938388</v>
      </c>
      <c r="L52" s="100">
        <v>15.457538878956649</v>
      </c>
      <c r="M52" s="101">
        <v>6.1202698967294307</v>
      </c>
      <c r="N52" s="97">
        <v>4.1964951389690954</v>
      </c>
      <c r="O52" s="102">
        <v>9.3185443427768355</v>
      </c>
      <c r="P52" s="99">
        <v>13.01155589856161</v>
      </c>
      <c r="Q52" s="98">
        <v>2.7212711422252394</v>
      </c>
      <c r="R52" s="100" t="s">
        <v>34</v>
      </c>
      <c r="S52" s="101" t="s">
        <v>34</v>
      </c>
      <c r="T52" s="97">
        <v>19.928161496839639</v>
      </c>
      <c r="U52" s="101">
        <v>10.516360121974762</v>
      </c>
      <c r="V52" s="97">
        <v>6.9166055982780286</v>
      </c>
      <c r="W52" s="104">
        <v>10.843391740159662</v>
      </c>
      <c r="X52" s="124"/>
      <c r="Y52" s="124"/>
      <c r="Z52" s="124"/>
      <c r="AA52" s="124"/>
      <c r="AB52" s="124"/>
      <c r="AC52" s="124"/>
      <c r="AD52" s="124"/>
      <c r="AE52" s="124"/>
    </row>
    <row r="53" spans="1:31" s="105" customFormat="1" x14ac:dyDescent="0.25">
      <c r="A53" s="118" t="s">
        <v>236</v>
      </c>
      <c r="B53" s="95" t="s">
        <v>34</v>
      </c>
      <c r="C53" s="96" t="s">
        <v>34</v>
      </c>
      <c r="D53" s="97">
        <v>16.43420451083567</v>
      </c>
      <c r="E53" s="98">
        <v>0.39825923914371653</v>
      </c>
      <c r="F53" s="99">
        <v>19.806709092874751</v>
      </c>
      <c r="G53" s="98">
        <v>0.94440000935538981</v>
      </c>
      <c r="H53" s="100">
        <v>17.958133938955989</v>
      </c>
      <c r="I53" s="101">
        <v>1.033711740061064</v>
      </c>
      <c r="J53" s="97">
        <v>14.9801543738572</v>
      </c>
      <c r="K53" s="98">
        <v>0.92913254112529531</v>
      </c>
      <c r="L53" s="100">
        <v>11.651787245985251</v>
      </c>
      <c r="M53" s="101">
        <v>0.7393315938158902</v>
      </c>
      <c r="N53" s="97">
        <v>-8.1549218468895024</v>
      </c>
      <c r="O53" s="102">
        <v>1.1849228976982611</v>
      </c>
      <c r="P53" s="99">
        <v>17.511000926515472</v>
      </c>
      <c r="Q53" s="98">
        <v>0.49164374280693152</v>
      </c>
      <c r="R53" s="100">
        <v>8.2612378484859157</v>
      </c>
      <c r="S53" s="101">
        <v>1.192560993846191</v>
      </c>
      <c r="T53" s="97">
        <v>4.9214095545321914</v>
      </c>
      <c r="U53" s="101">
        <v>1.1614551455207911</v>
      </c>
      <c r="V53" s="97">
        <v>-10.12091834189593</v>
      </c>
      <c r="W53" s="104">
        <v>1.010487494419863</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320</v>
      </c>
      <c r="C55" s="96">
        <v>97.583259582519531</v>
      </c>
      <c r="D55" s="97">
        <v>10.98939840243974</v>
      </c>
      <c r="E55" s="98">
        <v>1.3780247473031038</v>
      </c>
      <c r="F55" s="99">
        <v>13.917350857836739</v>
      </c>
      <c r="G55" s="98">
        <v>4.0558129513632455</v>
      </c>
      <c r="H55" s="100">
        <v>8.3486316423091367</v>
      </c>
      <c r="I55" s="101">
        <v>4.3369288713180554</v>
      </c>
      <c r="J55" s="97">
        <v>10.504605305810831</v>
      </c>
      <c r="K55" s="98">
        <v>4.591171059407495</v>
      </c>
      <c r="L55" s="100">
        <v>11.26044976407576</v>
      </c>
      <c r="M55" s="101">
        <v>2.2052778099602164</v>
      </c>
      <c r="N55" s="97">
        <v>-2.6569010937609812</v>
      </c>
      <c r="O55" s="102">
        <v>4.6201492364227086</v>
      </c>
      <c r="P55" s="99">
        <v>12.27711514993103</v>
      </c>
      <c r="Q55" s="98">
        <v>1.5480931413773948</v>
      </c>
      <c r="R55" s="100" t="s">
        <v>34</v>
      </c>
      <c r="S55" s="101" t="s">
        <v>34</v>
      </c>
      <c r="T55" s="97">
        <v>0.92613332294142459</v>
      </c>
      <c r="U55" s="101">
        <v>0.91945711690411425</v>
      </c>
      <c r="V55" s="97">
        <v>-11.350981826989605</v>
      </c>
      <c r="W55" s="104">
        <v>1.8364531179016348</v>
      </c>
      <c r="X55" s="124"/>
      <c r="Y55" s="124"/>
      <c r="Z55" s="124"/>
      <c r="AA55" s="124"/>
      <c r="AB55" s="124"/>
      <c r="AC55" s="124"/>
      <c r="AD55" s="124"/>
      <c r="AE55" s="124"/>
    </row>
    <row r="56" spans="1:31" s="105" customFormat="1" x14ac:dyDescent="0.25">
      <c r="A56" s="118" t="s">
        <v>238</v>
      </c>
      <c r="B56" s="95">
        <v>429</v>
      </c>
      <c r="C56" s="96">
        <v>93.677803039550781</v>
      </c>
      <c r="D56" s="97">
        <v>19.56533880611293</v>
      </c>
      <c r="E56" s="98">
        <v>2.2626661900882707</v>
      </c>
      <c r="F56" s="99">
        <v>27.970964017091731</v>
      </c>
      <c r="G56" s="98">
        <v>6.9278318108887449</v>
      </c>
      <c r="H56" s="100">
        <v>19.071077415773939</v>
      </c>
      <c r="I56" s="101">
        <v>5.4314406624979163</v>
      </c>
      <c r="J56" s="97">
        <v>14.33663182914011</v>
      </c>
      <c r="K56" s="98">
        <v>4.9303366618702187</v>
      </c>
      <c r="L56" s="100">
        <v>16.717414231724291</v>
      </c>
      <c r="M56" s="101">
        <v>5.6894448162064419</v>
      </c>
      <c r="N56" s="97">
        <v>-11.253549785367429</v>
      </c>
      <c r="O56" s="102">
        <v>10.27808361877001</v>
      </c>
      <c r="P56" s="99">
        <v>23.87518638505286</v>
      </c>
      <c r="Q56" s="98">
        <v>3.1366019299151344</v>
      </c>
      <c r="R56" s="100">
        <v>10.80316251732898</v>
      </c>
      <c r="S56" s="101">
        <v>4.6579294858330513</v>
      </c>
      <c r="T56" s="97">
        <v>13.649925982930441</v>
      </c>
      <c r="U56" s="101">
        <v>9.5839418134632357</v>
      </c>
      <c r="V56" s="97">
        <v>-12.293150705279739</v>
      </c>
      <c r="W56" s="104">
        <v>5.8444142254211551</v>
      </c>
      <c r="X56" s="124"/>
      <c r="Y56" s="124"/>
      <c r="Z56" s="124"/>
      <c r="AA56" s="124"/>
      <c r="AB56" s="124"/>
      <c r="AC56" s="124"/>
      <c r="AD56" s="124"/>
      <c r="AE56" s="124"/>
    </row>
    <row r="57" spans="1:31" s="105" customFormat="1" x14ac:dyDescent="0.25">
      <c r="A57" s="118" t="s">
        <v>239</v>
      </c>
      <c r="B57" s="95">
        <v>118</v>
      </c>
      <c r="C57" s="96">
        <v>57.941440582275391</v>
      </c>
      <c r="D57" s="97">
        <v>17.037426035812029</v>
      </c>
      <c r="E57" s="98">
        <v>2.8630932762650736</v>
      </c>
      <c r="F57" s="99">
        <v>19.086957111688839</v>
      </c>
      <c r="G57" s="98">
        <v>6.5888340141000326</v>
      </c>
      <c r="H57" s="100">
        <v>15.213951321643711</v>
      </c>
      <c r="I57" s="101">
        <v>8.1741255717470072</v>
      </c>
      <c r="J57" s="97">
        <v>15.24000537283926</v>
      </c>
      <c r="K57" s="98">
        <v>8.2268428057276353</v>
      </c>
      <c r="L57" s="100">
        <v>18.56312614683052</v>
      </c>
      <c r="M57" s="101">
        <v>6.3291353127844259</v>
      </c>
      <c r="N57" s="97">
        <v>-0.5238309648583197</v>
      </c>
      <c r="O57" s="102">
        <v>9.017636720822134</v>
      </c>
      <c r="P57" s="99">
        <v>17.123380113961261</v>
      </c>
      <c r="Q57" s="98">
        <v>2.8815463773799541</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5.3120329873612544</v>
      </c>
      <c r="E58" s="98">
        <v>1.4518780592950609</v>
      </c>
      <c r="F58" s="99">
        <v>4.5228484169040586</v>
      </c>
      <c r="G58" s="98">
        <v>2.9833244459431438</v>
      </c>
      <c r="H58" s="100">
        <v>3.9496160807945779</v>
      </c>
      <c r="I58" s="101">
        <v>3.0335304710564697</v>
      </c>
      <c r="J58" s="97">
        <v>9.9030340099257543</v>
      </c>
      <c r="K58" s="98">
        <v>4.9384330639658325</v>
      </c>
      <c r="L58" s="100">
        <v>2.784032140792184</v>
      </c>
      <c r="M58" s="101">
        <v>3.3063518382098374</v>
      </c>
      <c r="N58" s="97">
        <v>-1.7388162761118751</v>
      </c>
      <c r="O58" s="102">
        <v>4.3782122081982573</v>
      </c>
      <c r="P58" s="99">
        <v>5.3328262317606008</v>
      </c>
      <c r="Q58" s="98">
        <v>1.4576747462470783</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128</v>
      </c>
      <c r="C59" s="96">
        <v>82.845649719238281</v>
      </c>
      <c r="D59" s="97">
        <v>3.7321370049523588</v>
      </c>
      <c r="E59" s="98">
        <v>1.3873221658184334</v>
      </c>
      <c r="F59" s="99">
        <v>7.0215109518542267</v>
      </c>
      <c r="G59" s="98">
        <v>3.2836525335346494</v>
      </c>
      <c r="H59" s="100">
        <v>5.3444095985049236</v>
      </c>
      <c r="I59" s="101">
        <v>3.7044867176785901</v>
      </c>
      <c r="J59" s="97">
        <v>2.4416212749743211</v>
      </c>
      <c r="K59" s="98">
        <v>2.5100231150580905</v>
      </c>
      <c r="L59" s="100">
        <v>0</v>
      </c>
      <c r="M59" s="101" t="s">
        <v>35</v>
      </c>
      <c r="N59" s="97">
        <v>-7.0215109518542267</v>
      </c>
      <c r="O59" s="102">
        <v>3.2836525335346494</v>
      </c>
      <c r="P59" s="99">
        <v>3.776577362179883</v>
      </c>
      <c r="Q59" s="98">
        <v>1.4051583574690378</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408</v>
      </c>
      <c r="C60" s="96">
        <v>75.714462280273438</v>
      </c>
      <c r="D60" s="97">
        <v>14.652602553370039</v>
      </c>
      <c r="E60" s="98">
        <v>1.9162068674836901</v>
      </c>
      <c r="F60" s="99">
        <v>18.414537136942901</v>
      </c>
      <c r="G60" s="98">
        <v>4.6520166533820415</v>
      </c>
      <c r="H60" s="100">
        <v>18.691847047797349</v>
      </c>
      <c r="I60" s="101">
        <v>3.9900555644439488</v>
      </c>
      <c r="J60" s="97">
        <v>14.723942443824621</v>
      </c>
      <c r="K60" s="98">
        <v>4.3371420620425889</v>
      </c>
      <c r="L60" s="100">
        <v>6.7141600284756144</v>
      </c>
      <c r="M60" s="101">
        <v>3.3311841846563759</v>
      </c>
      <c r="N60" s="97">
        <v>-11.70037710846729</v>
      </c>
      <c r="O60" s="102">
        <v>5.6510167009984924</v>
      </c>
      <c r="P60" s="99">
        <v>17.0031345635592</v>
      </c>
      <c r="Q60" s="98">
        <v>2.2713851732764763</v>
      </c>
      <c r="R60" s="100" t="s">
        <v>34</v>
      </c>
      <c r="S60" s="101" t="s">
        <v>34</v>
      </c>
      <c r="T60" s="97">
        <v>4.4452770864050093</v>
      </c>
      <c r="U60" s="101">
        <v>3.4345179766616254</v>
      </c>
      <c r="V60" s="97">
        <v>-12.55785747715419</v>
      </c>
      <c r="W60" s="104">
        <v>4.2716043374342938</v>
      </c>
      <c r="X60" s="124"/>
      <c r="Y60" s="124"/>
      <c r="Z60" s="124"/>
      <c r="AA60" s="124"/>
      <c r="AB60" s="124"/>
      <c r="AC60" s="124"/>
      <c r="AD60" s="124"/>
      <c r="AE60" s="124"/>
    </row>
    <row r="61" spans="1:31" s="105" customFormat="1" x14ac:dyDescent="0.25">
      <c r="A61" s="118" t="s">
        <v>243</v>
      </c>
      <c r="B61" s="95">
        <v>55</v>
      </c>
      <c r="C61" s="96">
        <v>100</v>
      </c>
      <c r="D61" s="97">
        <v>19.895140728357159</v>
      </c>
      <c r="E61" s="98">
        <v>6.3710362567292456E-2</v>
      </c>
      <c r="F61" s="99">
        <v>24.937742133795791</v>
      </c>
      <c r="G61" s="98">
        <v>0.16724563229150435</v>
      </c>
      <c r="H61" s="100">
        <v>33.932699825315566</v>
      </c>
      <c r="I61" s="101">
        <v>0.16237413369243581</v>
      </c>
      <c r="J61" s="97">
        <v>13.623250380855261</v>
      </c>
      <c r="K61" s="98">
        <v>6.0789231811672437E-2</v>
      </c>
      <c r="L61" s="100">
        <v>6.474613172294335</v>
      </c>
      <c r="M61" s="101">
        <v>6.2146694235276953E-2</v>
      </c>
      <c r="N61" s="97">
        <v>-18.463128961501461</v>
      </c>
      <c r="O61" s="102">
        <v>0.19189630061536742</v>
      </c>
      <c r="P61" s="99">
        <v>22.821790906707591</v>
      </c>
      <c r="Q61" s="98">
        <v>7.8095348049036811E-2</v>
      </c>
      <c r="R61" s="100" t="s">
        <v>34</v>
      </c>
      <c r="S61" s="101" t="s">
        <v>34</v>
      </c>
      <c r="T61" s="97">
        <v>4.1264555937634784</v>
      </c>
      <c r="U61" s="101">
        <v>9.6054856413099479E-2</v>
      </c>
      <c r="V61" s="97">
        <v>-18.695335312944113</v>
      </c>
      <c r="W61" s="104">
        <v>0.13634313614078167</v>
      </c>
      <c r="X61" s="124"/>
      <c r="Y61" s="124"/>
      <c r="Z61" s="124"/>
      <c r="AA61" s="124"/>
      <c r="AB61" s="124"/>
      <c r="AC61" s="124"/>
      <c r="AD61" s="124"/>
      <c r="AE61" s="124"/>
    </row>
    <row r="62" spans="1:31" s="105" customFormat="1" x14ac:dyDescent="0.25">
      <c r="A62" s="118" t="s">
        <v>244</v>
      </c>
      <c r="B62" s="95">
        <v>361</v>
      </c>
      <c r="C62" s="96">
        <v>100</v>
      </c>
      <c r="D62" s="97">
        <v>25.93963370987484</v>
      </c>
      <c r="E62" s="98">
        <v>2.9363347076555497</v>
      </c>
      <c r="F62" s="99">
        <v>38.447702065474957</v>
      </c>
      <c r="G62" s="98">
        <v>6.075190083888419</v>
      </c>
      <c r="H62" s="100">
        <v>30.040271241064069</v>
      </c>
      <c r="I62" s="101">
        <v>8.6773262712022969</v>
      </c>
      <c r="J62" s="97">
        <v>23.396310914704859</v>
      </c>
      <c r="K62" s="98">
        <v>6.5541221024460938</v>
      </c>
      <c r="L62" s="100">
        <v>11.750783875773919</v>
      </c>
      <c r="M62" s="101">
        <v>3.5994576882612979</v>
      </c>
      <c r="N62" s="97">
        <v>-26.696918189701041</v>
      </c>
      <c r="O62" s="102">
        <v>7.6762427201861545</v>
      </c>
      <c r="P62" s="99">
        <v>26.71590311234133</v>
      </c>
      <c r="Q62" s="98">
        <v>3.293878548806743</v>
      </c>
      <c r="R62" s="100" t="s">
        <v>34</v>
      </c>
      <c r="S62" s="101" t="s">
        <v>34</v>
      </c>
      <c r="T62" s="97">
        <v>21.07400629552626</v>
      </c>
      <c r="U62" s="101">
        <v>6.4432525140179955</v>
      </c>
      <c r="V62" s="97">
        <v>-5.6418968168150698</v>
      </c>
      <c r="W62" s="104">
        <v>7.3586333010944927</v>
      </c>
      <c r="X62" s="124"/>
      <c r="Y62" s="124"/>
      <c r="Z62" s="124"/>
      <c r="AA62" s="124"/>
      <c r="AB62" s="124"/>
      <c r="AC62" s="124"/>
      <c r="AD62" s="124"/>
      <c r="AE62" s="124"/>
    </row>
    <row r="63" spans="1:31" s="105" customFormat="1" x14ac:dyDescent="0.25">
      <c r="A63" s="118" t="s">
        <v>245</v>
      </c>
      <c r="B63" s="95">
        <v>189</v>
      </c>
      <c r="C63" s="96">
        <v>96.255142211914063</v>
      </c>
      <c r="D63" s="97">
        <v>2.9692147529177841</v>
      </c>
      <c r="E63" s="98">
        <v>1.3242850206648689</v>
      </c>
      <c r="F63" s="99">
        <v>0</v>
      </c>
      <c r="G63" s="98" t="s">
        <v>35</v>
      </c>
      <c r="H63" s="100">
        <v>0</v>
      </c>
      <c r="I63" s="101" t="s">
        <v>35</v>
      </c>
      <c r="J63" s="97">
        <v>4.6677637585256662</v>
      </c>
      <c r="K63" s="98">
        <v>3.789881744718135</v>
      </c>
      <c r="L63" s="100">
        <v>7.1909386788986911</v>
      </c>
      <c r="M63" s="101">
        <v>4.4682530829384266</v>
      </c>
      <c r="N63" s="97">
        <v>7.1909386788986911</v>
      </c>
      <c r="O63" s="102">
        <v>4.4682530829384266</v>
      </c>
      <c r="P63" s="99">
        <v>3.0113772932723628</v>
      </c>
      <c r="Q63" s="98">
        <v>1.3382063180531283</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41.513241562445188</v>
      </c>
      <c r="E64" s="98">
        <v>3.544351137157546</v>
      </c>
      <c r="F64" s="99">
        <v>44.359450389993277</v>
      </c>
      <c r="G64" s="98">
        <v>8.3383604491192305</v>
      </c>
      <c r="H64" s="100">
        <v>32.364934613442379</v>
      </c>
      <c r="I64" s="101">
        <v>8.2108011309159838</v>
      </c>
      <c r="J64" s="97">
        <v>45.870902841643137</v>
      </c>
      <c r="K64" s="98">
        <v>11.426336584690285</v>
      </c>
      <c r="L64" s="100">
        <v>43.679665620011569</v>
      </c>
      <c r="M64" s="101">
        <v>9.7092064376021252</v>
      </c>
      <c r="N64" s="97">
        <v>-0.67978476998170834</v>
      </c>
      <c r="O64" s="102">
        <v>12.188389427802049</v>
      </c>
      <c r="P64" s="99">
        <v>40.074808122622869</v>
      </c>
      <c r="Q64" s="98">
        <v>3.6496221493532532</v>
      </c>
      <c r="R64" s="100" t="s">
        <v>34</v>
      </c>
      <c r="S64" s="101" t="s">
        <v>34</v>
      </c>
      <c r="T64" s="97">
        <v>49.578252829849653</v>
      </c>
      <c r="U64" s="101">
        <v>10.834670821398619</v>
      </c>
      <c r="V64" s="97">
        <v>9.5034447072267838</v>
      </c>
      <c r="W64" s="104">
        <v>11.394748867387069</v>
      </c>
      <c r="X64" s="124"/>
      <c r="Y64" s="124"/>
      <c r="Z64" s="124"/>
      <c r="AA64" s="124"/>
      <c r="AB64" s="124"/>
      <c r="AC64" s="124"/>
      <c r="AD64" s="124"/>
      <c r="AE64" s="124"/>
    </row>
    <row r="65" spans="1:31" s="105" customFormat="1" x14ac:dyDescent="0.25">
      <c r="A65" s="118" t="s">
        <v>247</v>
      </c>
      <c r="B65" s="95">
        <v>176</v>
      </c>
      <c r="C65" s="96">
        <v>97.777084350585938</v>
      </c>
      <c r="D65" s="97">
        <v>18.11611633667702</v>
      </c>
      <c r="E65" s="98">
        <v>2.8345193618534048</v>
      </c>
      <c r="F65" s="99">
        <v>10.180221888535099</v>
      </c>
      <c r="G65" s="98">
        <v>5.1428072833492928</v>
      </c>
      <c r="H65" s="100">
        <v>26.98688894537586</v>
      </c>
      <c r="I65" s="101">
        <v>6.8024999478958721</v>
      </c>
      <c r="J65" s="97">
        <v>13.768011825011291</v>
      </c>
      <c r="K65" s="98">
        <v>6.0941107006947259</v>
      </c>
      <c r="L65" s="100">
        <v>21.593454872137482</v>
      </c>
      <c r="M65" s="101">
        <v>7.0414637583030801</v>
      </c>
      <c r="N65" s="97">
        <v>11.41323298360239</v>
      </c>
      <c r="O65" s="102">
        <v>8.5240897096614532</v>
      </c>
      <c r="P65" s="99">
        <v>18.67288199478951</v>
      </c>
      <c r="Q65" s="98">
        <v>2.9125708821471541</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11.8099574553825</v>
      </c>
      <c r="E66" s="98">
        <v>0.11161494412917247</v>
      </c>
      <c r="F66" s="99">
        <v>23.47345695766926</v>
      </c>
      <c r="G66" s="98">
        <v>0.34857358464913779</v>
      </c>
      <c r="H66" s="100">
        <v>14.782393819758861</v>
      </c>
      <c r="I66" s="101">
        <v>5.1605808611817718E-2</v>
      </c>
      <c r="J66" s="97">
        <v>8.4295404086433567</v>
      </c>
      <c r="K66" s="98">
        <v>0.1902124717905663</v>
      </c>
      <c r="L66" s="100">
        <v>0</v>
      </c>
      <c r="M66" s="101" t="s">
        <v>35</v>
      </c>
      <c r="N66" s="97">
        <v>-23.47345695766926</v>
      </c>
      <c r="O66" s="102">
        <v>0.34857358464913779</v>
      </c>
      <c r="P66" s="99">
        <v>14.298751028511081</v>
      </c>
      <c r="Q66" s="98">
        <v>0.13219896429453978</v>
      </c>
      <c r="R66" s="100" t="s">
        <v>34</v>
      </c>
      <c r="S66" s="101" t="s">
        <v>34</v>
      </c>
      <c r="T66" s="97">
        <v>0</v>
      </c>
      <c r="U66" s="101" t="s">
        <v>35</v>
      </c>
      <c r="V66" s="97">
        <v>-14.298751028511081</v>
      </c>
      <c r="W66" s="104">
        <v>0.13219896429453978</v>
      </c>
      <c r="X66" s="124"/>
      <c r="Y66" s="124"/>
      <c r="Z66" s="124"/>
      <c r="AA66" s="124"/>
      <c r="AB66" s="124"/>
      <c r="AC66" s="124"/>
      <c r="AD66" s="124"/>
      <c r="AE66" s="124"/>
    </row>
    <row r="67" spans="1:31" s="105" customFormat="1" x14ac:dyDescent="0.25">
      <c r="A67" s="118" t="s">
        <v>249</v>
      </c>
      <c r="B67" s="95">
        <v>210</v>
      </c>
      <c r="C67" s="96">
        <v>89.452239990234375</v>
      </c>
      <c r="D67" s="97">
        <v>11.83221950453207</v>
      </c>
      <c r="E67" s="98">
        <v>2.4795239316666025</v>
      </c>
      <c r="F67" s="99">
        <v>16.325437054470729</v>
      </c>
      <c r="G67" s="98">
        <v>5.4413076932755748</v>
      </c>
      <c r="H67" s="100">
        <v>18.048097503702159</v>
      </c>
      <c r="I67" s="101">
        <v>7.8033993024703037</v>
      </c>
      <c r="J67" s="97">
        <v>12.729346283357341</v>
      </c>
      <c r="K67" s="98">
        <v>5.669637075462254</v>
      </c>
      <c r="L67" s="100">
        <v>0</v>
      </c>
      <c r="M67" s="101">
        <v>3.1266175844377591</v>
      </c>
      <c r="N67" s="97">
        <v>-16.325437054470729</v>
      </c>
      <c r="O67" s="102">
        <v>6.6776144082759359</v>
      </c>
      <c r="P67" s="99">
        <v>14.34661472831317</v>
      </c>
      <c r="Q67" s="98">
        <v>2.9993038051030547</v>
      </c>
      <c r="R67" s="100">
        <v>0</v>
      </c>
      <c r="S67" s="101" t="s">
        <v>35</v>
      </c>
      <c r="T67" s="97">
        <v>0</v>
      </c>
      <c r="U67" s="101" t="s">
        <v>35</v>
      </c>
      <c r="V67" s="97">
        <v>-14.34661472831317</v>
      </c>
      <c r="W67" s="104">
        <v>2.9993038051030547</v>
      </c>
      <c r="X67" s="124"/>
      <c r="Y67" s="124"/>
      <c r="Z67" s="124"/>
      <c r="AA67" s="124"/>
      <c r="AB67" s="124"/>
      <c r="AC67" s="124"/>
      <c r="AD67" s="124"/>
      <c r="AE67" s="124"/>
    </row>
    <row r="68" spans="1:31" s="105" customFormat="1" x14ac:dyDescent="0.25">
      <c r="A68" s="118" t="s">
        <v>250</v>
      </c>
      <c r="B68" s="95">
        <v>303</v>
      </c>
      <c r="C68" s="96">
        <v>96.986778259277344</v>
      </c>
      <c r="D68" s="97">
        <v>17.53642213127727</v>
      </c>
      <c r="E68" s="98">
        <v>2.3348853148274222</v>
      </c>
      <c r="F68" s="99">
        <v>15.526757210420319</v>
      </c>
      <c r="G68" s="98">
        <v>4.516705143541512</v>
      </c>
      <c r="H68" s="100">
        <v>17.928619996236399</v>
      </c>
      <c r="I68" s="101">
        <v>5.7432571184646957</v>
      </c>
      <c r="J68" s="97">
        <v>15.619048897102211</v>
      </c>
      <c r="K68" s="98">
        <v>6.4121955375402928</v>
      </c>
      <c r="L68" s="100">
        <v>21.074333785797471</v>
      </c>
      <c r="M68" s="101">
        <v>5.4591211556912862</v>
      </c>
      <c r="N68" s="97">
        <v>5.5475765753771524</v>
      </c>
      <c r="O68" s="102">
        <v>7.0042242365157881</v>
      </c>
      <c r="P68" s="99">
        <v>19.134864908236452</v>
      </c>
      <c r="Q68" s="98">
        <v>2.5593212120323243</v>
      </c>
      <c r="R68" s="100" t="s">
        <v>34</v>
      </c>
      <c r="S68" s="101" t="s">
        <v>34</v>
      </c>
      <c r="T68" s="97">
        <v>4.1111144099713064</v>
      </c>
      <c r="U68" s="101">
        <v>4.1550665254745969</v>
      </c>
      <c r="V68" s="97">
        <v>-15.023750498265144</v>
      </c>
      <c r="W68" s="104">
        <v>4.8558453050197086</v>
      </c>
      <c r="X68" s="124"/>
      <c r="Y68" s="124"/>
      <c r="Z68" s="124"/>
      <c r="AA68" s="124"/>
      <c r="AB68" s="124"/>
      <c r="AC68" s="124"/>
      <c r="AD68" s="124"/>
      <c r="AE68" s="124"/>
    </row>
    <row r="69" spans="1:31" s="105" customFormat="1" x14ac:dyDescent="0.25">
      <c r="A69" s="118" t="s">
        <v>303</v>
      </c>
      <c r="B69" s="95">
        <v>112</v>
      </c>
      <c r="C69" s="96">
        <v>75.546546936035156</v>
      </c>
      <c r="D69" s="97">
        <v>19.86029657526533</v>
      </c>
      <c r="E69" s="98">
        <v>3.7080745690058028</v>
      </c>
      <c r="F69" s="99">
        <v>40.880573665292467</v>
      </c>
      <c r="G69" s="98">
        <v>12.165172809227551</v>
      </c>
      <c r="H69" s="100">
        <v>17.286541543147891</v>
      </c>
      <c r="I69" s="101">
        <v>10.20890244110443</v>
      </c>
      <c r="J69" s="97">
        <v>11.511082412610159</v>
      </c>
      <c r="K69" s="98">
        <v>6.6474600079919082</v>
      </c>
      <c r="L69" s="100">
        <v>9.0766735353686432</v>
      </c>
      <c r="M69" s="101">
        <v>9.5099441869340833</v>
      </c>
      <c r="N69" s="97">
        <v>-31.803900129923829</v>
      </c>
      <c r="O69" s="102">
        <v>17.634281028770573</v>
      </c>
      <c r="P69" s="99">
        <v>7.6160792715749306</v>
      </c>
      <c r="Q69" s="98">
        <v>7.768033536771183</v>
      </c>
      <c r="R69" s="100">
        <v>21.82106754257682</v>
      </c>
      <c r="S69" s="101">
        <v>4.113131397261677</v>
      </c>
      <c r="T69" s="97" t="s">
        <v>34</v>
      </c>
      <c r="U69" s="101" t="s">
        <v>34</v>
      </c>
      <c r="V69" s="97">
        <v>14.20498827100189</v>
      </c>
      <c r="W69" s="104">
        <v>8.5570320636836339</v>
      </c>
      <c r="X69" s="124"/>
      <c r="Y69" s="124"/>
      <c r="Z69" s="124"/>
      <c r="AA69" s="124"/>
      <c r="AB69" s="124"/>
      <c r="AC69" s="124"/>
      <c r="AD69" s="124"/>
      <c r="AE69" s="124"/>
    </row>
    <row r="70" spans="1:31" s="105" customFormat="1" x14ac:dyDescent="0.25">
      <c r="A70" s="118" t="s">
        <v>251</v>
      </c>
      <c r="B70" s="95">
        <v>338</v>
      </c>
      <c r="C70" s="96">
        <v>88.539665222167969</v>
      </c>
      <c r="D70" s="97">
        <v>31.575610664174729</v>
      </c>
      <c r="E70" s="98">
        <v>4.1405220809882133</v>
      </c>
      <c r="F70" s="99">
        <v>38.45927345905028</v>
      </c>
      <c r="G70" s="98">
        <v>8.2604439572192785</v>
      </c>
      <c r="H70" s="100">
        <v>32.699275967247679</v>
      </c>
      <c r="I70" s="101">
        <v>9.0801417200645993</v>
      </c>
      <c r="J70" s="97">
        <v>29.71919027826366</v>
      </c>
      <c r="K70" s="98">
        <v>10.954968484055234</v>
      </c>
      <c r="L70" s="100">
        <v>25.415263467635661</v>
      </c>
      <c r="M70" s="101">
        <v>9.1284553654583416</v>
      </c>
      <c r="N70" s="97">
        <v>-13.044009991414621</v>
      </c>
      <c r="O70" s="102">
        <v>12.106221819595444</v>
      </c>
      <c r="P70" s="99">
        <v>36.355953983975937</v>
      </c>
      <c r="Q70" s="98">
        <v>5.3175121798000147</v>
      </c>
      <c r="R70" s="100">
        <v>17.45060398928187</v>
      </c>
      <c r="S70" s="101">
        <v>5.8954300146472844</v>
      </c>
      <c r="T70" s="97">
        <v>28.406250529173189</v>
      </c>
      <c r="U70" s="101">
        <v>11.582844209624794</v>
      </c>
      <c r="V70" s="97">
        <v>-14.148958573431628</v>
      </c>
      <c r="W70" s="104">
        <v>8.2962961691403336</v>
      </c>
      <c r="X70" s="124"/>
      <c r="Y70" s="124"/>
      <c r="Z70" s="124"/>
      <c r="AA70" s="124"/>
      <c r="AB70" s="124"/>
      <c r="AC70" s="124"/>
      <c r="AD70" s="124"/>
      <c r="AE70" s="124"/>
    </row>
    <row r="71" spans="1:31" s="105" customFormat="1" x14ac:dyDescent="0.25">
      <c r="A71" s="118" t="s">
        <v>252</v>
      </c>
      <c r="B71" s="95">
        <v>301</v>
      </c>
      <c r="C71" s="96">
        <v>95.8978271484375</v>
      </c>
      <c r="D71" s="97">
        <v>42.512228051065009</v>
      </c>
      <c r="E71" s="98">
        <v>3.3190455430133214</v>
      </c>
      <c r="F71" s="99">
        <v>49.157167047221122</v>
      </c>
      <c r="G71" s="98">
        <v>9.1996165607386846</v>
      </c>
      <c r="H71" s="100">
        <v>41.717019809755897</v>
      </c>
      <c r="I71" s="101">
        <v>11.070471771948958</v>
      </c>
      <c r="J71" s="97">
        <v>41.341050523282128</v>
      </c>
      <c r="K71" s="98">
        <v>7.8791179329062375</v>
      </c>
      <c r="L71" s="100">
        <v>37.727244662274877</v>
      </c>
      <c r="M71" s="101">
        <v>5.6311426257796846</v>
      </c>
      <c r="N71" s="97">
        <v>-11.42992238494625</v>
      </c>
      <c r="O71" s="102">
        <v>11.239077758507765</v>
      </c>
      <c r="P71" s="99">
        <v>45.324896553974533</v>
      </c>
      <c r="Q71" s="98">
        <v>3.8578619141266342</v>
      </c>
      <c r="R71" s="100" t="s">
        <v>34</v>
      </c>
      <c r="S71" s="101" t="s">
        <v>34</v>
      </c>
      <c r="T71" s="97">
        <v>31.82247006689952</v>
      </c>
      <c r="U71" s="101">
        <v>5.6273879700840554</v>
      </c>
      <c r="V71" s="97">
        <v>-13.502426487075013</v>
      </c>
      <c r="W71" s="104">
        <v>6.5258387349987066</v>
      </c>
      <c r="X71" s="124"/>
      <c r="Y71" s="124"/>
      <c r="Z71" s="124"/>
      <c r="AA71" s="124"/>
      <c r="AB71" s="124"/>
      <c r="AC71" s="124"/>
      <c r="AD71" s="124"/>
      <c r="AE71" s="124"/>
    </row>
    <row r="72" spans="1:31" s="105" customFormat="1" x14ac:dyDescent="0.25">
      <c r="A72" s="118" t="s">
        <v>253</v>
      </c>
      <c r="B72" s="95">
        <v>516</v>
      </c>
      <c r="C72" s="96">
        <v>80.3912353515625</v>
      </c>
      <c r="D72" s="97">
        <v>14.602888334921809</v>
      </c>
      <c r="E72" s="98">
        <v>2.4488681778232269</v>
      </c>
      <c r="F72" s="99">
        <v>18.11609730910109</v>
      </c>
      <c r="G72" s="98">
        <v>5.4071779186696141</v>
      </c>
      <c r="H72" s="100">
        <v>11.0371207041005</v>
      </c>
      <c r="I72" s="101">
        <v>4.2526650277260458</v>
      </c>
      <c r="J72" s="97">
        <v>11.408450908337469</v>
      </c>
      <c r="K72" s="98">
        <v>4.207534805818784</v>
      </c>
      <c r="L72" s="100">
        <v>17.916328856828599</v>
      </c>
      <c r="M72" s="101">
        <v>5.6283367803276878</v>
      </c>
      <c r="N72" s="97">
        <v>-0.19976845227249029</v>
      </c>
      <c r="O72" s="102">
        <v>6.7487116914114988</v>
      </c>
      <c r="P72" s="99">
        <v>14.843092752158039</v>
      </c>
      <c r="Q72" s="98">
        <v>2.5049716433795233</v>
      </c>
      <c r="R72" s="100">
        <v>0</v>
      </c>
      <c r="S72" s="101" t="s">
        <v>35</v>
      </c>
      <c r="T72" s="97" t="s">
        <v>34</v>
      </c>
      <c r="U72" s="101" t="s">
        <v>34</v>
      </c>
      <c r="V72" s="97">
        <v>-14.843092752158039</v>
      </c>
      <c r="W72" s="104">
        <v>2.5049716433795233</v>
      </c>
      <c r="X72" s="124"/>
      <c r="Y72" s="124"/>
      <c r="Z72" s="124"/>
      <c r="AA72" s="124"/>
      <c r="AB72" s="124"/>
      <c r="AC72" s="124"/>
      <c r="AD72" s="124"/>
      <c r="AE72" s="124"/>
    </row>
    <row r="73" spans="1:31" s="105" customFormat="1" x14ac:dyDescent="0.25">
      <c r="A73" s="118" t="s">
        <v>254</v>
      </c>
      <c r="B73" s="95">
        <v>85</v>
      </c>
      <c r="C73" s="96">
        <v>69.935813903808594</v>
      </c>
      <c r="D73" s="97">
        <v>16.629997820777181</v>
      </c>
      <c r="E73" s="98">
        <v>0.32295854633888371</v>
      </c>
      <c r="F73" s="99">
        <v>11.65413901994487</v>
      </c>
      <c r="G73" s="98">
        <v>0.65367033331239888</v>
      </c>
      <c r="H73" s="100">
        <v>26.199996309740062</v>
      </c>
      <c r="I73" s="101">
        <v>4.0256628790816187</v>
      </c>
      <c r="J73" s="97">
        <v>6.9133606803519934</v>
      </c>
      <c r="K73" s="98">
        <v>4.2626785304388379</v>
      </c>
      <c r="L73" s="100">
        <v>24.138279137246229</v>
      </c>
      <c r="M73" s="101">
        <v>3.6328385349053418</v>
      </c>
      <c r="N73" s="97">
        <v>12.48414011730136</v>
      </c>
      <c r="O73" s="102">
        <v>3.9323643323771225</v>
      </c>
      <c r="P73" s="99">
        <v>16.92087564050626</v>
      </c>
      <c r="Q73" s="98">
        <v>0.3164068630309228</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198</v>
      </c>
      <c r="C74" s="96">
        <v>73.667266845703125</v>
      </c>
      <c r="D74" s="97">
        <v>15.412762272311371</v>
      </c>
      <c r="E74" s="98">
        <v>2.1572045383559839</v>
      </c>
      <c r="F74" s="99">
        <v>15.414388928219321</v>
      </c>
      <c r="G74" s="98">
        <v>5.3650789461702058</v>
      </c>
      <c r="H74" s="100">
        <v>19.854145076459119</v>
      </c>
      <c r="I74" s="101">
        <v>5.635133617248373</v>
      </c>
      <c r="J74" s="97">
        <v>14.85044806863851</v>
      </c>
      <c r="K74" s="98">
        <v>6.2649325883118125</v>
      </c>
      <c r="L74" s="100">
        <v>11.60373165150191</v>
      </c>
      <c r="M74" s="101">
        <v>5.7810811448862038</v>
      </c>
      <c r="N74" s="97">
        <v>-3.8106572767174072</v>
      </c>
      <c r="O74" s="102">
        <v>8.4767975857866595</v>
      </c>
      <c r="P74" s="99">
        <v>20.40788992509875</v>
      </c>
      <c r="Q74" s="98">
        <v>3.775055278754782</v>
      </c>
      <c r="R74" s="100" t="s">
        <v>34</v>
      </c>
      <c r="S74" s="101" t="s">
        <v>34</v>
      </c>
      <c r="T74" s="97">
        <v>11.237656997502199</v>
      </c>
      <c r="U74" s="101">
        <v>4.3730911155752681</v>
      </c>
      <c r="V74" s="97">
        <v>-9.1702329275965511</v>
      </c>
      <c r="W74" s="104">
        <v>5.8868596955527241</v>
      </c>
      <c r="X74" s="124"/>
      <c r="Y74" s="124"/>
      <c r="Z74" s="124"/>
      <c r="AA74" s="124"/>
      <c r="AB74" s="124"/>
      <c r="AC74" s="124"/>
      <c r="AD74" s="124"/>
      <c r="AE74" s="124"/>
    </row>
    <row r="75" spans="1:31" s="105" customFormat="1" x14ac:dyDescent="0.25">
      <c r="A75" s="118" t="s">
        <v>256</v>
      </c>
      <c r="B75" s="95">
        <v>45</v>
      </c>
      <c r="C75" s="96">
        <v>100</v>
      </c>
      <c r="D75" s="97">
        <v>20.116108081990848</v>
      </c>
      <c r="E75" s="98">
        <v>4.4377951084708732E-2</v>
      </c>
      <c r="F75" s="99">
        <v>11.738457141242099</v>
      </c>
      <c r="G75" s="98">
        <v>9.0518668382483014E-2</v>
      </c>
      <c r="H75" s="100">
        <v>17.922103153517341</v>
      </c>
      <c r="I75" s="101">
        <v>4.8458606912422764E-2</v>
      </c>
      <c r="J75" s="97">
        <v>32.978930928808118</v>
      </c>
      <c r="K75" s="98">
        <v>9.7156423979824852E-2</v>
      </c>
      <c r="L75" s="100">
        <v>19.4350483041292</v>
      </c>
      <c r="M75" s="101">
        <v>9.492290340830857E-2</v>
      </c>
      <c r="N75" s="97">
        <v>7.6965911628870991</v>
      </c>
      <c r="O75" s="102">
        <v>0.13875893945151152</v>
      </c>
      <c r="P75" s="99">
        <v>63.248376749710317</v>
      </c>
      <c r="Q75" s="98">
        <v>5.7785413473396594E-2</v>
      </c>
      <c r="R75" s="100">
        <v>18.197341436881501</v>
      </c>
      <c r="S75" s="101">
        <v>5.091592197512286E-2</v>
      </c>
      <c r="T75" s="97" t="s">
        <v>34</v>
      </c>
      <c r="U75" s="101" t="s">
        <v>34</v>
      </c>
      <c r="V75" s="97">
        <v>-45.051035312828816</v>
      </c>
      <c r="W75" s="104">
        <v>7.4410655753527843E-2</v>
      </c>
      <c r="X75" s="124"/>
      <c r="Y75" s="124"/>
      <c r="Z75" s="124"/>
      <c r="AA75" s="124"/>
      <c r="AB75" s="124"/>
      <c r="AC75" s="124"/>
      <c r="AD75" s="124"/>
      <c r="AE75" s="124"/>
    </row>
    <row r="76" spans="1:31" s="105" customFormat="1" x14ac:dyDescent="0.25">
      <c r="A76" s="118" t="s">
        <v>257</v>
      </c>
      <c r="B76" s="95">
        <v>190</v>
      </c>
      <c r="C76" s="96">
        <v>99.531219482421875</v>
      </c>
      <c r="D76" s="97">
        <v>9.7220919261851346</v>
      </c>
      <c r="E76" s="98">
        <v>2.2818326416957739</v>
      </c>
      <c r="F76" s="99">
        <v>17.57499531637189</v>
      </c>
      <c r="G76" s="98">
        <v>5.22645768068318</v>
      </c>
      <c r="H76" s="100">
        <v>4.2913526147325536</v>
      </c>
      <c r="I76" s="101">
        <v>3.6826330019061198</v>
      </c>
      <c r="J76" s="97">
        <v>3.4123908762258139</v>
      </c>
      <c r="K76" s="98">
        <v>3.3185315411657443</v>
      </c>
      <c r="L76" s="100">
        <v>13.75052499103268</v>
      </c>
      <c r="M76" s="101">
        <v>5.4323450568050662</v>
      </c>
      <c r="N76" s="97">
        <v>-3.8244703253392132</v>
      </c>
      <c r="O76" s="102">
        <v>6.615328879402286</v>
      </c>
      <c r="P76" s="99">
        <v>9.1904914163777658</v>
      </c>
      <c r="Q76" s="98">
        <v>2.1081577334807218</v>
      </c>
      <c r="R76" s="100" t="s">
        <v>34</v>
      </c>
      <c r="S76" s="101" t="s">
        <v>34</v>
      </c>
      <c r="T76" s="97">
        <v>19.38250967395015</v>
      </c>
      <c r="U76" s="101">
        <v>13.740461948057579</v>
      </c>
      <c r="V76" s="97">
        <v>10.192018257572384</v>
      </c>
      <c r="W76" s="104">
        <v>13.372558542788067</v>
      </c>
      <c r="X76" s="124"/>
      <c r="Y76" s="124"/>
      <c r="Z76" s="124"/>
      <c r="AA76" s="124"/>
      <c r="AB76" s="124"/>
      <c r="AC76" s="124"/>
      <c r="AD76" s="124"/>
      <c r="AE76" s="124"/>
    </row>
    <row r="77" spans="1:31" s="105" customFormat="1" x14ac:dyDescent="0.25">
      <c r="A77" s="118" t="s">
        <v>258</v>
      </c>
      <c r="B77" s="95">
        <v>49</v>
      </c>
      <c r="C77" s="96">
        <v>99.911201477050781</v>
      </c>
      <c r="D77" s="97">
        <v>15.6334256729051</v>
      </c>
      <c r="E77" s="98">
        <v>0.10805218073925846</v>
      </c>
      <c r="F77" s="99">
        <v>39.210155768313989</v>
      </c>
      <c r="G77" s="98">
        <v>0.30179054363941971</v>
      </c>
      <c r="H77" s="100">
        <v>0</v>
      </c>
      <c r="I77" s="101" t="s">
        <v>35</v>
      </c>
      <c r="J77" s="97">
        <v>15.165065910145779</v>
      </c>
      <c r="K77" s="98">
        <v>0.24812554777617357</v>
      </c>
      <c r="L77" s="100">
        <v>10.14250603990312</v>
      </c>
      <c r="M77" s="101">
        <v>0.19161280223389732</v>
      </c>
      <c r="N77" s="97">
        <v>-29.067649728410871</v>
      </c>
      <c r="O77" s="102">
        <v>0.36306427568623001</v>
      </c>
      <c r="P77" s="99">
        <v>17.426435787859649</v>
      </c>
      <c r="Q77" s="98">
        <v>0.13895117800572895</v>
      </c>
      <c r="R77" s="100">
        <v>16.954880626092141</v>
      </c>
      <c r="S77" s="101">
        <v>0.2026575310015982</v>
      </c>
      <c r="T77" s="97">
        <v>5.4669794268388241</v>
      </c>
      <c r="U77" s="101">
        <v>0.31548445789671992</v>
      </c>
      <c r="V77" s="97">
        <v>-3.9785058916800793</v>
      </c>
      <c r="W77" s="104">
        <v>0.20384378957028135</v>
      </c>
      <c r="X77" s="124"/>
      <c r="Y77" s="124"/>
      <c r="Z77" s="124"/>
      <c r="AA77" s="124"/>
      <c r="AB77" s="124"/>
      <c r="AC77" s="124"/>
      <c r="AD77" s="124"/>
      <c r="AE77" s="124"/>
    </row>
    <row r="78" spans="1:31" s="105" customFormat="1" x14ac:dyDescent="0.25">
      <c r="A78" s="118" t="s">
        <v>259</v>
      </c>
      <c r="B78" s="95">
        <v>215</v>
      </c>
      <c r="C78" s="96">
        <v>93.937934875488281</v>
      </c>
      <c r="D78" s="97">
        <v>18.743831386777352</v>
      </c>
      <c r="E78" s="98">
        <v>2.8125028914410377</v>
      </c>
      <c r="F78" s="99">
        <v>10.455551208747901</v>
      </c>
      <c r="G78" s="98">
        <v>4.0094656302930547</v>
      </c>
      <c r="H78" s="100">
        <v>19.76408547849671</v>
      </c>
      <c r="I78" s="101">
        <v>5.8587753882073805</v>
      </c>
      <c r="J78" s="97">
        <v>19.371029426194411</v>
      </c>
      <c r="K78" s="98">
        <v>7.0681201325574765</v>
      </c>
      <c r="L78" s="100">
        <v>25.51356307363336</v>
      </c>
      <c r="M78" s="101">
        <v>7.5062814014054258</v>
      </c>
      <c r="N78" s="97">
        <v>15.05801186488546</v>
      </c>
      <c r="O78" s="102">
        <v>8.3208225136524856</v>
      </c>
      <c r="P78" s="99">
        <v>18.890665128132181</v>
      </c>
      <c r="Q78" s="98">
        <v>2.8310196286335776</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3.0410253912408058</v>
      </c>
      <c r="E79" s="98">
        <v>1.5105799836932126E-2</v>
      </c>
      <c r="F79" s="99">
        <v>5.0645568859976784</v>
      </c>
      <c r="G79" s="98">
        <v>1.6741491500795406E-2</v>
      </c>
      <c r="H79" s="100">
        <v>0</v>
      </c>
      <c r="I79" s="101" t="s">
        <v>35</v>
      </c>
      <c r="J79" s="97">
        <v>6.5444677886885216</v>
      </c>
      <c r="K79" s="98">
        <v>5.662137428723623E-2</v>
      </c>
      <c r="L79" s="100">
        <v>0</v>
      </c>
      <c r="M79" s="101" t="s">
        <v>35</v>
      </c>
      <c r="N79" s="97">
        <v>-5.0645568859976784</v>
      </c>
      <c r="O79" s="102">
        <v>1.6741491500795406E-2</v>
      </c>
      <c r="P79" s="99">
        <v>3.0468076555908929</v>
      </c>
      <c r="Q79" s="98">
        <v>1.5128047818131072E-2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168</v>
      </c>
      <c r="C80" s="96">
        <v>94.016380310058594</v>
      </c>
      <c r="D80" s="97">
        <v>49.163379631385581</v>
      </c>
      <c r="E80" s="98">
        <v>3.9665652993467999</v>
      </c>
      <c r="F80" s="99">
        <v>47.953655599877571</v>
      </c>
      <c r="G80" s="98">
        <v>9.0637754606913674</v>
      </c>
      <c r="H80" s="100">
        <v>57.654149273836829</v>
      </c>
      <c r="I80" s="101">
        <v>9.0818798019959779</v>
      </c>
      <c r="J80" s="97">
        <v>51.429496861581697</v>
      </c>
      <c r="K80" s="98">
        <v>10.082000492956102</v>
      </c>
      <c r="L80" s="100">
        <v>39.58368570979296</v>
      </c>
      <c r="M80" s="101">
        <v>7.8959713528781004</v>
      </c>
      <c r="N80" s="97">
        <v>-8.3699698900846116</v>
      </c>
      <c r="O80" s="102">
        <v>12.357556129921946</v>
      </c>
      <c r="P80" s="99">
        <v>51.424113509107798</v>
      </c>
      <c r="Q80" s="98">
        <v>4.230999326740851</v>
      </c>
      <c r="R80" s="100" t="s">
        <v>34</v>
      </c>
      <c r="S80" s="101" t="s">
        <v>34</v>
      </c>
      <c r="T80" s="97">
        <v>15.67084472353733</v>
      </c>
      <c r="U80" s="101">
        <v>10.573100884950406</v>
      </c>
      <c r="V80" s="97">
        <v>-35.753268785570469</v>
      </c>
      <c r="W80" s="104">
        <v>11.344490196392952</v>
      </c>
      <c r="X80" s="124"/>
      <c r="Y80" s="124"/>
      <c r="Z80" s="124"/>
      <c r="AA80" s="124"/>
      <c r="AB80" s="124"/>
      <c r="AC80" s="124"/>
      <c r="AD80" s="124"/>
      <c r="AE80" s="124"/>
    </row>
    <row r="81" spans="1:31" s="105" customFormat="1" x14ac:dyDescent="0.25">
      <c r="A81" s="118" t="s">
        <v>262</v>
      </c>
      <c r="B81" s="95">
        <v>93</v>
      </c>
      <c r="C81" s="96">
        <v>88.120399475097656</v>
      </c>
      <c r="D81" s="97">
        <v>7.775571983477267</v>
      </c>
      <c r="E81" s="98">
        <v>3.5619253580676566E-2</v>
      </c>
      <c r="F81" s="99">
        <v>5.5724193096286223</v>
      </c>
      <c r="G81" s="98">
        <v>2.200838155295249E-2</v>
      </c>
      <c r="H81" s="100">
        <v>3.0246220488023221</v>
      </c>
      <c r="I81" s="101">
        <v>1.3134309792124578E-2</v>
      </c>
      <c r="J81" s="97">
        <v>9.6878340290606744</v>
      </c>
      <c r="K81" s="98">
        <v>9.1426589603777073E-2</v>
      </c>
      <c r="L81" s="100">
        <v>12.78297619933806</v>
      </c>
      <c r="M81" s="101">
        <v>0.11892327613070916</v>
      </c>
      <c r="N81" s="97">
        <v>7.2105568897094399</v>
      </c>
      <c r="O81" s="102">
        <v>0.11758639859755154</v>
      </c>
      <c r="P81" s="99">
        <v>7.9928063268409044</v>
      </c>
      <c r="Q81" s="98">
        <v>3.6646230523173479E-2</v>
      </c>
      <c r="R81" s="100" t="s">
        <v>34</v>
      </c>
      <c r="S81" s="101" t="s">
        <v>34</v>
      </c>
      <c r="T81" s="97">
        <v>0</v>
      </c>
      <c r="U81" s="101" t="s">
        <v>35</v>
      </c>
      <c r="V81" s="97">
        <v>-7.9928063268409044</v>
      </c>
      <c r="W81" s="104">
        <v>3.6646230523173479E-2</v>
      </c>
      <c r="X81" s="124"/>
      <c r="Y81" s="124"/>
      <c r="Z81" s="124"/>
      <c r="AA81" s="124"/>
      <c r="AB81" s="124"/>
      <c r="AC81" s="124"/>
      <c r="AD81" s="124"/>
      <c r="AE81" s="124"/>
    </row>
    <row r="82" spans="1:31" s="105" customFormat="1" x14ac:dyDescent="0.25">
      <c r="A82" s="118" t="s">
        <v>263</v>
      </c>
      <c r="B82" s="95">
        <v>140</v>
      </c>
      <c r="C82" s="96">
        <v>69.406753540039063</v>
      </c>
      <c r="D82" s="97">
        <v>30.18930428070589</v>
      </c>
      <c r="E82" s="98">
        <v>2.4092007341289157</v>
      </c>
      <c r="F82" s="99">
        <v>34.18555806138059</v>
      </c>
      <c r="G82" s="98">
        <v>8.1847788905035479</v>
      </c>
      <c r="H82" s="100">
        <v>36.67197268494715</v>
      </c>
      <c r="I82" s="101">
        <v>5.3995645473226093</v>
      </c>
      <c r="J82" s="97">
        <v>32.06255585422084</v>
      </c>
      <c r="K82" s="98">
        <v>5.5638906675091686</v>
      </c>
      <c r="L82" s="100">
        <v>17.319009248333639</v>
      </c>
      <c r="M82" s="101">
        <v>4.6818329877715934</v>
      </c>
      <c r="N82" s="97">
        <v>-16.866548813046951</v>
      </c>
      <c r="O82" s="102">
        <v>9.4943464802262767</v>
      </c>
      <c r="P82" s="99">
        <v>37.428366744684688</v>
      </c>
      <c r="Q82" s="98">
        <v>2.7936631940800871</v>
      </c>
      <c r="R82" s="100" t="s">
        <v>34</v>
      </c>
      <c r="S82" s="101" t="s">
        <v>34</v>
      </c>
      <c r="T82" s="97">
        <v>2.225561076185818</v>
      </c>
      <c r="U82" s="101">
        <v>1.3849273434041014</v>
      </c>
      <c r="V82" s="97">
        <v>-35.202805668498868</v>
      </c>
      <c r="W82" s="104">
        <v>3.0502676489851765</v>
      </c>
      <c r="X82" s="124"/>
      <c r="Y82" s="124"/>
      <c r="Z82" s="124"/>
      <c r="AA82" s="124"/>
      <c r="AB82" s="124"/>
      <c r="AC82" s="124"/>
      <c r="AD82" s="124"/>
      <c r="AE82" s="124"/>
    </row>
    <row r="83" spans="1:31" s="105" customFormat="1" x14ac:dyDescent="0.25">
      <c r="A83" s="118" t="s">
        <v>264</v>
      </c>
      <c r="B83" s="95">
        <v>323</v>
      </c>
      <c r="C83" s="96">
        <v>97.6805419921875</v>
      </c>
      <c r="D83" s="97">
        <v>35.039314937640853</v>
      </c>
      <c r="E83" s="98">
        <v>2.7579632082396222</v>
      </c>
      <c r="F83" s="99">
        <v>48.673323762626431</v>
      </c>
      <c r="G83" s="98">
        <v>5.4744541005732126</v>
      </c>
      <c r="H83" s="100">
        <v>40.550668626805013</v>
      </c>
      <c r="I83" s="101">
        <v>6.0939903189047255</v>
      </c>
      <c r="J83" s="97">
        <v>40.425147795575427</v>
      </c>
      <c r="K83" s="98">
        <v>6.8248554593054465</v>
      </c>
      <c r="L83" s="100">
        <v>10.201925644840189</v>
      </c>
      <c r="M83" s="101">
        <v>3.8857484366662653</v>
      </c>
      <c r="N83" s="97">
        <v>-38.471398117786237</v>
      </c>
      <c r="O83" s="102">
        <v>6.8886884921432401</v>
      </c>
      <c r="P83" s="99">
        <v>43.458378923672697</v>
      </c>
      <c r="Q83" s="98">
        <v>3.4618799430395906</v>
      </c>
      <c r="R83" s="100" t="s">
        <v>34</v>
      </c>
      <c r="S83" s="101" t="s">
        <v>34</v>
      </c>
      <c r="T83" s="97">
        <v>8.5493983481210307</v>
      </c>
      <c r="U83" s="101">
        <v>3.3155858091047783</v>
      </c>
      <c r="V83" s="97">
        <v>-34.908980575551666</v>
      </c>
      <c r="W83" s="104">
        <v>4.6345444899630586</v>
      </c>
      <c r="X83" s="124"/>
      <c r="Y83" s="124"/>
      <c r="Z83" s="124"/>
      <c r="AA83" s="124"/>
      <c r="AB83" s="124"/>
      <c r="AC83" s="124"/>
      <c r="AD83" s="124"/>
      <c r="AE83" s="124"/>
    </row>
    <row r="84" spans="1:31" s="105" customFormat="1" x14ac:dyDescent="0.25">
      <c r="A84" s="118" t="s">
        <v>265</v>
      </c>
      <c r="B84" s="95">
        <v>186</v>
      </c>
      <c r="C84" s="96">
        <v>99.705375671386719</v>
      </c>
      <c r="D84" s="97">
        <v>14.941137260480939</v>
      </c>
      <c r="E84" s="98">
        <v>2.820265116709129</v>
      </c>
      <c r="F84" s="99">
        <v>20.43620313673064</v>
      </c>
      <c r="G84" s="98">
        <v>7.0748495110103438</v>
      </c>
      <c r="H84" s="100">
        <v>18.304701607704139</v>
      </c>
      <c r="I84" s="101">
        <v>5.8317088091489921</v>
      </c>
      <c r="J84" s="97">
        <v>14.484033312666609</v>
      </c>
      <c r="K84" s="98">
        <v>5.4069183424329257</v>
      </c>
      <c r="L84" s="100">
        <v>6.5602915533025303</v>
      </c>
      <c r="M84" s="101">
        <v>3.5792040646116288</v>
      </c>
      <c r="N84" s="97">
        <v>-13.87591158342811</v>
      </c>
      <c r="O84" s="102">
        <v>7.8896308684856109</v>
      </c>
      <c r="P84" s="99">
        <v>16.752419685546471</v>
      </c>
      <c r="Q84" s="98">
        <v>3.2587514751038396</v>
      </c>
      <c r="R84" s="100">
        <v>5.8416881546575166</v>
      </c>
      <c r="S84" s="101">
        <v>3.9526430344982546</v>
      </c>
      <c r="T84" s="97">
        <v>6.9620196124300016</v>
      </c>
      <c r="U84" s="101">
        <v>6.7925444742196373</v>
      </c>
      <c r="V84" s="97">
        <v>-10.375682188013851</v>
      </c>
      <c r="W84" s="104">
        <v>4.9753700367529117</v>
      </c>
      <c r="X84" s="124"/>
      <c r="Y84" s="124"/>
      <c r="Z84" s="124"/>
      <c r="AA84" s="124"/>
      <c r="AB84" s="124"/>
      <c r="AC84" s="124"/>
      <c r="AD84" s="124"/>
      <c r="AE84" s="124"/>
    </row>
    <row r="85" spans="1:31" s="105" customFormat="1" x14ac:dyDescent="0.25">
      <c r="A85" s="118" t="s">
        <v>266</v>
      </c>
      <c r="B85" s="95">
        <v>137</v>
      </c>
      <c r="C85" s="96">
        <v>86.319252014160156</v>
      </c>
      <c r="D85" s="97">
        <v>7.9346339432072419</v>
      </c>
      <c r="E85" s="98">
        <v>4.3986764320634288E-2</v>
      </c>
      <c r="F85" s="99">
        <v>8.0313276492012431</v>
      </c>
      <c r="G85" s="98">
        <v>5.1385387724439048E-2</v>
      </c>
      <c r="H85" s="100">
        <v>4.8053244173151368</v>
      </c>
      <c r="I85" s="101">
        <v>7.2426305958153692E-2</v>
      </c>
      <c r="J85" s="97">
        <v>12.00179598924576</v>
      </c>
      <c r="K85" s="98">
        <v>9.8541861237791198E-2</v>
      </c>
      <c r="L85" s="100">
        <v>7.0777057606301668</v>
      </c>
      <c r="M85" s="101">
        <v>0.10684734893871163</v>
      </c>
      <c r="N85" s="97">
        <v>-0.95362188857107633</v>
      </c>
      <c r="O85" s="102">
        <v>0.12647754074276762</v>
      </c>
      <c r="P85" s="99">
        <v>12.485839561087291</v>
      </c>
      <c r="Q85" s="98">
        <v>7.5939586618898255E-2</v>
      </c>
      <c r="R85" s="100" t="s">
        <v>34</v>
      </c>
      <c r="S85" s="101" t="s">
        <v>34</v>
      </c>
      <c r="T85" s="97">
        <v>3.340002030691259</v>
      </c>
      <c r="U85" s="101">
        <v>3.2531025188215872E-2</v>
      </c>
      <c r="V85" s="97">
        <v>-9.1458375303960313</v>
      </c>
      <c r="W85" s="104">
        <v>7.9280958048715988E-2</v>
      </c>
      <c r="X85" s="124"/>
      <c r="Y85" s="124"/>
      <c r="Z85" s="124"/>
      <c r="AA85" s="124"/>
      <c r="AB85" s="124"/>
      <c r="AC85" s="124"/>
      <c r="AD85" s="124"/>
      <c r="AE85" s="124"/>
    </row>
    <row r="86" spans="1:31" s="105" customFormat="1" x14ac:dyDescent="0.25">
      <c r="A86" s="118" t="s">
        <v>267</v>
      </c>
      <c r="B86" s="95">
        <v>140</v>
      </c>
      <c r="C86" s="96">
        <v>92.250869750976563</v>
      </c>
      <c r="D86" s="97">
        <v>17.55912073593386</v>
      </c>
      <c r="E86" s="98">
        <v>3.0814269345967937</v>
      </c>
      <c r="F86" s="99">
        <v>10.53313876873834</v>
      </c>
      <c r="G86" s="98">
        <v>5.4317843978949245</v>
      </c>
      <c r="H86" s="100">
        <v>7.05774385558869</v>
      </c>
      <c r="I86" s="101">
        <v>4.6002130757661446</v>
      </c>
      <c r="J86" s="97">
        <v>30.13631879604171</v>
      </c>
      <c r="K86" s="98">
        <v>8.5439981580869766</v>
      </c>
      <c r="L86" s="100">
        <v>22.80779586894365</v>
      </c>
      <c r="M86" s="101">
        <v>7.0703865102445311</v>
      </c>
      <c r="N86" s="97">
        <v>12.27465710020531</v>
      </c>
      <c r="O86" s="102">
        <v>8.3137694128795321</v>
      </c>
      <c r="P86" s="99">
        <v>17.72723768533157</v>
      </c>
      <c r="Q86" s="98">
        <v>3.1415150785260861</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11.886021206947831</v>
      </c>
      <c r="E87" s="98">
        <v>2.1261619759374311</v>
      </c>
      <c r="F87" s="99">
        <v>15.75672949256669</v>
      </c>
      <c r="G87" s="98">
        <v>3.64714023387871</v>
      </c>
      <c r="H87" s="100">
        <v>11.39582620830215</v>
      </c>
      <c r="I87" s="101">
        <v>4.5306075857079779</v>
      </c>
      <c r="J87" s="97">
        <v>10.33846478757288</v>
      </c>
      <c r="K87" s="98">
        <v>4.6048515211784737</v>
      </c>
      <c r="L87" s="100">
        <v>10.10976163810234</v>
      </c>
      <c r="M87" s="101">
        <v>4.9229387456549407</v>
      </c>
      <c r="N87" s="97">
        <v>-5.6469678544643571</v>
      </c>
      <c r="O87" s="102">
        <v>6.825403349222313</v>
      </c>
      <c r="P87" s="99">
        <v>11.886021206947831</v>
      </c>
      <c r="Q87" s="98">
        <v>2.1261619759374311</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167</v>
      </c>
      <c r="C88" s="96">
        <v>79.726829528808594</v>
      </c>
      <c r="D88" s="97">
        <v>40.697011408233053</v>
      </c>
      <c r="E88" s="98">
        <v>3.7355407674126835</v>
      </c>
      <c r="F88" s="99">
        <v>56.191428160138052</v>
      </c>
      <c r="G88" s="98">
        <v>10.480998723377606</v>
      </c>
      <c r="H88" s="100">
        <v>29.226657491198509</v>
      </c>
      <c r="I88" s="101">
        <v>9.8068388240461779</v>
      </c>
      <c r="J88" s="97">
        <v>42.985504244433947</v>
      </c>
      <c r="K88" s="98">
        <v>9.1810364547178356</v>
      </c>
      <c r="L88" s="100">
        <v>35.083345916339233</v>
      </c>
      <c r="M88" s="101">
        <v>9.5478682216665192</v>
      </c>
      <c r="N88" s="97">
        <v>-21.108082243798808</v>
      </c>
      <c r="O88" s="102">
        <v>11.838380716591784</v>
      </c>
      <c r="P88" s="99">
        <v>43.735974999043471</v>
      </c>
      <c r="Q88" s="98">
        <v>4.2449732446761352</v>
      </c>
      <c r="R88" s="100" t="s">
        <v>34</v>
      </c>
      <c r="S88" s="101" t="s">
        <v>34</v>
      </c>
      <c r="T88" s="97">
        <v>22.773375337647749</v>
      </c>
      <c r="U88" s="101">
        <v>10.567291326734869</v>
      </c>
      <c r="V88" s="97">
        <v>-20.962599661395721</v>
      </c>
      <c r="W88" s="104">
        <v>11.310802408948383</v>
      </c>
      <c r="X88" s="124"/>
      <c r="Y88" s="124"/>
      <c r="Z88" s="124"/>
      <c r="AA88" s="124"/>
      <c r="AB88" s="124"/>
      <c r="AC88" s="124"/>
      <c r="AD88" s="124"/>
      <c r="AE88" s="124"/>
    </row>
    <row r="89" spans="1:31" s="105" customFormat="1" x14ac:dyDescent="0.25">
      <c r="A89" s="118" t="s">
        <v>270</v>
      </c>
      <c r="B89" s="95">
        <v>177</v>
      </c>
      <c r="C89" s="96">
        <v>98.513496398925781</v>
      </c>
      <c r="D89" s="97">
        <v>2.3906338040274049</v>
      </c>
      <c r="E89" s="98">
        <v>1.2073305557231693</v>
      </c>
      <c r="F89" s="99">
        <v>2.465557649701541</v>
      </c>
      <c r="G89" s="98">
        <v>3.064112513051549</v>
      </c>
      <c r="H89" s="100">
        <v>4.5931008587855997</v>
      </c>
      <c r="I89" s="101">
        <v>3.7411428699916511</v>
      </c>
      <c r="J89" s="97">
        <v>2.5420854900505452</v>
      </c>
      <c r="K89" s="98">
        <v>2.4926730312093532</v>
      </c>
      <c r="L89" s="100">
        <v>0</v>
      </c>
      <c r="M89" s="101" t="s">
        <v>35</v>
      </c>
      <c r="N89" s="97">
        <v>-2.465557649701541</v>
      </c>
      <c r="O89" s="102">
        <v>3.064112513051549</v>
      </c>
      <c r="P89" s="99">
        <v>2.4704879085104272</v>
      </c>
      <c r="Q89" s="98">
        <v>1.2471537616316277</v>
      </c>
      <c r="R89" s="100" t="s">
        <v>34</v>
      </c>
      <c r="S89" s="101" t="s">
        <v>34</v>
      </c>
      <c r="T89" s="97">
        <v>0</v>
      </c>
      <c r="U89" s="101" t="s">
        <v>35</v>
      </c>
      <c r="V89" s="97">
        <v>-2.4704879085104272</v>
      </c>
      <c r="W89" s="104">
        <v>1.2471537616316277</v>
      </c>
      <c r="X89" s="124"/>
      <c r="Y89" s="124"/>
      <c r="Z89" s="124"/>
      <c r="AA89" s="124"/>
      <c r="AB89" s="124"/>
      <c r="AC89" s="124"/>
      <c r="AD89" s="124"/>
      <c r="AE89" s="124"/>
    </row>
    <row r="90" spans="1:31" s="105" customFormat="1" x14ac:dyDescent="0.25">
      <c r="A90" s="118" t="s">
        <v>271</v>
      </c>
      <c r="B90" s="95">
        <v>166</v>
      </c>
      <c r="C90" s="96">
        <v>100</v>
      </c>
      <c r="D90" s="97">
        <v>4.2669616270536883</v>
      </c>
      <c r="E90" s="98">
        <v>0.15580108564391151</v>
      </c>
      <c r="F90" s="99">
        <v>0</v>
      </c>
      <c r="G90" s="98" t="s">
        <v>35</v>
      </c>
      <c r="H90" s="100">
        <v>7.9150356380564979</v>
      </c>
      <c r="I90" s="101">
        <v>0.35993746839698648</v>
      </c>
      <c r="J90" s="97">
        <v>3.1405625786910871</v>
      </c>
      <c r="K90" s="98">
        <v>0.43061380091315848</v>
      </c>
      <c r="L90" s="100">
        <v>5.9615501484566602</v>
      </c>
      <c r="M90" s="101">
        <v>0.10625586501613499</v>
      </c>
      <c r="N90" s="97">
        <v>5.9615501484566602</v>
      </c>
      <c r="O90" s="102">
        <v>0.10625586501613499</v>
      </c>
      <c r="P90" s="99">
        <v>3.7563710977973281</v>
      </c>
      <c r="Q90" s="98">
        <v>3.0974287934988971E-2</v>
      </c>
      <c r="R90" s="100" t="s">
        <v>34</v>
      </c>
      <c r="S90" s="101" t="s">
        <v>34</v>
      </c>
      <c r="T90" s="97">
        <v>2.173557964410131</v>
      </c>
      <c r="U90" s="101">
        <v>1.7151911975153193</v>
      </c>
      <c r="V90" s="97">
        <v>-1.5828131333871971</v>
      </c>
      <c r="W90" s="104">
        <v>1.7034286683488662</v>
      </c>
      <c r="X90" s="124"/>
      <c r="Y90" s="124"/>
      <c r="Z90" s="124"/>
      <c r="AA90" s="124"/>
      <c r="AB90" s="124"/>
      <c r="AC90" s="124"/>
      <c r="AD90" s="124"/>
      <c r="AE90" s="124"/>
    </row>
    <row r="91" spans="1:31" s="105" customFormat="1" x14ac:dyDescent="0.25">
      <c r="A91" s="118" t="s">
        <v>272</v>
      </c>
      <c r="B91" s="95">
        <v>184</v>
      </c>
      <c r="C91" s="96">
        <v>95.475326538085938</v>
      </c>
      <c r="D91" s="97">
        <v>7.7442367478690208</v>
      </c>
      <c r="E91" s="98">
        <v>1.9146301703633022</v>
      </c>
      <c r="F91" s="99">
        <v>6.5897094596568078</v>
      </c>
      <c r="G91" s="98">
        <v>4.6295954084437083</v>
      </c>
      <c r="H91" s="100">
        <v>8.9022373570009474</v>
      </c>
      <c r="I91" s="101">
        <v>4.4522096016335215</v>
      </c>
      <c r="J91" s="97">
        <v>10.12240688874984</v>
      </c>
      <c r="K91" s="98">
        <v>4.7896874772352733</v>
      </c>
      <c r="L91" s="100">
        <v>5.5058493389951622</v>
      </c>
      <c r="M91" s="101">
        <v>4.0884537344125933</v>
      </c>
      <c r="N91" s="97">
        <v>-1.0838601206616461</v>
      </c>
      <c r="O91" s="102">
        <v>6.0525502200210903</v>
      </c>
      <c r="P91" s="99">
        <v>7.1156549031989114</v>
      </c>
      <c r="Q91" s="98">
        <v>2.2495403694672853</v>
      </c>
      <c r="R91" s="100">
        <v>15.29226279209732</v>
      </c>
      <c r="S91" s="101">
        <v>7.1576390756173822</v>
      </c>
      <c r="T91" s="97">
        <v>3.9356491736806798</v>
      </c>
      <c r="U91" s="101">
        <v>3.602030785303751</v>
      </c>
      <c r="V91" s="97">
        <v>0.97969953846101188</v>
      </c>
      <c r="W91" s="104">
        <v>4.074757615235586</v>
      </c>
      <c r="X91" s="124"/>
      <c r="Y91" s="124"/>
      <c r="Z91" s="124"/>
      <c r="AA91" s="124"/>
      <c r="AB91" s="124"/>
      <c r="AC91" s="124"/>
      <c r="AD91" s="124"/>
      <c r="AE91" s="124"/>
    </row>
    <row r="92" spans="1:31" s="105" customFormat="1" x14ac:dyDescent="0.25">
      <c r="A92" s="118" t="s">
        <v>273</v>
      </c>
      <c r="B92" s="95">
        <v>204</v>
      </c>
      <c r="C92" s="96">
        <v>92.950508117675781</v>
      </c>
      <c r="D92" s="97">
        <v>19.04919329942642</v>
      </c>
      <c r="E92" s="98">
        <v>3.2087341137842489</v>
      </c>
      <c r="F92" s="99">
        <v>30.520443552193012</v>
      </c>
      <c r="G92" s="98">
        <v>7.9954386664083872</v>
      </c>
      <c r="H92" s="100">
        <v>21.776471148637029</v>
      </c>
      <c r="I92" s="101">
        <v>11.884938476956455</v>
      </c>
      <c r="J92" s="97">
        <v>17.26619706502446</v>
      </c>
      <c r="K92" s="98">
        <v>9.4356675392537994</v>
      </c>
      <c r="L92" s="100">
        <v>6.3143805702279527</v>
      </c>
      <c r="M92" s="101">
        <v>5.1198278192365922</v>
      </c>
      <c r="N92" s="97">
        <v>-24.206062981965061</v>
      </c>
      <c r="O92" s="102">
        <v>8.9715181787383358</v>
      </c>
      <c r="P92" s="99">
        <v>22.838276233180022</v>
      </c>
      <c r="Q92" s="98">
        <v>3.885012550478232</v>
      </c>
      <c r="R92" s="100">
        <v>0</v>
      </c>
      <c r="S92" s="101" t="s">
        <v>35</v>
      </c>
      <c r="T92" s="97">
        <v>0.41714750627727082</v>
      </c>
      <c r="U92" s="101">
        <v>0.31421923758058651</v>
      </c>
      <c r="V92" s="97">
        <v>-22.647210663478461</v>
      </c>
      <c r="W92" s="104">
        <v>3.9188916506531575</v>
      </c>
      <c r="X92" s="124"/>
      <c r="Y92" s="124"/>
      <c r="Z92" s="124"/>
      <c r="AA92" s="124"/>
      <c r="AB92" s="124"/>
      <c r="AC92" s="124"/>
      <c r="AD92" s="124"/>
      <c r="AE92" s="124"/>
    </row>
    <row r="93" spans="1:31" s="105" customFormat="1" x14ac:dyDescent="0.25">
      <c r="A93" s="118" t="s">
        <v>274</v>
      </c>
      <c r="B93" s="95">
        <v>246</v>
      </c>
      <c r="C93" s="96">
        <v>98.637397766113281</v>
      </c>
      <c r="D93" s="97">
        <v>14.942750450086191</v>
      </c>
      <c r="E93" s="98">
        <v>2.4681753714772348</v>
      </c>
      <c r="F93" s="99">
        <v>20.057979526250261</v>
      </c>
      <c r="G93" s="98">
        <v>4.6391537677256736</v>
      </c>
      <c r="H93" s="100">
        <v>11.86875115647948</v>
      </c>
      <c r="I93" s="101">
        <v>5.5528576538211141</v>
      </c>
      <c r="J93" s="97">
        <v>10.41434648265817</v>
      </c>
      <c r="K93" s="98">
        <v>5.504181188621768</v>
      </c>
      <c r="L93" s="100">
        <v>17.357578630812242</v>
      </c>
      <c r="M93" s="101">
        <v>5.4208543206863729</v>
      </c>
      <c r="N93" s="97">
        <v>-2.700400895438023</v>
      </c>
      <c r="O93" s="102">
        <v>7.0755209730338517</v>
      </c>
      <c r="P93" s="99">
        <v>14.67103931349537</v>
      </c>
      <c r="Q93" s="98">
        <v>2.443321976619274</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586</v>
      </c>
      <c r="C94" s="96">
        <v>90.026107788085938</v>
      </c>
      <c r="D94" s="97">
        <v>23.15061649357704</v>
      </c>
      <c r="E94" s="98">
        <v>1.2849126466774368</v>
      </c>
      <c r="F94" s="99">
        <v>31.987175332094971</v>
      </c>
      <c r="G94" s="98">
        <v>1.1043129433842831</v>
      </c>
      <c r="H94" s="100">
        <v>29.649619298792508</v>
      </c>
      <c r="I94" s="101">
        <v>1.7661680487920315</v>
      </c>
      <c r="J94" s="97">
        <v>19.2789110770447</v>
      </c>
      <c r="K94" s="98">
        <v>3.2765140664777861</v>
      </c>
      <c r="L94" s="100">
        <v>11.78596910585402</v>
      </c>
      <c r="M94" s="101">
        <v>2.6677717439777564</v>
      </c>
      <c r="N94" s="97">
        <v>-20.201206226240949</v>
      </c>
      <c r="O94" s="102">
        <v>2.9900118023636137</v>
      </c>
      <c r="P94" s="99">
        <v>36.402750906602343</v>
      </c>
      <c r="Q94" s="98">
        <v>0.46711322492281437</v>
      </c>
      <c r="R94" s="100" t="s">
        <v>34</v>
      </c>
      <c r="S94" s="101" t="s">
        <v>34</v>
      </c>
      <c r="T94" s="97">
        <v>15.649707591699149</v>
      </c>
      <c r="U94" s="101">
        <v>1.8852842181958342</v>
      </c>
      <c r="V94" s="97">
        <v>-20.753043314903195</v>
      </c>
      <c r="W94" s="104">
        <v>1.9460810098116523</v>
      </c>
      <c r="X94" s="124"/>
      <c r="Y94" s="124"/>
      <c r="Z94" s="124"/>
      <c r="AA94" s="124"/>
      <c r="AB94" s="124"/>
      <c r="AC94" s="124"/>
      <c r="AD94" s="124"/>
      <c r="AE94" s="124"/>
    </row>
    <row r="95" spans="1:31" s="105" customFormat="1" x14ac:dyDescent="0.25">
      <c r="A95" s="118" t="s">
        <v>276</v>
      </c>
      <c r="B95" s="95">
        <v>189</v>
      </c>
      <c r="C95" s="96">
        <v>100</v>
      </c>
      <c r="D95" s="97">
        <v>41.102688818144728</v>
      </c>
      <c r="E95" s="98">
        <v>3.1396489064715216</v>
      </c>
      <c r="F95" s="99">
        <v>49.431876749219057</v>
      </c>
      <c r="G95" s="98">
        <v>7.7706794172856384</v>
      </c>
      <c r="H95" s="100">
        <v>52.398010481547303</v>
      </c>
      <c r="I95" s="101">
        <v>7.6042054709569999</v>
      </c>
      <c r="J95" s="97">
        <v>49.402615990711801</v>
      </c>
      <c r="K95" s="98">
        <v>9.1958703134521027</v>
      </c>
      <c r="L95" s="100">
        <v>12.513591754227409</v>
      </c>
      <c r="M95" s="101">
        <v>6.9645922084530287</v>
      </c>
      <c r="N95" s="97">
        <v>-36.918284994991637</v>
      </c>
      <c r="O95" s="102">
        <v>10.85265476897103</v>
      </c>
      <c r="P95" s="99">
        <v>47.982944553345916</v>
      </c>
      <c r="Q95" s="98">
        <v>3.6717087281667253</v>
      </c>
      <c r="R95" s="100" t="s">
        <v>34</v>
      </c>
      <c r="S95" s="101" t="s">
        <v>34</v>
      </c>
      <c r="T95" s="97">
        <v>4.8506690581969849</v>
      </c>
      <c r="U95" s="101">
        <v>3.9370407114165409</v>
      </c>
      <c r="V95" s="97">
        <v>-43.132275495148932</v>
      </c>
      <c r="W95" s="104">
        <v>5.586279185063094</v>
      </c>
      <c r="X95" s="124"/>
      <c r="Y95" s="124"/>
      <c r="Z95" s="124"/>
      <c r="AA95" s="124"/>
      <c r="AB95" s="124"/>
      <c r="AC95" s="124"/>
      <c r="AD95" s="124"/>
      <c r="AE95" s="124"/>
    </row>
    <row r="96" spans="1:31" s="105" customFormat="1" ht="13.8" thickBot="1" x14ac:dyDescent="0.3">
      <c r="A96" s="125" t="s">
        <v>277</v>
      </c>
      <c r="B96" s="108">
        <v>121</v>
      </c>
      <c r="C96" s="109">
        <v>93.740623474121094</v>
      </c>
      <c r="D96" s="110">
        <v>21.54793092286619</v>
      </c>
      <c r="E96" s="111">
        <v>4.0666613061411816</v>
      </c>
      <c r="F96" s="112">
        <v>24.466094167000591</v>
      </c>
      <c r="G96" s="111">
        <v>10.877478436574922</v>
      </c>
      <c r="H96" s="113">
        <v>28.57351559015337</v>
      </c>
      <c r="I96" s="114">
        <v>9.5989626097951</v>
      </c>
      <c r="J96" s="110">
        <v>19.422022565774711</v>
      </c>
      <c r="K96" s="111">
        <v>7.7698670053940342</v>
      </c>
      <c r="L96" s="113">
        <v>13.86503195295577</v>
      </c>
      <c r="M96" s="114">
        <v>6.5705553950388351</v>
      </c>
      <c r="N96" s="110">
        <v>-10.601062214044831</v>
      </c>
      <c r="O96" s="115">
        <v>12.769701628151886</v>
      </c>
      <c r="P96" s="112">
        <v>21.50605166645019</v>
      </c>
      <c r="Q96" s="111">
        <v>4.1815886981945383</v>
      </c>
      <c r="R96" s="113" t="s">
        <v>34</v>
      </c>
      <c r="S96" s="114" t="s">
        <v>34</v>
      </c>
      <c r="T96" s="110">
        <v>22.38205935189983</v>
      </c>
      <c r="U96" s="114">
        <v>18.272568418195732</v>
      </c>
      <c r="V96" s="110">
        <v>0.87600768544963969</v>
      </c>
      <c r="W96" s="117">
        <v>18.759122516535882</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5:N96 V15:V96">
    <cfRule type="expression" dxfId="5" priority="3">
      <formula>ABS(N15/O15)&gt;1.96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178</v>
      </c>
      <c r="B6" s="51"/>
    </row>
    <row r="7" spans="1:31" x14ac:dyDescent="0.25">
      <c r="A7" s="51" t="s">
        <v>179</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295</v>
      </c>
      <c r="G11" s="202"/>
      <c r="H11" s="202"/>
      <c r="I11" s="202"/>
      <c r="J11" s="202"/>
      <c r="K11" s="202"/>
      <c r="L11" s="202"/>
      <c r="M11" s="202"/>
      <c r="N11" s="202"/>
      <c r="O11" s="202"/>
      <c r="P11" s="201" t="s">
        <v>294</v>
      </c>
      <c r="Q11" s="202"/>
      <c r="R11" s="202"/>
      <c r="S11" s="202"/>
      <c r="T11" s="202"/>
      <c r="U11" s="202"/>
      <c r="V11" s="202"/>
      <c r="W11" s="203"/>
    </row>
    <row r="12" spans="1:31" ht="70.5" customHeight="1" x14ac:dyDescent="0.25">
      <c r="A12" s="31"/>
      <c r="B12" s="215" t="s">
        <v>10</v>
      </c>
      <c r="C12" s="217" t="s">
        <v>11</v>
      </c>
      <c r="D12" s="218" t="s">
        <v>293</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694</v>
      </c>
      <c r="C16" s="96">
        <v>91.605880737304688</v>
      </c>
      <c r="D16" s="97">
        <v>24.721126453077691</v>
      </c>
      <c r="E16" s="98">
        <v>1.6101704505218981</v>
      </c>
      <c r="F16" s="99">
        <v>44.714183586598622</v>
      </c>
      <c r="G16" s="98">
        <v>3.7452270983299911</v>
      </c>
      <c r="H16" s="100">
        <v>27.34883785484114</v>
      </c>
      <c r="I16" s="101">
        <v>4.290316868054985</v>
      </c>
      <c r="J16" s="97">
        <v>19.849742484054421</v>
      </c>
      <c r="K16" s="98">
        <v>3.8048363616987153</v>
      </c>
      <c r="L16" s="100">
        <v>7.6612181654972318</v>
      </c>
      <c r="M16" s="101">
        <v>2.3400646251537345</v>
      </c>
      <c r="N16" s="97">
        <v>-37.052965421101391</v>
      </c>
      <c r="O16" s="102">
        <v>4.511153238897518</v>
      </c>
      <c r="P16" s="99">
        <v>35.466336828645048</v>
      </c>
      <c r="Q16" s="98">
        <v>2.2337513601229584</v>
      </c>
      <c r="R16" s="100">
        <v>16.174624987354889</v>
      </c>
      <c r="S16" s="101">
        <v>3.6763855084106658</v>
      </c>
      <c r="T16" s="97">
        <v>3.2554865683502592</v>
      </c>
      <c r="U16" s="101">
        <v>1.7629083492236219</v>
      </c>
      <c r="V16" s="97">
        <v>-24.273349501310758</v>
      </c>
      <c r="W16" s="104">
        <v>3.268649831296945</v>
      </c>
      <c r="X16" s="124"/>
      <c r="Y16" s="124"/>
      <c r="Z16" s="124"/>
      <c r="AA16" s="124"/>
      <c r="AB16" s="124"/>
      <c r="AC16" s="124"/>
      <c r="AD16" s="124"/>
      <c r="AE16" s="124"/>
    </row>
    <row r="17" spans="1:31" s="105" customFormat="1" x14ac:dyDescent="0.25">
      <c r="A17" s="118" t="s">
        <v>203</v>
      </c>
      <c r="B17" s="95">
        <v>291</v>
      </c>
      <c r="C17" s="96" t="s">
        <v>34</v>
      </c>
      <c r="D17" s="97">
        <v>28.92422199672697</v>
      </c>
      <c r="E17" s="98">
        <v>2.9737627431125881</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250</v>
      </c>
      <c r="C18" s="96">
        <v>90.197532653808594</v>
      </c>
      <c r="D18" s="97">
        <v>41.269376785883779</v>
      </c>
      <c r="E18" s="98">
        <v>3.2861634103715027</v>
      </c>
      <c r="F18" s="99">
        <v>53.572204313569472</v>
      </c>
      <c r="G18" s="98">
        <v>6.6911515760936657</v>
      </c>
      <c r="H18" s="100">
        <v>37.000735171386857</v>
      </c>
      <c r="I18" s="101">
        <v>6.8320086229350103</v>
      </c>
      <c r="J18" s="97">
        <v>38.764193213012753</v>
      </c>
      <c r="K18" s="98">
        <v>6.379706836201553</v>
      </c>
      <c r="L18" s="100">
        <v>35.733313617668053</v>
      </c>
      <c r="M18" s="101">
        <v>7.1403431925173733</v>
      </c>
      <c r="N18" s="97">
        <v>-17.838890695901419</v>
      </c>
      <c r="O18" s="102">
        <v>10.379465966746075</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770</v>
      </c>
      <c r="C19" s="96">
        <v>96.424591064453125</v>
      </c>
      <c r="D19" s="97">
        <v>14.49829955401767</v>
      </c>
      <c r="E19" s="98">
        <v>1.8275934322728602</v>
      </c>
      <c r="F19" s="99">
        <v>22.966009750588931</v>
      </c>
      <c r="G19" s="98">
        <v>3.9739483669896085</v>
      </c>
      <c r="H19" s="100">
        <v>14.72274669375151</v>
      </c>
      <c r="I19" s="101">
        <v>3.5049956597854974</v>
      </c>
      <c r="J19" s="97">
        <v>7.942421005559372</v>
      </c>
      <c r="K19" s="98">
        <v>3.0557544671402961</v>
      </c>
      <c r="L19" s="100">
        <v>12.51401126257163</v>
      </c>
      <c r="M19" s="101">
        <v>3.6682017960817221</v>
      </c>
      <c r="N19" s="97">
        <v>-10.451998488017299</v>
      </c>
      <c r="O19" s="102">
        <v>5.441734950976743</v>
      </c>
      <c r="P19" s="99">
        <v>15.215081567334</v>
      </c>
      <c r="Q19" s="98">
        <v>1.9203548980332035</v>
      </c>
      <c r="R19" s="100">
        <v>6.4602558800199894</v>
      </c>
      <c r="S19" s="101">
        <v>5.4025680531984586</v>
      </c>
      <c r="T19" s="97">
        <v>6.9030311368728494</v>
      </c>
      <c r="U19" s="101">
        <v>5.011317839442226</v>
      </c>
      <c r="V19" s="97">
        <v>-8.4849750559828081</v>
      </c>
      <c r="W19" s="104">
        <v>4.0283071809354452</v>
      </c>
      <c r="X19" s="124"/>
      <c r="Y19" s="124"/>
      <c r="Z19" s="124"/>
      <c r="AA19" s="124"/>
      <c r="AB19" s="124"/>
      <c r="AC19" s="124"/>
      <c r="AD19" s="124"/>
      <c r="AE19" s="124"/>
    </row>
    <row r="20" spans="1:31" s="105" customFormat="1" x14ac:dyDescent="0.25">
      <c r="A20" s="118" t="s">
        <v>206</v>
      </c>
      <c r="B20" s="95">
        <v>207</v>
      </c>
      <c r="C20" s="96">
        <v>86.347007751464844</v>
      </c>
      <c r="D20" s="97">
        <v>24.948367749379099</v>
      </c>
      <c r="E20" s="98">
        <v>3.0980877405135625</v>
      </c>
      <c r="F20" s="99">
        <v>39.753582443577159</v>
      </c>
      <c r="G20" s="98">
        <v>7.2256790921189191</v>
      </c>
      <c r="H20" s="100">
        <v>29.547185709396349</v>
      </c>
      <c r="I20" s="101">
        <v>10.449339960835477</v>
      </c>
      <c r="J20" s="97">
        <v>19.457542260876529</v>
      </c>
      <c r="K20" s="98">
        <v>6.5649366560126268</v>
      </c>
      <c r="L20" s="100">
        <v>10.88951171951414</v>
      </c>
      <c r="M20" s="101">
        <v>4.4574464352127512</v>
      </c>
      <c r="N20" s="97">
        <v>-28.864070724063019</v>
      </c>
      <c r="O20" s="102">
        <v>8.5877315097808822</v>
      </c>
      <c r="P20" s="99">
        <v>49.001530921846602</v>
      </c>
      <c r="Q20" s="98">
        <v>6.175201678824652</v>
      </c>
      <c r="R20" s="100">
        <v>16.54897755164523</v>
      </c>
      <c r="S20" s="101">
        <v>4.2256125213733817</v>
      </c>
      <c r="T20" s="97">
        <v>4.0219878939886424</v>
      </c>
      <c r="U20" s="101">
        <v>1.3700004138950972</v>
      </c>
      <c r="V20" s="97">
        <v>-35.24871171385508</v>
      </c>
      <c r="W20" s="104">
        <v>6.9586265434116523</v>
      </c>
      <c r="X20" s="124"/>
      <c r="Y20" s="124"/>
      <c r="Z20" s="124"/>
      <c r="AA20" s="124"/>
      <c r="AB20" s="124"/>
      <c r="AC20" s="124"/>
      <c r="AD20" s="124"/>
      <c r="AE20" s="124"/>
    </row>
    <row r="21" spans="1:31" s="105" customFormat="1" x14ac:dyDescent="0.25">
      <c r="A21" s="118" t="s">
        <v>207</v>
      </c>
      <c r="B21" s="95">
        <v>245</v>
      </c>
      <c r="C21" s="96">
        <v>98.989761352539063</v>
      </c>
      <c r="D21" s="97">
        <v>54.528056850634748</v>
      </c>
      <c r="E21" s="98">
        <v>3.4370371332241385</v>
      </c>
      <c r="F21" s="99">
        <v>85.633050365874624</v>
      </c>
      <c r="G21" s="98">
        <v>5.4423230014674315</v>
      </c>
      <c r="H21" s="100">
        <v>62.570483117625088</v>
      </c>
      <c r="I21" s="101">
        <v>7.3710378020987646</v>
      </c>
      <c r="J21" s="97">
        <v>45.372373885937002</v>
      </c>
      <c r="K21" s="98">
        <v>7.954916014219477</v>
      </c>
      <c r="L21" s="100">
        <v>24.366174891942968</v>
      </c>
      <c r="M21" s="101">
        <v>6.9077538500510283</v>
      </c>
      <c r="N21" s="97">
        <v>-61.266875473931663</v>
      </c>
      <c r="O21" s="102">
        <v>9.3932523593724326</v>
      </c>
      <c r="P21" s="99">
        <v>64.762875878288597</v>
      </c>
      <c r="Q21" s="98">
        <v>3.7640277172278847</v>
      </c>
      <c r="R21" s="100" t="s">
        <v>34</v>
      </c>
      <c r="S21" s="101" t="s">
        <v>34</v>
      </c>
      <c r="T21" s="97">
        <v>10.68720740992876</v>
      </c>
      <c r="U21" s="101">
        <v>6.2863083726789108</v>
      </c>
      <c r="V21" s="97">
        <v>-54.075668468359837</v>
      </c>
      <c r="W21" s="104">
        <v>7.3671719241848539</v>
      </c>
      <c r="X21" s="124"/>
      <c r="Y21" s="124"/>
      <c r="Z21" s="124"/>
      <c r="AA21" s="124"/>
      <c r="AB21" s="124"/>
      <c r="AC21" s="124"/>
      <c r="AD21" s="124"/>
      <c r="AE21" s="124"/>
    </row>
    <row r="22" spans="1:31" s="105" customFormat="1" x14ac:dyDescent="0.25">
      <c r="A22" s="118" t="s">
        <v>208</v>
      </c>
      <c r="B22" s="95">
        <v>324</v>
      </c>
      <c r="C22" s="96">
        <v>97.015785217285156</v>
      </c>
      <c r="D22" s="97">
        <v>41.275987504828308</v>
      </c>
      <c r="E22" s="98">
        <v>2.8515065857045974</v>
      </c>
      <c r="F22" s="99">
        <v>33.83943711427311</v>
      </c>
      <c r="G22" s="98">
        <v>5.7759231316670956</v>
      </c>
      <c r="H22" s="100">
        <v>44.703678956825946</v>
      </c>
      <c r="I22" s="101">
        <v>8.1661986957195865</v>
      </c>
      <c r="J22" s="97">
        <v>43.361127896965648</v>
      </c>
      <c r="K22" s="98">
        <v>9.2561957340436685</v>
      </c>
      <c r="L22" s="100">
        <v>43.226158317449134</v>
      </c>
      <c r="M22" s="101">
        <v>5.7700240748758906</v>
      </c>
      <c r="N22" s="97">
        <v>9.3867212031760232</v>
      </c>
      <c r="O22" s="102">
        <v>8.2951682636425623</v>
      </c>
      <c r="P22" s="99">
        <v>40.731696859367737</v>
      </c>
      <c r="Q22" s="98">
        <v>3.0327867960705261</v>
      </c>
      <c r="R22" s="100">
        <v>47.173802828347348</v>
      </c>
      <c r="S22" s="101">
        <v>10.342847716656681</v>
      </c>
      <c r="T22" s="97" t="s">
        <v>34</v>
      </c>
      <c r="U22" s="101" t="s">
        <v>34</v>
      </c>
      <c r="V22" s="97">
        <v>6.442105968979611</v>
      </c>
      <c r="W22" s="104">
        <v>11.110273864692772</v>
      </c>
      <c r="X22" s="124"/>
      <c r="Y22" s="124"/>
      <c r="Z22" s="124"/>
      <c r="AA22" s="124"/>
      <c r="AB22" s="124"/>
      <c r="AC22" s="124"/>
      <c r="AD22" s="124"/>
      <c r="AE22" s="124"/>
    </row>
    <row r="23" spans="1:31" s="105" customFormat="1" x14ac:dyDescent="0.25">
      <c r="A23" s="118" t="s">
        <v>209</v>
      </c>
      <c r="B23" s="95">
        <v>266</v>
      </c>
      <c r="C23" s="96">
        <v>79.961326599121094</v>
      </c>
      <c r="D23" s="97">
        <v>23.743711581842611</v>
      </c>
      <c r="E23" s="98">
        <v>3.0998754813123268</v>
      </c>
      <c r="F23" s="99">
        <v>25.202788237672749</v>
      </c>
      <c r="G23" s="98">
        <v>5.1958152481498656</v>
      </c>
      <c r="H23" s="100">
        <v>23.58006230312165</v>
      </c>
      <c r="I23" s="101">
        <v>6.107187341896517</v>
      </c>
      <c r="J23" s="97">
        <v>24.993447295812668</v>
      </c>
      <c r="K23" s="98">
        <v>8.0450659698016125</v>
      </c>
      <c r="L23" s="100">
        <v>21.167636872269892</v>
      </c>
      <c r="M23" s="101">
        <v>6.9923232710663026</v>
      </c>
      <c r="N23" s="97">
        <v>-4.0351513654028643</v>
      </c>
      <c r="O23" s="102">
        <v>9.1890478719501498</v>
      </c>
      <c r="P23" s="99">
        <v>28.22308213447095</v>
      </c>
      <c r="Q23" s="98">
        <v>3.8838791827039021</v>
      </c>
      <c r="R23" s="100">
        <v>14.25112182874806</v>
      </c>
      <c r="S23" s="101">
        <v>6.6290685158147404</v>
      </c>
      <c r="T23" s="97">
        <v>7.5671211722001361</v>
      </c>
      <c r="U23" s="101">
        <v>6.6203557370394419</v>
      </c>
      <c r="V23" s="97">
        <v>-15.511539339901729</v>
      </c>
      <c r="W23" s="104">
        <v>6.8171785414252231</v>
      </c>
      <c r="X23" s="124"/>
      <c r="Y23" s="124"/>
      <c r="Z23" s="124"/>
      <c r="AA23" s="124"/>
      <c r="AB23" s="124"/>
      <c r="AC23" s="124"/>
      <c r="AD23" s="124"/>
      <c r="AE23" s="124"/>
    </row>
    <row r="24" spans="1:31" s="105" customFormat="1" x14ac:dyDescent="0.25">
      <c r="A24" s="118" t="s">
        <v>210</v>
      </c>
      <c r="B24" s="95">
        <v>224</v>
      </c>
      <c r="C24" s="96">
        <v>99.549774169921875</v>
      </c>
      <c r="D24" s="97">
        <v>37.170404590196988</v>
      </c>
      <c r="E24" s="98">
        <v>1.7407018278890802</v>
      </c>
      <c r="F24" s="99">
        <v>34.488863772990378</v>
      </c>
      <c r="G24" s="98">
        <v>5.274142318768158</v>
      </c>
      <c r="H24" s="100">
        <v>44.314209519366472</v>
      </c>
      <c r="I24" s="101">
        <v>6.4705210384868694</v>
      </c>
      <c r="J24" s="97">
        <v>29.2429962739056</v>
      </c>
      <c r="K24" s="98">
        <v>5.4818382764831703</v>
      </c>
      <c r="L24" s="100">
        <v>40.686721942230989</v>
      </c>
      <c r="M24" s="101">
        <v>3.6462255051607446</v>
      </c>
      <c r="N24" s="97">
        <v>6.1978581692406109</v>
      </c>
      <c r="O24" s="102">
        <v>6.5676479997359438</v>
      </c>
      <c r="P24" s="99">
        <v>37.910252992321873</v>
      </c>
      <c r="Q24" s="98">
        <v>1.8129513339460201</v>
      </c>
      <c r="R24" s="100">
        <v>19.933479021617192</v>
      </c>
      <c r="S24" s="101">
        <v>17.091326170762265</v>
      </c>
      <c r="T24" s="97">
        <v>18.186000686843169</v>
      </c>
      <c r="U24" s="101">
        <v>15.764763099594179</v>
      </c>
      <c r="V24" s="97">
        <v>-18.701905875930422</v>
      </c>
      <c r="W24" s="104">
        <v>12.565603179307853</v>
      </c>
      <c r="X24" s="124"/>
      <c r="Y24" s="124"/>
      <c r="Z24" s="124"/>
      <c r="AA24" s="124"/>
      <c r="AB24" s="124"/>
      <c r="AC24" s="124"/>
      <c r="AD24" s="124"/>
      <c r="AE24" s="124"/>
    </row>
    <row r="25" spans="1:31" s="105" customFormat="1" x14ac:dyDescent="0.25">
      <c r="A25" s="118" t="s">
        <v>211</v>
      </c>
      <c r="B25" s="95">
        <v>210</v>
      </c>
      <c r="C25" s="96">
        <v>99.331733703613281</v>
      </c>
      <c r="D25" s="97">
        <v>34.027412856349919</v>
      </c>
      <c r="E25" s="98">
        <v>2.9562846477482352</v>
      </c>
      <c r="F25" s="99">
        <v>26.662641657548701</v>
      </c>
      <c r="G25" s="98">
        <v>7.107115640338578</v>
      </c>
      <c r="H25" s="100">
        <v>34.871734618968311</v>
      </c>
      <c r="I25" s="101">
        <v>7.4464876611048325</v>
      </c>
      <c r="J25" s="97">
        <v>38.630058879638469</v>
      </c>
      <c r="K25" s="98">
        <v>7.8310581714539849</v>
      </c>
      <c r="L25" s="100">
        <v>36.030735227961728</v>
      </c>
      <c r="M25" s="101">
        <v>6.9062189085095547</v>
      </c>
      <c r="N25" s="97">
        <v>9.3680935704130341</v>
      </c>
      <c r="O25" s="102">
        <v>11.029116060313125</v>
      </c>
      <c r="P25" s="99">
        <v>34.372488238647712</v>
      </c>
      <c r="Q25" s="98">
        <v>3.0210985979647491</v>
      </c>
      <c r="R25" s="100">
        <v>25.749330377701391</v>
      </c>
      <c r="S25" s="101">
        <v>19.210809878015361</v>
      </c>
      <c r="T25" s="97" t="s">
        <v>34</v>
      </c>
      <c r="U25" s="101" t="s">
        <v>34</v>
      </c>
      <c r="V25" s="97">
        <v>-8.6231578609463213</v>
      </c>
      <c r="W25" s="104">
        <v>19.610298740035763</v>
      </c>
      <c r="X25" s="124"/>
      <c r="Y25" s="124"/>
      <c r="Z25" s="124"/>
      <c r="AA25" s="124"/>
      <c r="AB25" s="124"/>
      <c r="AC25" s="124"/>
      <c r="AD25" s="124"/>
      <c r="AE25" s="124"/>
    </row>
    <row r="26" spans="1:31" s="105" customFormat="1" x14ac:dyDescent="0.25">
      <c r="A26" s="118" t="s">
        <v>212</v>
      </c>
      <c r="B26" s="95">
        <v>164</v>
      </c>
      <c r="C26" s="96">
        <v>76.662361145019531</v>
      </c>
      <c r="D26" s="97">
        <v>26.982129837023489</v>
      </c>
      <c r="E26" s="98">
        <v>3.5626691724389827</v>
      </c>
      <c r="F26" s="99">
        <v>30.648178292614219</v>
      </c>
      <c r="G26" s="98">
        <v>6.8667038839433108</v>
      </c>
      <c r="H26" s="100">
        <v>27.500115046289981</v>
      </c>
      <c r="I26" s="101">
        <v>8.0441744929433483</v>
      </c>
      <c r="J26" s="97">
        <v>22.11318676496732</v>
      </c>
      <c r="K26" s="98">
        <v>7.2478767780187923</v>
      </c>
      <c r="L26" s="100">
        <v>27.7906818256591</v>
      </c>
      <c r="M26" s="101">
        <v>7.649412770975804</v>
      </c>
      <c r="N26" s="97">
        <v>-2.8574964669551228</v>
      </c>
      <c r="O26" s="102">
        <v>10.91339478129264</v>
      </c>
      <c r="P26" s="99">
        <v>30.238021643848828</v>
      </c>
      <c r="Q26" s="98">
        <v>3.9877185974354519</v>
      </c>
      <c r="R26" s="100">
        <v>13.782737342059869</v>
      </c>
      <c r="S26" s="101">
        <v>11.10035573048671</v>
      </c>
      <c r="T26" s="97">
        <v>14.55727723895901</v>
      </c>
      <c r="U26" s="101">
        <v>9.8962679126191002</v>
      </c>
      <c r="V26" s="97">
        <v>-16.082986531874838</v>
      </c>
      <c r="W26" s="104">
        <v>8.0856685455164001</v>
      </c>
      <c r="X26" s="124"/>
      <c r="Y26" s="124"/>
      <c r="Z26" s="124"/>
      <c r="AA26" s="124"/>
      <c r="AB26" s="124"/>
      <c r="AC26" s="124"/>
      <c r="AD26" s="124"/>
      <c r="AE26" s="124"/>
    </row>
    <row r="27" spans="1:31" s="105" customFormat="1" x14ac:dyDescent="0.25">
      <c r="A27" s="118" t="s">
        <v>213</v>
      </c>
      <c r="B27" s="95">
        <v>185</v>
      </c>
      <c r="C27" s="96">
        <v>82.315406799316406</v>
      </c>
      <c r="D27" s="97">
        <v>41.75748074837481</v>
      </c>
      <c r="E27" s="98">
        <v>3.748312978027847</v>
      </c>
      <c r="F27" s="99">
        <v>57.579329003563899</v>
      </c>
      <c r="G27" s="98">
        <v>7.2198723901065627</v>
      </c>
      <c r="H27" s="100">
        <v>41.571244655915123</v>
      </c>
      <c r="I27" s="101">
        <v>9.1901308436797535</v>
      </c>
      <c r="J27" s="97">
        <v>32.867450908140853</v>
      </c>
      <c r="K27" s="98">
        <v>9.7857918327621451</v>
      </c>
      <c r="L27" s="100">
        <v>34.578355099280479</v>
      </c>
      <c r="M27" s="101">
        <v>8.6189949527434138</v>
      </c>
      <c r="N27" s="97">
        <v>-23.00097390428342</v>
      </c>
      <c r="O27" s="102">
        <v>11.128092884984666</v>
      </c>
      <c r="P27" s="99">
        <v>42.552657102210503</v>
      </c>
      <c r="Q27" s="98">
        <v>3.7362866091246336</v>
      </c>
      <c r="R27" s="100">
        <v>18.52892903371033</v>
      </c>
      <c r="S27" s="101">
        <v>23.484060777660893</v>
      </c>
      <c r="T27" s="97" t="s">
        <v>34</v>
      </c>
      <c r="U27" s="101" t="s">
        <v>34</v>
      </c>
      <c r="V27" s="97">
        <v>-24.023728068500173</v>
      </c>
      <c r="W27" s="104">
        <v>23.493952854432361</v>
      </c>
      <c r="X27" s="124"/>
      <c r="Y27" s="124"/>
      <c r="Z27" s="124"/>
      <c r="AA27" s="124"/>
      <c r="AB27" s="124"/>
      <c r="AC27" s="124"/>
      <c r="AD27" s="124"/>
      <c r="AE27" s="124"/>
    </row>
    <row r="28" spans="1:31" s="105" customFormat="1" x14ac:dyDescent="0.25">
      <c r="A28" s="118" t="s">
        <v>214</v>
      </c>
      <c r="B28" s="95">
        <v>197</v>
      </c>
      <c r="C28" s="96">
        <v>90.79962158203125</v>
      </c>
      <c r="D28" s="97">
        <v>48.115312015030248</v>
      </c>
      <c r="E28" s="98">
        <v>4.1190942988484149</v>
      </c>
      <c r="F28" s="99">
        <v>47.005658843774079</v>
      </c>
      <c r="G28" s="98">
        <v>9.3971824013465675</v>
      </c>
      <c r="H28" s="100">
        <v>50.283504742263773</v>
      </c>
      <c r="I28" s="101">
        <v>9.6168684424444066</v>
      </c>
      <c r="J28" s="97">
        <v>53.726877461101658</v>
      </c>
      <c r="K28" s="98">
        <v>8.3536754641484627</v>
      </c>
      <c r="L28" s="100">
        <v>41.558104150935087</v>
      </c>
      <c r="M28" s="101">
        <v>7.1229137817198511</v>
      </c>
      <c r="N28" s="97">
        <v>-5.4475546928389846</v>
      </c>
      <c r="O28" s="102">
        <v>12.056646883109947</v>
      </c>
      <c r="P28" s="99">
        <v>50.508908854363654</v>
      </c>
      <c r="Q28" s="98">
        <v>4.2565480184197568</v>
      </c>
      <c r="R28" s="100" t="s">
        <v>34</v>
      </c>
      <c r="S28" s="101" t="s">
        <v>34</v>
      </c>
      <c r="T28" s="97">
        <v>0</v>
      </c>
      <c r="U28" s="101" t="s">
        <v>35</v>
      </c>
      <c r="V28" s="97">
        <v>-50.508908854363654</v>
      </c>
      <c r="W28" s="104">
        <v>4.2565480184197568</v>
      </c>
      <c r="X28" s="124"/>
      <c r="Y28" s="124"/>
      <c r="Z28" s="124"/>
      <c r="AA28" s="124"/>
      <c r="AB28" s="124"/>
      <c r="AC28" s="124"/>
      <c r="AD28" s="124"/>
      <c r="AE28" s="124"/>
    </row>
    <row r="29" spans="1:31" s="105" customFormat="1" x14ac:dyDescent="0.25">
      <c r="A29" s="118" t="s">
        <v>215</v>
      </c>
      <c r="B29" s="95">
        <v>161</v>
      </c>
      <c r="C29" s="96">
        <v>89.597335815429688</v>
      </c>
      <c r="D29" s="97">
        <v>36.864207090441077</v>
      </c>
      <c r="E29" s="98">
        <v>4.1928686470141949</v>
      </c>
      <c r="F29" s="99">
        <v>47.976655616251499</v>
      </c>
      <c r="G29" s="98">
        <v>7.5855069249734886</v>
      </c>
      <c r="H29" s="100">
        <v>26.801221993402638</v>
      </c>
      <c r="I29" s="101">
        <v>8.716678496434966</v>
      </c>
      <c r="J29" s="97">
        <v>28.161494175702551</v>
      </c>
      <c r="K29" s="98">
        <v>8.0598463336126489</v>
      </c>
      <c r="L29" s="100">
        <v>44.320371449702712</v>
      </c>
      <c r="M29" s="101">
        <v>10.142263295070027</v>
      </c>
      <c r="N29" s="97">
        <v>-3.6562841665487942</v>
      </c>
      <c r="O29" s="102">
        <v>12.507402171007882</v>
      </c>
      <c r="P29" s="99">
        <v>43.058396080710672</v>
      </c>
      <c r="Q29" s="98">
        <v>4.8468860313304862</v>
      </c>
      <c r="R29" s="100">
        <v>12.76443592246747</v>
      </c>
      <c r="S29" s="101">
        <v>5.9714174316706021</v>
      </c>
      <c r="T29" s="97" t="s">
        <v>34</v>
      </c>
      <c r="U29" s="101" t="s">
        <v>34</v>
      </c>
      <c r="V29" s="97">
        <v>-30.293960158243202</v>
      </c>
      <c r="W29" s="104">
        <v>7.5421160144700465</v>
      </c>
      <c r="X29" s="124"/>
      <c r="Y29" s="124"/>
      <c r="Z29" s="124"/>
      <c r="AA29" s="124"/>
      <c r="AB29" s="124"/>
      <c r="AC29" s="124"/>
      <c r="AD29" s="124"/>
      <c r="AE29" s="124"/>
    </row>
    <row r="30" spans="1:31" s="105" customFormat="1" x14ac:dyDescent="0.25">
      <c r="A30" s="118" t="s">
        <v>216</v>
      </c>
      <c r="B30" s="95">
        <v>129</v>
      </c>
      <c r="C30" s="96">
        <v>98.818824768066406</v>
      </c>
      <c r="D30" s="97">
        <v>10.805439731656611</v>
      </c>
      <c r="E30" s="98">
        <v>0.1672186145825732</v>
      </c>
      <c r="F30" s="99">
        <v>6.2030749385134731</v>
      </c>
      <c r="G30" s="98">
        <v>0.39150464849583483</v>
      </c>
      <c r="H30" s="100">
        <v>6.8403366121822673</v>
      </c>
      <c r="I30" s="101">
        <v>0.18403352710475851</v>
      </c>
      <c r="J30" s="97">
        <v>8.1356642170389506</v>
      </c>
      <c r="K30" s="98">
        <v>0.3943629336443184</v>
      </c>
      <c r="L30" s="100">
        <v>22.54251376273222</v>
      </c>
      <c r="M30" s="101">
        <v>0.34297687714184416</v>
      </c>
      <c r="N30" s="97">
        <v>16.33943882421875</v>
      </c>
      <c r="O30" s="102">
        <v>0.51651999872073506</v>
      </c>
      <c r="P30" s="99">
        <v>11.04227484038778</v>
      </c>
      <c r="Q30" s="98">
        <v>0.16839234523803062</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40.699195621265027</v>
      </c>
      <c r="E31" s="98">
        <v>4.2909683853207934</v>
      </c>
      <c r="F31" s="99">
        <v>56.898030159978987</v>
      </c>
      <c r="G31" s="98">
        <v>9.8607310593515809</v>
      </c>
      <c r="H31" s="100">
        <v>37.749083006210832</v>
      </c>
      <c r="I31" s="101">
        <v>10.296218883066276</v>
      </c>
      <c r="J31" s="97">
        <v>39.535718231687873</v>
      </c>
      <c r="K31" s="98">
        <v>8.4646006825062248</v>
      </c>
      <c r="L31" s="100">
        <v>29.109550773461599</v>
      </c>
      <c r="M31" s="101">
        <v>7.2964896158463297</v>
      </c>
      <c r="N31" s="97">
        <v>-27.788479386517398</v>
      </c>
      <c r="O31" s="102">
        <v>10.373134276872712</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164</v>
      </c>
      <c r="C32" s="96">
        <v>95.554672241210938</v>
      </c>
      <c r="D32" s="97">
        <v>51.574505530577639</v>
      </c>
      <c r="E32" s="98">
        <v>3.5453635674164241</v>
      </c>
      <c r="F32" s="99">
        <v>56.663007315050613</v>
      </c>
      <c r="G32" s="98">
        <v>9.3086528692902597</v>
      </c>
      <c r="H32" s="100">
        <v>51.401000509740378</v>
      </c>
      <c r="I32" s="101">
        <v>8.6797877992372978</v>
      </c>
      <c r="J32" s="97">
        <v>44.124055679545059</v>
      </c>
      <c r="K32" s="98">
        <v>8.2876520485865246</v>
      </c>
      <c r="L32" s="100">
        <v>54.337538547977879</v>
      </c>
      <c r="M32" s="101">
        <v>7.1662913175106207</v>
      </c>
      <c r="N32" s="97">
        <v>-2.3254687670727279</v>
      </c>
      <c r="O32" s="102">
        <v>12.812046734766087</v>
      </c>
      <c r="P32" s="99">
        <v>51.574505530577639</v>
      </c>
      <c r="Q32" s="98">
        <v>3.5453635674164241</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491</v>
      </c>
      <c r="C33" s="96">
        <v>94.817253112792969</v>
      </c>
      <c r="D33" s="97">
        <v>54.804071654668803</v>
      </c>
      <c r="E33" s="98">
        <v>3.584972718127502</v>
      </c>
      <c r="F33" s="99">
        <v>50.523771153436748</v>
      </c>
      <c r="G33" s="98">
        <v>6.7083845321404931</v>
      </c>
      <c r="H33" s="100">
        <v>57.122876830337248</v>
      </c>
      <c r="I33" s="101">
        <v>7.3608128705019586</v>
      </c>
      <c r="J33" s="97">
        <v>57.278463719420017</v>
      </c>
      <c r="K33" s="98">
        <v>7.3897622912603067</v>
      </c>
      <c r="L33" s="100">
        <v>54.458035219099301</v>
      </c>
      <c r="M33" s="101">
        <v>6.7597651686919216</v>
      </c>
      <c r="N33" s="97">
        <v>3.9342640656625529</v>
      </c>
      <c r="O33" s="102">
        <v>9.5998434791961529</v>
      </c>
      <c r="P33" s="99">
        <v>56.711334692866991</v>
      </c>
      <c r="Q33" s="98">
        <v>3.6292618595427286</v>
      </c>
      <c r="R33" s="100">
        <v>14.559766728575729</v>
      </c>
      <c r="S33" s="101">
        <v>10.847909413044023</v>
      </c>
      <c r="T33" s="97">
        <v>0.13168233256741391</v>
      </c>
      <c r="U33" s="101">
        <v>5.503700522307442E-2</v>
      </c>
      <c r="V33" s="97">
        <v>-50.647455789423887</v>
      </c>
      <c r="W33" s="104">
        <v>5.0294329490349678</v>
      </c>
      <c r="X33" s="124"/>
      <c r="Y33" s="124"/>
      <c r="Z33" s="124"/>
      <c r="AA33" s="124"/>
      <c r="AB33" s="124"/>
      <c r="AC33" s="124"/>
      <c r="AD33" s="124"/>
      <c r="AE33" s="124"/>
    </row>
    <row r="34" spans="1:31" s="105" customFormat="1" x14ac:dyDescent="0.25">
      <c r="A34" s="118" t="s">
        <v>220</v>
      </c>
      <c r="B34" s="95">
        <v>183</v>
      </c>
      <c r="C34" s="96">
        <v>100</v>
      </c>
      <c r="D34" s="97">
        <v>50.549324656812082</v>
      </c>
      <c r="E34" s="98">
        <v>3.494939754108354</v>
      </c>
      <c r="F34" s="99">
        <v>59.381568520600759</v>
      </c>
      <c r="G34" s="98">
        <v>8.3006655622641343</v>
      </c>
      <c r="H34" s="100">
        <v>58.090091079596682</v>
      </c>
      <c r="I34" s="101">
        <v>7.4271507281567208</v>
      </c>
      <c r="J34" s="97">
        <v>53.626451177106553</v>
      </c>
      <c r="K34" s="98">
        <v>9.2549135347600533</v>
      </c>
      <c r="L34" s="100">
        <v>31.617041795731669</v>
      </c>
      <c r="M34" s="101">
        <v>7.3032207042919044</v>
      </c>
      <c r="N34" s="97">
        <v>-27.764526724869089</v>
      </c>
      <c r="O34" s="102">
        <v>11.497431896456678</v>
      </c>
      <c r="P34" s="99">
        <v>60.719456119562153</v>
      </c>
      <c r="Q34" s="98">
        <v>4.1367851490701284</v>
      </c>
      <c r="R34" s="100">
        <v>15.38883941270814</v>
      </c>
      <c r="S34" s="101">
        <v>13.029193131057088</v>
      </c>
      <c r="T34" s="97">
        <v>32.37516498310049</v>
      </c>
      <c r="U34" s="101">
        <v>6.0772595309298731</v>
      </c>
      <c r="V34" s="97">
        <v>-30.171334349513092</v>
      </c>
      <c r="W34" s="104">
        <v>6.9389498205494675</v>
      </c>
      <c r="X34" s="124"/>
      <c r="Y34" s="124"/>
      <c r="Z34" s="124"/>
      <c r="AA34" s="124"/>
      <c r="AB34" s="124"/>
      <c r="AC34" s="124"/>
      <c r="AD34" s="124"/>
      <c r="AE34" s="124"/>
    </row>
    <row r="35" spans="1:31" s="105" customFormat="1" x14ac:dyDescent="0.25">
      <c r="A35" s="118" t="s">
        <v>221</v>
      </c>
      <c r="B35" s="95">
        <v>153</v>
      </c>
      <c r="C35" s="96">
        <v>83.323898315429688</v>
      </c>
      <c r="D35" s="97">
        <v>56.052514463677817</v>
      </c>
      <c r="E35" s="98">
        <v>4.3484056518863348</v>
      </c>
      <c r="F35" s="99">
        <v>60.777991546471704</v>
      </c>
      <c r="G35" s="98">
        <v>9.4205900880873568</v>
      </c>
      <c r="H35" s="100">
        <v>60.111198629032579</v>
      </c>
      <c r="I35" s="101">
        <v>9.2925408090700952</v>
      </c>
      <c r="J35" s="97">
        <v>61.091220368197469</v>
      </c>
      <c r="K35" s="98">
        <v>10.559057437023515</v>
      </c>
      <c r="L35" s="100">
        <v>42.633634516615999</v>
      </c>
      <c r="M35" s="101">
        <v>9.5471498393979441</v>
      </c>
      <c r="N35" s="97">
        <v>-18.144357029855701</v>
      </c>
      <c r="O35" s="102">
        <v>12.641243138843324</v>
      </c>
      <c r="P35" s="99">
        <v>59.882077490672287</v>
      </c>
      <c r="Q35" s="98">
        <v>5.4393427258866414</v>
      </c>
      <c r="R35" s="100">
        <v>51.921556818579027</v>
      </c>
      <c r="S35" s="101">
        <v>7.0496875901645764</v>
      </c>
      <c r="T35" s="97">
        <v>44.909416164929453</v>
      </c>
      <c r="U35" s="101">
        <v>16.643811696112003</v>
      </c>
      <c r="V35" s="97">
        <v>-8.985584402999045</v>
      </c>
      <c r="W35" s="104">
        <v>8.3995174946463269</v>
      </c>
      <c r="X35" s="124"/>
      <c r="Y35" s="124"/>
      <c r="Z35" s="124"/>
      <c r="AA35" s="124"/>
      <c r="AB35" s="124"/>
      <c r="AC35" s="124"/>
      <c r="AD35" s="124"/>
      <c r="AE35" s="124"/>
    </row>
    <row r="36" spans="1:31" s="105" customFormat="1" x14ac:dyDescent="0.25">
      <c r="A36" s="118" t="s">
        <v>222</v>
      </c>
      <c r="B36" s="95">
        <v>290</v>
      </c>
      <c r="C36" s="96">
        <v>94.142196655273438</v>
      </c>
      <c r="D36" s="97">
        <v>16.726838836862971</v>
      </c>
      <c r="E36" s="98">
        <v>1.6932946482197573</v>
      </c>
      <c r="F36" s="99">
        <v>16.371834678431998</v>
      </c>
      <c r="G36" s="98">
        <v>3.8487951080169003</v>
      </c>
      <c r="H36" s="100">
        <v>16.18897998780567</v>
      </c>
      <c r="I36" s="101">
        <v>4.2245269740832176</v>
      </c>
      <c r="J36" s="97">
        <v>21.737505371015089</v>
      </c>
      <c r="K36" s="98">
        <v>3.7393304972978463</v>
      </c>
      <c r="L36" s="100">
        <v>12.670783254923039</v>
      </c>
      <c r="M36" s="101">
        <v>1.8226541176740196</v>
      </c>
      <c r="N36" s="97">
        <v>-3.7010514235089662</v>
      </c>
      <c r="O36" s="102">
        <v>3.837973488457227</v>
      </c>
      <c r="P36" s="99">
        <v>16.772066049857791</v>
      </c>
      <c r="Q36" s="98">
        <v>1.7062832283439766</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360</v>
      </c>
      <c r="C37" s="96">
        <v>99.431549072265625</v>
      </c>
      <c r="D37" s="97">
        <v>21.451045806833029</v>
      </c>
      <c r="E37" s="98">
        <v>1.4543458106770963</v>
      </c>
      <c r="F37" s="99">
        <v>19.661087528752599</v>
      </c>
      <c r="G37" s="98">
        <v>4.386193999113182</v>
      </c>
      <c r="H37" s="100">
        <v>17.252399523258571</v>
      </c>
      <c r="I37" s="101">
        <v>4.8883115376241779</v>
      </c>
      <c r="J37" s="97">
        <v>14.81725004359099</v>
      </c>
      <c r="K37" s="98">
        <v>3.60227647729551</v>
      </c>
      <c r="L37" s="100">
        <v>34.152881610155703</v>
      </c>
      <c r="M37" s="101">
        <v>2.6682139790444883</v>
      </c>
      <c r="N37" s="97">
        <v>14.4917940814031</v>
      </c>
      <c r="O37" s="102">
        <v>4.8749817710222407</v>
      </c>
      <c r="P37" s="99">
        <v>21.266748646935259</v>
      </c>
      <c r="Q37" s="98">
        <v>1.5134316916217712</v>
      </c>
      <c r="R37" s="100">
        <v>26.43538157539227</v>
      </c>
      <c r="S37" s="101">
        <v>6.0502181925152616</v>
      </c>
      <c r="T37" s="97" t="s">
        <v>34</v>
      </c>
      <c r="U37" s="101" t="s">
        <v>34</v>
      </c>
      <c r="V37" s="97">
        <v>5.1686329284570114</v>
      </c>
      <c r="W37" s="104">
        <v>6.2455124222056098</v>
      </c>
      <c r="X37" s="124"/>
      <c r="Y37" s="124"/>
      <c r="Z37" s="124"/>
      <c r="AA37" s="124"/>
      <c r="AB37" s="124"/>
      <c r="AC37" s="124"/>
      <c r="AD37" s="124"/>
      <c r="AE37" s="124"/>
    </row>
    <row r="38" spans="1:31" s="105" customFormat="1" x14ac:dyDescent="0.25">
      <c r="A38" s="118" t="s">
        <v>224</v>
      </c>
      <c r="B38" s="95">
        <v>43</v>
      </c>
      <c r="C38" s="96">
        <v>96.65936279296875</v>
      </c>
      <c r="D38" s="97">
        <v>30.085533386921369</v>
      </c>
      <c r="E38" s="98">
        <v>9.4880049905931602E-2</v>
      </c>
      <c r="F38" s="99">
        <v>28.05817845582191</v>
      </c>
      <c r="G38" s="98">
        <v>0.22748813868658441</v>
      </c>
      <c r="H38" s="100">
        <v>66.908648066635052</v>
      </c>
      <c r="I38" s="101">
        <v>0.20357883592577958</v>
      </c>
      <c r="J38" s="97">
        <v>16.991090835711539</v>
      </c>
      <c r="K38" s="98">
        <v>0.12706562437071453</v>
      </c>
      <c r="L38" s="100">
        <v>9.6220568000000473</v>
      </c>
      <c r="M38" s="101">
        <v>0.105288777775902</v>
      </c>
      <c r="N38" s="97">
        <v>-18.436121655821861</v>
      </c>
      <c r="O38" s="102">
        <v>0.26171076237834062</v>
      </c>
      <c r="P38" s="99">
        <v>30.606801119075069</v>
      </c>
      <c r="Q38" s="98">
        <v>0.11253657267944132</v>
      </c>
      <c r="R38" s="100">
        <v>43.656274028059777</v>
      </c>
      <c r="S38" s="101">
        <v>0.26081120482839243</v>
      </c>
      <c r="T38" s="97" t="s">
        <v>34</v>
      </c>
      <c r="U38" s="101" t="s">
        <v>34</v>
      </c>
      <c r="V38" s="97">
        <v>13.049472908984708</v>
      </c>
      <c r="W38" s="104">
        <v>0.29803944544100275</v>
      </c>
      <c r="X38" s="124"/>
      <c r="Y38" s="124"/>
      <c r="Z38" s="124"/>
      <c r="AA38" s="124"/>
      <c r="AB38" s="124"/>
      <c r="AC38" s="124"/>
      <c r="AD38" s="124"/>
      <c r="AE38" s="124"/>
    </row>
    <row r="39" spans="1:31" s="105" customFormat="1" x14ac:dyDescent="0.25">
      <c r="A39" s="118" t="s">
        <v>225</v>
      </c>
      <c r="B39" s="95">
        <v>207</v>
      </c>
      <c r="C39" s="96">
        <v>77.963554382324219</v>
      </c>
      <c r="D39" s="97">
        <v>35.572090029340544</v>
      </c>
      <c r="E39" s="98">
        <v>3.4447037642844176</v>
      </c>
      <c r="F39" s="99">
        <v>57.192091792563303</v>
      </c>
      <c r="G39" s="98">
        <v>6.0865807816463136</v>
      </c>
      <c r="H39" s="100">
        <v>42.612943995632627</v>
      </c>
      <c r="I39" s="101">
        <v>9.8578680478132625</v>
      </c>
      <c r="J39" s="97">
        <v>31.2857741422524</v>
      </c>
      <c r="K39" s="98">
        <v>8.3273218116429408</v>
      </c>
      <c r="L39" s="100">
        <v>11.11298974491301</v>
      </c>
      <c r="M39" s="101">
        <v>4.5721804890695994</v>
      </c>
      <c r="N39" s="97">
        <v>-46.079102047650281</v>
      </c>
      <c r="O39" s="102">
        <v>7.5269463215069665</v>
      </c>
      <c r="P39" s="99">
        <v>40.844847713635062</v>
      </c>
      <c r="Q39" s="98">
        <v>3.8564588604786443</v>
      </c>
      <c r="R39" s="100" t="s">
        <v>34</v>
      </c>
      <c r="S39" s="101" t="s">
        <v>34</v>
      </c>
      <c r="T39" s="97">
        <v>0</v>
      </c>
      <c r="U39" s="101" t="s">
        <v>35</v>
      </c>
      <c r="V39" s="97">
        <v>-40.844847713635062</v>
      </c>
      <c r="W39" s="104">
        <v>3.8564588604786443</v>
      </c>
      <c r="X39" s="124"/>
      <c r="Y39" s="124"/>
      <c r="Z39" s="124"/>
      <c r="AA39" s="124"/>
      <c r="AB39" s="124"/>
      <c r="AC39" s="124"/>
      <c r="AD39" s="124"/>
      <c r="AE39" s="124"/>
    </row>
    <row r="40" spans="1:31" s="105" customFormat="1" x14ac:dyDescent="0.25">
      <c r="A40" s="118" t="s">
        <v>300</v>
      </c>
      <c r="B40" s="95">
        <v>145</v>
      </c>
      <c r="C40" s="96">
        <v>93.125473022460938</v>
      </c>
      <c r="D40" s="97">
        <v>25.451401973605631</v>
      </c>
      <c r="E40" s="98">
        <v>3.8869909387209232</v>
      </c>
      <c r="F40" s="99">
        <v>26.72874804141874</v>
      </c>
      <c r="G40" s="98">
        <v>8.0743977883060136</v>
      </c>
      <c r="H40" s="100">
        <v>18.01129461481754</v>
      </c>
      <c r="I40" s="101">
        <v>7.2645879572726013</v>
      </c>
      <c r="J40" s="97">
        <v>13.250260054241741</v>
      </c>
      <c r="K40" s="98">
        <v>6.8458978931610535</v>
      </c>
      <c r="L40" s="100">
        <v>45.464845541092267</v>
      </c>
      <c r="M40" s="101">
        <v>8.8864954099709141</v>
      </c>
      <c r="N40" s="97">
        <v>18.736097499673519</v>
      </c>
      <c r="O40" s="102">
        <v>11.997563458368901</v>
      </c>
      <c r="P40" s="99">
        <v>24.396150660440089</v>
      </c>
      <c r="Q40" s="98">
        <v>6.0131026701473811</v>
      </c>
      <c r="R40" s="100">
        <v>26.357730074075452</v>
      </c>
      <c r="S40" s="101">
        <v>4.8746659772780134</v>
      </c>
      <c r="T40" s="97" t="s">
        <v>34</v>
      </c>
      <c r="U40" s="101" t="s">
        <v>34</v>
      </c>
      <c r="V40" s="97">
        <v>1.9615794136353628</v>
      </c>
      <c r="W40" s="104">
        <v>7.454577964366754</v>
      </c>
      <c r="X40" s="124"/>
      <c r="Y40" s="124"/>
      <c r="Z40" s="124"/>
      <c r="AA40" s="124"/>
      <c r="AB40" s="124"/>
      <c r="AC40" s="124"/>
      <c r="AD40" s="124"/>
      <c r="AE40" s="124"/>
    </row>
    <row r="41" spans="1:31" s="105" customFormat="1" x14ac:dyDescent="0.25">
      <c r="A41" s="118" t="s">
        <v>226</v>
      </c>
      <c r="B41" s="95">
        <v>184</v>
      </c>
      <c r="C41" s="96">
        <v>96.0885009765625</v>
      </c>
      <c r="D41" s="97">
        <v>34.929859227347393</v>
      </c>
      <c r="E41" s="98">
        <v>3.0528294774941833</v>
      </c>
      <c r="F41" s="99">
        <v>31.848407237921979</v>
      </c>
      <c r="G41" s="98">
        <v>6.8390779332443561</v>
      </c>
      <c r="H41" s="100">
        <v>42.557778263134679</v>
      </c>
      <c r="I41" s="101">
        <v>8.8820688064885882</v>
      </c>
      <c r="J41" s="97">
        <v>42.932017699299998</v>
      </c>
      <c r="K41" s="98">
        <v>7.2940594983923788</v>
      </c>
      <c r="L41" s="100">
        <v>22.063118196847078</v>
      </c>
      <c r="M41" s="101">
        <v>5.6831894856892617</v>
      </c>
      <c r="N41" s="97">
        <v>-9.7852890410748934</v>
      </c>
      <c r="O41" s="102">
        <v>8.9836510927441005</v>
      </c>
      <c r="P41" s="99">
        <v>37.173152435208017</v>
      </c>
      <c r="Q41" s="98">
        <v>3.2472380357625683</v>
      </c>
      <c r="R41" s="100" t="s">
        <v>34</v>
      </c>
      <c r="S41" s="101" t="s">
        <v>34</v>
      </c>
      <c r="T41" s="97">
        <v>0</v>
      </c>
      <c r="U41" s="101" t="s">
        <v>35</v>
      </c>
      <c r="V41" s="97">
        <v>-37.173152435208017</v>
      </c>
      <c r="W41" s="104">
        <v>3.2472380357625683</v>
      </c>
      <c r="X41" s="124"/>
      <c r="Y41" s="124"/>
      <c r="Z41" s="124"/>
      <c r="AA41" s="124"/>
      <c r="AB41" s="124"/>
      <c r="AC41" s="124"/>
      <c r="AD41" s="124"/>
      <c r="AE41" s="124"/>
    </row>
    <row r="42" spans="1:31" s="105" customFormat="1" x14ac:dyDescent="0.25">
      <c r="A42" s="118" t="s">
        <v>227</v>
      </c>
      <c r="B42" s="95">
        <v>243</v>
      </c>
      <c r="C42" s="96">
        <v>97.620384216308594</v>
      </c>
      <c r="D42" s="97">
        <v>26.31806917767604</v>
      </c>
      <c r="E42" s="98">
        <v>3.1082162415255756</v>
      </c>
      <c r="F42" s="99">
        <v>18.88287782474206</v>
      </c>
      <c r="G42" s="98">
        <v>5.5112212200859636</v>
      </c>
      <c r="H42" s="100">
        <v>29.350805463221391</v>
      </c>
      <c r="I42" s="101">
        <v>7.2132059342569104</v>
      </c>
      <c r="J42" s="97">
        <v>29.03414497690876</v>
      </c>
      <c r="K42" s="98">
        <v>7.6080848516575159</v>
      </c>
      <c r="L42" s="100">
        <v>27.77145414337237</v>
      </c>
      <c r="M42" s="101">
        <v>6.1607016040300664</v>
      </c>
      <c r="N42" s="97">
        <v>8.8885763186303102</v>
      </c>
      <c r="O42" s="102">
        <v>8.0512726291177241</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20.21822500895728</v>
      </c>
      <c r="E43" s="98">
        <v>2.8810657815537564</v>
      </c>
      <c r="F43" s="99">
        <v>17.323021227552449</v>
      </c>
      <c r="G43" s="98">
        <v>4.527911346553168</v>
      </c>
      <c r="H43" s="100">
        <v>23.72330327417021</v>
      </c>
      <c r="I43" s="101">
        <v>6.0481487310074122</v>
      </c>
      <c r="J43" s="97">
        <v>19.699806602454029</v>
      </c>
      <c r="K43" s="98">
        <v>6.5669844359069574</v>
      </c>
      <c r="L43" s="100">
        <v>20.295948571753868</v>
      </c>
      <c r="M43" s="101">
        <v>6.2605766947851791</v>
      </c>
      <c r="N43" s="97">
        <v>2.9729273442014201</v>
      </c>
      <c r="O43" s="102">
        <v>7.7802230328317448</v>
      </c>
      <c r="P43" s="99">
        <v>20.0508362670456</v>
      </c>
      <c r="Q43" s="98">
        <v>2.8143916517703969</v>
      </c>
      <c r="R43" s="100">
        <v>25.208392872311059</v>
      </c>
      <c r="S43" s="101">
        <v>15.57904035229619</v>
      </c>
      <c r="T43" s="97" t="s">
        <v>34</v>
      </c>
      <c r="U43" s="101" t="s">
        <v>34</v>
      </c>
      <c r="V43" s="97">
        <v>5.1575566052654587</v>
      </c>
      <c r="W43" s="104">
        <v>15.250125251169294</v>
      </c>
      <c r="X43" s="124"/>
      <c r="Y43" s="124"/>
      <c r="Z43" s="124"/>
      <c r="AA43" s="124"/>
      <c r="AB43" s="124"/>
      <c r="AC43" s="124"/>
      <c r="AD43" s="124"/>
      <c r="AE43" s="124"/>
    </row>
    <row r="44" spans="1:31" s="105" customFormat="1" x14ac:dyDescent="0.25">
      <c r="A44" s="118" t="s">
        <v>301</v>
      </c>
      <c r="B44" s="95">
        <v>231</v>
      </c>
      <c r="C44" s="96">
        <v>87.302383422851563</v>
      </c>
      <c r="D44" s="97">
        <v>42.990083594317348</v>
      </c>
      <c r="E44" s="98">
        <v>3.1976581576969072</v>
      </c>
      <c r="F44" s="99">
        <v>42.349344102539973</v>
      </c>
      <c r="G44" s="98">
        <v>6.6914474376239026</v>
      </c>
      <c r="H44" s="100">
        <v>44.452405776300139</v>
      </c>
      <c r="I44" s="101">
        <v>9.9939861661061329</v>
      </c>
      <c r="J44" s="97">
        <v>49.025025128197697</v>
      </c>
      <c r="K44" s="98">
        <v>8.6975132263252064</v>
      </c>
      <c r="L44" s="100">
        <v>36.002095446259503</v>
      </c>
      <c r="M44" s="101">
        <v>7.3223856658186097</v>
      </c>
      <c r="N44" s="97">
        <v>-6.3472486562804704</v>
      </c>
      <c r="O44" s="102">
        <v>10.309388825231467</v>
      </c>
      <c r="P44" s="99">
        <v>46.442683561865813</v>
      </c>
      <c r="Q44" s="98">
        <v>3.3028101672880239</v>
      </c>
      <c r="R44" s="100">
        <v>38.965640564990117</v>
      </c>
      <c r="S44" s="101">
        <v>10.358963307013813</v>
      </c>
      <c r="T44" s="97">
        <v>9.7712119622467313</v>
      </c>
      <c r="U44" s="101">
        <v>6.2360139628397526</v>
      </c>
      <c r="V44" s="97">
        <v>-22.375917824253374</v>
      </c>
      <c r="W44" s="104">
        <v>6.7721206109293055</v>
      </c>
      <c r="X44" s="124"/>
      <c r="Y44" s="124"/>
      <c r="Z44" s="124"/>
      <c r="AA44" s="124"/>
      <c r="AB44" s="124"/>
      <c r="AC44" s="124"/>
      <c r="AD44" s="124"/>
      <c r="AE44" s="124"/>
    </row>
    <row r="45" spans="1:31" s="105" customFormat="1" x14ac:dyDescent="0.25">
      <c r="A45" s="118" t="s">
        <v>229</v>
      </c>
      <c r="B45" s="95">
        <v>354</v>
      </c>
      <c r="C45" s="96">
        <v>94.707992553710938</v>
      </c>
      <c r="D45" s="97">
        <v>31.708101676609701</v>
      </c>
      <c r="E45" s="98">
        <v>2.7987890845661458</v>
      </c>
      <c r="F45" s="99">
        <v>33.397249449843137</v>
      </c>
      <c r="G45" s="98">
        <v>5.6016924907439893</v>
      </c>
      <c r="H45" s="100">
        <v>30.76718432452714</v>
      </c>
      <c r="I45" s="101">
        <v>7.6569567584040232</v>
      </c>
      <c r="J45" s="97">
        <v>34.291108959104001</v>
      </c>
      <c r="K45" s="98">
        <v>7.1238318571913348</v>
      </c>
      <c r="L45" s="100">
        <v>27.774709001717358</v>
      </c>
      <c r="M45" s="101">
        <v>6.5832560603806209</v>
      </c>
      <c r="N45" s="97">
        <v>-5.622540448125779</v>
      </c>
      <c r="O45" s="102">
        <v>8.7299273462701539</v>
      </c>
      <c r="P45" s="99">
        <v>30.248050509768479</v>
      </c>
      <c r="Q45" s="98">
        <v>2.6244272615644961</v>
      </c>
      <c r="R45" s="100">
        <v>41.212466916382972</v>
      </c>
      <c r="S45" s="101">
        <v>8.7732599103207765</v>
      </c>
      <c r="T45" s="97" t="s">
        <v>34</v>
      </c>
      <c r="U45" s="101" t="s">
        <v>34</v>
      </c>
      <c r="V45" s="97">
        <v>10.964416406614493</v>
      </c>
      <c r="W45" s="104">
        <v>8.3999325753564271</v>
      </c>
      <c r="X45" s="124"/>
      <c r="Y45" s="124"/>
      <c r="Z45" s="124"/>
      <c r="AA45" s="124"/>
      <c r="AB45" s="124"/>
      <c r="AC45" s="124"/>
      <c r="AD45" s="124"/>
      <c r="AE45" s="124"/>
    </row>
    <row r="46" spans="1:31" s="105" customFormat="1" x14ac:dyDescent="0.25">
      <c r="A46" s="118" t="s">
        <v>230</v>
      </c>
      <c r="B46" s="95">
        <v>276</v>
      </c>
      <c r="C46" s="96">
        <v>87.400062561035156</v>
      </c>
      <c r="D46" s="97">
        <v>23.672289207229351</v>
      </c>
      <c r="E46" s="98">
        <v>0.13449921085539429</v>
      </c>
      <c r="F46" s="99">
        <v>27.809931288846311</v>
      </c>
      <c r="G46" s="98">
        <v>0.32251278417532137</v>
      </c>
      <c r="H46" s="100">
        <v>27.09820822572123</v>
      </c>
      <c r="I46" s="101">
        <v>0.34680057225466465</v>
      </c>
      <c r="J46" s="97">
        <v>26.894283279566849</v>
      </c>
      <c r="K46" s="98">
        <v>0.23725871817251271</v>
      </c>
      <c r="L46" s="100">
        <v>13.033590771705891</v>
      </c>
      <c r="M46" s="101">
        <v>0.15468103693243315</v>
      </c>
      <c r="N46" s="97">
        <v>-14.776340517140421</v>
      </c>
      <c r="O46" s="102">
        <v>0.35942007569672385</v>
      </c>
      <c r="P46" s="99">
        <v>23.91960935194712</v>
      </c>
      <c r="Q46" s="98">
        <v>0.13875132577430316</v>
      </c>
      <c r="R46" s="100">
        <v>15.575892377438301</v>
      </c>
      <c r="S46" s="101">
        <v>0.55989358229752983</v>
      </c>
      <c r="T46" s="97" t="s">
        <v>34</v>
      </c>
      <c r="U46" s="101" t="s">
        <v>34</v>
      </c>
      <c r="V46" s="97">
        <v>-8.3437169745088191</v>
      </c>
      <c r="W46" s="104">
        <v>0.58897180743136179</v>
      </c>
      <c r="X46" s="124"/>
      <c r="Y46" s="124"/>
      <c r="Z46" s="124"/>
      <c r="AA46" s="124"/>
      <c r="AB46" s="124"/>
      <c r="AC46" s="124"/>
      <c r="AD46" s="124"/>
      <c r="AE46" s="124"/>
    </row>
    <row r="47" spans="1:31" s="105" customFormat="1" x14ac:dyDescent="0.25">
      <c r="A47" s="118" t="s">
        <v>231</v>
      </c>
      <c r="B47" s="95">
        <v>1048</v>
      </c>
      <c r="C47" s="96">
        <v>96.4393310546875</v>
      </c>
      <c r="D47" s="97">
        <v>38.959758199403922</v>
      </c>
      <c r="E47" s="98">
        <v>2.1605900078457916</v>
      </c>
      <c r="F47" s="99">
        <v>49.06850924583604</v>
      </c>
      <c r="G47" s="98">
        <v>5.5870376287267254</v>
      </c>
      <c r="H47" s="100">
        <v>43.197861334578072</v>
      </c>
      <c r="I47" s="101">
        <v>5.1070299616755639</v>
      </c>
      <c r="J47" s="97">
        <v>41.659658299875623</v>
      </c>
      <c r="K47" s="98">
        <v>4.35245299426344</v>
      </c>
      <c r="L47" s="100">
        <v>21.603062040468551</v>
      </c>
      <c r="M47" s="101">
        <v>3.3869115954054712</v>
      </c>
      <c r="N47" s="97">
        <v>-27.465447205367489</v>
      </c>
      <c r="O47" s="102">
        <v>6.6303817219473489</v>
      </c>
      <c r="P47" s="99">
        <v>46.376981135186988</v>
      </c>
      <c r="Q47" s="98">
        <v>3.0002904568540565</v>
      </c>
      <c r="R47" s="100">
        <v>26.742778308129552</v>
      </c>
      <c r="S47" s="101">
        <v>4.1278238586900438</v>
      </c>
      <c r="T47" s="97">
        <v>12.91060874878481</v>
      </c>
      <c r="U47" s="101">
        <v>4.637548573716133</v>
      </c>
      <c r="V47" s="97">
        <v>-22.419000799982939</v>
      </c>
      <c r="W47" s="104">
        <v>4.6841787883005495</v>
      </c>
      <c r="X47" s="124"/>
      <c r="Y47" s="124"/>
      <c r="Z47" s="124"/>
      <c r="AA47" s="124"/>
      <c r="AB47" s="124"/>
      <c r="AC47" s="124"/>
      <c r="AD47" s="124"/>
      <c r="AE47" s="124"/>
    </row>
    <row r="48" spans="1:31" s="105" customFormat="1" x14ac:dyDescent="0.25">
      <c r="A48" s="118" t="s">
        <v>232</v>
      </c>
      <c r="B48" s="95">
        <v>202</v>
      </c>
      <c r="C48" s="96">
        <v>96.362442016601563</v>
      </c>
      <c r="D48" s="97">
        <v>21.496061239503899</v>
      </c>
      <c r="E48" s="98">
        <v>3.2672885798840277</v>
      </c>
      <c r="F48" s="99">
        <v>21.08005462841426</v>
      </c>
      <c r="G48" s="98">
        <v>6.6224322749921365</v>
      </c>
      <c r="H48" s="100">
        <v>34.912599359398243</v>
      </c>
      <c r="I48" s="101">
        <v>8.4155290622776207</v>
      </c>
      <c r="J48" s="97">
        <v>19.510971702240909</v>
      </c>
      <c r="K48" s="98">
        <v>6.8382779590349463</v>
      </c>
      <c r="L48" s="100">
        <v>10.174665957185161</v>
      </c>
      <c r="M48" s="101">
        <v>4.7227074823951707</v>
      </c>
      <c r="N48" s="97">
        <v>-10.90538867122911</v>
      </c>
      <c r="O48" s="102">
        <v>7.6429342659623609</v>
      </c>
      <c r="P48" s="99">
        <v>24.07597488586401</v>
      </c>
      <c r="Q48" s="98">
        <v>3.6346569031640383</v>
      </c>
      <c r="R48" s="100">
        <v>10.06300212389122</v>
      </c>
      <c r="S48" s="101">
        <v>5.0584080799917599</v>
      </c>
      <c r="T48" s="97" t="s">
        <v>34</v>
      </c>
      <c r="U48" s="101" t="s">
        <v>34</v>
      </c>
      <c r="V48" s="97">
        <v>-14.01297276197279</v>
      </c>
      <c r="W48" s="104">
        <v>5.6108809897104051</v>
      </c>
      <c r="X48" s="124"/>
      <c r="Y48" s="124"/>
      <c r="Z48" s="124"/>
      <c r="AA48" s="124"/>
      <c r="AB48" s="124"/>
      <c r="AC48" s="124"/>
      <c r="AD48" s="124"/>
      <c r="AE48" s="124"/>
    </row>
    <row r="49" spans="1:31" s="105" customFormat="1" x14ac:dyDescent="0.25">
      <c r="A49" s="118" t="s">
        <v>233</v>
      </c>
      <c r="B49" s="95">
        <v>157</v>
      </c>
      <c r="C49" s="96">
        <v>74.739677429199219</v>
      </c>
      <c r="D49" s="97">
        <v>20.28190653856473</v>
      </c>
      <c r="E49" s="98">
        <v>3.4898798768494541</v>
      </c>
      <c r="F49" s="99">
        <v>19.455915453382811</v>
      </c>
      <c r="G49" s="98">
        <v>5.7854300717200857</v>
      </c>
      <c r="H49" s="100">
        <v>15.538118326491981</v>
      </c>
      <c r="I49" s="101">
        <v>7.3604337683826362</v>
      </c>
      <c r="J49" s="97">
        <v>21.53244006595434</v>
      </c>
      <c r="K49" s="98">
        <v>8.2897654687373628</v>
      </c>
      <c r="L49" s="100">
        <v>24.708261354849132</v>
      </c>
      <c r="M49" s="101">
        <v>8.5841887677749611</v>
      </c>
      <c r="N49" s="97">
        <v>5.2523459014663239</v>
      </c>
      <c r="O49" s="102">
        <v>10.362647960492751</v>
      </c>
      <c r="P49" s="99">
        <v>21.001344742156189</v>
      </c>
      <c r="Q49" s="98">
        <v>3.6117499935949158</v>
      </c>
      <c r="R49" s="100" t="s">
        <v>34</v>
      </c>
      <c r="S49" s="101" t="s">
        <v>34</v>
      </c>
      <c r="T49" s="97">
        <v>8.3805232518229111</v>
      </c>
      <c r="U49" s="101">
        <v>8.2291659565965336</v>
      </c>
      <c r="V49" s="97">
        <v>-12.620821490333277</v>
      </c>
      <c r="W49" s="104">
        <v>8.9305268536950635</v>
      </c>
      <c r="X49" s="124"/>
      <c r="Y49" s="124"/>
      <c r="Z49" s="124"/>
      <c r="AA49" s="124"/>
      <c r="AB49" s="124"/>
      <c r="AC49" s="124"/>
      <c r="AD49" s="124"/>
      <c r="AE49" s="124"/>
    </row>
    <row r="50" spans="1:31" s="105" customFormat="1" x14ac:dyDescent="0.25">
      <c r="A50" s="118" t="s">
        <v>234</v>
      </c>
      <c r="B50" s="95">
        <v>179</v>
      </c>
      <c r="C50" s="96">
        <v>98.9569091796875</v>
      </c>
      <c r="D50" s="97">
        <v>10.03830414664718</v>
      </c>
      <c r="E50" s="98">
        <v>2.2574756056201428</v>
      </c>
      <c r="F50" s="99">
        <v>16.52605804705124</v>
      </c>
      <c r="G50" s="98">
        <v>6.0341658927247277</v>
      </c>
      <c r="H50" s="100">
        <v>9.7905731299979024</v>
      </c>
      <c r="I50" s="101">
        <v>5.4703486093314613</v>
      </c>
      <c r="J50" s="97">
        <v>7.5944610824304908</v>
      </c>
      <c r="K50" s="98">
        <v>4.3993301732440324</v>
      </c>
      <c r="L50" s="100">
        <v>6.1105517194873737</v>
      </c>
      <c r="M50" s="101">
        <v>4.1699784800296618</v>
      </c>
      <c r="N50" s="97">
        <v>-10.415506327563859</v>
      </c>
      <c r="O50" s="102">
        <v>7.6884148541981308</v>
      </c>
      <c r="P50" s="99">
        <v>10.440733691368161</v>
      </c>
      <c r="Q50" s="98">
        <v>2.4869046059042295</v>
      </c>
      <c r="R50" s="100" t="s">
        <v>34</v>
      </c>
      <c r="S50" s="101" t="s">
        <v>34</v>
      </c>
      <c r="T50" s="97">
        <v>7.8766282244391004</v>
      </c>
      <c r="U50" s="101">
        <v>5.9441484705077041</v>
      </c>
      <c r="V50" s="97">
        <v>-2.5641054669290604</v>
      </c>
      <c r="W50" s="104">
        <v>6.4621856922643097</v>
      </c>
      <c r="X50" s="124"/>
      <c r="Y50" s="124"/>
      <c r="Z50" s="124"/>
      <c r="AA50" s="124"/>
      <c r="AB50" s="124"/>
      <c r="AC50" s="124"/>
      <c r="AD50" s="124"/>
      <c r="AE50" s="124"/>
    </row>
    <row r="51" spans="1:31" s="105" customFormat="1" x14ac:dyDescent="0.25">
      <c r="A51" s="118" t="s">
        <v>235</v>
      </c>
      <c r="B51" s="95">
        <v>383</v>
      </c>
      <c r="C51" s="96">
        <v>77.094955444335938</v>
      </c>
      <c r="D51" s="97">
        <v>33.204903587363859</v>
      </c>
      <c r="E51" s="98">
        <v>3.2542353826851373</v>
      </c>
      <c r="F51" s="99">
        <v>28.376113948236711</v>
      </c>
      <c r="G51" s="98">
        <v>6.7013914872827653</v>
      </c>
      <c r="H51" s="100">
        <v>35.22581966369259</v>
      </c>
      <c r="I51" s="101">
        <v>8.0380389889566857</v>
      </c>
      <c r="J51" s="97">
        <v>44.865350245203629</v>
      </c>
      <c r="K51" s="98">
        <v>8.8295139920570289</v>
      </c>
      <c r="L51" s="100">
        <v>25.568880779294322</v>
      </c>
      <c r="M51" s="101">
        <v>5.7112360667806152</v>
      </c>
      <c r="N51" s="97">
        <v>-2.8072331689423962</v>
      </c>
      <c r="O51" s="102">
        <v>8.5396090316477657</v>
      </c>
      <c r="P51" s="99">
        <v>39.685780507388429</v>
      </c>
      <c r="Q51" s="98">
        <v>4.7514786666451405</v>
      </c>
      <c r="R51" s="100">
        <v>34.955474258048227</v>
      </c>
      <c r="S51" s="101">
        <v>5.2354595615220996</v>
      </c>
      <c r="T51" s="97">
        <v>0.61831266991639589</v>
      </c>
      <c r="U51" s="101">
        <v>0.46370919081268802</v>
      </c>
      <c r="V51" s="97">
        <v>-9.9001683198227184</v>
      </c>
      <c r="W51" s="104">
        <v>6.9123482657801061</v>
      </c>
      <c r="X51" s="124"/>
      <c r="Y51" s="124"/>
      <c r="Z51" s="124"/>
      <c r="AA51" s="124"/>
      <c r="AB51" s="124"/>
      <c r="AC51" s="124"/>
      <c r="AD51" s="124"/>
      <c r="AE51" s="124"/>
    </row>
    <row r="52" spans="1:31" s="105" customFormat="1" x14ac:dyDescent="0.25">
      <c r="A52" s="118" t="s">
        <v>302</v>
      </c>
      <c r="B52" s="95">
        <v>146</v>
      </c>
      <c r="C52" s="96">
        <v>89.849540710449219</v>
      </c>
      <c r="D52" s="97">
        <v>16.93301467411975</v>
      </c>
      <c r="E52" s="98">
        <v>3.1514529561229585</v>
      </c>
      <c r="F52" s="99">
        <v>18.273845116146699</v>
      </c>
      <c r="G52" s="98">
        <v>7.742597231232291</v>
      </c>
      <c r="H52" s="100">
        <v>27.80126043507439</v>
      </c>
      <c r="I52" s="101">
        <v>8.8423940876349629</v>
      </c>
      <c r="J52" s="97">
        <v>7.7174451638789874</v>
      </c>
      <c r="K52" s="98">
        <v>3.7345544465106069</v>
      </c>
      <c r="L52" s="100">
        <v>13.918247886447331</v>
      </c>
      <c r="M52" s="101">
        <v>6.1364989336335052</v>
      </c>
      <c r="N52" s="97">
        <v>-4.3555972296993666</v>
      </c>
      <c r="O52" s="102">
        <v>9.6412154362532263</v>
      </c>
      <c r="P52" s="99">
        <v>17.700101923822011</v>
      </c>
      <c r="Q52" s="98">
        <v>3.4276992428174666</v>
      </c>
      <c r="R52" s="100" t="s">
        <v>34</v>
      </c>
      <c r="S52" s="101" t="s">
        <v>34</v>
      </c>
      <c r="T52" s="97">
        <v>0</v>
      </c>
      <c r="U52" s="101" t="s">
        <v>35</v>
      </c>
      <c r="V52" s="97">
        <v>-17.700101923822011</v>
      </c>
      <c r="W52" s="104">
        <v>3.4276992428174666</v>
      </c>
      <c r="X52" s="124"/>
      <c r="Y52" s="124"/>
      <c r="Z52" s="124"/>
      <c r="AA52" s="124"/>
      <c r="AB52" s="124"/>
      <c r="AC52" s="124"/>
      <c r="AD52" s="124"/>
      <c r="AE52" s="124"/>
    </row>
    <row r="53" spans="1:31" s="105" customFormat="1" x14ac:dyDescent="0.25">
      <c r="A53" s="118" t="s">
        <v>236</v>
      </c>
      <c r="B53" s="95" t="s">
        <v>34</v>
      </c>
      <c r="C53" s="96" t="s">
        <v>34</v>
      </c>
      <c r="D53" s="97">
        <v>32.252665772534307</v>
      </c>
      <c r="E53" s="98">
        <v>0.50071913349351194</v>
      </c>
      <c r="F53" s="99">
        <v>36.46925818612366</v>
      </c>
      <c r="G53" s="98">
        <v>1.0711505635044121</v>
      </c>
      <c r="H53" s="100">
        <v>35.04223696707534</v>
      </c>
      <c r="I53" s="101">
        <v>1.2355870017947539</v>
      </c>
      <c r="J53" s="97">
        <v>30.864252209738829</v>
      </c>
      <c r="K53" s="98">
        <v>1.1645123886256901</v>
      </c>
      <c r="L53" s="100">
        <v>27.14637366607705</v>
      </c>
      <c r="M53" s="101">
        <v>1.029598460523125</v>
      </c>
      <c r="N53" s="97">
        <v>-9.3228845200466157</v>
      </c>
      <c r="O53" s="102">
        <v>1.4961883859392331</v>
      </c>
      <c r="P53" s="99">
        <v>35.241601241748093</v>
      </c>
      <c r="Q53" s="98">
        <v>0.61352100025265999</v>
      </c>
      <c r="R53" s="100">
        <v>24.452647427489289</v>
      </c>
      <c r="S53" s="101">
        <v>2.1642957488374308</v>
      </c>
      <c r="T53" s="97">
        <v>9.5869294971026378</v>
      </c>
      <c r="U53" s="101">
        <v>1.611526285849131</v>
      </c>
      <c r="V53" s="97">
        <v>-17.361476914991211</v>
      </c>
      <c r="W53" s="104">
        <v>1.626927874670536</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323</v>
      </c>
      <c r="C55" s="96">
        <v>98.303970336914063</v>
      </c>
      <c r="D55" s="97">
        <v>38.945650546009567</v>
      </c>
      <c r="E55" s="98">
        <v>2.6273391757486806</v>
      </c>
      <c r="F55" s="99">
        <v>49.185200089229518</v>
      </c>
      <c r="G55" s="98">
        <v>6.4487734371544745</v>
      </c>
      <c r="H55" s="100">
        <v>35.958589624806571</v>
      </c>
      <c r="I55" s="101">
        <v>6.2484129973503926</v>
      </c>
      <c r="J55" s="97">
        <v>45.550642176687283</v>
      </c>
      <c r="K55" s="98">
        <v>5.0511900293398213</v>
      </c>
      <c r="L55" s="100">
        <v>24.683837535229632</v>
      </c>
      <c r="M55" s="101">
        <v>6.3601436951144787</v>
      </c>
      <c r="N55" s="97">
        <v>-24.50136255399989</v>
      </c>
      <c r="O55" s="102">
        <v>9.2066298681654821</v>
      </c>
      <c r="P55" s="99">
        <v>43.886430490546537</v>
      </c>
      <c r="Q55" s="98">
        <v>2.9215505607034578</v>
      </c>
      <c r="R55" s="100" t="s">
        <v>34</v>
      </c>
      <c r="S55" s="101" t="s">
        <v>34</v>
      </c>
      <c r="T55" s="97">
        <v>0</v>
      </c>
      <c r="U55" s="101" t="s">
        <v>35</v>
      </c>
      <c r="V55" s="97">
        <v>-43.886430490546537</v>
      </c>
      <c r="W55" s="104">
        <v>2.9215505607034578</v>
      </c>
      <c r="X55" s="124"/>
      <c r="Y55" s="124"/>
      <c r="Z55" s="124"/>
      <c r="AA55" s="124"/>
      <c r="AB55" s="124"/>
      <c r="AC55" s="124"/>
      <c r="AD55" s="124"/>
      <c r="AE55" s="124"/>
    </row>
    <row r="56" spans="1:31" s="105" customFormat="1" x14ac:dyDescent="0.25">
      <c r="A56" s="118" t="s">
        <v>238</v>
      </c>
      <c r="B56" s="95">
        <v>437</v>
      </c>
      <c r="C56" s="96">
        <v>95.32403564453125</v>
      </c>
      <c r="D56" s="97">
        <v>50.532612592390407</v>
      </c>
      <c r="E56" s="98">
        <v>3.3407544966009386</v>
      </c>
      <c r="F56" s="99">
        <v>65.587553682047897</v>
      </c>
      <c r="G56" s="98">
        <v>7.1359089572056664</v>
      </c>
      <c r="H56" s="100">
        <v>59.287558946606097</v>
      </c>
      <c r="I56" s="101">
        <v>7.3401566756939198</v>
      </c>
      <c r="J56" s="97">
        <v>59.00247157423307</v>
      </c>
      <c r="K56" s="98">
        <v>6.8146627354351832</v>
      </c>
      <c r="L56" s="100">
        <v>18.596101050690709</v>
      </c>
      <c r="M56" s="101">
        <v>5.3626874861416027</v>
      </c>
      <c r="N56" s="97">
        <v>-46.991452631357191</v>
      </c>
      <c r="O56" s="102">
        <v>8.4064562106969234</v>
      </c>
      <c r="P56" s="99">
        <v>63.958145715561052</v>
      </c>
      <c r="Q56" s="98">
        <v>3.9351094716560642</v>
      </c>
      <c r="R56" s="100">
        <v>26.713869847946281</v>
      </c>
      <c r="S56" s="101">
        <v>5.98195302108567</v>
      </c>
      <c r="T56" s="97">
        <v>13.649925982930441</v>
      </c>
      <c r="U56" s="101">
        <v>9.5839418134632357</v>
      </c>
      <c r="V56" s="97">
        <v>-40.865393234495798</v>
      </c>
      <c r="W56" s="104">
        <v>6.5862623991966123</v>
      </c>
      <c r="X56" s="124"/>
      <c r="Y56" s="124"/>
      <c r="Z56" s="124"/>
      <c r="AA56" s="124"/>
      <c r="AB56" s="124"/>
      <c r="AC56" s="124"/>
      <c r="AD56" s="124"/>
      <c r="AE56" s="124"/>
    </row>
    <row r="57" spans="1:31" s="105" customFormat="1" x14ac:dyDescent="0.25">
      <c r="A57" s="118" t="s">
        <v>239</v>
      </c>
      <c r="B57" s="95">
        <v>122</v>
      </c>
      <c r="C57" s="96">
        <v>60.133590698242188</v>
      </c>
      <c r="D57" s="97">
        <v>37.666581962780853</v>
      </c>
      <c r="E57" s="98">
        <v>4.2862915258629757</v>
      </c>
      <c r="F57" s="99">
        <v>40.334579573276187</v>
      </c>
      <c r="G57" s="98">
        <v>8.5484723523979671</v>
      </c>
      <c r="H57" s="100">
        <v>34.71419367035265</v>
      </c>
      <c r="I57" s="101">
        <v>8.9986250145789644</v>
      </c>
      <c r="J57" s="97">
        <v>36.566729056491504</v>
      </c>
      <c r="K57" s="98">
        <v>10.863890437636305</v>
      </c>
      <c r="L57" s="100">
        <v>38.981031871863237</v>
      </c>
      <c r="M57" s="101">
        <v>12.329980620489497</v>
      </c>
      <c r="N57" s="97">
        <v>-1.35354770141295</v>
      </c>
      <c r="O57" s="102">
        <v>15.700676576859253</v>
      </c>
      <c r="P57" s="99">
        <v>37.849649360940518</v>
      </c>
      <c r="Q57" s="98">
        <v>4.305387435909779</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27.206689234306889</v>
      </c>
      <c r="E58" s="98">
        <v>3.3267972883193999</v>
      </c>
      <c r="F58" s="99">
        <v>39.949181548393703</v>
      </c>
      <c r="G58" s="98">
        <v>6.1173442992237455</v>
      </c>
      <c r="H58" s="100">
        <v>21.470791754568591</v>
      </c>
      <c r="I58" s="101">
        <v>7.2103114113705846</v>
      </c>
      <c r="J58" s="97">
        <v>34.730000819516484</v>
      </c>
      <c r="K58" s="98">
        <v>8.1464329856055429</v>
      </c>
      <c r="L58" s="100">
        <v>12.48269438225887</v>
      </c>
      <c r="M58" s="101">
        <v>5.5258541862885515</v>
      </c>
      <c r="N58" s="97">
        <v>-27.466487166134829</v>
      </c>
      <c r="O58" s="102">
        <v>9.0678346900946707</v>
      </c>
      <c r="P58" s="99">
        <v>27.31318618940713</v>
      </c>
      <c r="Q58" s="98">
        <v>3.3426239018166659</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51.554922285188212</v>
      </c>
      <c r="E59" s="98">
        <v>3.6257857631288011</v>
      </c>
      <c r="F59" s="99">
        <v>44.841271587875468</v>
      </c>
      <c r="G59" s="98">
        <v>8.9399763375113626</v>
      </c>
      <c r="H59" s="100">
        <v>42.200488455866683</v>
      </c>
      <c r="I59" s="101">
        <v>9.7154854866886797</v>
      </c>
      <c r="J59" s="97">
        <v>66.745668307063241</v>
      </c>
      <c r="K59" s="98">
        <v>10.147622026467326</v>
      </c>
      <c r="L59" s="100">
        <v>52.376524595539379</v>
      </c>
      <c r="M59" s="101">
        <v>9.674800138440645</v>
      </c>
      <c r="N59" s="97">
        <v>7.5352530076639113</v>
      </c>
      <c r="O59" s="102">
        <v>13.47325635970884</v>
      </c>
      <c r="P59" s="99">
        <v>51.449295697748802</v>
      </c>
      <c r="Q59" s="98">
        <v>3.5898871972872657</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417</v>
      </c>
      <c r="C60" s="96">
        <v>76.985603332519531</v>
      </c>
      <c r="D60" s="97">
        <v>33.501559090431307</v>
      </c>
      <c r="E60" s="98">
        <v>2.5834791784800264</v>
      </c>
      <c r="F60" s="99">
        <v>58.616599419627327</v>
      </c>
      <c r="G60" s="98">
        <v>6.2457527395298476</v>
      </c>
      <c r="H60" s="100">
        <v>32.051756805880913</v>
      </c>
      <c r="I60" s="101">
        <v>5.4849213656901643</v>
      </c>
      <c r="J60" s="97">
        <v>28.332047267803819</v>
      </c>
      <c r="K60" s="98">
        <v>5.599498961496078</v>
      </c>
      <c r="L60" s="100">
        <v>15.203023509128951</v>
      </c>
      <c r="M60" s="101">
        <v>3.8861488221070761</v>
      </c>
      <c r="N60" s="97">
        <v>-43.41357591049838</v>
      </c>
      <c r="O60" s="102">
        <v>7.1036758974936225</v>
      </c>
      <c r="P60" s="99">
        <v>38.917195027145667</v>
      </c>
      <c r="Q60" s="98">
        <v>2.7858067671444209</v>
      </c>
      <c r="R60" s="100" t="s">
        <v>34</v>
      </c>
      <c r="S60" s="101" t="s">
        <v>34</v>
      </c>
      <c r="T60" s="97">
        <v>9.4857743760256454</v>
      </c>
      <c r="U60" s="101">
        <v>3.5344432799764345</v>
      </c>
      <c r="V60" s="97">
        <v>-29.431420651120021</v>
      </c>
      <c r="W60" s="104">
        <v>3.8623571772009733</v>
      </c>
      <c r="X60" s="124"/>
      <c r="Y60" s="124"/>
      <c r="Z60" s="124"/>
      <c r="AA60" s="124"/>
      <c r="AB60" s="124"/>
      <c r="AC60" s="124"/>
      <c r="AD60" s="124"/>
      <c r="AE60" s="124"/>
    </row>
    <row r="61" spans="1:31" s="105" customFormat="1" x14ac:dyDescent="0.25">
      <c r="A61" s="118" t="s">
        <v>243</v>
      </c>
      <c r="B61" s="95">
        <v>55</v>
      </c>
      <c r="C61" s="96">
        <v>100</v>
      </c>
      <c r="D61" s="97">
        <v>46.62351619581851</v>
      </c>
      <c r="E61" s="98">
        <v>8.415207870026703E-2</v>
      </c>
      <c r="F61" s="99">
        <v>47.711165033062898</v>
      </c>
      <c r="G61" s="98">
        <v>0.21421157261034737</v>
      </c>
      <c r="H61" s="100">
        <v>56.148473479366267</v>
      </c>
      <c r="I61" s="101">
        <v>0.15375596816190534</v>
      </c>
      <c r="J61" s="97">
        <v>52.217372513997319</v>
      </c>
      <c r="K61" s="98">
        <v>0.16274862652315986</v>
      </c>
      <c r="L61" s="100">
        <v>28.756678982964711</v>
      </c>
      <c r="M61" s="101">
        <v>0.1273043482727676</v>
      </c>
      <c r="N61" s="97">
        <v>-18.95448605009819</v>
      </c>
      <c r="O61" s="102">
        <v>0.26026849668352026</v>
      </c>
      <c r="P61" s="99">
        <v>53.675447153485713</v>
      </c>
      <c r="Q61" s="98">
        <v>9.6763095594889173E-2</v>
      </c>
      <c r="R61" s="100" t="s">
        <v>34</v>
      </c>
      <c r="S61" s="101" t="s">
        <v>34</v>
      </c>
      <c r="T61" s="97">
        <v>8.6279676724811871</v>
      </c>
      <c r="U61" s="101">
        <v>0.18171480415037528</v>
      </c>
      <c r="V61" s="97">
        <v>-45.04747948100453</v>
      </c>
      <c r="W61" s="104">
        <v>0.21408192274677257</v>
      </c>
      <c r="X61" s="124"/>
      <c r="Y61" s="124"/>
      <c r="Z61" s="124"/>
      <c r="AA61" s="124"/>
      <c r="AB61" s="124"/>
      <c r="AC61" s="124"/>
      <c r="AD61" s="124"/>
      <c r="AE61" s="124"/>
    </row>
    <row r="62" spans="1:31" s="105" customFormat="1" x14ac:dyDescent="0.25">
      <c r="A62" s="118" t="s">
        <v>244</v>
      </c>
      <c r="B62" s="95">
        <v>361</v>
      </c>
      <c r="C62" s="96">
        <v>100</v>
      </c>
      <c r="D62" s="97">
        <v>23.66439256247866</v>
      </c>
      <c r="E62" s="98">
        <v>3.2389019243898436</v>
      </c>
      <c r="F62" s="99">
        <v>31.51281797150035</v>
      </c>
      <c r="G62" s="98">
        <v>7.1975617561744398</v>
      </c>
      <c r="H62" s="100">
        <v>18.497394646065811</v>
      </c>
      <c r="I62" s="101">
        <v>7.00998818709113</v>
      </c>
      <c r="J62" s="97">
        <v>31.07778545269294</v>
      </c>
      <c r="K62" s="98">
        <v>10.675287043291597</v>
      </c>
      <c r="L62" s="100">
        <v>13.48396885746592</v>
      </c>
      <c r="M62" s="101">
        <v>5.8298586641720442</v>
      </c>
      <c r="N62" s="97">
        <v>-18.028849114034429</v>
      </c>
      <c r="O62" s="102">
        <v>9.1707374849202949</v>
      </c>
      <c r="P62" s="99">
        <v>23.931947417054211</v>
      </c>
      <c r="Q62" s="98">
        <v>3.6003934016637795</v>
      </c>
      <c r="R62" s="100" t="s">
        <v>34</v>
      </c>
      <c r="S62" s="101" t="s">
        <v>34</v>
      </c>
      <c r="T62" s="97">
        <v>21.01314253606543</v>
      </c>
      <c r="U62" s="101">
        <v>6.2201210249026664</v>
      </c>
      <c r="V62" s="97">
        <v>-2.9188048809887803</v>
      </c>
      <c r="W62" s="104">
        <v>7.0743547861796445</v>
      </c>
      <c r="X62" s="124"/>
      <c r="Y62" s="124"/>
      <c r="Z62" s="124"/>
      <c r="AA62" s="124"/>
      <c r="AB62" s="124"/>
      <c r="AC62" s="124"/>
      <c r="AD62" s="124"/>
      <c r="AE62" s="124"/>
    </row>
    <row r="63" spans="1:31" s="105" customFormat="1" x14ac:dyDescent="0.25">
      <c r="A63" s="118" t="s">
        <v>245</v>
      </c>
      <c r="B63" s="95">
        <v>191</v>
      </c>
      <c r="C63" s="96">
        <v>97.145454406738281</v>
      </c>
      <c r="D63" s="97">
        <v>21.192965418518831</v>
      </c>
      <c r="E63" s="98">
        <v>2.9171633067162666</v>
      </c>
      <c r="F63" s="99">
        <v>20.521247047510862</v>
      </c>
      <c r="G63" s="98">
        <v>6.8398881662299136</v>
      </c>
      <c r="H63" s="100">
        <v>20.35243282780009</v>
      </c>
      <c r="I63" s="101">
        <v>6.6136472459121789</v>
      </c>
      <c r="J63" s="97">
        <v>18.815531908563621</v>
      </c>
      <c r="K63" s="98">
        <v>6.7017282965236031</v>
      </c>
      <c r="L63" s="100">
        <v>25.026906119902581</v>
      </c>
      <c r="M63" s="101">
        <v>5.9644616592684834</v>
      </c>
      <c r="N63" s="97">
        <v>4.5056590723917154</v>
      </c>
      <c r="O63" s="102">
        <v>8.4198646302182052</v>
      </c>
      <c r="P63" s="99">
        <v>21.49110651874928</v>
      </c>
      <c r="Q63" s="98">
        <v>2.9533585816725845</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58.160358300685971</v>
      </c>
      <c r="E64" s="98">
        <v>3.5172537063611062</v>
      </c>
      <c r="F64" s="99">
        <v>51.28969019228667</v>
      </c>
      <c r="G64" s="98">
        <v>8.032192000504935</v>
      </c>
      <c r="H64" s="100">
        <v>56.100881554336091</v>
      </c>
      <c r="I64" s="101">
        <v>7.1671716188071679</v>
      </c>
      <c r="J64" s="97">
        <v>67.362676717667838</v>
      </c>
      <c r="K64" s="98">
        <v>7.7078668144733671</v>
      </c>
      <c r="L64" s="100">
        <v>57.918027511323587</v>
      </c>
      <c r="M64" s="101">
        <v>9.5126597924623297</v>
      </c>
      <c r="N64" s="97">
        <v>6.6283373190369232</v>
      </c>
      <c r="O64" s="102">
        <v>12.364987261647602</v>
      </c>
      <c r="P64" s="99">
        <v>59.387747686911041</v>
      </c>
      <c r="Q64" s="98">
        <v>3.9224041623124095</v>
      </c>
      <c r="R64" s="100" t="s">
        <v>34</v>
      </c>
      <c r="S64" s="101" t="s">
        <v>34</v>
      </c>
      <c r="T64" s="97">
        <v>51.468121283856163</v>
      </c>
      <c r="U64" s="101">
        <v>8.7296248786802089</v>
      </c>
      <c r="V64" s="97">
        <v>-7.9196264030548775</v>
      </c>
      <c r="W64" s="104">
        <v>9.803472520585002</v>
      </c>
      <c r="X64" s="124"/>
      <c r="Y64" s="124"/>
      <c r="Z64" s="124"/>
      <c r="AA64" s="124"/>
      <c r="AB64" s="124"/>
      <c r="AC64" s="124"/>
      <c r="AD64" s="124"/>
      <c r="AE64" s="124"/>
    </row>
    <row r="65" spans="1:31" s="105" customFormat="1" x14ac:dyDescent="0.25">
      <c r="A65" s="118" t="s">
        <v>247</v>
      </c>
      <c r="B65" s="95">
        <v>177</v>
      </c>
      <c r="C65" s="96">
        <v>98.361724853515625</v>
      </c>
      <c r="D65" s="97">
        <v>55.390466331920521</v>
      </c>
      <c r="E65" s="98">
        <v>3.6389487723618088</v>
      </c>
      <c r="F65" s="99">
        <v>46.962642454608194</v>
      </c>
      <c r="G65" s="98">
        <v>7.3227338415536805</v>
      </c>
      <c r="H65" s="100">
        <v>57.594707114235163</v>
      </c>
      <c r="I65" s="101">
        <v>8.3073972165063452</v>
      </c>
      <c r="J65" s="97">
        <v>48.93469751368707</v>
      </c>
      <c r="K65" s="98">
        <v>7.7765222641169904</v>
      </c>
      <c r="L65" s="100">
        <v>68.109641960913038</v>
      </c>
      <c r="M65" s="101">
        <v>6.8202241144099265</v>
      </c>
      <c r="N65" s="97">
        <v>21.146999506304841</v>
      </c>
      <c r="O65" s="102">
        <v>9.5418639745425242</v>
      </c>
      <c r="P65" s="99">
        <v>56.353350939927942</v>
      </c>
      <c r="Q65" s="98">
        <v>3.7136311621921734</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23.594472156570721</v>
      </c>
      <c r="E66" s="98">
        <v>0.11453857766655598</v>
      </c>
      <c r="F66" s="99">
        <v>41.265870250453347</v>
      </c>
      <c r="G66" s="98">
        <v>0.34409702797433306</v>
      </c>
      <c r="H66" s="100">
        <v>31.814810190372949</v>
      </c>
      <c r="I66" s="101">
        <v>0.1305244780179311</v>
      </c>
      <c r="J66" s="97">
        <v>18.454660646811561</v>
      </c>
      <c r="K66" s="98">
        <v>0.17824319083849577</v>
      </c>
      <c r="L66" s="100">
        <v>1.6370480166586661</v>
      </c>
      <c r="M66" s="101">
        <v>0.10069779785059906</v>
      </c>
      <c r="N66" s="97">
        <v>-39.628822233794693</v>
      </c>
      <c r="O66" s="102">
        <v>0.35381821488659992</v>
      </c>
      <c r="P66" s="99">
        <v>28.08747981400295</v>
      </c>
      <c r="Q66" s="98">
        <v>0.12887175619650076</v>
      </c>
      <c r="R66" s="100" t="s">
        <v>34</v>
      </c>
      <c r="S66" s="101" t="s">
        <v>34</v>
      </c>
      <c r="T66" s="97">
        <v>2.2740099640075191</v>
      </c>
      <c r="U66" s="101">
        <v>0.13942165214024554</v>
      </c>
      <c r="V66" s="97">
        <v>-25.813469849995432</v>
      </c>
      <c r="W66" s="104">
        <v>0.18651132098605955</v>
      </c>
      <c r="X66" s="124"/>
      <c r="Y66" s="124"/>
      <c r="Z66" s="124"/>
      <c r="AA66" s="124"/>
      <c r="AB66" s="124"/>
      <c r="AC66" s="124"/>
      <c r="AD66" s="124"/>
      <c r="AE66" s="124"/>
    </row>
    <row r="67" spans="1:31" s="105" customFormat="1" x14ac:dyDescent="0.25">
      <c r="A67" s="118" t="s">
        <v>249</v>
      </c>
      <c r="B67" s="95">
        <v>212</v>
      </c>
      <c r="C67" s="96">
        <v>89.843269348144531</v>
      </c>
      <c r="D67" s="97">
        <v>30.631267095342071</v>
      </c>
      <c r="E67" s="98">
        <v>3.447966657283108</v>
      </c>
      <c r="F67" s="99">
        <v>40.730223710411977</v>
      </c>
      <c r="G67" s="98">
        <v>7.0623833995112379</v>
      </c>
      <c r="H67" s="100">
        <v>28.440727331130869</v>
      </c>
      <c r="I67" s="101">
        <v>9.4423738381898605</v>
      </c>
      <c r="J67" s="97">
        <v>34.056975558806741</v>
      </c>
      <c r="K67" s="98">
        <v>7.3504393149436735</v>
      </c>
      <c r="L67" s="100">
        <v>18.769629236117801</v>
      </c>
      <c r="M67" s="101">
        <v>5.9253605158494613</v>
      </c>
      <c r="N67" s="97">
        <v>-21.960594474294169</v>
      </c>
      <c r="O67" s="102">
        <v>8.7085153776305173</v>
      </c>
      <c r="P67" s="99">
        <v>33.366248151056581</v>
      </c>
      <c r="Q67" s="98">
        <v>4.0630774869776376</v>
      </c>
      <c r="R67" s="100">
        <v>81.703592131124338</v>
      </c>
      <c r="S67" s="101">
        <v>18.998060128741756</v>
      </c>
      <c r="T67" s="97">
        <v>7.3956694496834396</v>
      </c>
      <c r="U67" s="101">
        <v>5.2452059869913708</v>
      </c>
      <c r="V67" s="97">
        <v>-18.486701102313262</v>
      </c>
      <c r="W67" s="104">
        <v>7.8607531456159698</v>
      </c>
      <c r="X67" s="124"/>
      <c r="Y67" s="124"/>
      <c r="Z67" s="124"/>
      <c r="AA67" s="124"/>
      <c r="AB67" s="124"/>
      <c r="AC67" s="124"/>
      <c r="AD67" s="124"/>
      <c r="AE67" s="124"/>
    </row>
    <row r="68" spans="1:31" s="105" customFormat="1" x14ac:dyDescent="0.25">
      <c r="A68" s="118" t="s">
        <v>250</v>
      </c>
      <c r="B68" s="95">
        <v>307</v>
      </c>
      <c r="C68" s="96">
        <v>97.902061462402344</v>
      </c>
      <c r="D68" s="97">
        <v>49.59891335801094</v>
      </c>
      <c r="E68" s="98">
        <v>2.9358335975859098</v>
      </c>
      <c r="F68" s="99">
        <v>59.544689978761959</v>
      </c>
      <c r="G68" s="98">
        <v>6.7474696811621957</v>
      </c>
      <c r="H68" s="100">
        <v>58.605301887149679</v>
      </c>
      <c r="I68" s="101">
        <v>7.712393631232346</v>
      </c>
      <c r="J68" s="97">
        <v>38.604484498403608</v>
      </c>
      <c r="K68" s="98">
        <v>7.7618552705114583</v>
      </c>
      <c r="L68" s="100">
        <v>41.361606159111091</v>
      </c>
      <c r="M68" s="101">
        <v>6.2512596134656988</v>
      </c>
      <c r="N68" s="97">
        <v>-18.183083819650872</v>
      </c>
      <c r="O68" s="102">
        <v>8.6142173589230975</v>
      </c>
      <c r="P68" s="99">
        <v>52.942906632124092</v>
      </c>
      <c r="Q68" s="98">
        <v>3.2407547806921304</v>
      </c>
      <c r="R68" s="100" t="s">
        <v>34</v>
      </c>
      <c r="S68" s="101" t="s">
        <v>34</v>
      </c>
      <c r="T68" s="97">
        <v>19.249126561791229</v>
      </c>
      <c r="U68" s="101">
        <v>5.8816206535275466</v>
      </c>
      <c r="V68" s="97">
        <v>-33.693780070332863</v>
      </c>
      <c r="W68" s="104">
        <v>6.8024060436973492</v>
      </c>
      <c r="X68" s="124"/>
      <c r="Y68" s="124"/>
      <c r="Z68" s="124"/>
      <c r="AA68" s="124"/>
      <c r="AB68" s="124"/>
      <c r="AC68" s="124"/>
      <c r="AD68" s="124"/>
      <c r="AE68" s="124"/>
    </row>
    <row r="69" spans="1:31" s="105" customFormat="1" x14ac:dyDescent="0.25">
      <c r="A69" s="118" t="s">
        <v>303</v>
      </c>
      <c r="B69" s="95">
        <v>112</v>
      </c>
      <c r="C69" s="96">
        <v>75.546546936035156</v>
      </c>
      <c r="D69" s="97">
        <v>28.832709791204209</v>
      </c>
      <c r="E69" s="98">
        <v>4.531707483029944</v>
      </c>
      <c r="F69" s="99">
        <v>23.736250956643659</v>
      </c>
      <c r="G69" s="98">
        <v>10.091166264423308</v>
      </c>
      <c r="H69" s="100">
        <v>29.613944200326941</v>
      </c>
      <c r="I69" s="101">
        <v>9.7768866554512446</v>
      </c>
      <c r="J69" s="97">
        <v>28.957949463033842</v>
      </c>
      <c r="K69" s="98">
        <v>9.1259821158467478</v>
      </c>
      <c r="L69" s="100">
        <v>33.077496300603471</v>
      </c>
      <c r="M69" s="101">
        <v>7.5666645616814217</v>
      </c>
      <c r="N69" s="97">
        <v>9.341245343959816</v>
      </c>
      <c r="O69" s="102">
        <v>12.944902670979328</v>
      </c>
      <c r="P69" s="99">
        <v>26.780220028066541</v>
      </c>
      <c r="Q69" s="98">
        <v>14.313812990962401</v>
      </c>
      <c r="R69" s="100">
        <v>29.768972809006979</v>
      </c>
      <c r="S69" s="101">
        <v>4.4476676867112053</v>
      </c>
      <c r="T69" s="97" t="s">
        <v>34</v>
      </c>
      <c r="U69" s="101" t="s">
        <v>34</v>
      </c>
      <c r="V69" s="97">
        <v>2.9887527809404375</v>
      </c>
      <c r="W69" s="104">
        <v>13.481609344449236</v>
      </c>
      <c r="X69" s="124"/>
      <c r="Y69" s="124"/>
      <c r="Z69" s="124"/>
      <c r="AA69" s="124"/>
      <c r="AB69" s="124"/>
      <c r="AC69" s="124"/>
      <c r="AD69" s="124"/>
      <c r="AE69" s="124"/>
    </row>
    <row r="70" spans="1:31" s="105" customFormat="1" x14ac:dyDescent="0.25">
      <c r="A70" s="118" t="s">
        <v>251</v>
      </c>
      <c r="B70" s="95">
        <v>341</v>
      </c>
      <c r="C70" s="96">
        <v>89.094039916992188</v>
      </c>
      <c r="D70" s="97">
        <v>56.419601438919038</v>
      </c>
      <c r="E70" s="98">
        <v>4.730396544525302</v>
      </c>
      <c r="F70" s="99">
        <v>72.954179950766445</v>
      </c>
      <c r="G70" s="98">
        <v>8.1027981749917064</v>
      </c>
      <c r="H70" s="100">
        <v>54.501622670517392</v>
      </c>
      <c r="I70" s="101">
        <v>9.6670995134730724</v>
      </c>
      <c r="J70" s="97">
        <v>64.204344021569412</v>
      </c>
      <c r="K70" s="98">
        <v>11.970248631191772</v>
      </c>
      <c r="L70" s="100">
        <v>33.780951738240979</v>
      </c>
      <c r="M70" s="101">
        <v>10.929504041903121</v>
      </c>
      <c r="N70" s="97">
        <v>-39.173228212525473</v>
      </c>
      <c r="O70" s="102">
        <v>14.050769786274198</v>
      </c>
      <c r="P70" s="99">
        <v>53.285753054581129</v>
      </c>
      <c r="Q70" s="98">
        <v>6.2859575527125928</v>
      </c>
      <c r="R70" s="100">
        <v>73.710787027104146</v>
      </c>
      <c r="S70" s="101">
        <v>7.0408886479395907</v>
      </c>
      <c r="T70" s="97">
        <v>47.365045347735737</v>
      </c>
      <c r="U70" s="101">
        <v>12.882265669151911</v>
      </c>
      <c r="V70" s="97">
        <v>8.987036292124408</v>
      </c>
      <c r="W70" s="104">
        <v>9.2802819839389965</v>
      </c>
      <c r="X70" s="124"/>
      <c r="Y70" s="124"/>
      <c r="Z70" s="124"/>
      <c r="AA70" s="124"/>
      <c r="AB70" s="124"/>
      <c r="AC70" s="124"/>
      <c r="AD70" s="124"/>
      <c r="AE70" s="124"/>
    </row>
    <row r="71" spans="1:31" s="105" customFormat="1" x14ac:dyDescent="0.25">
      <c r="A71" s="118" t="s">
        <v>252</v>
      </c>
      <c r="B71" s="95">
        <v>311</v>
      </c>
      <c r="C71" s="96">
        <v>99.900131225585938</v>
      </c>
      <c r="D71" s="97">
        <v>57.13381740095047</v>
      </c>
      <c r="E71" s="98">
        <v>2.9950130396550469</v>
      </c>
      <c r="F71" s="99">
        <v>74.810755663825802</v>
      </c>
      <c r="G71" s="98">
        <v>6.4372434910110092</v>
      </c>
      <c r="H71" s="100">
        <v>64.570687095072415</v>
      </c>
      <c r="I71" s="101">
        <v>8.5434825219383299</v>
      </c>
      <c r="J71" s="97">
        <v>44.444251057809893</v>
      </c>
      <c r="K71" s="98">
        <v>7.8961051675431069</v>
      </c>
      <c r="L71" s="100">
        <v>44.658524921099414</v>
      </c>
      <c r="M71" s="101">
        <v>6.6387078621751341</v>
      </c>
      <c r="N71" s="97">
        <v>-30.152230742726399</v>
      </c>
      <c r="O71" s="102">
        <v>10.062947006360201</v>
      </c>
      <c r="P71" s="99">
        <v>62.241179822671199</v>
      </c>
      <c r="Q71" s="98">
        <v>3.6022860587348404</v>
      </c>
      <c r="R71" s="100" t="s">
        <v>34</v>
      </c>
      <c r="S71" s="101" t="s">
        <v>34</v>
      </c>
      <c r="T71" s="97">
        <v>37.628295108448583</v>
      </c>
      <c r="U71" s="101">
        <v>6.3204969532135902</v>
      </c>
      <c r="V71" s="97">
        <v>-24.612884714222616</v>
      </c>
      <c r="W71" s="104">
        <v>7.6364320711967366</v>
      </c>
      <c r="X71" s="124"/>
      <c r="Y71" s="124"/>
      <c r="Z71" s="124"/>
      <c r="AA71" s="124"/>
      <c r="AB71" s="124"/>
      <c r="AC71" s="124"/>
      <c r="AD71" s="124"/>
      <c r="AE71" s="124"/>
    </row>
    <row r="72" spans="1:31" s="105" customFormat="1" x14ac:dyDescent="0.25">
      <c r="A72" s="118" t="s">
        <v>253</v>
      </c>
      <c r="B72" s="95">
        <v>516</v>
      </c>
      <c r="C72" s="96">
        <v>80.3912353515625</v>
      </c>
      <c r="D72" s="97">
        <v>41.538260586013983</v>
      </c>
      <c r="E72" s="98">
        <v>3.076323963442777</v>
      </c>
      <c r="F72" s="99">
        <v>46.646451838424802</v>
      </c>
      <c r="G72" s="98">
        <v>6.5839145387958871</v>
      </c>
      <c r="H72" s="100">
        <v>46.744909626953891</v>
      </c>
      <c r="I72" s="101">
        <v>6.2981503028124797</v>
      </c>
      <c r="J72" s="97">
        <v>37.080660216159067</v>
      </c>
      <c r="K72" s="98">
        <v>6.8208197469621101</v>
      </c>
      <c r="L72" s="100">
        <v>35.460196029361022</v>
      </c>
      <c r="M72" s="101">
        <v>6.2123834319510793</v>
      </c>
      <c r="N72" s="97">
        <v>-11.18625580906377</v>
      </c>
      <c r="O72" s="102">
        <v>9.2622929537581129</v>
      </c>
      <c r="P72" s="99">
        <v>42.221527721133327</v>
      </c>
      <c r="Q72" s="98">
        <v>3.1082403977216391</v>
      </c>
      <c r="R72" s="100">
        <v>0</v>
      </c>
      <c r="S72" s="101" t="s">
        <v>35</v>
      </c>
      <c r="T72" s="97" t="s">
        <v>34</v>
      </c>
      <c r="U72" s="101" t="s">
        <v>34</v>
      </c>
      <c r="V72" s="97">
        <v>-42.221527721133327</v>
      </c>
      <c r="W72" s="104">
        <v>3.1082403977216391</v>
      </c>
      <c r="X72" s="124"/>
      <c r="Y72" s="124"/>
      <c r="Z72" s="124"/>
      <c r="AA72" s="124"/>
      <c r="AB72" s="124"/>
      <c r="AC72" s="124"/>
      <c r="AD72" s="124"/>
      <c r="AE72" s="124"/>
    </row>
    <row r="73" spans="1:31" s="105" customFormat="1" x14ac:dyDescent="0.25">
      <c r="A73" s="118" t="s">
        <v>254</v>
      </c>
      <c r="B73" s="95">
        <v>88</v>
      </c>
      <c r="C73" s="96">
        <v>73.040199279785156</v>
      </c>
      <c r="D73" s="97">
        <v>47.351038168221898</v>
      </c>
      <c r="E73" s="98">
        <v>1.5074803038383033</v>
      </c>
      <c r="F73" s="99">
        <v>44.349923700311741</v>
      </c>
      <c r="G73" s="98">
        <v>4.915240306462846</v>
      </c>
      <c r="H73" s="100">
        <v>78.478835505386868</v>
      </c>
      <c r="I73" s="101">
        <v>4.148017386017691</v>
      </c>
      <c r="J73" s="97">
        <v>49.244987818158293</v>
      </c>
      <c r="K73" s="98">
        <v>3.2549558778139258</v>
      </c>
      <c r="L73" s="100">
        <v>16.77246567157902</v>
      </c>
      <c r="M73" s="101">
        <v>2.8684596948411611</v>
      </c>
      <c r="N73" s="97">
        <v>-27.577458028732721</v>
      </c>
      <c r="O73" s="102">
        <v>5.5498892341920758</v>
      </c>
      <c r="P73" s="99">
        <v>48.143471769876278</v>
      </c>
      <c r="Q73" s="98">
        <v>1.5135121488995467</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202</v>
      </c>
      <c r="C74" s="96">
        <v>75.280220031738281</v>
      </c>
      <c r="D74" s="97">
        <v>30.025200923637481</v>
      </c>
      <c r="E74" s="98">
        <v>2.9689684136931329</v>
      </c>
      <c r="F74" s="99">
        <v>45.046459011469558</v>
      </c>
      <c r="G74" s="98">
        <v>7.5355499683349247</v>
      </c>
      <c r="H74" s="100">
        <v>49.08638815007621</v>
      </c>
      <c r="I74" s="101">
        <v>8.6071736337682374</v>
      </c>
      <c r="J74" s="97">
        <v>17.539284823070918</v>
      </c>
      <c r="K74" s="98">
        <v>6.6467828208654858</v>
      </c>
      <c r="L74" s="100">
        <v>8.1781452749908929</v>
      </c>
      <c r="M74" s="101">
        <v>4.2002539423526315</v>
      </c>
      <c r="N74" s="97">
        <v>-36.868313736478669</v>
      </c>
      <c r="O74" s="102">
        <v>8.5352600858712524</v>
      </c>
      <c r="P74" s="99">
        <v>49.714887702454917</v>
      </c>
      <c r="Q74" s="98">
        <v>5.293931900166009</v>
      </c>
      <c r="R74" s="100" t="s">
        <v>34</v>
      </c>
      <c r="S74" s="101" t="s">
        <v>34</v>
      </c>
      <c r="T74" s="97">
        <v>13.446690454526239</v>
      </c>
      <c r="U74" s="101">
        <v>4.8625499370923357</v>
      </c>
      <c r="V74" s="97">
        <v>-36.268197247928676</v>
      </c>
      <c r="W74" s="104">
        <v>6.8408025034610409</v>
      </c>
      <c r="X74" s="124"/>
      <c r="Y74" s="124"/>
      <c r="Z74" s="124"/>
      <c r="AA74" s="124"/>
      <c r="AB74" s="124"/>
      <c r="AC74" s="124"/>
      <c r="AD74" s="124"/>
      <c r="AE74" s="124"/>
    </row>
    <row r="75" spans="1:31" s="105" customFormat="1" x14ac:dyDescent="0.25">
      <c r="A75" s="118" t="s">
        <v>256</v>
      </c>
      <c r="B75" s="95">
        <v>45</v>
      </c>
      <c r="C75" s="96">
        <v>100</v>
      </c>
      <c r="D75" s="97">
        <v>34.649766527900233</v>
      </c>
      <c r="E75" s="98">
        <v>3.8303505045346124E-2</v>
      </c>
      <c r="F75" s="99">
        <v>58.412655459794507</v>
      </c>
      <c r="G75" s="98">
        <v>9.9562961454268961E-2</v>
      </c>
      <c r="H75" s="100">
        <v>34.820957018162822</v>
      </c>
      <c r="I75" s="101">
        <v>9.7469242617353485E-2</v>
      </c>
      <c r="J75" s="97">
        <v>21.193017908348821</v>
      </c>
      <c r="K75" s="98">
        <v>9.4811512197807146E-2</v>
      </c>
      <c r="L75" s="100">
        <v>18.457034645348148</v>
      </c>
      <c r="M75" s="101">
        <v>0.10396147808000805</v>
      </c>
      <c r="N75" s="97">
        <v>-39.955620814446362</v>
      </c>
      <c r="O75" s="102">
        <v>0.14708984149964144</v>
      </c>
      <c r="P75" s="99">
        <v>3.675162325028968</v>
      </c>
      <c r="Q75" s="98">
        <v>5.7785413353882214E-3</v>
      </c>
      <c r="R75" s="100">
        <v>40.385153747114707</v>
      </c>
      <c r="S75" s="101">
        <v>4.7115007423622297E-2</v>
      </c>
      <c r="T75" s="97" t="s">
        <v>34</v>
      </c>
      <c r="U75" s="101" t="s">
        <v>34</v>
      </c>
      <c r="V75" s="97">
        <v>36.709991422085736</v>
      </c>
      <c r="W75" s="104">
        <v>4.8108882220585174E-2</v>
      </c>
      <c r="X75" s="124"/>
      <c r="Y75" s="124"/>
      <c r="Z75" s="124"/>
      <c r="AA75" s="124"/>
      <c r="AB75" s="124"/>
      <c r="AC75" s="124"/>
      <c r="AD75" s="124"/>
      <c r="AE75" s="124"/>
    </row>
    <row r="76" spans="1:31" s="105" customFormat="1" x14ac:dyDescent="0.25">
      <c r="A76" s="118" t="s">
        <v>257</v>
      </c>
      <c r="B76" s="95">
        <v>190</v>
      </c>
      <c r="C76" s="96">
        <v>99.531219482421875</v>
      </c>
      <c r="D76" s="97">
        <v>29.467335168382501</v>
      </c>
      <c r="E76" s="98">
        <v>3.5812236231219674</v>
      </c>
      <c r="F76" s="99">
        <v>38.060859262020493</v>
      </c>
      <c r="G76" s="98">
        <v>8.446864611806344</v>
      </c>
      <c r="H76" s="100">
        <v>19.170396435955858</v>
      </c>
      <c r="I76" s="101">
        <v>8.7385795604123917</v>
      </c>
      <c r="J76" s="97">
        <v>29.86709335516592</v>
      </c>
      <c r="K76" s="98">
        <v>6.9371324390448672</v>
      </c>
      <c r="L76" s="100">
        <v>30.994653213851969</v>
      </c>
      <c r="M76" s="101">
        <v>7.6478851130574528</v>
      </c>
      <c r="N76" s="97">
        <v>-7.0662060481685174</v>
      </c>
      <c r="O76" s="102">
        <v>11.621994586369704</v>
      </c>
      <c r="P76" s="99">
        <v>30.446881699497421</v>
      </c>
      <c r="Q76" s="98">
        <v>3.723614777473478</v>
      </c>
      <c r="R76" s="100" t="s">
        <v>34</v>
      </c>
      <c r="S76" s="101" t="s">
        <v>34</v>
      </c>
      <c r="T76" s="97">
        <v>15.777629794653331</v>
      </c>
      <c r="U76" s="101">
        <v>9.4323878659983151</v>
      </c>
      <c r="V76" s="97">
        <v>-14.66925190484409</v>
      </c>
      <c r="W76" s="104">
        <v>10.087323957959573</v>
      </c>
      <c r="X76" s="124"/>
      <c r="Y76" s="124"/>
      <c r="Z76" s="124"/>
      <c r="AA76" s="124"/>
      <c r="AB76" s="124"/>
      <c r="AC76" s="124"/>
      <c r="AD76" s="124"/>
      <c r="AE76" s="124"/>
    </row>
    <row r="77" spans="1:31" s="105" customFormat="1" x14ac:dyDescent="0.25">
      <c r="A77" s="118" t="s">
        <v>258</v>
      </c>
      <c r="B77" s="95">
        <v>49</v>
      </c>
      <c r="C77" s="96">
        <v>99.911201477050781</v>
      </c>
      <c r="D77" s="97">
        <v>30.763013926146929</v>
      </c>
      <c r="E77" s="98">
        <v>0.12830966548071779</v>
      </c>
      <c r="F77" s="99">
        <v>70.844081894213033</v>
      </c>
      <c r="G77" s="98">
        <v>0.31241216489893653</v>
      </c>
      <c r="H77" s="100">
        <v>36.833629665920242</v>
      </c>
      <c r="I77" s="101">
        <v>0.34530228252007095</v>
      </c>
      <c r="J77" s="97">
        <v>10.05920737250424</v>
      </c>
      <c r="K77" s="98">
        <v>0.18141072485879711</v>
      </c>
      <c r="L77" s="100">
        <v>4.6707310864285141</v>
      </c>
      <c r="M77" s="101">
        <v>2.686580818552994E-2</v>
      </c>
      <c r="N77" s="97">
        <v>-66.173350807784516</v>
      </c>
      <c r="O77" s="102">
        <v>0.31766245964385098</v>
      </c>
      <c r="P77" s="99">
        <v>48.925794508216022</v>
      </c>
      <c r="Q77" s="98">
        <v>0.22388644327549706</v>
      </c>
      <c r="R77" s="100">
        <v>12.414155191663371</v>
      </c>
      <c r="S77" s="101">
        <v>0.19884186463592379</v>
      </c>
      <c r="T77" s="97">
        <v>0</v>
      </c>
      <c r="U77" s="101" t="s">
        <v>35</v>
      </c>
      <c r="V77" s="97">
        <v>-40.301350757793244</v>
      </c>
      <c r="W77" s="104">
        <v>0.25990660408053612</v>
      </c>
      <c r="X77" s="124"/>
      <c r="Y77" s="124"/>
      <c r="Z77" s="124"/>
      <c r="AA77" s="124"/>
      <c r="AB77" s="124"/>
      <c r="AC77" s="124"/>
      <c r="AD77" s="124"/>
      <c r="AE77" s="124"/>
    </row>
    <row r="78" spans="1:31" s="105" customFormat="1" x14ac:dyDescent="0.25">
      <c r="A78" s="118" t="s">
        <v>259</v>
      </c>
      <c r="B78" s="95">
        <v>216</v>
      </c>
      <c r="C78" s="96">
        <v>94.162857055664063</v>
      </c>
      <c r="D78" s="97">
        <v>31.354915269826261</v>
      </c>
      <c r="E78" s="98">
        <v>3.6336393862418861</v>
      </c>
      <c r="F78" s="99">
        <v>20.807751478235531</v>
      </c>
      <c r="G78" s="98">
        <v>5.5330183150151138</v>
      </c>
      <c r="H78" s="100">
        <v>27.490826123034299</v>
      </c>
      <c r="I78" s="101">
        <v>7.637050150498502</v>
      </c>
      <c r="J78" s="97">
        <v>36.031499528427517</v>
      </c>
      <c r="K78" s="98">
        <v>6.8696680048801939</v>
      </c>
      <c r="L78" s="100">
        <v>41.269720928373602</v>
      </c>
      <c r="M78" s="101">
        <v>9.4434656555199172</v>
      </c>
      <c r="N78" s="97">
        <v>20.461969450138071</v>
      </c>
      <c r="O78" s="102">
        <v>10.433307886303119</v>
      </c>
      <c r="P78" s="99">
        <v>30.88198988503078</v>
      </c>
      <c r="Q78" s="98">
        <v>3.6171481512857895</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40.552806142769661</v>
      </c>
      <c r="E79" s="98">
        <v>6.1278407823569511E-2</v>
      </c>
      <c r="F79" s="99">
        <v>47.581443598081513</v>
      </c>
      <c r="G79" s="98">
        <v>0.13856786131636234</v>
      </c>
      <c r="H79" s="100">
        <v>36.830677973713193</v>
      </c>
      <c r="I79" s="101">
        <v>0.12459724485884824</v>
      </c>
      <c r="J79" s="97">
        <v>45.062262377356276</v>
      </c>
      <c r="K79" s="98">
        <v>8.9443605720905081E-2</v>
      </c>
      <c r="L79" s="100">
        <v>31.765154975562961</v>
      </c>
      <c r="M79" s="101">
        <v>0.1084434849502406</v>
      </c>
      <c r="N79" s="97">
        <v>-15.816288622518551</v>
      </c>
      <c r="O79" s="102">
        <v>0.16295053973167328</v>
      </c>
      <c r="P79" s="99">
        <v>40.629914030763871</v>
      </c>
      <c r="Q79" s="98">
        <v>6.1121764398620035E-2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173</v>
      </c>
      <c r="C80" s="96">
        <v>96.38726806640625</v>
      </c>
      <c r="D80" s="97">
        <v>51.556596645806273</v>
      </c>
      <c r="E80" s="98">
        <v>3.5730313674494716</v>
      </c>
      <c r="F80" s="99">
        <v>54.666865920750531</v>
      </c>
      <c r="G80" s="98">
        <v>7.0668479165011737</v>
      </c>
      <c r="H80" s="100">
        <v>63.395283819520863</v>
      </c>
      <c r="I80" s="101">
        <v>10.42735947475237</v>
      </c>
      <c r="J80" s="97">
        <v>56.194426694281589</v>
      </c>
      <c r="K80" s="98">
        <v>8.9755498077202311</v>
      </c>
      <c r="L80" s="100">
        <v>32.054444684899501</v>
      </c>
      <c r="M80" s="101">
        <v>7.0723925982496274</v>
      </c>
      <c r="N80" s="97">
        <v>-22.612421235851031</v>
      </c>
      <c r="O80" s="102">
        <v>9.6185382631670411</v>
      </c>
      <c r="P80" s="99">
        <v>54.983677407745667</v>
      </c>
      <c r="Q80" s="98">
        <v>3.730727635236653</v>
      </c>
      <c r="R80" s="100" t="s">
        <v>34</v>
      </c>
      <c r="S80" s="101" t="s">
        <v>34</v>
      </c>
      <c r="T80" s="97">
        <v>0</v>
      </c>
      <c r="U80" s="101" t="s">
        <v>35</v>
      </c>
      <c r="V80" s="97">
        <v>-54.983677407745667</v>
      </c>
      <c r="W80" s="104">
        <v>3.730727635236653</v>
      </c>
      <c r="X80" s="124"/>
      <c r="Y80" s="124"/>
      <c r="Z80" s="124"/>
      <c r="AA80" s="124"/>
      <c r="AB80" s="124"/>
      <c r="AC80" s="124"/>
      <c r="AD80" s="124"/>
      <c r="AE80" s="124"/>
    </row>
    <row r="81" spans="1:31" s="105" customFormat="1" x14ac:dyDescent="0.25">
      <c r="A81" s="118" t="s">
        <v>262</v>
      </c>
      <c r="B81" s="95">
        <v>97</v>
      </c>
      <c r="C81" s="96">
        <v>90.181854248046875</v>
      </c>
      <c r="D81" s="97">
        <v>34.158976623625357</v>
      </c>
      <c r="E81" s="98">
        <v>7.3377979310968067E-2</v>
      </c>
      <c r="F81" s="99">
        <v>37.3233617847118</v>
      </c>
      <c r="G81" s="98">
        <v>0.20920714680927568</v>
      </c>
      <c r="H81" s="100">
        <v>34.762980347165573</v>
      </c>
      <c r="I81" s="101">
        <v>0.81276970616659705</v>
      </c>
      <c r="J81" s="97">
        <v>46.94231294624619</v>
      </c>
      <c r="K81" s="98">
        <v>1.3192129029427071</v>
      </c>
      <c r="L81" s="100">
        <v>18.273949368477311</v>
      </c>
      <c r="M81" s="101">
        <v>0.72887078171495112</v>
      </c>
      <c r="N81" s="97">
        <v>-19.049412416234489</v>
      </c>
      <c r="O81" s="102">
        <v>0.7727018749376241</v>
      </c>
      <c r="P81" s="99">
        <v>35.09090176902864</v>
      </c>
      <c r="Q81" s="98">
        <v>7.5822199759943462E-2</v>
      </c>
      <c r="R81" s="100" t="s">
        <v>34</v>
      </c>
      <c r="S81" s="101" t="s">
        <v>34</v>
      </c>
      <c r="T81" s="97">
        <v>0</v>
      </c>
      <c r="U81" s="101" t="s">
        <v>35</v>
      </c>
      <c r="V81" s="97">
        <v>-35.09090176902864</v>
      </c>
      <c r="W81" s="104">
        <v>7.5822199759943462E-2</v>
      </c>
      <c r="X81" s="124"/>
      <c r="Y81" s="124"/>
      <c r="Z81" s="124"/>
      <c r="AA81" s="124"/>
      <c r="AB81" s="124"/>
      <c r="AC81" s="124"/>
      <c r="AD81" s="124"/>
      <c r="AE81" s="124"/>
    </row>
    <row r="82" spans="1:31" s="105" customFormat="1" x14ac:dyDescent="0.25">
      <c r="A82" s="118" t="s">
        <v>263</v>
      </c>
      <c r="B82" s="95">
        <v>140</v>
      </c>
      <c r="C82" s="96">
        <v>69.341796875</v>
      </c>
      <c r="D82" s="97">
        <v>44.086443405390611</v>
      </c>
      <c r="E82" s="98">
        <v>2.832230925686213</v>
      </c>
      <c r="F82" s="99">
        <v>53.640058143082371</v>
      </c>
      <c r="G82" s="98">
        <v>9.2710855106528367</v>
      </c>
      <c r="H82" s="100">
        <v>53.175559348593843</v>
      </c>
      <c r="I82" s="101">
        <v>6.4393049501731543</v>
      </c>
      <c r="J82" s="97">
        <v>36.136272052686643</v>
      </c>
      <c r="K82" s="98">
        <v>8.7910674755706832</v>
      </c>
      <c r="L82" s="100">
        <v>33.231131477259147</v>
      </c>
      <c r="M82" s="101">
        <v>7.4246287093316266</v>
      </c>
      <c r="N82" s="97">
        <v>-20.40892666582322</v>
      </c>
      <c r="O82" s="102">
        <v>11.629746910889709</v>
      </c>
      <c r="P82" s="99">
        <v>53.157915317245987</v>
      </c>
      <c r="Q82" s="98">
        <v>2.9323109808880892</v>
      </c>
      <c r="R82" s="100" t="s">
        <v>34</v>
      </c>
      <c r="S82" s="101" t="s">
        <v>34</v>
      </c>
      <c r="T82" s="97">
        <v>9.5694485734234505</v>
      </c>
      <c r="U82" s="101">
        <v>6.7182957647576718</v>
      </c>
      <c r="V82" s="97">
        <v>-43.588466743822536</v>
      </c>
      <c r="W82" s="104">
        <v>7.3469558227090204</v>
      </c>
      <c r="X82" s="124"/>
      <c r="Y82" s="124"/>
      <c r="Z82" s="124"/>
      <c r="AA82" s="124"/>
      <c r="AB82" s="124"/>
      <c r="AC82" s="124"/>
      <c r="AD82" s="124"/>
      <c r="AE82" s="124"/>
    </row>
    <row r="83" spans="1:31" s="105" customFormat="1" x14ac:dyDescent="0.25">
      <c r="A83" s="118" t="s">
        <v>264</v>
      </c>
      <c r="B83" s="95">
        <v>323</v>
      </c>
      <c r="C83" s="96">
        <v>97.6805419921875</v>
      </c>
      <c r="D83" s="97">
        <v>40.058232427613149</v>
      </c>
      <c r="E83" s="98">
        <v>2.8195744112196266</v>
      </c>
      <c r="F83" s="99">
        <v>47.740385933196173</v>
      </c>
      <c r="G83" s="98">
        <v>5.845273832469144</v>
      </c>
      <c r="H83" s="100">
        <v>50.574230743210919</v>
      </c>
      <c r="I83" s="101">
        <v>6.8869405059182158</v>
      </c>
      <c r="J83" s="97">
        <v>43.610787439936459</v>
      </c>
      <c r="K83" s="98">
        <v>7.5962743127654582</v>
      </c>
      <c r="L83" s="100">
        <v>18.200041247618842</v>
      </c>
      <c r="M83" s="101">
        <v>5.0233818228323717</v>
      </c>
      <c r="N83" s="97">
        <v>-29.540344685577331</v>
      </c>
      <c r="O83" s="102">
        <v>6.6442712906939194</v>
      </c>
      <c r="P83" s="99">
        <v>48.915143147852348</v>
      </c>
      <c r="Q83" s="98">
        <v>3.3360878911192167</v>
      </c>
      <c r="R83" s="100" t="s">
        <v>34</v>
      </c>
      <c r="S83" s="101" t="s">
        <v>34</v>
      </c>
      <c r="T83" s="97">
        <v>12.22601781177692</v>
      </c>
      <c r="U83" s="101">
        <v>3.6061648922184637</v>
      </c>
      <c r="V83" s="97">
        <v>-36.689125336075428</v>
      </c>
      <c r="W83" s="104">
        <v>4.7758817616665672</v>
      </c>
      <c r="X83" s="124"/>
      <c r="Y83" s="124"/>
      <c r="Z83" s="124"/>
      <c r="AA83" s="124"/>
      <c r="AB83" s="124"/>
      <c r="AC83" s="124"/>
      <c r="AD83" s="124"/>
      <c r="AE83" s="124"/>
    </row>
    <row r="84" spans="1:31" s="105" customFormat="1" x14ac:dyDescent="0.25">
      <c r="A84" s="118" t="s">
        <v>265</v>
      </c>
      <c r="B84" s="95">
        <v>186</v>
      </c>
      <c r="C84" s="96">
        <v>99.705375671386719</v>
      </c>
      <c r="D84" s="97">
        <v>51.814254111180738</v>
      </c>
      <c r="E84" s="98">
        <v>3.4910186832877113</v>
      </c>
      <c r="F84" s="99">
        <v>57.943061404074463</v>
      </c>
      <c r="G84" s="98">
        <v>7.6648268687257168</v>
      </c>
      <c r="H84" s="100">
        <v>64.207741626720122</v>
      </c>
      <c r="I84" s="101">
        <v>7.3714092206829349</v>
      </c>
      <c r="J84" s="97">
        <v>57.392285424505602</v>
      </c>
      <c r="K84" s="98">
        <v>8.7838527153088553</v>
      </c>
      <c r="L84" s="100">
        <v>27.938852676275602</v>
      </c>
      <c r="M84" s="101">
        <v>7.3182827462269096</v>
      </c>
      <c r="N84" s="97">
        <v>-30.004208727798851</v>
      </c>
      <c r="O84" s="102">
        <v>10.872997250997887</v>
      </c>
      <c r="P84" s="99">
        <v>60.119663387596347</v>
      </c>
      <c r="Q84" s="98">
        <v>3.8199086801348114</v>
      </c>
      <c r="R84" s="100">
        <v>18.829366168551228</v>
      </c>
      <c r="S84" s="101">
        <v>8.7109942368737912</v>
      </c>
      <c r="T84" s="97">
        <v>5.6670054353742039</v>
      </c>
      <c r="U84" s="101">
        <v>5.7277284477923835</v>
      </c>
      <c r="V84" s="97">
        <v>-47.576394437964446</v>
      </c>
      <c r="W84" s="104">
        <v>6.669433913170244</v>
      </c>
      <c r="X84" s="124"/>
      <c r="Y84" s="124"/>
      <c r="Z84" s="124"/>
      <c r="AA84" s="124"/>
      <c r="AB84" s="124"/>
      <c r="AC84" s="124"/>
      <c r="AD84" s="124"/>
      <c r="AE84" s="124"/>
    </row>
    <row r="85" spans="1:31" s="105" customFormat="1" x14ac:dyDescent="0.25">
      <c r="A85" s="118" t="s">
        <v>266</v>
      </c>
      <c r="B85" s="95">
        <v>137</v>
      </c>
      <c r="C85" s="96">
        <v>86.319252014160156</v>
      </c>
      <c r="D85" s="97">
        <v>8.8881069982493095</v>
      </c>
      <c r="E85" s="98">
        <v>4.2269627307473016E-2</v>
      </c>
      <c r="F85" s="99">
        <v>10.806759495255649</v>
      </c>
      <c r="G85" s="98">
        <v>8.6359470408488334E-2</v>
      </c>
      <c r="H85" s="100">
        <v>4.6961884659489161</v>
      </c>
      <c r="I85" s="101">
        <v>4.2099682021745383E-2</v>
      </c>
      <c r="J85" s="97">
        <v>12.689330429501529</v>
      </c>
      <c r="K85" s="98">
        <v>9.289509082475482E-2</v>
      </c>
      <c r="L85" s="100">
        <v>7.6504332027766173</v>
      </c>
      <c r="M85" s="101">
        <v>0.10089258736823957</v>
      </c>
      <c r="N85" s="97">
        <v>-3.1563262924790321</v>
      </c>
      <c r="O85" s="102">
        <v>0.13523497412757865</v>
      </c>
      <c r="P85" s="99">
        <v>7.6169267344699394</v>
      </c>
      <c r="Q85" s="98">
        <v>4.5019283164583319E-2</v>
      </c>
      <c r="R85" s="100" t="s">
        <v>34</v>
      </c>
      <c r="S85" s="101" t="s">
        <v>34</v>
      </c>
      <c r="T85" s="97">
        <v>10.58088403359103</v>
      </c>
      <c r="U85" s="101">
        <v>7.4667958396923237E-2</v>
      </c>
      <c r="V85" s="97">
        <v>2.9639572991210903</v>
      </c>
      <c r="W85" s="104">
        <v>8.7142373453219527E-2</v>
      </c>
      <c r="X85" s="124"/>
      <c r="Y85" s="124"/>
      <c r="Z85" s="124"/>
      <c r="AA85" s="124"/>
      <c r="AB85" s="124"/>
      <c r="AC85" s="124"/>
      <c r="AD85" s="124"/>
      <c r="AE85" s="124"/>
    </row>
    <row r="86" spans="1:31" s="105" customFormat="1" x14ac:dyDescent="0.25">
      <c r="A86" s="118" t="s">
        <v>267</v>
      </c>
      <c r="B86" s="95">
        <v>141</v>
      </c>
      <c r="C86" s="96">
        <v>93.061271667480469</v>
      </c>
      <c r="D86" s="97">
        <v>26.731095380902708</v>
      </c>
      <c r="E86" s="98">
        <v>3.6414520787294822</v>
      </c>
      <c r="F86" s="99">
        <v>31.913566207568518</v>
      </c>
      <c r="G86" s="98">
        <v>8.9989077620456115</v>
      </c>
      <c r="H86" s="100">
        <v>25.96264615908742</v>
      </c>
      <c r="I86" s="101">
        <v>11.829382961702176</v>
      </c>
      <c r="J86" s="97">
        <v>23.647301880592991</v>
      </c>
      <c r="K86" s="98">
        <v>11.21295465144547</v>
      </c>
      <c r="L86" s="100">
        <v>25.27145166487</v>
      </c>
      <c r="M86" s="101">
        <v>10.236061112898344</v>
      </c>
      <c r="N86" s="97">
        <v>-6.6421145426985149</v>
      </c>
      <c r="O86" s="102">
        <v>15.294972982506069</v>
      </c>
      <c r="P86" s="99">
        <v>27.330409822419561</v>
      </c>
      <c r="Q86" s="98">
        <v>3.7427736268185536</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41.821738597517147</v>
      </c>
      <c r="E87" s="98">
        <v>3.6873404523866857</v>
      </c>
      <c r="F87" s="99">
        <v>51.630858951994767</v>
      </c>
      <c r="G87" s="98">
        <v>7.503819722413664</v>
      </c>
      <c r="H87" s="100">
        <v>41.08735352148004</v>
      </c>
      <c r="I87" s="101">
        <v>7.4001183122128333</v>
      </c>
      <c r="J87" s="97">
        <v>44.856491200937057</v>
      </c>
      <c r="K87" s="98">
        <v>6.8384650050515008</v>
      </c>
      <c r="L87" s="100">
        <v>29.431539313255499</v>
      </c>
      <c r="M87" s="101">
        <v>7.051086164056283</v>
      </c>
      <c r="N87" s="97">
        <v>-22.199319638739269</v>
      </c>
      <c r="O87" s="102">
        <v>10.678352581018688</v>
      </c>
      <c r="P87" s="99">
        <v>41.821738597517147</v>
      </c>
      <c r="Q87" s="98">
        <v>3.6873404523866857</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169</v>
      </c>
      <c r="C88" s="96">
        <v>80.722206115722656</v>
      </c>
      <c r="D88" s="97">
        <v>49.530455666356232</v>
      </c>
      <c r="E88" s="98">
        <v>3.8678466257291011</v>
      </c>
      <c r="F88" s="99">
        <v>50.254184079902352</v>
      </c>
      <c r="G88" s="98">
        <v>9.4442970468974821</v>
      </c>
      <c r="H88" s="100">
        <v>63.4248151899085</v>
      </c>
      <c r="I88" s="101">
        <v>9.2390909292264158</v>
      </c>
      <c r="J88" s="97">
        <v>49.249202040720519</v>
      </c>
      <c r="K88" s="98">
        <v>9.5947489199202955</v>
      </c>
      <c r="L88" s="100">
        <v>35.130164008879909</v>
      </c>
      <c r="M88" s="101">
        <v>8.4624575189634612</v>
      </c>
      <c r="N88" s="97">
        <v>-15.124020071022439</v>
      </c>
      <c r="O88" s="102">
        <v>12.682933399862589</v>
      </c>
      <c r="P88" s="99">
        <v>52.711374686761722</v>
      </c>
      <c r="Q88" s="98">
        <v>4.1165314976033729</v>
      </c>
      <c r="R88" s="100" t="s">
        <v>34</v>
      </c>
      <c r="S88" s="101" t="s">
        <v>34</v>
      </c>
      <c r="T88" s="97">
        <v>21.079478550928879</v>
      </c>
      <c r="U88" s="101">
        <v>10.885581412706944</v>
      </c>
      <c r="V88" s="97">
        <v>-31.631896135832843</v>
      </c>
      <c r="W88" s="104">
        <v>11.719749202250343</v>
      </c>
      <c r="X88" s="124"/>
      <c r="Y88" s="124"/>
      <c r="Z88" s="124"/>
      <c r="AA88" s="124"/>
      <c r="AB88" s="124"/>
      <c r="AC88" s="124"/>
      <c r="AD88" s="124"/>
      <c r="AE88" s="124"/>
    </row>
    <row r="89" spans="1:31" s="105" customFormat="1" x14ac:dyDescent="0.25">
      <c r="A89" s="118" t="s">
        <v>270</v>
      </c>
      <c r="B89" s="95">
        <v>177</v>
      </c>
      <c r="C89" s="96">
        <v>98.513496398925781</v>
      </c>
      <c r="D89" s="97">
        <v>46.656448572410397</v>
      </c>
      <c r="E89" s="98">
        <v>3.577178388189147</v>
      </c>
      <c r="F89" s="99">
        <v>56.800539906900298</v>
      </c>
      <c r="G89" s="98">
        <v>7.9940325658566103</v>
      </c>
      <c r="H89" s="100">
        <v>35.128995585912861</v>
      </c>
      <c r="I89" s="101">
        <v>8.001678593905341</v>
      </c>
      <c r="J89" s="97">
        <v>45.39618298281323</v>
      </c>
      <c r="K89" s="98">
        <v>6.4129202695787226</v>
      </c>
      <c r="L89" s="100">
        <v>49.104849790156258</v>
      </c>
      <c r="M89" s="101">
        <v>7.5761102097377995</v>
      </c>
      <c r="N89" s="97">
        <v>-7.6956901167440463</v>
      </c>
      <c r="O89" s="102">
        <v>10.89606877368429</v>
      </c>
      <c r="P89" s="99">
        <v>48.214909308986378</v>
      </c>
      <c r="Q89" s="98">
        <v>3.5939347118399247</v>
      </c>
      <c r="R89" s="100" t="s">
        <v>34</v>
      </c>
      <c r="S89" s="101" t="s">
        <v>34</v>
      </c>
      <c r="T89" s="97">
        <v>0</v>
      </c>
      <c r="U89" s="101" t="s">
        <v>35</v>
      </c>
      <c r="V89" s="97">
        <v>-48.214909308986378</v>
      </c>
      <c r="W89" s="104">
        <v>3.5939347118399247</v>
      </c>
      <c r="X89" s="124"/>
      <c r="Y89" s="124"/>
      <c r="Z89" s="124"/>
      <c r="AA89" s="124"/>
      <c r="AB89" s="124"/>
      <c r="AC89" s="124"/>
      <c r="AD89" s="124"/>
      <c r="AE89" s="124"/>
    </row>
    <row r="90" spans="1:31" s="105" customFormat="1" x14ac:dyDescent="0.25">
      <c r="A90" s="118" t="s">
        <v>271</v>
      </c>
      <c r="B90" s="95">
        <v>166</v>
      </c>
      <c r="C90" s="96">
        <v>100</v>
      </c>
      <c r="D90" s="97">
        <v>5.7558923414878853</v>
      </c>
      <c r="E90" s="98">
        <v>0.40968256001531694</v>
      </c>
      <c r="F90" s="99">
        <v>7.5124407806963216</v>
      </c>
      <c r="G90" s="98">
        <v>0.1540971134896307</v>
      </c>
      <c r="H90" s="100">
        <v>10.47644916328111</v>
      </c>
      <c r="I90" s="101">
        <v>0.45551528117847617</v>
      </c>
      <c r="J90" s="97">
        <v>3.1285601105211231</v>
      </c>
      <c r="K90" s="98">
        <v>0.41717996529032325</v>
      </c>
      <c r="L90" s="100">
        <v>1.9281338157248289</v>
      </c>
      <c r="M90" s="101">
        <v>1.0476149792321146</v>
      </c>
      <c r="N90" s="97">
        <v>-5.5843069649714936</v>
      </c>
      <c r="O90" s="102">
        <v>1.0252320633774585</v>
      </c>
      <c r="P90" s="99">
        <v>5.6537158070499451</v>
      </c>
      <c r="Q90" s="98">
        <v>4.4611267227183012E-2</v>
      </c>
      <c r="R90" s="100" t="s">
        <v>34</v>
      </c>
      <c r="S90" s="101" t="s">
        <v>34</v>
      </c>
      <c r="T90" s="97">
        <v>8.5076182684611243</v>
      </c>
      <c r="U90" s="101">
        <v>5.6115429200665838</v>
      </c>
      <c r="V90" s="97">
        <v>2.8539024614111792</v>
      </c>
      <c r="W90" s="104">
        <v>5.6095137714245746</v>
      </c>
      <c r="X90" s="124"/>
      <c r="Y90" s="124"/>
      <c r="Z90" s="124"/>
      <c r="AA90" s="124"/>
      <c r="AB90" s="124"/>
      <c r="AC90" s="124"/>
      <c r="AD90" s="124"/>
      <c r="AE90" s="124"/>
    </row>
    <row r="91" spans="1:31" s="105" customFormat="1" x14ac:dyDescent="0.25">
      <c r="A91" s="118" t="s">
        <v>272</v>
      </c>
      <c r="B91" s="95">
        <v>186</v>
      </c>
      <c r="C91" s="96">
        <v>96.725265502929688</v>
      </c>
      <c r="D91" s="97">
        <v>25.029262784164921</v>
      </c>
      <c r="E91" s="98">
        <v>3.1932759189468576</v>
      </c>
      <c r="F91" s="99">
        <v>23.41227929995944</v>
      </c>
      <c r="G91" s="98">
        <v>6.832273937687849</v>
      </c>
      <c r="H91" s="100">
        <v>34.647650689301983</v>
      </c>
      <c r="I91" s="101">
        <v>7.2578148574404358</v>
      </c>
      <c r="J91" s="97">
        <v>15.43483370867639</v>
      </c>
      <c r="K91" s="98">
        <v>6.1445172901956377</v>
      </c>
      <c r="L91" s="100">
        <v>26.554902271630109</v>
      </c>
      <c r="M91" s="101">
        <v>6.9160224634767866</v>
      </c>
      <c r="N91" s="97">
        <v>3.1426229716706691</v>
      </c>
      <c r="O91" s="102">
        <v>9.3539378348708766</v>
      </c>
      <c r="P91" s="99">
        <v>27.143927787147302</v>
      </c>
      <c r="Q91" s="98">
        <v>4.3053828641634686</v>
      </c>
      <c r="R91" s="100">
        <v>9.7927932124049928</v>
      </c>
      <c r="S91" s="101">
        <v>6.5018486405371512</v>
      </c>
      <c r="T91" s="97">
        <v>24.79118118756681</v>
      </c>
      <c r="U91" s="101">
        <v>6.0645811045190028</v>
      </c>
      <c r="V91" s="97">
        <v>-7.7075796158367815</v>
      </c>
      <c r="W91" s="104">
        <v>6.2318642363548697</v>
      </c>
      <c r="X91" s="124"/>
      <c r="Y91" s="124"/>
      <c r="Z91" s="124"/>
      <c r="AA91" s="124"/>
      <c r="AB91" s="124"/>
      <c r="AC91" s="124"/>
      <c r="AD91" s="124"/>
      <c r="AE91" s="124"/>
    </row>
    <row r="92" spans="1:31" s="105" customFormat="1" x14ac:dyDescent="0.25">
      <c r="A92" s="118" t="s">
        <v>273</v>
      </c>
      <c r="B92" s="95">
        <v>204</v>
      </c>
      <c r="C92" s="96">
        <v>92.950508117675781</v>
      </c>
      <c r="D92" s="97">
        <v>31.401286404566591</v>
      </c>
      <c r="E92" s="98">
        <v>3.1286364110460636</v>
      </c>
      <c r="F92" s="99">
        <v>48.168559823301372</v>
      </c>
      <c r="G92" s="98">
        <v>7.6557325434161925</v>
      </c>
      <c r="H92" s="100">
        <v>42.941735232729869</v>
      </c>
      <c r="I92" s="101">
        <v>9.7024959820145096</v>
      </c>
      <c r="J92" s="97">
        <v>27.287134042818671</v>
      </c>
      <c r="K92" s="98">
        <v>8.7387144598723516</v>
      </c>
      <c r="L92" s="100">
        <v>6.8697834858346916</v>
      </c>
      <c r="M92" s="101">
        <v>6.2860538518144073</v>
      </c>
      <c r="N92" s="97">
        <v>-41.298776337466677</v>
      </c>
      <c r="O92" s="102">
        <v>10.230677082323867</v>
      </c>
      <c r="P92" s="99">
        <v>35.550662511915718</v>
      </c>
      <c r="Q92" s="98">
        <v>3.4323599089537211</v>
      </c>
      <c r="R92" s="100">
        <v>19.83498860965706</v>
      </c>
      <c r="S92" s="101">
        <v>10.094676829334935</v>
      </c>
      <c r="T92" s="97">
        <v>0</v>
      </c>
      <c r="U92" s="101" t="s">
        <v>35</v>
      </c>
      <c r="V92" s="97">
        <v>-24.800669837027858</v>
      </c>
      <c r="W92" s="104">
        <v>7.2341387784345077</v>
      </c>
      <c r="X92" s="124"/>
      <c r="Y92" s="124"/>
      <c r="Z92" s="124"/>
      <c r="AA92" s="124"/>
      <c r="AB92" s="124"/>
      <c r="AC92" s="124"/>
      <c r="AD92" s="124"/>
      <c r="AE92" s="124"/>
    </row>
    <row r="93" spans="1:31" s="105" customFormat="1" x14ac:dyDescent="0.25">
      <c r="A93" s="118" t="s">
        <v>274</v>
      </c>
      <c r="B93" s="95">
        <v>249</v>
      </c>
      <c r="C93" s="96">
        <v>99.45989990234375</v>
      </c>
      <c r="D93" s="97">
        <v>41.843928090261883</v>
      </c>
      <c r="E93" s="98">
        <v>3.4267773126060272</v>
      </c>
      <c r="F93" s="99">
        <v>37.199693632791814</v>
      </c>
      <c r="G93" s="98">
        <v>7.527982922499346</v>
      </c>
      <c r="H93" s="100">
        <v>39.349144565573027</v>
      </c>
      <c r="I93" s="101">
        <v>8.4800224678812786</v>
      </c>
      <c r="J93" s="97">
        <v>52.284735608927647</v>
      </c>
      <c r="K93" s="98">
        <v>9.1016410877050848</v>
      </c>
      <c r="L93" s="100">
        <v>38.370039242388771</v>
      </c>
      <c r="M93" s="101">
        <v>7.2613241890455837</v>
      </c>
      <c r="N93" s="97">
        <v>1.1703456095969571</v>
      </c>
      <c r="O93" s="102">
        <v>10.771720705433442</v>
      </c>
      <c r="P93" s="99">
        <v>41.802428969487202</v>
      </c>
      <c r="Q93" s="98">
        <v>3.4353784063860133</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595</v>
      </c>
      <c r="C94" s="96">
        <v>91.641059875488281</v>
      </c>
      <c r="D94" s="97">
        <v>23.766845071505522</v>
      </c>
      <c r="E94" s="98">
        <v>1.2869427516558718</v>
      </c>
      <c r="F94" s="99">
        <v>31.794678285579831</v>
      </c>
      <c r="G94" s="98">
        <v>1.6597409984570004</v>
      </c>
      <c r="H94" s="100">
        <v>37.069481510753938</v>
      </c>
      <c r="I94" s="101">
        <v>2.0018333325160245</v>
      </c>
      <c r="J94" s="97">
        <v>17.166890884836771</v>
      </c>
      <c r="K94" s="98">
        <v>3.3943362049419998</v>
      </c>
      <c r="L94" s="100">
        <v>9.0251121942161916</v>
      </c>
      <c r="M94" s="101">
        <v>2.2057410902443721</v>
      </c>
      <c r="N94" s="97">
        <v>-22.76956609136364</v>
      </c>
      <c r="O94" s="102">
        <v>2.5289580021018541</v>
      </c>
      <c r="P94" s="99">
        <v>34.747105168745549</v>
      </c>
      <c r="Q94" s="98">
        <v>0.43574474024717996</v>
      </c>
      <c r="R94" s="100" t="s">
        <v>34</v>
      </c>
      <c r="S94" s="101" t="s">
        <v>34</v>
      </c>
      <c r="T94" s="97">
        <v>17.325857832578968</v>
      </c>
      <c r="U94" s="101">
        <v>1.9856494431384661</v>
      </c>
      <c r="V94" s="97">
        <v>-17.42124733616658</v>
      </c>
      <c r="W94" s="104">
        <v>2.0377566038703478</v>
      </c>
      <c r="X94" s="124"/>
      <c r="Y94" s="124"/>
      <c r="Z94" s="124"/>
      <c r="AA94" s="124"/>
      <c r="AB94" s="124"/>
      <c r="AC94" s="124"/>
      <c r="AD94" s="124"/>
      <c r="AE94" s="124"/>
    </row>
    <row r="95" spans="1:31" s="105" customFormat="1" x14ac:dyDescent="0.25">
      <c r="A95" s="118" t="s">
        <v>276</v>
      </c>
      <c r="B95" s="95">
        <v>189</v>
      </c>
      <c r="C95" s="96">
        <v>100</v>
      </c>
      <c r="D95" s="97">
        <v>46.73145796222704</v>
      </c>
      <c r="E95" s="98">
        <v>3.5380379131353332</v>
      </c>
      <c r="F95" s="99">
        <v>52.197839524643847</v>
      </c>
      <c r="G95" s="98">
        <v>7.3503256610123735</v>
      </c>
      <c r="H95" s="100">
        <v>51.92124615499656</v>
      </c>
      <c r="I95" s="101">
        <v>7.9140461080286686</v>
      </c>
      <c r="J95" s="97">
        <v>54.795577388179623</v>
      </c>
      <c r="K95" s="98">
        <v>9.2752986922625027</v>
      </c>
      <c r="L95" s="100">
        <v>27.590483606036841</v>
      </c>
      <c r="M95" s="101">
        <v>8.2108810661242995</v>
      </c>
      <c r="N95" s="97">
        <v>-24.607355918607009</v>
      </c>
      <c r="O95" s="102">
        <v>10.314988635659015</v>
      </c>
      <c r="P95" s="99">
        <v>52.269445307998893</v>
      </c>
      <c r="Q95" s="98">
        <v>3.9220792756802911</v>
      </c>
      <c r="R95" s="100" t="s">
        <v>34</v>
      </c>
      <c r="S95" s="101" t="s">
        <v>34</v>
      </c>
      <c r="T95" s="97">
        <v>18.039462165711239</v>
      </c>
      <c r="U95" s="101">
        <v>7.661024121179274</v>
      </c>
      <c r="V95" s="97">
        <v>-34.229983142287651</v>
      </c>
      <c r="W95" s="104">
        <v>8.6127397111150898</v>
      </c>
      <c r="X95" s="124"/>
      <c r="Y95" s="124"/>
      <c r="Z95" s="124"/>
      <c r="AA95" s="124"/>
      <c r="AB95" s="124"/>
      <c r="AC95" s="124"/>
      <c r="AD95" s="124"/>
      <c r="AE95" s="124"/>
    </row>
    <row r="96" spans="1:31" s="105" customFormat="1" ht="13.8" thickBot="1" x14ac:dyDescent="0.3">
      <c r="A96" s="125" t="s">
        <v>277</v>
      </c>
      <c r="B96" s="108">
        <v>122</v>
      </c>
      <c r="C96" s="109">
        <v>94.736846923828125</v>
      </c>
      <c r="D96" s="110">
        <v>45.331715445430753</v>
      </c>
      <c r="E96" s="111">
        <v>5.2312246095887733</v>
      </c>
      <c r="F96" s="112">
        <v>57.974319939358267</v>
      </c>
      <c r="G96" s="111">
        <v>11.140646334645645</v>
      </c>
      <c r="H96" s="113">
        <v>39.543583868647637</v>
      </c>
      <c r="I96" s="114">
        <v>10.543711991496986</v>
      </c>
      <c r="J96" s="110">
        <v>38.741937295089869</v>
      </c>
      <c r="K96" s="111">
        <v>10.289958606056823</v>
      </c>
      <c r="L96" s="113">
        <v>45.537912800597027</v>
      </c>
      <c r="M96" s="114">
        <v>12.46540373536396</v>
      </c>
      <c r="N96" s="110">
        <v>-12.436407138761229</v>
      </c>
      <c r="O96" s="115">
        <v>14.966042850134137</v>
      </c>
      <c r="P96" s="112">
        <v>45.455683639386223</v>
      </c>
      <c r="Q96" s="111">
        <v>5.4102462650178857</v>
      </c>
      <c r="R96" s="113" t="s">
        <v>34</v>
      </c>
      <c r="S96" s="114" t="s">
        <v>34</v>
      </c>
      <c r="T96" s="110">
        <v>42.835025837902137</v>
      </c>
      <c r="U96" s="114">
        <v>21.687682603407453</v>
      </c>
      <c r="V96" s="110">
        <v>-2.6206578014840858</v>
      </c>
      <c r="W96" s="117">
        <v>22.43458068857246</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6:N96 V16:V96">
    <cfRule type="expression" dxfId="4" priority="2">
      <formula>ABS(N16/O16)&gt;1.96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E111"/>
  <sheetViews>
    <sheetView showGridLines="0" zoomScale="80" zoomScaleNormal="80" workbookViewId="0"/>
  </sheetViews>
  <sheetFormatPr defaultColWidth="9.109375" defaultRowHeight="13.2" x14ac:dyDescent="0.25"/>
  <cols>
    <col min="1" max="1" width="25.33203125" style="4" customWidth="1"/>
    <col min="2" max="3" width="13.109375" style="4" customWidth="1"/>
    <col min="4" max="4" width="9.109375" style="4"/>
    <col min="5" max="5" width="10.44140625" style="4" customWidth="1"/>
    <col min="6"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51" t="s">
        <v>180</v>
      </c>
      <c r="B6" s="51"/>
    </row>
    <row r="7" spans="1:31" x14ac:dyDescent="0.25">
      <c r="A7" s="51" t="s">
        <v>181</v>
      </c>
    </row>
    <row r="8" spans="1:31" x14ac:dyDescent="0.25">
      <c r="A8" s="52" t="s">
        <v>90</v>
      </c>
    </row>
    <row r="9" spans="1:31" x14ac:dyDescent="0.25">
      <c r="A9" s="52"/>
    </row>
    <row r="10" spans="1:31" ht="13.8" thickBot="1" x14ac:dyDescent="0.3"/>
    <row r="11" spans="1:31" ht="27.75" customHeight="1" x14ac:dyDescent="0.25">
      <c r="A11" s="28"/>
      <c r="B11" s="211" t="s">
        <v>7</v>
      </c>
      <c r="C11" s="212"/>
      <c r="D11" s="212"/>
      <c r="E11" s="237"/>
      <c r="F11" s="201" t="s">
        <v>182</v>
      </c>
      <c r="G11" s="202"/>
      <c r="H11" s="202"/>
      <c r="I11" s="202"/>
      <c r="J11" s="202"/>
      <c r="K11" s="202"/>
      <c r="L11" s="202"/>
      <c r="M11" s="202"/>
      <c r="N11" s="202"/>
      <c r="O11" s="202"/>
      <c r="P11" s="201" t="s">
        <v>183</v>
      </c>
      <c r="Q11" s="202"/>
      <c r="R11" s="202"/>
      <c r="S11" s="202"/>
      <c r="T11" s="202"/>
      <c r="U11" s="202"/>
      <c r="V11" s="202"/>
      <c r="W11" s="203"/>
    </row>
    <row r="12" spans="1:31" ht="70.5" customHeight="1" x14ac:dyDescent="0.25">
      <c r="A12" s="31"/>
      <c r="B12" s="215" t="s">
        <v>10</v>
      </c>
      <c r="C12" s="217" t="s">
        <v>11</v>
      </c>
      <c r="D12" s="218" t="s">
        <v>184</v>
      </c>
      <c r="E12" s="219"/>
      <c r="F12" s="204"/>
      <c r="G12" s="205"/>
      <c r="H12" s="205"/>
      <c r="I12" s="205"/>
      <c r="J12" s="205"/>
      <c r="K12" s="205"/>
      <c r="L12" s="205"/>
      <c r="M12" s="205"/>
      <c r="N12" s="205"/>
      <c r="O12" s="205"/>
      <c r="P12" s="204"/>
      <c r="Q12" s="205"/>
      <c r="R12" s="205"/>
      <c r="S12" s="205"/>
      <c r="T12" s="205"/>
      <c r="U12" s="205"/>
      <c r="V12" s="205"/>
      <c r="W12" s="206"/>
    </row>
    <row r="13" spans="1:31" ht="96.75" customHeight="1" x14ac:dyDescent="0.25">
      <c r="A13" s="32"/>
      <c r="B13" s="216"/>
      <c r="C13" s="205"/>
      <c r="D13" s="204"/>
      <c r="E13" s="214"/>
      <c r="F13" s="229" t="s">
        <v>16</v>
      </c>
      <c r="G13" s="230"/>
      <c r="H13" s="231" t="s">
        <v>17</v>
      </c>
      <c r="I13" s="232"/>
      <c r="J13" s="233" t="s">
        <v>18</v>
      </c>
      <c r="K13" s="230"/>
      <c r="L13" s="234" t="s">
        <v>19</v>
      </c>
      <c r="M13" s="235"/>
      <c r="N13" s="207" t="s">
        <v>20</v>
      </c>
      <c r="O13" s="210"/>
      <c r="P13" s="209" t="s">
        <v>21</v>
      </c>
      <c r="Q13" s="210"/>
      <c r="R13" s="207" t="s">
        <v>22</v>
      </c>
      <c r="S13" s="210"/>
      <c r="T13" s="207" t="s">
        <v>23</v>
      </c>
      <c r="U13" s="210"/>
      <c r="V13" s="207" t="s">
        <v>24</v>
      </c>
      <c r="W13" s="208"/>
    </row>
    <row r="14" spans="1:31" ht="26.4" x14ac:dyDescent="0.25">
      <c r="A14" s="33"/>
      <c r="B14" s="56" t="s">
        <v>25</v>
      </c>
      <c r="C14" s="35" t="s">
        <v>26</v>
      </c>
      <c r="D14" s="36" t="s">
        <v>26</v>
      </c>
      <c r="E14" s="36" t="s">
        <v>28</v>
      </c>
      <c r="F14" s="34" t="s">
        <v>26</v>
      </c>
      <c r="G14" s="36" t="s">
        <v>28</v>
      </c>
      <c r="H14" s="44" t="s">
        <v>26</v>
      </c>
      <c r="I14" s="39" t="s">
        <v>28</v>
      </c>
      <c r="J14" s="36" t="s">
        <v>26</v>
      </c>
      <c r="K14" s="36" t="s">
        <v>28</v>
      </c>
      <c r="L14" s="44" t="s">
        <v>26</v>
      </c>
      <c r="M14" s="39" t="s">
        <v>28</v>
      </c>
      <c r="N14" s="36" t="s">
        <v>63</v>
      </c>
      <c r="O14" s="35" t="s">
        <v>28</v>
      </c>
      <c r="P14" s="34" t="s">
        <v>26</v>
      </c>
      <c r="Q14" s="43" t="s">
        <v>28</v>
      </c>
      <c r="R14" s="44" t="s">
        <v>26</v>
      </c>
      <c r="S14" s="39" t="s">
        <v>28</v>
      </c>
      <c r="T14" s="36" t="s">
        <v>26</v>
      </c>
      <c r="U14" s="39" t="s">
        <v>28</v>
      </c>
      <c r="V14" s="36" t="s">
        <v>63</v>
      </c>
      <c r="W14" s="46" t="s">
        <v>28</v>
      </c>
    </row>
    <row r="15" spans="1:31" ht="13.5" customHeight="1" x14ac:dyDescent="0.25">
      <c r="A15" s="182" t="s">
        <v>278</v>
      </c>
      <c r="B15" s="193"/>
      <c r="C15" s="194"/>
      <c r="D15" s="195"/>
      <c r="E15" s="189"/>
      <c r="F15" s="188"/>
      <c r="G15" s="189"/>
      <c r="H15" s="190"/>
      <c r="I15" s="196"/>
      <c r="J15" s="195"/>
      <c r="K15" s="189"/>
      <c r="L15" s="190"/>
      <c r="M15" s="196"/>
      <c r="N15" s="195"/>
      <c r="O15" s="187"/>
      <c r="P15" s="188"/>
      <c r="Q15" s="189"/>
      <c r="R15" s="190"/>
      <c r="S15" s="196"/>
      <c r="T15" s="195"/>
      <c r="U15" s="196"/>
      <c r="V15" s="195"/>
      <c r="W15" s="191"/>
    </row>
    <row r="16" spans="1:31" s="105" customFormat="1" x14ac:dyDescent="0.25">
      <c r="A16" s="118" t="s">
        <v>202</v>
      </c>
      <c r="B16" s="95">
        <v>691</v>
      </c>
      <c r="C16" s="96">
        <v>90.936546325683594</v>
      </c>
      <c r="D16" s="97">
        <v>13.5675326150111</v>
      </c>
      <c r="E16" s="98">
        <v>1.5081931153760857</v>
      </c>
      <c r="F16" s="99">
        <v>18.511216203001869</v>
      </c>
      <c r="G16" s="98">
        <v>3.4192505348515612</v>
      </c>
      <c r="H16" s="100">
        <v>15.392593293928361</v>
      </c>
      <c r="I16" s="101">
        <v>3.0136566906029909</v>
      </c>
      <c r="J16" s="97">
        <v>15.53945996351271</v>
      </c>
      <c r="K16" s="98">
        <v>4.8775262179925889</v>
      </c>
      <c r="L16" s="100">
        <v>5.1504884388125554</v>
      </c>
      <c r="M16" s="101">
        <v>3.9431437995476855</v>
      </c>
      <c r="N16" s="97">
        <v>-13.36072776418931</v>
      </c>
      <c r="O16" s="102">
        <v>5.0377975571689371</v>
      </c>
      <c r="P16" s="99">
        <v>14.627438577212979</v>
      </c>
      <c r="Q16" s="98">
        <v>1.9070568862015402</v>
      </c>
      <c r="R16" s="100">
        <v>15.96215423922388</v>
      </c>
      <c r="S16" s="101">
        <v>4.1381576552452737</v>
      </c>
      <c r="T16" s="97">
        <v>5.4132336285352984</v>
      </c>
      <c r="U16" s="101">
        <v>2.2988624083621421</v>
      </c>
      <c r="V16" s="97">
        <v>-2.7329627297206294</v>
      </c>
      <c r="W16" s="104">
        <v>3.4075061962158055</v>
      </c>
      <c r="X16" s="124"/>
      <c r="Y16" s="124"/>
      <c r="Z16" s="124"/>
      <c r="AA16" s="124"/>
      <c r="AB16" s="124"/>
      <c r="AC16" s="124"/>
      <c r="AD16" s="124"/>
      <c r="AE16" s="124"/>
    </row>
    <row r="17" spans="1:31" s="105" customFormat="1" x14ac:dyDescent="0.25">
      <c r="A17" s="118" t="s">
        <v>203</v>
      </c>
      <c r="B17" s="95">
        <v>291</v>
      </c>
      <c r="C17" s="96" t="s">
        <v>34</v>
      </c>
      <c r="D17" s="97">
        <v>4.0261246132185304</v>
      </c>
      <c r="E17" s="98">
        <v>1.4110908236954085</v>
      </c>
      <c r="F17" s="99" t="s">
        <v>34</v>
      </c>
      <c r="G17" s="98" t="s">
        <v>34</v>
      </c>
      <c r="H17" s="100" t="s">
        <v>34</v>
      </c>
      <c r="I17" s="101" t="s">
        <v>34</v>
      </c>
      <c r="J17" s="97" t="s">
        <v>34</v>
      </c>
      <c r="K17" s="98" t="s">
        <v>34</v>
      </c>
      <c r="L17" s="100" t="s">
        <v>34</v>
      </c>
      <c r="M17" s="101" t="s">
        <v>34</v>
      </c>
      <c r="N17" s="97" t="s">
        <v>34</v>
      </c>
      <c r="O17" s="102" t="s">
        <v>34</v>
      </c>
      <c r="P17" s="99" t="s">
        <v>34</v>
      </c>
      <c r="Q17" s="98" t="s">
        <v>34</v>
      </c>
      <c r="R17" s="100" t="s">
        <v>34</v>
      </c>
      <c r="S17" s="101" t="s">
        <v>34</v>
      </c>
      <c r="T17" s="97" t="s">
        <v>34</v>
      </c>
      <c r="U17" s="101" t="s">
        <v>34</v>
      </c>
      <c r="V17" s="97" t="s">
        <v>34</v>
      </c>
      <c r="W17" s="104" t="s">
        <v>34</v>
      </c>
      <c r="X17" s="124"/>
      <c r="Y17" s="124"/>
      <c r="Z17" s="124"/>
      <c r="AA17" s="124"/>
      <c r="AB17" s="124"/>
      <c r="AC17" s="124"/>
      <c r="AD17" s="124"/>
      <c r="AE17" s="124"/>
    </row>
    <row r="18" spans="1:31" s="105" customFormat="1" x14ac:dyDescent="0.25">
      <c r="A18" s="118" t="s">
        <v>204</v>
      </c>
      <c r="B18" s="95">
        <v>255</v>
      </c>
      <c r="C18" s="96">
        <v>91.979881286621094</v>
      </c>
      <c r="D18" s="97">
        <v>21.068257133290238</v>
      </c>
      <c r="E18" s="98">
        <v>2.5979148137105184</v>
      </c>
      <c r="F18" s="99">
        <v>40.045684739130692</v>
      </c>
      <c r="G18" s="98">
        <v>6.3604208097278612</v>
      </c>
      <c r="H18" s="100">
        <v>16.817145756035771</v>
      </c>
      <c r="I18" s="101">
        <v>5.1136213904704713</v>
      </c>
      <c r="J18" s="97">
        <v>17.497732871495629</v>
      </c>
      <c r="K18" s="98">
        <v>5.6145048644380049</v>
      </c>
      <c r="L18" s="100">
        <v>9.5202443918299657</v>
      </c>
      <c r="M18" s="101">
        <v>4.257954493448227</v>
      </c>
      <c r="N18" s="97">
        <v>-30.52544034730073</v>
      </c>
      <c r="O18" s="102">
        <v>7.6264744313001085</v>
      </c>
      <c r="P18" s="99" t="s">
        <v>34</v>
      </c>
      <c r="Q18" s="98" t="s">
        <v>34</v>
      </c>
      <c r="R18" s="100" t="s">
        <v>34</v>
      </c>
      <c r="S18" s="101" t="s">
        <v>34</v>
      </c>
      <c r="T18" s="97" t="s">
        <v>34</v>
      </c>
      <c r="U18" s="101" t="s">
        <v>34</v>
      </c>
      <c r="V18" s="97" t="s">
        <v>34</v>
      </c>
      <c r="W18" s="104" t="s">
        <v>34</v>
      </c>
      <c r="X18" s="124"/>
      <c r="Y18" s="124"/>
      <c r="Z18" s="124"/>
      <c r="AA18" s="124"/>
      <c r="AB18" s="124"/>
      <c r="AC18" s="124"/>
      <c r="AD18" s="124"/>
      <c r="AE18" s="124"/>
    </row>
    <row r="19" spans="1:31" s="105" customFormat="1" x14ac:dyDescent="0.25">
      <c r="A19" s="118" t="s">
        <v>205</v>
      </c>
      <c r="B19" s="95">
        <v>770</v>
      </c>
      <c r="C19" s="96">
        <v>95.88519287109375</v>
      </c>
      <c r="D19" s="97">
        <v>8.5050957785806336</v>
      </c>
      <c r="E19" s="98">
        <v>1.2019671437283592</v>
      </c>
      <c r="F19" s="99">
        <v>15.32176434231401</v>
      </c>
      <c r="G19" s="98">
        <v>3.2106093601181755</v>
      </c>
      <c r="H19" s="100">
        <v>6.4261452428365908</v>
      </c>
      <c r="I19" s="101">
        <v>2.2753480238819201</v>
      </c>
      <c r="J19" s="97">
        <v>7.6072234288114906</v>
      </c>
      <c r="K19" s="98">
        <v>4.6086896453087425</v>
      </c>
      <c r="L19" s="100">
        <v>3.3743036486003559</v>
      </c>
      <c r="M19" s="101">
        <v>4.4667288733240769</v>
      </c>
      <c r="N19" s="97">
        <v>-11.94746069371366</v>
      </c>
      <c r="O19" s="102">
        <v>5.7123408798151329</v>
      </c>
      <c r="P19" s="99">
        <v>9.2759832869954852</v>
      </c>
      <c r="Q19" s="98">
        <v>1.3097579720444628</v>
      </c>
      <c r="R19" s="100">
        <v>0</v>
      </c>
      <c r="S19" s="101" t="s">
        <v>35</v>
      </c>
      <c r="T19" s="97">
        <v>0</v>
      </c>
      <c r="U19" s="101" t="s">
        <v>35</v>
      </c>
      <c r="V19" s="97">
        <v>-9.2759832869954852</v>
      </c>
      <c r="W19" s="104">
        <v>1.3097579720444628</v>
      </c>
      <c r="X19" s="124"/>
      <c r="Y19" s="124"/>
      <c r="Z19" s="124"/>
      <c r="AA19" s="124"/>
      <c r="AB19" s="124"/>
      <c r="AC19" s="124"/>
      <c r="AD19" s="124"/>
      <c r="AE19" s="124"/>
    </row>
    <row r="20" spans="1:31" s="105" customFormat="1" x14ac:dyDescent="0.25">
      <c r="A20" s="118" t="s">
        <v>206</v>
      </c>
      <c r="B20" s="95">
        <v>200</v>
      </c>
      <c r="C20" s="96">
        <v>84.115547180175781</v>
      </c>
      <c r="D20" s="97">
        <v>31.060778213713629</v>
      </c>
      <c r="E20" s="98">
        <v>3.9355554564498032</v>
      </c>
      <c r="F20" s="99">
        <v>24.26655279849999</v>
      </c>
      <c r="G20" s="98">
        <v>7.2806884928138196</v>
      </c>
      <c r="H20" s="100">
        <v>52.86066535403701</v>
      </c>
      <c r="I20" s="101">
        <v>8.5637844125336855</v>
      </c>
      <c r="J20" s="97">
        <v>25.853854240986969</v>
      </c>
      <c r="K20" s="98">
        <v>7.6290946637278845</v>
      </c>
      <c r="L20" s="100">
        <v>20.666153636085351</v>
      </c>
      <c r="M20" s="101">
        <v>5.9003602975566452</v>
      </c>
      <c r="N20" s="97">
        <v>-3.600399162414643</v>
      </c>
      <c r="O20" s="102">
        <v>9.390627019489834</v>
      </c>
      <c r="P20" s="99">
        <v>36.347855901648508</v>
      </c>
      <c r="Q20" s="98">
        <v>7.5100937521163917</v>
      </c>
      <c r="R20" s="100">
        <v>30.39194788375055</v>
      </c>
      <c r="S20" s="101">
        <v>5.1877698638502965</v>
      </c>
      <c r="T20" s="97">
        <v>23.14694226864022</v>
      </c>
      <c r="U20" s="101">
        <v>7.3345370620240953</v>
      </c>
      <c r="V20" s="97">
        <v>-7.4342955331202063</v>
      </c>
      <c r="W20" s="104">
        <v>8.6844471094370892</v>
      </c>
      <c r="X20" s="124"/>
      <c r="Y20" s="124"/>
      <c r="Z20" s="124"/>
      <c r="AA20" s="124"/>
      <c r="AB20" s="124"/>
      <c r="AC20" s="124"/>
      <c r="AD20" s="124"/>
      <c r="AE20" s="124"/>
    </row>
    <row r="21" spans="1:31" s="105" customFormat="1" x14ac:dyDescent="0.25">
      <c r="A21" s="118" t="s">
        <v>207</v>
      </c>
      <c r="B21" s="95">
        <v>245</v>
      </c>
      <c r="C21" s="96">
        <v>98.989761352539063</v>
      </c>
      <c r="D21" s="97">
        <v>20.455938810213091</v>
      </c>
      <c r="E21" s="98">
        <v>2.8101413567777742</v>
      </c>
      <c r="F21" s="99">
        <v>31.443486032826339</v>
      </c>
      <c r="G21" s="98">
        <v>8.0679140221866099</v>
      </c>
      <c r="H21" s="100">
        <v>15.715368206217571</v>
      </c>
      <c r="I21" s="101">
        <v>5.724056482485639</v>
      </c>
      <c r="J21" s="97">
        <v>20.00829594895534</v>
      </c>
      <c r="K21" s="98">
        <v>6.0700985157790015</v>
      </c>
      <c r="L21" s="100">
        <v>15.35214067103537</v>
      </c>
      <c r="M21" s="101">
        <v>6.2616286900660336</v>
      </c>
      <c r="N21" s="97">
        <v>-16.091345361790971</v>
      </c>
      <c r="O21" s="102">
        <v>9.7347307515768069</v>
      </c>
      <c r="P21" s="99">
        <v>21.256966769391159</v>
      </c>
      <c r="Q21" s="98">
        <v>3.2022878506328349</v>
      </c>
      <c r="R21" s="100" t="s">
        <v>34</v>
      </c>
      <c r="S21" s="101" t="s">
        <v>34</v>
      </c>
      <c r="T21" s="97">
        <v>14.90884074969588</v>
      </c>
      <c r="U21" s="101">
        <v>5.5132211767698349</v>
      </c>
      <c r="V21" s="97">
        <v>-6.3481260196952789</v>
      </c>
      <c r="W21" s="104">
        <v>6.3122096454931746</v>
      </c>
      <c r="X21" s="124"/>
      <c r="Y21" s="124"/>
      <c r="Z21" s="124"/>
      <c r="AA21" s="124"/>
      <c r="AB21" s="124"/>
      <c r="AC21" s="124"/>
      <c r="AD21" s="124"/>
      <c r="AE21" s="124"/>
    </row>
    <row r="22" spans="1:31" s="105" customFormat="1" x14ac:dyDescent="0.25">
      <c r="A22" s="118" t="s">
        <v>208</v>
      </c>
      <c r="B22" s="95">
        <v>325</v>
      </c>
      <c r="C22" s="96">
        <v>97.335914611816406</v>
      </c>
      <c r="D22" s="97">
        <v>2.6864622667135509</v>
      </c>
      <c r="E22" s="98">
        <v>0.78580236118296298</v>
      </c>
      <c r="F22" s="99">
        <v>4.2041228038838723</v>
      </c>
      <c r="G22" s="98">
        <v>1.9271311028705418</v>
      </c>
      <c r="H22" s="100">
        <v>0.66122348545806953</v>
      </c>
      <c r="I22" s="101">
        <v>0.47005398192170583</v>
      </c>
      <c r="J22" s="97">
        <v>2.5327505954157141</v>
      </c>
      <c r="K22" s="98">
        <v>2.2308940257686904</v>
      </c>
      <c r="L22" s="100">
        <v>3.349476541620239</v>
      </c>
      <c r="M22" s="101">
        <v>2.1975259457759195</v>
      </c>
      <c r="N22" s="97">
        <v>-0.85464626226363283</v>
      </c>
      <c r="O22" s="102">
        <v>2.9734107130738985</v>
      </c>
      <c r="P22" s="99">
        <v>2.8824745565401568</v>
      </c>
      <c r="Q22" s="98">
        <v>0.84918860608208158</v>
      </c>
      <c r="R22" s="100">
        <v>0</v>
      </c>
      <c r="S22" s="101" t="s">
        <v>35</v>
      </c>
      <c r="T22" s="97" t="s">
        <v>34</v>
      </c>
      <c r="U22" s="101" t="s">
        <v>34</v>
      </c>
      <c r="V22" s="97">
        <v>-2.8824745565401568</v>
      </c>
      <c r="W22" s="104">
        <v>0.84918860608208158</v>
      </c>
      <c r="X22" s="124"/>
      <c r="Y22" s="124"/>
      <c r="Z22" s="124"/>
      <c r="AA22" s="124"/>
      <c r="AB22" s="124"/>
      <c r="AC22" s="124"/>
      <c r="AD22" s="124"/>
      <c r="AE22" s="124"/>
    </row>
    <row r="23" spans="1:31" s="105" customFormat="1" x14ac:dyDescent="0.25">
      <c r="A23" s="118" t="s">
        <v>209</v>
      </c>
      <c r="B23" s="95">
        <v>256</v>
      </c>
      <c r="C23" s="96">
        <v>76.751579284667969</v>
      </c>
      <c r="D23" s="97">
        <v>7.0551076911703046</v>
      </c>
      <c r="E23" s="98">
        <v>1.7660351286622189</v>
      </c>
      <c r="F23" s="99">
        <v>9.0269072296324424</v>
      </c>
      <c r="G23" s="98">
        <v>5.2186557142812546</v>
      </c>
      <c r="H23" s="100">
        <v>10.9488475048926</v>
      </c>
      <c r="I23" s="101">
        <v>6.4031085578798788</v>
      </c>
      <c r="J23" s="97">
        <v>3.2379810295353808</v>
      </c>
      <c r="K23" s="98">
        <v>2.9507673934633383</v>
      </c>
      <c r="L23" s="100">
        <v>5.0085933032311818</v>
      </c>
      <c r="M23" s="101">
        <v>2.8184354910309914</v>
      </c>
      <c r="N23" s="97">
        <v>-4.0183139264012606</v>
      </c>
      <c r="O23" s="102">
        <v>5.8644177240924042</v>
      </c>
      <c r="P23" s="99">
        <v>9.7681161128770508</v>
      </c>
      <c r="Q23" s="98">
        <v>2.4633177643340529</v>
      </c>
      <c r="R23" s="100">
        <v>0.51145531429346269</v>
      </c>
      <c r="S23" s="101">
        <v>0.37164516658344954</v>
      </c>
      <c r="T23" s="97">
        <v>0</v>
      </c>
      <c r="U23" s="101" t="s">
        <v>35</v>
      </c>
      <c r="V23" s="97">
        <v>-9.3674853949084014</v>
      </c>
      <c r="W23" s="104">
        <v>2.4852526203121159</v>
      </c>
      <c r="X23" s="124"/>
      <c r="Y23" s="124"/>
      <c r="Z23" s="124"/>
      <c r="AA23" s="124"/>
      <c r="AB23" s="124"/>
      <c r="AC23" s="124"/>
      <c r="AD23" s="124"/>
      <c r="AE23" s="124"/>
    </row>
    <row r="24" spans="1:31" s="105" customFormat="1" x14ac:dyDescent="0.25">
      <c r="A24" s="118" t="s">
        <v>210</v>
      </c>
      <c r="B24" s="95">
        <v>224</v>
      </c>
      <c r="C24" s="96">
        <v>99.549774169921875</v>
      </c>
      <c r="D24" s="97">
        <v>6.5059411170344541</v>
      </c>
      <c r="E24" s="98">
        <v>0.99306769629690217</v>
      </c>
      <c r="F24" s="99">
        <v>5.3954187550701578</v>
      </c>
      <c r="G24" s="98">
        <v>2.3932814958463675</v>
      </c>
      <c r="H24" s="100">
        <v>12.594766752253291</v>
      </c>
      <c r="I24" s="101">
        <v>3.9743252865437939</v>
      </c>
      <c r="J24" s="97">
        <v>3.587776454908604</v>
      </c>
      <c r="K24" s="98">
        <v>3.728806236701955</v>
      </c>
      <c r="L24" s="100">
        <v>4.4831358976202607</v>
      </c>
      <c r="M24" s="101">
        <v>1.9235626146523397</v>
      </c>
      <c r="N24" s="97">
        <v>-0.91228285744989712</v>
      </c>
      <c r="O24" s="102">
        <v>3.0744663898054516</v>
      </c>
      <c r="P24" s="99">
        <v>6.7739176640851451</v>
      </c>
      <c r="Q24" s="98">
        <v>1.0278821301355363</v>
      </c>
      <c r="R24" s="100">
        <v>0</v>
      </c>
      <c r="S24" s="101" t="s">
        <v>35</v>
      </c>
      <c r="T24" s="97">
        <v>0</v>
      </c>
      <c r="U24" s="101" t="s">
        <v>35</v>
      </c>
      <c r="V24" s="97">
        <v>-6.7739176640851451</v>
      </c>
      <c r="W24" s="104">
        <v>1.0278821301355363</v>
      </c>
      <c r="X24" s="124"/>
      <c r="Y24" s="124"/>
      <c r="Z24" s="124"/>
      <c r="AA24" s="124"/>
      <c r="AB24" s="124"/>
      <c r="AC24" s="124"/>
      <c r="AD24" s="124"/>
      <c r="AE24" s="124"/>
    </row>
    <row r="25" spans="1:31" s="105" customFormat="1" x14ac:dyDescent="0.25">
      <c r="A25" s="118" t="s">
        <v>211</v>
      </c>
      <c r="B25" s="95">
        <v>210</v>
      </c>
      <c r="C25" s="96">
        <v>99.331733703613281</v>
      </c>
      <c r="D25" s="97">
        <v>4.8473761316549089</v>
      </c>
      <c r="E25" s="98">
        <v>1.5403632611020834</v>
      </c>
      <c r="F25" s="99">
        <v>4.8292868791700831</v>
      </c>
      <c r="G25" s="98">
        <v>2.9461760198918361</v>
      </c>
      <c r="H25" s="100">
        <v>4.3084134465462434</v>
      </c>
      <c r="I25" s="101">
        <v>3.0417193903822457</v>
      </c>
      <c r="J25" s="97">
        <v>4.0695074872048771</v>
      </c>
      <c r="K25" s="98">
        <v>3.4675513451848077</v>
      </c>
      <c r="L25" s="100">
        <v>6.2054209760387682</v>
      </c>
      <c r="M25" s="101">
        <v>4.0003254314461669</v>
      </c>
      <c r="N25" s="97">
        <v>1.376134096868685</v>
      </c>
      <c r="O25" s="102">
        <v>4.6979695473314651</v>
      </c>
      <c r="P25" s="99">
        <v>5.049441063489831</v>
      </c>
      <c r="Q25" s="98">
        <v>1.6035296636572092</v>
      </c>
      <c r="R25" s="100">
        <v>0</v>
      </c>
      <c r="S25" s="101" t="s">
        <v>35</v>
      </c>
      <c r="T25" s="97" t="s">
        <v>34</v>
      </c>
      <c r="U25" s="101" t="s">
        <v>34</v>
      </c>
      <c r="V25" s="97">
        <v>-5.049441063489831</v>
      </c>
      <c r="W25" s="104">
        <v>1.6035296636572092</v>
      </c>
      <c r="X25" s="124"/>
      <c r="Y25" s="124"/>
      <c r="Z25" s="124"/>
      <c r="AA25" s="124"/>
      <c r="AB25" s="124"/>
      <c r="AC25" s="124"/>
      <c r="AD25" s="124"/>
      <c r="AE25" s="124"/>
    </row>
    <row r="26" spans="1:31" s="105" customFormat="1" x14ac:dyDescent="0.25">
      <c r="A26" s="118" t="s">
        <v>212</v>
      </c>
      <c r="B26" s="95">
        <v>164</v>
      </c>
      <c r="C26" s="96">
        <v>76.704635620117188</v>
      </c>
      <c r="D26" s="97">
        <v>16.724067365098801</v>
      </c>
      <c r="E26" s="98">
        <v>3.1634584191116351</v>
      </c>
      <c r="F26" s="99">
        <v>24.443924619638519</v>
      </c>
      <c r="G26" s="98">
        <v>7.4576714016199457</v>
      </c>
      <c r="H26" s="100">
        <v>8.6539538888116336</v>
      </c>
      <c r="I26" s="101">
        <v>7.4105119485216253</v>
      </c>
      <c r="J26" s="97">
        <v>17.293475527676168</v>
      </c>
      <c r="K26" s="98">
        <v>8.0854071441794506</v>
      </c>
      <c r="L26" s="100">
        <v>16.258330689443689</v>
      </c>
      <c r="M26" s="101">
        <v>5.2330310368021475</v>
      </c>
      <c r="N26" s="97">
        <v>-8.1855939301948268</v>
      </c>
      <c r="O26" s="102">
        <v>9.1848332949011571</v>
      </c>
      <c r="P26" s="99">
        <v>17.704770446804599</v>
      </c>
      <c r="Q26" s="98">
        <v>3.6652871488177223</v>
      </c>
      <c r="R26" s="100">
        <v>15.87459672079288</v>
      </c>
      <c r="S26" s="101">
        <v>9.4666189016107349</v>
      </c>
      <c r="T26" s="97">
        <v>0</v>
      </c>
      <c r="U26" s="101" t="s">
        <v>35</v>
      </c>
      <c r="V26" s="97">
        <v>-9.460609525507774</v>
      </c>
      <c r="W26" s="104">
        <v>5.9772830510813719</v>
      </c>
      <c r="X26" s="124"/>
      <c r="Y26" s="124"/>
      <c r="Z26" s="124"/>
      <c r="AA26" s="124"/>
      <c r="AB26" s="124"/>
      <c r="AC26" s="124"/>
      <c r="AD26" s="124"/>
      <c r="AE26" s="124"/>
    </row>
    <row r="27" spans="1:31" s="105" customFormat="1" x14ac:dyDescent="0.25">
      <c r="A27" s="118" t="s">
        <v>213</v>
      </c>
      <c r="B27" s="95">
        <v>185</v>
      </c>
      <c r="C27" s="96">
        <v>82.18536376953125</v>
      </c>
      <c r="D27" s="97">
        <v>13.7646683841594</v>
      </c>
      <c r="E27" s="98">
        <v>2.5964037568046874</v>
      </c>
      <c r="F27" s="99">
        <v>11.41456547517256</v>
      </c>
      <c r="G27" s="98">
        <v>5.468425887862713</v>
      </c>
      <c r="H27" s="100">
        <v>13.322650521029731</v>
      </c>
      <c r="I27" s="101">
        <v>5.4083075235346554</v>
      </c>
      <c r="J27" s="97">
        <v>14.653854858778489</v>
      </c>
      <c r="K27" s="98">
        <v>5.9807885944580113</v>
      </c>
      <c r="L27" s="100">
        <v>13.95983120847688</v>
      </c>
      <c r="M27" s="101">
        <v>5.528149896720139</v>
      </c>
      <c r="N27" s="97">
        <v>2.5452657333043192</v>
      </c>
      <c r="O27" s="102">
        <v>7.6597231023617525</v>
      </c>
      <c r="P27" s="99">
        <v>14.403996179203411</v>
      </c>
      <c r="Q27" s="98">
        <v>2.6563313228977727</v>
      </c>
      <c r="R27" s="100">
        <v>0</v>
      </c>
      <c r="S27" s="101" t="s">
        <v>35</v>
      </c>
      <c r="T27" s="97" t="s">
        <v>34</v>
      </c>
      <c r="U27" s="101" t="s">
        <v>34</v>
      </c>
      <c r="V27" s="97">
        <v>-14.403996179203411</v>
      </c>
      <c r="W27" s="104">
        <v>2.6563313228977727</v>
      </c>
      <c r="X27" s="124"/>
      <c r="Y27" s="124"/>
      <c r="Z27" s="124"/>
      <c r="AA27" s="124"/>
      <c r="AB27" s="124"/>
      <c r="AC27" s="124"/>
      <c r="AD27" s="124"/>
      <c r="AE27" s="124"/>
    </row>
    <row r="28" spans="1:31" s="105" customFormat="1" x14ac:dyDescent="0.25">
      <c r="A28" s="118" t="s">
        <v>214</v>
      </c>
      <c r="B28" s="95">
        <v>204</v>
      </c>
      <c r="C28" s="96">
        <v>94.358810424804688</v>
      </c>
      <c r="D28" s="97">
        <v>12.680000288516551</v>
      </c>
      <c r="E28" s="98">
        <v>2.5126420912975203</v>
      </c>
      <c r="F28" s="99">
        <v>16.810571098708561</v>
      </c>
      <c r="G28" s="98">
        <v>5.063319224833883</v>
      </c>
      <c r="H28" s="100">
        <v>14.486594302160089</v>
      </c>
      <c r="I28" s="101">
        <v>6.1546172080217332</v>
      </c>
      <c r="J28" s="97">
        <v>8.9843889306944558</v>
      </c>
      <c r="K28" s="98">
        <v>5.53688908019799</v>
      </c>
      <c r="L28" s="100">
        <v>10.41510364985735</v>
      </c>
      <c r="M28" s="101">
        <v>4.7564019402205124</v>
      </c>
      <c r="N28" s="97">
        <v>-6.395467448851214</v>
      </c>
      <c r="O28" s="102">
        <v>7.0261685202088398</v>
      </c>
      <c r="P28" s="99">
        <v>12.43592456176418</v>
      </c>
      <c r="Q28" s="98">
        <v>2.5738582779439847</v>
      </c>
      <c r="R28" s="100" t="s">
        <v>34</v>
      </c>
      <c r="S28" s="101" t="s">
        <v>34</v>
      </c>
      <c r="T28" s="97">
        <v>18.158586254827561</v>
      </c>
      <c r="U28" s="101">
        <v>13.531526082849572</v>
      </c>
      <c r="V28" s="97">
        <v>5.7226616930633813</v>
      </c>
      <c r="W28" s="104">
        <v>13.864735158249962</v>
      </c>
      <c r="X28" s="124"/>
      <c r="Y28" s="124"/>
      <c r="Z28" s="124"/>
      <c r="AA28" s="124"/>
      <c r="AB28" s="124"/>
      <c r="AC28" s="124"/>
      <c r="AD28" s="124"/>
      <c r="AE28" s="124"/>
    </row>
    <row r="29" spans="1:31" s="105" customFormat="1" x14ac:dyDescent="0.25">
      <c r="A29" s="118" t="s">
        <v>215</v>
      </c>
      <c r="B29" s="95">
        <v>160</v>
      </c>
      <c r="C29" s="96">
        <v>88.938301086425781</v>
      </c>
      <c r="D29" s="97">
        <v>8.6768666903823704</v>
      </c>
      <c r="E29" s="98">
        <v>2.3471853898359281</v>
      </c>
      <c r="F29" s="99">
        <v>18.806040398169539</v>
      </c>
      <c r="G29" s="98">
        <v>6.7326637073812048</v>
      </c>
      <c r="H29" s="100">
        <v>4.9220153677201992</v>
      </c>
      <c r="I29" s="101">
        <v>3.5862815590677819</v>
      </c>
      <c r="J29" s="97">
        <v>2.448753131867913</v>
      </c>
      <c r="K29" s="98">
        <v>4.605262555182601</v>
      </c>
      <c r="L29" s="100">
        <v>8.4751022560359903</v>
      </c>
      <c r="M29" s="101">
        <v>5.4839054314840441</v>
      </c>
      <c r="N29" s="97">
        <v>-10.330938142133551</v>
      </c>
      <c r="O29" s="102">
        <v>8.6841590720520649</v>
      </c>
      <c r="P29" s="99">
        <v>11.090088760420031</v>
      </c>
      <c r="Q29" s="98">
        <v>2.8842751228702772</v>
      </c>
      <c r="R29" s="100">
        <v>0</v>
      </c>
      <c r="S29" s="101" t="s">
        <v>35</v>
      </c>
      <c r="T29" s="97" t="s">
        <v>34</v>
      </c>
      <c r="U29" s="101" t="s">
        <v>34</v>
      </c>
      <c r="V29" s="97">
        <v>-11.090088760420031</v>
      </c>
      <c r="W29" s="104">
        <v>2.8842751228702772</v>
      </c>
      <c r="X29" s="124"/>
      <c r="Y29" s="124"/>
      <c r="Z29" s="124"/>
      <c r="AA29" s="124"/>
      <c r="AB29" s="124"/>
      <c r="AC29" s="124"/>
      <c r="AD29" s="124"/>
      <c r="AE29" s="124"/>
    </row>
    <row r="30" spans="1:31" s="105" customFormat="1" x14ac:dyDescent="0.25">
      <c r="A30" s="118" t="s">
        <v>216</v>
      </c>
      <c r="B30" s="95">
        <v>128</v>
      </c>
      <c r="C30" s="96">
        <v>98.789993286132813</v>
      </c>
      <c r="D30" s="97">
        <v>10.358710538596389</v>
      </c>
      <c r="E30" s="98">
        <v>0.15338330880615916</v>
      </c>
      <c r="F30" s="99">
        <v>11.06740837055596</v>
      </c>
      <c r="G30" s="98">
        <v>0.45191825966738453</v>
      </c>
      <c r="H30" s="100">
        <v>5.4384325610216813</v>
      </c>
      <c r="I30" s="101">
        <v>0.19313959899551972</v>
      </c>
      <c r="J30" s="97">
        <v>20.166380147558069</v>
      </c>
      <c r="K30" s="98">
        <v>0.28621457365510161</v>
      </c>
      <c r="L30" s="100">
        <v>4.6123063468766548</v>
      </c>
      <c r="M30" s="101">
        <v>0.13862098088469094</v>
      </c>
      <c r="N30" s="97">
        <v>-6.4551020236793084</v>
      </c>
      <c r="O30" s="102">
        <v>0.47573588510916509</v>
      </c>
      <c r="P30" s="99">
        <v>10.585821890657691</v>
      </c>
      <c r="Q30" s="98">
        <v>0.15577208810895699</v>
      </c>
      <c r="R30" s="100" t="s">
        <v>34</v>
      </c>
      <c r="S30" s="101" t="s">
        <v>34</v>
      </c>
      <c r="T30" s="97" t="s">
        <v>34</v>
      </c>
      <c r="U30" s="101" t="s">
        <v>34</v>
      </c>
      <c r="V30" s="97" t="s">
        <v>34</v>
      </c>
      <c r="W30" s="104" t="s">
        <v>34</v>
      </c>
      <c r="X30" s="124"/>
      <c r="Y30" s="124"/>
      <c r="Z30" s="124"/>
      <c r="AA30" s="124"/>
      <c r="AB30" s="124"/>
      <c r="AC30" s="124"/>
      <c r="AD30" s="124"/>
      <c r="AE30" s="124"/>
    </row>
    <row r="31" spans="1:31" s="105" customFormat="1" x14ac:dyDescent="0.25">
      <c r="A31" s="118" t="s">
        <v>217</v>
      </c>
      <c r="B31" s="95">
        <v>155</v>
      </c>
      <c r="C31" s="96">
        <v>98.883636474609375</v>
      </c>
      <c r="D31" s="97">
        <v>13.3808598946133</v>
      </c>
      <c r="E31" s="98">
        <v>2.9743938287073828</v>
      </c>
      <c r="F31" s="99">
        <v>12.55658614243357</v>
      </c>
      <c r="G31" s="98">
        <v>5.6422679847894299</v>
      </c>
      <c r="H31" s="100">
        <v>6.8046608683166374</v>
      </c>
      <c r="I31" s="101">
        <v>7.277119805649634</v>
      </c>
      <c r="J31" s="97">
        <v>16.628876417878161</v>
      </c>
      <c r="K31" s="98">
        <v>7.8396005184656294</v>
      </c>
      <c r="L31" s="100">
        <v>17.481371647668531</v>
      </c>
      <c r="M31" s="101">
        <v>7.1255072002005582</v>
      </c>
      <c r="N31" s="97">
        <v>4.9247855052349649</v>
      </c>
      <c r="O31" s="102">
        <v>9.1659876964752236</v>
      </c>
      <c r="P31" s="99" t="s">
        <v>34</v>
      </c>
      <c r="Q31" s="98" t="s">
        <v>34</v>
      </c>
      <c r="R31" s="100" t="s">
        <v>34</v>
      </c>
      <c r="S31" s="101" t="s">
        <v>34</v>
      </c>
      <c r="T31" s="97" t="s">
        <v>34</v>
      </c>
      <c r="U31" s="101" t="s">
        <v>34</v>
      </c>
      <c r="V31" s="97" t="s">
        <v>34</v>
      </c>
      <c r="W31" s="104" t="s">
        <v>34</v>
      </c>
      <c r="X31" s="124"/>
      <c r="Y31" s="124"/>
      <c r="Z31" s="124"/>
      <c r="AA31" s="124"/>
      <c r="AB31" s="124"/>
      <c r="AC31" s="124"/>
      <c r="AD31" s="124"/>
      <c r="AE31" s="124"/>
    </row>
    <row r="32" spans="1:31" s="105" customFormat="1" x14ac:dyDescent="0.25">
      <c r="A32" s="118" t="s">
        <v>218</v>
      </c>
      <c r="B32" s="95">
        <v>161</v>
      </c>
      <c r="C32" s="96">
        <v>93.866836547851563</v>
      </c>
      <c r="D32" s="97">
        <v>22.550648047894679</v>
      </c>
      <c r="E32" s="98">
        <v>3.2020782792359888</v>
      </c>
      <c r="F32" s="99">
        <v>23.624283172917341</v>
      </c>
      <c r="G32" s="98">
        <v>7.3367257558073886</v>
      </c>
      <c r="H32" s="100">
        <v>19.916200001050601</v>
      </c>
      <c r="I32" s="101">
        <v>8.410029169275564</v>
      </c>
      <c r="J32" s="97">
        <v>29.74606705952014</v>
      </c>
      <c r="K32" s="98">
        <v>7.4462873531952889</v>
      </c>
      <c r="L32" s="100">
        <v>16.894925851380911</v>
      </c>
      <c r="M32" s="101">
        <v>5.1661790404947139</v>
      </c>
      <c r="N32" s="97">
        <v>-6.7293573215364262</v>
      </c>
      <c r="O32" s="102">
        <v>8.9419140575365468</v>
      </c>
      <c r="P32" s="99">
        <v>22.550648047894679</v>
      </c>
      <c r="Q32" s="98">
        <v>3.2020782792359888</v>
      </c>
      <c r="R32" s="100" t="s">
        <v>34</v>
      </c>
      <c r="S32" s="101" t="s">
        <v>34</v>
      </c>
      <c r="T32" s="97" t="s">
        <v>34</v>
      </c>
      <c r="U32" s="101" t="s">
        <v>34</v>
      </c>
      <c r="V32" s="97" t="s">
        <v>34</v>
      </c>
      <c r="W32" s="104" t="s">
        <v>34</v>
      </c>
      <c r="X32" s="124"/>
      <c r="Y32" s="124"/>
      <c r="Z32" s="124"/>
      <c r="AA32" s="124"/>
      <c r="AB32" s="124"/>
      <c r="AC32" s="124"/>
      <c r="AD32" s="124"/>
      <c r="AE32" s="124"/>
    </row>
    <row r="33" spans="1:31" s="105" customFormat="1" x14ac:dyDescent="0.25">
      <c r="A33" s="118" t="s">
        <v>219</v>
      </c>
      <c r="B33" s="95">
        <v>491</v>
      </c>
      <c r="C33" s="96">
        <v>95.076683044433594</v>
      </c>
      <c r="D33" s="97">
        <v>21.40617555237792</v>
      </c>
      <c r="E33" s="98">
        <v>2.405968265441413</v>
      </c>
      <c r="F33" s="99">
        <v>22.426426840406869</v>
      </c>
      <c r="G33" s="98">
        <v>6.3333382754341541</v>
      </c>
      <c r="H33" s="100">
        <v>27.767103390427849</v>
      </c>
      <c r="I33" s="101">
        <v>5.2987926622573163</v>
      </c>
      <c r="J33" s="97">
        <v>22.690368185661669</v>
      </c>
      <c r="K33" s="98">
        <v>6.2269848742862122</v>
      </c>
      <c r="L33" s="100">
        <v>13.05565973723707</v>
      </c>
      <c r="M33" s="101">
        <v>4.4910042293051413</v>
      </c>
      <c r="N33" s="97">
        <v>-9.3707671031697952</v>
      </c>
      <c r="O33" s="102">
        <v>7.7475555015217106</v>
      </c>
      <c r="P33" s="99">
        <v>22.141515784220999</v>
      </c>
      <c r="Q33" s="98">
        <v>2.4802409368669998</v>
      </c>
      <c r="R33" s="100">
        <v>6.2930064406085853</v>
      </c>
      <c r="S33" s="101">
        <v>3.8964652587910198</v>
      </c>
      <c r="T33" s="97">
        <v>0</v>
      </c>
      <c r="U33" s="101" t="s">
        <v>35</v>
      </c>
      <c r="V33" s="97">
        <v>-19.554107074731817</v>
      </c>
      <c r="W33" s="104">
        <v>2.6823547038815518</v>
      </c>
      <c r="X33" s="124"/>
      <c r="Y33" s="124"/>
      <c r="Z33" s="124"/>
      <c r="AA33" s="124"/>
      <c r="AB33" s="124"/>
      <c r="AC33" s="124"/>
      <c r="AD33" s="124"/>
      <c r="AE33" s="124"/>
    </row>
    <row r="34" spans="1:31" s="105" customFormat="1" x14ac:dyDescent="0.25">
      <c r="A34" s="118" t="s">
        <v>220</v>
      </c>
      <c r="B34" s="95">
        <v>183</v>
      </c>
      <c r="C34" s="96">
        <v>100</v>
      </c>
      <c r="D34" s="97">
        <v>28.41278198096547</v>
      </c>
      <c r="E34" s="98">
        <v>3.317130926016326</v>
      </c>
      <c r="F34" s="99">
        <v>26.883567696596611</v>
      </c>
      <c r="G34" s="98">
        <v>7.1446365725528231</v>
      </c>
      <c r="H34" s="100">
        <v>39.904906106614142</v>
      </c>
      <c r="I34" s="101">
        <v>6.198272557562162</v>
      </c>
      <c r="J34" s="97">
        <v>23.946777481182231</v>
      </c>
      <c r="K34" s="98">
        <v>7.9891634529053093</v>
      </c>
      <c r="L34" s="100">
        <v>23.222459049556051</v>
      </c>
      <c r="M34" s="101">
        <v>6.7258921185876206</v>
      </c>
      <c r="N34" s="97">
        <v>-3.6611086470405638</v>
      </c>
      <c r="O34" s="102">
        <v>10.228594288652529</v>
      </c>
      <c r="P34" s="99">
        <v>23.85015249765755</v>
      </c>
      <c r="Q34" s="98">
        <v>3.7072155306206764</v>
      </c>
      <c r="R34" s="100">
        <v>28.34686201777113</v>
      </c>
      <c r="S34" s="101">
        <v>16.424788969450461</v>
      </c>
      <c r="T34" s="97">
        <v>38.475344329368063</v>
      </c>
      <c r="U34" s="101">
        <v>6.1335167607436683</v>
      </c>
      <c r="V34" s="97">
        <v>13.5357758312207</v>
      </c>
      <c r="W34" s="104">
        <v>6.0338106596204995</v>
      </c>
      <c r="X34" s="124"/>
      <c r="Y34" s="124"/>
      <c r="Z34" s="124"/>
      <c r="AA34" s="124"/>
      <c r="AB34" s="124"/>
      <c r="AC34" s="124"/>
      <c r="AD34" s="124"/>
      <c r="AE34" s="124"/>
    </row>
    <row r="35" spans="1:31" s="105" customFormat="1" x14ac:dyDescent="0.25">
      <c r="A35" s="118" t="s">
        <v>221</v>
      </c>
      <c r="B35" s="95">
        <v>152</v>
      </c>
      <c r="C35" s="96">
        <v>82.780075073242188</v>
      </c>
      <c r="D35" s="97">
        <v>20.547677930253968</v>
      </c>
      <c r="E35" s="98">
        <v>3.4209431727613109</v>
      </c>
      <c r="F35" s="99">
        <v>30.372295424323521</v>
      </c>
      <c r="G35" s="98">
        <v>7.9744001765266521</v>
      </c>
      <c r="H35" s="100">
        <v>22.76647254863299</v>
      </c>
      <c r="I35" s="101">
        <v>9.715058546839451</v>
      </c>
      <c r="J35" s="97">
        <v>15.89635891224988</v>
      </c>
      <c r="K35" s="98">
        <v>6.2489598361911138</v>
      </c>
      <c r="L35" s="100">
        <v>13.00574433768273</v>
      </c>
      <c r="M35" s="101">
        <v>5.6811729869204397</v>
      </c>
      <c r="N35" s="97">
        <v>-17.36655108664079</v>
      </c>
      <c r="O35" s="102">
        <v>9.7712411941484838</v>
      </c>
      <c r="P35" s="99">
        <v>16.76719958070754</v>
      </c>
      <c r="Q35" s="98">
        <v>3.823837647724134</v>
      </c>
      <c r="R35" s="100">
        <v>28.436285240136741</v>
      </c>
      <c r="S35" s="101">
        <v>6.5802567114446315</v>
      </c>
      <c r="T35" s="97">
        <v>8.8954126826732072</v>
      </c>
      <c r="U35" s="101">
        <v>8.8329856874201944</v>
      </c>
      <c r="V35" s="97">
        <v>8.8125200657994185</v>
      </c>
      <c r="W35" s="104">
        <v>6.7993619884485552</v>
      </c>
      <c r="X35" s="124"/>
      <c r="Y35" s="124"/>
      <c r="Z35" s="124"/>
      <c r="AA35" s="124"/>
      <c r="AB35" s="124"/>
      <c r="AC35" s="124"/>
      <c r="AD35" s="124"/>
      <c r="AE35" s="124"/>
    </row>
    <row r="36" spans="1:31" s="105" customFormat="1" x14ac:dyDescent="0.25">
      <c r="A36" s="118" t="s">
        <v>222</v>
      </c>
      <c r="B36" s="95">
        <v>291</v>
      </c>
      <c r="C36" s="96">
        <v>95.058074951171875</v>
      </c>
      <c r="D36" s="97">
        <v>5.5978666704022624</v>
      </c>
      <c r="E36" s="98">
        <v>0.87833922962861299</v>
      </c>
      <c r="F36" s="99">
        <v>5.9562597205681893</v>
      </c>
      <c r="G36" s="98">
        <v>2.7651303551524529</v>
      </c>
      <c r="H36" s="100">
        <v>3.003382512655512</v>
      </c>
      <c r="I36" s="101">
        <v>1.9364299355072312</v>
      </c>
      <c r="J36" s="97">
        <v>6.0522457557322404</v>
      </c>
      <c r="K36" s="98">
        <v>1.8160735852608878</v>
      </c>
      <c r="L36" s="100">
        <v>7.378846589425315</v>
      </c>
      <c r="M36" s="101">
        <v>1.4195595471053508</v>
      </c>
      <c r="N36" s="97">
        <v>1.4225868688571259</v>
      </c>
      <c r="O36" s="102">
        <v>3.1277924108166464</v>
      </c>
      <c r="P36" s="99">
        <v>5.6760968180702838</v>
      </c>
      <c r="Q36" s="98">
        <v>0.88409955831362519</v>
      </c>
      <c r="R36" s="100" t="s">
        <v>34</v>
      </c>
      <c r="S36" s="101" t="s">
        <v>34</v>
      </c>
      <c r="T36" s="97" t="s">
        <v>34</v>
      </c>
      <c r="U36" s="101" t="s">
        <v>34</v>
      </c>
      <c r="V36" s="97" t="s">
        <v>34</v>
      </c>
      <c r="W36" s="104" t="s">
        <v>34</v>
      </c>
      <c r="X36" s="124"/>
      <c r="Y36" s="124"/>
      <c r="Z36" s="124"/>
      <c r="AA36" s="124"/>
      <c r="AB36" s="124"/>
      <c r="AC36" s="124"/>
      <c r="AD36" s="124"/>
      <c r="AE36" s="124"/>
    </row>
    <row r="37" spans="1:31" s="105" customFormat="1" x14ac:dyDescent="0.25">
      <c r="A37" s="118" t="s">
        <v>223</v>
      </c>
      <c r="B37" s="95">
        <v>362</v>
      </c>
      <c r="C37" s="96">
        <v>100</v>
      </c>
      <c r="D37" s="97">
        <v>4.5871339118818781</v>
      </c>
      <c r="E37" s="98">
        <v>0.75587981016741124</v>
      </c>
      <c r="F37" s="99">
        <v>6.3416251844555722</v>
      </c>
      <c r="G37" s="98">
        <v>2.4333709047847618</v>
      </c>
      <c r="H37" s="100">
        <v>2.2422152157799871</v>
      </c>
      <c r="I37" s="101">
        <v>1.2791622512727234</v>
      </c>
      <c r="J37" s="97">
        <v>5.202690186470476</v>
      </c>
      <c r="K37" s="98">
        <v>0.48624988255770174</v>
      </c>
      <c r="L37" s="100">
        <v>4.6240710194398966</v>
      </c>
      <c r="M37" s="101">
        <v>1.295636052850458</v>
      </c>
      <c r="N37" s="97">
        <v>-1.717554165015676</v>
      </c>
      <c r="O37" s="102">
        <v>2.775811810595779</v>
      </c>
      <c r="P37" s="99">
        <v>4.7862758364008311</v>
      </c>
      <c r="Q37" s="98">
        <v>0.78692052470518536</v>
      </c>
      <c r="R37" s="100">
        <v>0</v>
      </c>
      <c r="S37" s="101" t="s">
        <v>35</v>
      </c>
      <c r="T37" s="97" t="s">
        <v>34</v>
      </c>
      <c r="U37" s="101" t="s">
        <v>34</v>
      </c>
      <c r="V37" s="97">
        <v>-4.7862758364008311</v>
      </c>
      <c r="W37" s="104">
        <v>0.78692052470518536</v>
      </c>
      <c r="X37" s="124"/>
      <c r="Y37" s="124"/>
      <c r="Z37" s="124"/>
      <c r="AA37" s="124"/>
      <c r="AB37" s="124"/>
      <c r="AC37" s="124"/>
      <c r="AD37" s="124"/>
      <c r="AE37" s="124"/>
    </row>
    <row r="38" spans="1:31" s="105" customFormat="1" x14ac:dyDescent="0.25">
      <c r="A38" s="118" t="s">
        <v>224</v>
      </c>
      <c r="B38" s="95">
        <v>42</v>
      </c>
      <c r="C38" s="96">
        <v>95.988121032714844</v>
      </c>
      <c r="D38" s="97">
        <v>6.2758765682733295E-2</v>
      </c>
      <c r="E38" s="98">
        <v>1.8044154459426538E-2</v>
      </c>
      <c r="F38" s="99">
        <v>0</v>
      </c>
      <c r="G38" s="98" t="s">
        <v>35</v>
      </c>
      <c r="H38" s="100">
        <v>0.2615449632170298</v>
      </c>
      <c r="I38" s="101">
        <v>7.6058942730360887E-2</v>
      </c>
      <c r="J38" s="97">
        <v>0</v>
      </c>
      <c r="K38" s="98" t="s">
        <v>35</v>
      </c>
      <c r="L38" s="100">
        <v>0</v>
      </c>
      <c r="M38" s="101" t="s">
        <v>35</v>
      </c>
      <c r="N38" s="97">
        <v>0</v>
      </c>
      <c r="O38" s="102" t="s">
        <v>35</v>
      </c>
      <c r="P38" s="99">
        <v>7.6932901380114702E-2</v>
      </c>
      <c r="Q38" s="98">
        <v>2.2113504029611535E-2</v>
      </c>
      <c r="R38" s="100">
        <v>0</v>
      </c>
      <c r="S38" s="101" t="s">
        <v>35</v>
      </c>
      <c r="T38" s="97" t="s">
        <v>34</v>
      </c>
      <c r="U38" s="101" t="s">
        <v>34</v>
      </c>
      <c r="V38" s="97">
        <v>-7.6932901380114702E-2</v>
      </c>
      <c r="W38" s="104">
        <v>2.2113504029611535E-2</v>
      </c>
      <c r="X38" s="124"/>
      <c r="Y38" s="124"/>
      <c r="Z38" s="124"/>
      <c r="AA38" s="124"/>
      <c r="AB38" s="124"/>
      <c r="AC38" s="124"/>
      <c r="AD38" s="124"/>
      <c r="AE38" s="124"/>
    </row>
    <row r="39" spans="1:31" s="105" customFormat="1" x14ac:dyDescent="0.25">
      <c r="A39" s="118" t="s">
        <v>225</v>
      </c>
      <c r="B39" s="95">
        <v>209</v>
      </c>
      <c r="C39" s="96">
        <v>78.535499572753906</v>
      </c>
      <c r="D39" s="97">
        <v>12.708815374512829</v>
      </c>
      <c r="E39" s="98">
        <v>2.7717021515065703</v>
      </c>
      <c r="F39" s="99">
        <v>11.25694363779265</v>
      </c>
      <c r="G39" s="98">
        <v>4.8430883240074509</v>
      </c>
      <c r="H39" s="100">
        <v>16.732379558506619</v>
      </c>
      <c r="I39" s="101">
        <v>6.4381495986798383</v>
      </c>
      <c r="J39" s="97">
        <v>15.3090879017722</v>
      </c>
      <c r="K39" s="98">
        <v>5.4804875801601076</v>
      </c>
      <c r="L39" s="100">
        <v>7.3137072371484546</v>
      </c>
      <c r="M39" s="101">
        <v>3.749620152877958</v>
      </c>
      <c r="N39" s="97">
        <v>-3.94323640064419</v>
      </c>
      <c r="O39" s="102">
        <v>6.0937878743116265</v>
      </c>
      <c r="P39" s="99">
        <v>14.28118256128716</v>
      </c>
      <c r="Q39" s="98">
        <v>3.0491794132120416</v>
      </c>
      <c r="R39" s="100" t="s">
        <v>34</v>
      </c>
      <c r="S39" s="101" t="s">
        <v>34</v>
      </c>
      <c r="T39" s="97">
        <v>2.011656439260562</v>
      </c>
      <c r="U39" s="101">
        <v>2.0830131071106841</v>
      </c>
      <c r="V39" s="97">
        <v>-12.269526122026598</v>
      </c>
      <c r="W39" s="104">
        <v>3.0951177948445676</v>
      </c>
      <c r="X39" s="124"/>
      <c r="Y39" s="124"/>
      <c r="Z39" s="124"/>
      <c r="AA39" s="124"/>
      <c r="AB39" s="124"/>
      <c r="AC39" s="124"/>
      <c r="AD39" s="124"/>
      <c r="AE39" s="124"/>
    </row>
    <row r="40" spans="1:31" s="105" customFormat="1" x14ac:dyDescent="0.25">
      <c r="A40" s="118" t="s">
        <v>300</v>
      </c>
      <c r="B40" s="95">
        <v>145</v>
      </c>
      <c r="C40" s="96">
        <v>93.125473022460938</v>
      </c>
      <c r="D40" s="97">
        <v>33.742447422933203</v>
      </c>
      <c r="E40" s="98">
        <v>3.8632751959664291</v>
      </c>
      <c r="F40" s="99">
        <v>32.01226315295785</v>
      </c>
      <c r="G40" s="98">
        <v>7.3117844525359699</v>
      </c>
      <c r="H40" s="100">
        <v>52.631908987165033</v>
      </c>
      <c r="I40" s="101">
        <v>8.8880683348657943</v>
      </c>
      <c r="J40" s="97">
        <v>16.3302716483194</v>
      </c>
      <c r="K40" s="98">
        <v>8.4659418504463755</v>
      </c>
      <c r="L40" s="100">
        <v>35.695872151968473</v>
      </c>
      <c r="M40" s="101">
        <v>9.0028419341771411</v>
      </c>
      <c r="N40" s="97">
        <v>3.683608999010616</v>
      </c>
      <c r="O40" s="102">
        <v>11.706831278995828</v>
      </c>
      <c r="P40" s="99">
        <v>37.200602646241798</v>
      </c>
      <c r="Q40" s="98">
        <v>6.8950566224486396</v>
      </c>
      <c r="R40" s="100">
        <v>31.24189831118834</v>
      </c>
      <c r="S40" s="101">
        <v>5.3310831257308502</v>
      </c>
      <c r="T40" s="97" t="s">
        <v>34</v>
      </c>
      <c r="U40" s="101" t="s">
        <v>34</v>
      </c>
      <c r="V40" s="97">
        <v>-5.9587043350534579</v>
      </c>
      <c r="W40" s="104">
        <v>9.4514542742053376</v>
      </c>
      <c r="X40" s="124"/>
      <c r="Y40" s="124"/>
      <c r="Z40" s="124"/>
      <c r="AA40" s="124"/>
      <c r="AB40" s="124"/>
      <c r="AC40" s="124"/>
      <c r="AD40" s="124"/>
      <c r="AE40" s="124"/>
    </row>
    <row r="41" spans="1:31" s="105" customFormat="1" x14ac:dyDescent="0.25">
      <c r="A41" s="118" t="s">
        <v>226</v>
      </c>
      <c r="B41" s="95">
        <v>183</v>
      </c>
      <c r="C41" s="96">
        <v>95.555328369140625</v>
      </c>
      <c r="D41" s="97">
        <v>7.7664073577247539</v>
      </c>
      <c r="E41" s="98">
        <v>1.2975008129614607</v>
      </c>
      <c r="F41" s="99">
        <v>13.753680028508681</v>
      </c>
      <c r="G41" s="98">
        <v>5.5462601495971375</v>
      </c>
      <c r="H41" s="100">
        <v>4.8000884191008799</v>
      </c>
      <c r="I41" s="101">
        <v>4.7585187605916115</v>
      </c>
      <c r="J41" s="97">
        <v>4.724548421445725</v>
      </c>
      <c r="K41" s="98">
        <v>2.6980307677802737</v>
      </c>
      <c r="L41" s="100">
        <v>7.7236427710590982</v>
      </c>
      <c r="M41" s="101">
        <v>2.840070025632154</v>
      </c>
      <c r="N41" s="97">
        <v>-6.0300372574495862</v>
      </c>
      <c r="O41" s="102">
        <v>6.1978732827099838</v>
      </c>
      <c r="P41" s="99">
        <v>8.2681505969712195</v>
      </c>
      <c r="Q41" s="98">
        <v>1.3837408424163034</v>
      </c>
      <c r="R41" s="100" t="s">
        <v>34</v>
      </c>
      <c r="S41" s="101" t="s">
        <v>34</v>
      </c>
      <c r="T41" s="97">
        <v>0</v>
      </c>
      <c r="U41" s="101" t="s">
        <v>35</v>
      </c>
      <c r="V41" s="97">
        <v>-8.2681505969712195</v>
      </c>
      <c r="W41" s="104">
        <v>1.3837408424163034</v>
      </c>
      <c r="X41" s="124"/>
      <c r="Y41" s="124"/>
      <c r="Z41" s="124"/>
      <c r="AA41" s="124"/>
      <c r="AB41" s="124"/>
      <c r="AC41" s="124"/>
      <c r="AD41" s="124"/>
      <c r="AE41" s="124"/>
    </row>
    <row r="42" spans="1:31" s="105" customFormat="1" x14ac:dyDescent="0.25">
      <c r="A42" s="118" t="s">
        <v>227</v>
      </c>
      <c r="B42" s="95">
        <v>243</v>
      </c>
      <c r="C42" s="96">
        <v>97.620384216308594</v>
      </c>
      <c r="D42" s="97">
        <v>9.4766675175154891</v>
      </c>
      <c r="E42" s="98">
        <v>1.7841398099572134</v>
      </c>
      <c r="F42" s="99">
        <v>12.133659100673709</v>
      </c>
      <c r="G42" s="98">
        <v>4.2854880057690545</v>
      </c>
      <c r="H42" s="100">
        <v>7.7529923915262628</v>
      </c>
      <c r="I42" s="101">
        <v>3.9779929598255195</v>
      </c>
      <c r="J42" s="97">
        <v>10.995478781035359</v>
      </c>
      <c r="K42" s="98">
        <v>5.0634517899966296</v>
      </c>
      <c r="L42" s="100">
        <v>7.0715105983787634</v>
      </c>
      <c r="M42" s="101">
        <v>3.7082857979343973</v>
      </c>
      <c r="N42" s="97">
        <v>-5.0621485022949422</v>
      </c>
      <c r="O42" s="102">
        <v>6.3694464692207875</v>
      </c>
      <c r="P42" s="99" t="s">
        <v>36</v>
      </c>
      <c r="Q42" s="98" t="s">
        <v>36</v>
      </c>
      <c r="R42" s="100" t="s">
        <v>36</v>
      </c>
      <c r="S42" s="101" t="s">
        <v>36</v>
      </c>
      <c r="T42" s="97" t="s">
        <v>36</v>
      </c>
      <c r="U42" s="101" t="s">
        <v>36</v>
      </c>
      <c r="V42" s="97" t="s">
        <v>36</v>
      </c>
      <c r="W42" s="104" t="s">
        <v>36</v>
      </c>
      <c r="X42" s="124"/>
      <c r="Y42" s="124"/>
      <c r="Z42" s="124"/>
      <c r="AA42" s="124"/>
      <c r="AB42" s="124"/>
      <c r="AC42" s="124"/>
      <c r="AD42" s="124"/>
      <c r="AE42" s="124"/>
    </row>
    <row r="43" spans="1:31" s="105" customFormat="1" x14ac:dyDescent="0.25">
      <c r="A43" s="118" t="s">
        <v>228</v>
      </c>
      <c r="B43" s="95">
        <v>229</v>
      </c>
      <c r="C43" s="96">
        <v>98.568817138671875</v>
      </c>
      <c r="D43" s="97">
        <v>8.9346754310986274</v>
      </c>
      <c r="E43" s="98">
        <v>1.9808381303666736</v>
      </c>
      <c r="F43" s="99">
        <v>12.649471338348389</v>
      </c>
      <c r="G43" s="98">
        <v>4.3670813066882763</v>
      </c>
      <c r="H43" s="100">
        <v>5.3541661213196852</v>
      </c>
      <c r="I43" s="101">
        <v>3.4217650817494261</v>
      </c>
      <c r="J43" s="97">
        <v>6.7380760022085209</v>
      </c>
      <c r="K43" s="98">
        <v>5.2486404830474598</v>
      </c>
      <c r="L43" s="100">
        <v>10.88935399651332</v>
      </c>
      <c r="M43" s="101">
        <v>5.2899355758566484</v>
      </c>
      <c r="N43" s="97">
        <v>-1.760117341835068</v>
      </c>
      <c r="O43" s="102">
        <v>7.2731614574632824</v>
      </c>
      <c r="P43" s="99">
        <v>8.9802466802952523</v>
      </c>
      <c r="Q43" s="98">
        <v>2.0391509889664481</v>
      </c>
      <c r="R43" s="100">
        <v>10.008366706918871</v>
      </c>
      <c r="S43" s="101">
        <v>11.106791041214311</v>
      </c>
      <c r="T43" s="97" t="s">
        <v>34</v>
      </c>
      <c r="U43" s="101" t="s">
        <v>34</v>
      </c>
      <c r="V43" s="97">
        <v>1.0281200266236183</v>
      </c>
      <c r="W43" s="104">
        <v>11.223616387858234</v>
      </c>
      <c r="X43" s="124"/>
      <c r="Y43" s="124"/>
      <c r="Z43" s="124"/>
      <c r="AA43" s="124"/>
      <c r="AB43" s="124"/>
      <c r="AC43" s="124"/>
      <c r="AD43" s="124"/>
      <c r="AE43" s="124"/>
    </row>
    <row r="44" spans="1:31" s="105" customFormat="1" x14ac:dyDescent="0.25">
      <c r="A44" s="118" t="s">
        <v>301</v>
      </c>
      <c r="B44" s="95">
        <v>231</v>
      </c>
      <c r="C44" s="96">
        <v>87.160400390625</v>
      </c>
      <c r="D44" s="97">
        <v>20.643291939879092</v>
      </c>
      <c r="E44" s="98">
        <v>3.1517666822030579</v>
      </c>
      <c r="F44" s="99">
        <v>17.57230025022772</v>
      </c>
      <c r="G44" s="98">
        <v>5.0516335310574663</v>
      </c>
      <c r="H44" s="100">
        <v>24.44624199542935</v>
      </c>
      <c r="I44" s="101">
        <v>7.07456209319332</v>
      </c>
      <c r="J44" s="97">
        <v>22.962397977744139</v>
      </c>
      <c r="K44" s="98">
        <v>6.967596294634105</v>
      </c>
      <c r="L44" s="100">
        <v>17.674746516598599</v>
      </c>
      <c r="M44" s="101">
        <v>6.6671706027166433</v>
      </c>
      <c r="N44" s="97">
        <v>0.1024462663708796</v>
      </c>
      <c r="O44" s="102">
        <v>8.5600900146407248</v>
      </c>
      <c r="P44" s="99">
        <v>22.431670766671761</v>
      </c>
      <c r="Q44" s="98">
        <v>3.5330177905101015</v>
      </c>
      <c r="R44" s="100">
        <v>18.6856725523837</v>
      </c>
      <c r="S44" s="101">
        <v>9.7923577215052457</v>
      </c>
      <c r="T44" s="97">
        <v>4.6068789160367478</v>
      </c>
      <c r="U44" s="101">
        <v>3.7130435901359036</v>
      </c>
      <c r="V44" s="97">
        <v>-10.930868552483471</v>
      </c>
      <c r="W44" s="104">
        <v>6.3357061195680524</v>
      </c>
      <c r="X44" s="124"/>
      <c r="Y44" s="124"/>
      <c r="Z44" s="124"/>
      <c r="AA44" s="124"/>
      <c r="AB44" s="124"/>
      <c r="AC44" s="124"/>
      <c r="AD44" s="124"/>
      <c r="AE44" s="124"/>
    </row>
    <row r="45" spans="1:31" s="105" customFormat="1" x14ac:dyDescent="0.25">
      <c r="A45" s="118" t="s">
        <v>229</v>
      </c>
      <c r="B45" s="95">
        <v>356</v>
      </c>
      <c r="C45" s="96">
        <v>94.870010375976563</v>
      </c>
      <c r="D45" s="97">
        <v>9.0745539315856032</v>
      </c>
      <c r="E45" s="98">
        <v>1.6621967211050332</v>
      </c>
      <c r="F45" s="99">
        <v>11.884743672827961</v>
      </c>
      <c r="G45" s="98">
        <v>3.2563053842462892</v>
      </c>
      <c r="H45" s="100">
        <v>8.7909996239834172</v>
      </c>
      <c r="I45" s="101">
        <v>3.2989559832093853</v>
      </c>
      <c r="J45" s="97">
        <v>11.710522036358929</v>
      </c>
      <c r="K45" s="98">
        <v>4.4413776870993011</v>
      </c>
      <c r="L45" s="100">
        <v>3.9202770544558021</v>
      </c>
      <c r="M45" s="101">
        <v>2.6967521493551243</v>
      </c>
      <c r="N45" s="97">
        <v>-7.9644666183721569</v>
      </c>
      <c r="O45" s="102">
        <v>4.4216572174654063</v>
      </c>
      <c r="P45" s="99">
        <v>8.6247044085536579</v>
      </c>
      <c r="Q45" s="98">
        <v>1.7636324376789489</v>
      </c>
      <c r="R45" s="100">
        <v>9.4259511098003159</v>
      </c>
      <c r="S45" s="101">
        <v>5.3264854233702961</v>
      </c>
      <c r="T45" s="97" t="s">
        <v>34</v>
      </c>
      <c r="U45" s="101" t="s">
        <v>34</v>
      </c>
      <c r="V45" s="97">
        <v>0.80124670124665798</v>
      </c>
      <c r="W45" s="104">
        <v>5.7620837739842257</v>
      </c>
      <c r="X45" s="124"/>
      <c r="Y45" s="124"/>
      <c r="Z45" s="124"/>
      <c r="AA45" s="124"/>
      <c r="AB45" s="124"/>
      <c r="AC45" s="124"/>
      <c r="AD45" s="124"/>
      <c r="AE45" s="124"/>
    </row>
    <row r="46" spans="1:31" s="105" customFormat="1" x14ac:dyDescent="0.25">
      <c r="A46" s="118" t="s">
        <v>230</v>
      </c>
      <c r="B46" s="95">
        <v>274</v>
      </c>
      <c r="C46" s="96">
        <v>86.549957275390625</v>
      </c>
      <c r="D46" s="97">
        <v>14.252972221817821</v>
      </c>
      <c r="E46" s="98">
        <v>0.13738125250012767</v>
      </c>
      <c r="F46" s="99">
        <v>21.120985408929759</v>
      </c>
      <c r="G46" s="98">
        <v>0.44524050637475626</v>
      </c>
      <c r="H46" s="100">
        <v>16.998842426186538</v>
      </c>
      <c r="I46" s="101">
        <v>0.30470279180041809</v>
      </c>
      <c r="J46" s="97">
        <v>9.2802613018803335</v>
      </c>
      <c r="K46" s="98">
        <v>3.5921557588912747</v>
      </c>
      <c r="L46" s="100">
        <v>9.6045211642305794</v>
      </c>
      <c r="M46" s="101">
        <v>3.9873713736402863</v>
      </c>
      <c r="N46" s="97">
        <v>-11.516464244699179</v>
      </c>
      <c r="O46" s="102">
        <v>4.0476226824616859</v>
      </c>
      <c r="P46" s="99">
        <v>13.552027364281139</v>
      </c>
      <c r="Q46" s="98">
        <v>0.12490250990024286</v>
      </c>
      <c r="R46" s="100">
        <v>39.544525596540169</v>
      </c>
      <c r="S46" s="101">
        <v>1.5590459476004295</v>
      </c>
      <c r="T46" s="97" t="s">
        <v>34</v>
      </c>
      <c r="U46" s="101" t="s">
        <v>34</v>
      </c>
      <c r="V46" s="97">
        <v>25.992498232259031</v>
      </c>
      <c r="W46" s="104">
        <v>1.5582956321540136</v>
      </c>
      <c r="X46" s="124"/>
      <c r="Y46" s="124"/>
      <c r="Z46" s="124"/>
      <c r="AA46" s="124"/>
      <c r="AB46" s="124"/>
      <c r="AC46" s="124"/>
      <c r="AD46" s="124"/>
      <c r="AE46" s="124"/>
    </row>
    <row r="47" spans="1:31" s="105" customFormat="1" x14ac:dyDescent="0.25">
      <c r="A47" s="118" t="s">
        <v>231</v>
      </c>
      <c r="B47" s="95">
        <v>1052</v>
      </c>
      <c r="C47" s="96">
        <v>97.3232421875</v>
      </c>
      <c r="D47" s="97">
        <v>13.513587951076421</v>
      </c>
      <c r="E47" s="98">
        <v>1.7539745438928696</v>
      </c>
      <c r="F47" s="99">
        <v>13.744150976184519</v>
      </c>
      <c r="G47" s="98">
        <v>3.516629153122568</v>
      </c>
      <c r="H47" s="100">
        <v>10.98156469253138</v>
      </c>
      <c r="I47" s="101">
        <v>2.1980143971493953</v>
      </c>
      <c r="J47" s="97">
        <v>11.74839062116533</v>
      </c>
      <c r="K47" s="98">
        <v>3.3232506128851296</v>
      </c>
      <c r="L47" s="100">
        <v>17.53766673158356</v>
      </c>
      <c r="M47" s="101">
        <v>4.2314627210952356</v>
      </c>
      <c r="N47" s="97">
        <v>3.7935157553990351</v>
      </c>
      <c r="O47" s="102">
        <v>5.0225938851777334</v>
      </c>
      <c r="P47" s="99">
        <v>13.40255005851952</v>
      </c>
      <c r="Q47" s="98">
        <v>1.8794651276674768</v>
      </c>
      <c r="R47" s="100">
        <v>14.15622602675908</v>
      </c>
      <c r="S47" s="101">
        <v>3.7286420470571482</v>
      </c>
      <c r="T47" s="97">
        <v>11.64508224007642</v>
      </c>
      <c r="U47" s="101">
        <v>4.3668197257859322</v>
      </c>
      <c r="V47" s="97">
        <v>0.25324471869435072</v>
      </c>
      <c r="W47" s="104">
        <v>3.4982848928321313</v>
      </c>
      <c r="X47" s="124"/>
      <c r="Y47" s="124"/>
      <c r="Z47" s="124"/>
      <c r="AA47" s="124"/>
      <c r="AB47" s="124"/>
      <c r="AC47" s="124"/>
      <c r="AD47" s="124"/>
      <c r="AE47" s="124"/>
    </row>
    <row r="48" spans="1:31" s="105" customFormat="1" x14ac:dyDescent="0.25">
      <c r="A48" s="118" t="s">
        <v>232</v>
      </c>
      <c r="B48" s="95">
        <v>201</v>
      </c>
      <c r="C48" s="96">
        <v>96.093132019042969</v>
      </c>
      <c r="D48" s="97">
        <v>8.606363627841862</v>
      </c>
      <c r="E48" s="98">
        <v>1.7307766347826812</v>
      </c>
      <c r="F48" s="99">
        <v>13.295599928214861</v>
      </c>
      <c r="G48" s="98">
        <v>5.3979099157864399</v>
      </c>
      <c r="H48" s="100">
        <v>13.778077367244711</v>
      </c>
      <c r="I48" s="101">
        <v>4.8973128824413488</v>
      </c>
      <c r="J48" s="97">
        <v>5.7139022432474036</v>
      </c>
      <c r="K48" s="98">
        <v>4.4861516691435988</v>
      </c>
      <c r="L48" s="100">
        <v>1.4776702571568281</v>
      </c>
      <c r="M48" s="101">
        <v>1.5309186064234745</v>
      </c>
      <c r="N48" s="97">
        <v>-11.81792967105803</v>
      </c>
      <c r="O48" s="102">
        <v>5.8113975052158784</v>
      </c>
      <c r="P48" s="99">
        <v>10.00064755175784</v>
      </c>
      <c r="Q48" s="98">
        <v>2.0699419787854372</v>
      </c>
      <c r="R48" s="100">
        <v>2.6372923515157698</v>
      </c>
      <c r="S48" s="101">
        <v>2.6244397002563002</v>
      </c>
      <c r="T48" s="97" t="s">
        <v>34</v>
      </c>
      <c r="U48" s="101" t="s">
        <v>34</v>
      </c>
      <c r="V48" s="97">
        <v>-7.3633552002420704</v>
      </c>
      <c r="W48" s="104">
        <v>3.3312000671479374</v>
      </c>
      <c r="X48" s="124"/>
      <c r="Y48" s="124"/>
      <c r="Z48" s="124"/>
      <c r="AA48" s="124"/>
      <c r="AB48" s="124"/>
      <c r="AC48" s="124"/>
      <c r="AD48" s="124"/>
      <c r="AE48" s="124"/>
    </row>
    <row r="49" spans="1:31" s="105" customFormat="1" x14ac:dyDescent="0.25">
      <c r="A49" s="118" t="s">
        <v>233</v>
      </c>
      <c r="B49" s="95">
        <v>156</v>
      </c>
      <c r="C49" s="96">
        <v>73.879913330078125</v>
      </c>
      <c r="D49" s="97">
        <v>2.3378815442308931</v>
      </c>
      <c r="E49" s="98">
        <v>1.3786490068173753</v>
      </c>
      <c r="F49" s="99">
        <v>5.9919798020040194</v>
      </c>
      <c r="G49" s="98">
        <v>4.5199484455647605</v>
      </c>
      <c r="H49" s="100">
        <v>3.341943952234474</v>
      </c>
      <c r="I49" s="101">
        <v>3.9497483672284202</v>
      </c>
      <c r="J49" s="97">
        <v>0</v>
      </c>
      <c r="K49" s="98" t="s">
        <v>35</v>
      </c>
      <c r="L49" s="100">
        <v>0</v>
      </c>
      <c r="M49" s="101" t="s">
        <v>35</v>
      </c>
      <c r="N49" s="97">
        <v>-5.9919798020040194</v>
      </c>
      <c r="O49" s="102">
        <v>4.5199484455647605</v>
      </c>
      <c r="P49" s="99">
        <v>2.4699761742006241</v>
      </c>
      <c r="Q49" s="98">
        <v>1.4540851138771367</v>
      </c>
      <c r="R49" s="100" t="s">
        <v>34</v>
      </c>
      <c r="S49" s="101" t="s">
        <v>34</v>
      </c>
      <c r="T49" s="97">
        <v>0</v>
      </c>
      <c r="U49" s="101" t="s">
        <v>35</v>
      </c>
      <c r="V49" s="97">
        <v>-2.4699761742006241</v>
      </c>
      <c r="W49" s="104">
        <v>1.4540851138771367</v>
      </c>
      <c r="X49" s="124"/>
      <c r="Y49" s="124"/>
      <c r="Z49" s="124"/>
      <c r="AA49" s="124"/>
      <c r="AB49" s="124"/>
      <c r="AC49" s="124"/>
      <c r="AD49" s="124"/>
      <c r="AE49" s="124"/>
    </row>
    <row r="50" spans="1:31" s="105" customFormat="1" x14ac:dyDescent="0.25">
      <c r="A50" s="118" t="s">
        <v>234</v>
      </c>
      <c r="B50" s="95">
        <v>180</v>
      </c>
      <c r="C50" s="96">
        <v>99.487930297851563</v>
      </c>
      <c r="D50" s="97">
        <v>14.88697861816553</v>
      </c>
      <c r="E50" s="98">
        <v>2.6893494276311967</v>
      </c>
      <c r="F50" s="99">
        <v>6.4084264778426308</v>
      </c>
      <c r="G50" s="98">
        <v>4.1060922553830306</v>
      </c>
      <c r="H50" s="100">
        <v>22.612197066674899</v>
      </c>
      <c r="I50" s="101">
        <v>7.2356577820069585</v>
      </c>
      <c r="J50" s="97">
        <v>22.873783690321648</v>
      </c>
      <c r="K50" s="98">
        <v>6.5009453855085093</v>
      </c>
      <c r="L50" s="100">
        <v>7.5642639325890224</v>
      </c>
      <c r="M50" s="101">
        <v>5.1804820958426117</v>
      </c>
      <c r="N50" s="97">
        <v>1.1558374547463921</v>
      </c>
      <c r="O50" s="102">
        <v>6.4779493347913215</v>
      </c>
      <c r="P50" s="99">
        <v>16.308947406464171</v>
      </c>
      <c r="Q50" s="98">
        <v>2.8873046771921094</v>
      </c>
      <c r="R50" s="100" t="s">
        <v>34</v>
      </c>
      <c r="S50" s="101" t="s">
        <v>34</v>
      </c>
      <c r="T50" s="97">
        <v>5.0881172831412149</v>
      </c>
      <c r="U50" s="101">
        <v>5.0763847051537576</v>
      </c>
      <c r="V50" s="97">
        <v>-11.220830123322955</v>
      </c>
      <c r="W50" s="104">
        <v>5.5456268935022504</v>
      </c>
      <c r="X50" s="124"/>
      <c r="Y50" s="124"/>
      <c r="Z50" s="124"/>
      <c r="AA50" s="124"/>
      <c r="AB50" s="124"/>
      <c r="AC50" s="124"/>
      <c r="AD50" s="124"/>
      <c r="AE50" s="124"/>
    </row>
    <row r="51" spans="1:31" s="105" customFormat="1" x14ac:dyDescent="0.25">
      <c r="A51" s="118" t="s">
        <v>235</v>
      </c>
      <c r="B51" s="95">
        <v>389</v>
      </c>
      <c r="C51" s="96">
        <v>78.909400939941406</v>
      </c>
      <c r="D51" s="97">
        <v>4.7594382254157477</v>
      </c>
      <c r="E51" s="98">
        <v>1.4519252973804553</v>
      </c>
      <c r="F51" s="99">
        <v>7.3908700742986504</v>
      </c>
      <c r="G51" s="98">
        <v>4.2912820130721183</v>
      </c>
      <c r="H51" s="100">
        <v>7.6589020120836704</v>
      </c>
      <c r="I51" s="101">
        <v>4.2298572135077963</v>
      </c>
      <c r="J51" s="97">
        <v>3.9986430778750628</v>
      </c>
      <c r="K51" s="98">
        <v>2.615240122952474</v>
      </c>
      <c r="L51" s="100">
        <v>0.1977260882578582</v>
      </c>
      <c r="M51" s="101">
        <v>0.16213185103905356</v>
      </c>
      <c r="N51" s="97">
        <v>-7.1931439860407922</v>
      </c>
      <c r="O51" s="102">
        <v>4.3045683922063569</v>
      </c>
      <c r="P51" s="99">
        <v>8.9934558881200655</v>
      </c>
      <c r="Q51" s="98">
        <v>3.2788589220189679</v>
      </c>
      <c r="R51" s="100">
        <v>2.0455470635792619</v>
      </c>
      <c r="S51" s="101">
        <v>1.3995614398588514</v>
      </c>
      <c r="T51" s="97">
        <v>0.38703230425955981</v>
      </c>
      <c r="U51" s="101">
        <v>0.40282435958412105</v>
      </c>
      <c r="V51" s="97">
        <v>-7.1943994641626405</v>
      </c>
      <c r="W51" s="104">
        <v>3.4819190000411036</v>
      </c>
      <c r="X51" s="124"/>
      <c r="Y51" s="124"/>
      <c r="Z51" s="124"/>
      <c r="AA51" s="124"/>
      <c r="AB51" s="124"/>
      <c r="AC51" s="124"/>
      <c r="AD51" s="124"/>
      <c r="AE51" s="124"/>
    </row>
    <row r="52" spans="1:31" s="105" customFormat="1" x14ac:dyDescent="0.25">
      <c r="A52" s="118" t="s">
        <v>302</v>
      </c>
      <c r="B52" s="95">
        <v>145</v>
      </c>
      <c r="C52" s="96">
        <v>87.810676574707031</v>
      </c>
      <c r="D52" s="97">
        <v>9.6069451019329346</v>
      </c>
      <c r="E52" s="98">
        <v>2.3454102296342536</v>
      </c>
      <c r="F52" s="99">
        <v>29.120424482137569</v>
      </c>
      <c r="G52" s="98">
        <v>8.3250088787406877</v>
      </c>
      <c r="H52" s="100">
        <v>0.9048659046146954</v>
      </c>
      <c r="I52" s="101">
        <v>1.0047622953047928</v>
      </c>
      <c r="J52" s="97">
        <v>2.2421254283217542</v>
      </c>
      <c r="K52" s="98">
        <v>2.2185335235225647</v>
      </c>
      <c r="L52" s="100">
        <v>5.8449655595723451</v>
      </c>
      <c r="M52" s="101">
        <v>4.8135855589241894</v>
      </c>
      <c r="N52" s="97">
        <v>-23.275458922565221</v>
      </c>
      <c r="O52" s="102">
        <v>10.279930772083436</v>
      </c>
      <c r="P52" s="99">
        <v>10.436102558425249</v>
      </c>
      <c r="Q52" s="98">
        <v>2.5413072481194163</v>
      </c>
      <c r="R52" s="100" t="s">
        <v>34</v>
      </c>
      <c r="S52" s="101" t="s">
        <v>34</v>
      </c>
      <c r="T52" s="97">
        <v>0</v>
      </c>
      <c r="U52" s="101" t="s">
        <v>35</v>
      </c>
      <c r="V52" s="97">
        <v>-10.436102558425249</v>
      </c>
      <c r="W52" s="104">
        <v>2.5413072481194163</v>
      </c>
      <c r="X52" s="124"/>
      <c r="Y52" s="124"/>
      <c r="Z52" s="124"/>
      <c r="AA52" s="124"/>
      <c r="AB52" s="124"/>
      <c r="AC52" s="124"/>
      <c r="AD52" s="124"/>
      <c r="AE52" s="124"/>
    </row>
    <row r="53" spans="1:31" s="105" customFormat="1" x14ac:dyDescent="0.25">
      <c r="A53" s="118" t="s">
        <v>236</v>
      </c>
      <c r="B53" s="95" t="s">
        <v>34</v>
      </c>
      <c r="C53" s="96" t="s">
        <v>34</v>
      </c>
      <c r="D53" s="97">
        <v>12.67134747722046</v>
      </c>
      <c r="E53" s="98">
        <v>0.3699852362029078</v>
      </c>
      <c r="F53" s="99">
        <v>15.89120811828959</v>
      </c>
      <c r="G53" s="98">
        <v>0.87158939252796641</v>
      </c>
      <c r="H53" s="100">
        <v>13.94445755022903</v>
      </c>
      <c r="I53" s="101">
        <v>0.87179706155314729</v>
      </c>
      <c r="J53" s="97">
        <v>11.896452992994231</v>
      </c>
      <c r="K53" s="98">
        <v>0.85839259781386967</v>
      </c>
      <c r="L53" s="100">
        <v>9.8613787207629944</v>
      </c>
      <c r="M53" s="101">
        <v>0.75176999152735358</v>
      </c>
      <c r="N53" s="97">
        <v>-6.0298293975265951</v>
      </c>
      <c r="O53" s="102">
        <v>1.1601606322326381</v>
      </c>
      <c r="P53" s="99">
        <v>13.42429945149126</v>
      </c>
      <c r="Q53" s="98">
        <v>0.50530047177167148</v>
      </c>
      <c r="R53" s="100">
        <v>11.02442554675055</v>
      </c>
      <c r="S53" s="101">
        <v>1.201189567122203</v>
      </c>
      <c r="T53" s="97">
        <v>6.9861645840270912</v>
      </c>
      <c r="U53" s="101">
        <v>1.1181533779742241</v>
      </c>
      <c r="V53" s="97">
        <v>-4.3067514128060083</v>
      </c>
      <c r="W53" s="104">
        <v>0.97196985775972411</v>
      </c>
      <c r="X53" s="124"/>
      <c r="Y53" s="124"/>
      <c r="Z53" s="124"/>
      <c r="AA53" s="124"/>
      <c r="AB53" s="124"/>
      <c r="AC53" s="124"/>
      <c r="AD53" s="124"/>
      <c r="AE53" s="124"/>
    </row>
    <row r="54" spans="1:31" s="105" customFormat="1" x14ac:dyDescent="0.25">
      <c r="A54" s="181" t="s">
        <v>279</v>
      </c>
      <c r="B54" s="95"/>
      <c r="C54" s="96"/>
      <c r="D54" s="97"/>
      <c r="E54" s="98"/>
      <c r="F54" s="99"/>
      <c r="G54" s="98"/>
      <c r="H54" s="100"/>
      <c r="I54" s="101"/>
      <c r="J54" s="97"/>
      <c r="K54" s="98"/>
      <c r="L54" s="100"/>
      <c r="M54" s="101"/>
      <c r="N54" s="97"/>
      <c r="O54" s="102"/>
      <c r="P54" s="99"/>
      <c r="Q54" s="98"/>
      <c r="R54" s="100"/>
      <c r="S54" s="101"/>
      <c r="T54" s="97"/>
      <c r="U54" s="101"/>
      <c r="V54" s="97"/>
      <c r="W54" s="104"/>
      <c r="X54" s="124"/>
      <c r="Y54" s="124"/>
      <c r="Z54" s="124"/>
      <c r="AA54" s="124"/>
      <c r="AB54" s="124"/>
      <c r="AC54" s="124"/>
      <c r="AD54" s="124"/>
      <c r="AE54" s="124"/>
    </row>
    <row r="55" spans="1:31" s="105" customFormat="1" x14ac:dyDescent="0.25">
      <c r="A55" s="118" t="s">
        <v>237</v>
      </c>
      <c r="B55" s="95">
        <v>326</v>
      </c>
      <c r="C55" s="96">
        <v>99.711921691894531</v>
      </c>
      <c r="D55" s="97">
        <v>11.614903141300861</v>
      </c>
      <c r="E55" s="98">
        <v>1.5678634509762392</v>
      </c>
      <c r="F55" s="99">
        <v>11.175542473784869</v>
      </c>
      <c r="G55" s="98">
        <v>5.0827551486288272</v>
      </c>
      <c r="H55" s="100">
        <v>12.20333727141371</v>
      </c>
      <c r="I55" s="101">
        <v>1.9807166441052801</v>
      </c>
      <c r="J55" s="97">
        <v>9.4338338302468667</v>
      </c>
      <c r="K55" s="98">
        <v>4.7288814428356538</v>
      </c>
      <c r="L55" s="100">
        <v>13.678821123350501</v>
      </c>
      <c r="M55" s="101">
        <v>4.8594944868643939</v>
      </c>
      <c r="N55" s="97">
        <v>2.5032786495656372</v>
      </c>
      <c r="O55" s="102">
        <v>6.724229680202602</v>
      </c>
      <c r="P55" s="99">
        <v>13.060500682319599</v>
      </c>
      <c r="Q55" s="98">
        <v>1.7560985197362198</v>
      </c>
      <c r="R55" s="100" t="s">
        <v>34</v>
      </c>
      <c r="S55" s="101" t="s">
        <v>34</v>
      </c>
      <c r="T55" s="97">
        <v>3.6216129196671901E-2</v>
      </c>
      <c r="U55" s="101">
        <v>5.1343067941243443E-2</v>
      </c>
      <c r="V55" s="97">
        <v>-13.024284553122927</v>
      </c>
      <c r="W55" s="104">
        <v>1.7568772396193244</v>
      </c>
      <c r="X55" s="124"/>
      <c r="Y55" s="124"/>
      <c r="Z55" s="124"/>
      <c r="AA55" s="124"/>
      <c r="AB55" s="124"/>
      <c r="AC55" s="124"/>
      <c r="AD55" s="124"/>
      <c r="AE55" s="124"/>
    </row>
    <row r="56" spans="1:31" s="105" customFormat="1" x14ac:dyDescent="0.25">
      <c r="A56" s="118" t="s">
        <v>238</v>
      </c>
      <c r="B56" s="95">
        <v>439</v>
      </c>
      <c r="C56" s="96">
        <v>96.631202697753906</v>
      </c>
      <c r="D56" s="97">
        <v>22.404593616262879</v>
      </c>
      <c r="E56" s="98">
        <v>2.7835108518757385</v>
      </c>
      <c r="F56" s="99">
        <v>26.863359134527389</v>
      </c>
      <c r="G56" s="98">
        <v>6.1065347797500493</v>
      </c>
      <c r="H56" s="100">
        <v>29.169033746425701</v>
      </c>
      <c r="I56" s="101">
        <v>6.4496231816483522</v>
      </c>
      <c r="J56" s="97">
        <v>21.115546950093339</v>
      </c>
      <c r="K56" s="98">
        <v>6.4217519251678254</v>
      </c>
      <c r="L56" s="100">
        <v>12.38464562364868</v>
      </c>
      <c r="M56" s="101">
        <v>5.0081050709137589</v>
      </c>
      <c r="N56" s="97">
        <v>-14.4787135108787</v>
      </c>
      <c r="O56" s="102">
        <v>8.1821902881800259</v>
      </c>
      <c r="P56" s="99">
        <v>27.61097543260918</v>
      </c>
      <c r="Q56" s="98">
        <v>3.6218239512247203</v>
      </c>
      <c r="R56" s="100">
        <v>15.860148053296641</v>
      </c>
      <c r="S56" s="101">
        <v>5.5600492000951469</v>
      </c>
      <c r="T56" s="97">
        <v>0</v>
      </c>
      <c r="U56" s="101" t="s">
        <v>35</v>
      </c>
      <c r="V56" s="97">
        <v>-16.080299647548848</v>
      </c>
      <c r="W56" s="104">
        <v>5.3742060691723603</v>
      </c>
      <c r="X56" s="124"/>
      <c r="Y56" s="124"/>
      <c r="Z56" s="124"/>
      <c r="AA56" s="124"/>
      <c r="AB56" s="124"/>
      <c r="AC56" s="124"/>
      <c r="AD56" s="124"/>
      <c r="AE56" s="124"/>
    </row>
    <row r="57" spans="1:31" s="105" customFormat="1" x14ac:dyDescent="0.25">
      <c r="A57" s="118" t="s">
        <v>239</v>
      </c>
      <c r="B57" s="95">
        <v>112</v>
      </c>
      <c r="C57" s="96">
        <v>53.723323822021484</v>
      </c>
      <c r="D57" s="97">
        <v>20.352469322212631</v>
      </c>
      <c r="E57" s="98">
        <v>3.9268061205865061</v>
      </c>
      <c r="F57" s="99">
        <v>20.880712718465269</v>
      </c>
      <c r="G57" s="98">
        <v>6.3271302931593008</v>
      </c>
      <c r="H57" s="100">
        <v>19.267808490988411</v>
      </c>
      <c r="I57" s="101">
        <v>8.960909515467284</v>
      </c>
      <c r="J57" s="97">
        <v>22.783649983747289</v>
      </c>
      <c r="K57" s="98">
        <v>10.950858160959285</v>
      </c>
      <c r="L57" s="100">
        <v>18.491533217599638</v>
      </c>
      <c r="M57" s="101">
        <v>8.4265806707490274</v>
      </c>
      <c r="N57" s="97">
        <v>-2.3891795008656231</v>
      </c>
      <c r="O57" s="102">
        <v>10.718081585038643</v>
      </c>
      <c r="P57" s="99">
        <v>20.388336808485171</v>
      </c>
      <c r="Q57" s="98">
        <v>3.9576255875099848</v>
      </c>
      <c r="R57" s="100" t="s">
        <v>34</v>
      </c>
      <c r="S57" s="101" t="s">
        <v>34</v>
      </c>
      <c r="T57" s="97" t="s">
        <v>34</v>
      </c>
      <c r="U57" s="101" t="s">
        <v>34</v>
      </c>
      <c r="V57" s="97" t="s">
        <v>34</v>
      </c>
      <c r="W57" s="104" t="s">
        <v>34</v>
      </c>
      <c r="X57" s="124"/>
      <c r="Y57" s="124"/>
      <c r="Z57" s="124"/>
      <c r="AA57" s="124"/>
      <c r="AB57" s="124"/>
      <c r="AC57" s="124"/>
      <c r="AD57" s="124"/>
      <c r="AE57" s="124"/>
    </row>
    <row r="58" spans="1:31" s="105" customFormat="1" x14ac:dyDescent="0.25">
      <c r="A58" s="118" t="s">
        <v>240</v>
      </c>
      <c r="B58" s="95">
        <v>234</v>
      </c>
      <c r="C58" s="96">
        <v>100</v>
      </c>
      <c r="D58" s="97">
        <v>12.669366296226411</v>
      </c>
      <c r="E58" s="98">
        <v>2.1219490556872778</v>
      </c>
      <c r="F58" s="99">
        <v>8.805970945449948</v>
      </c>
      <c r="G58" s="98">
        <v>3.4270907423493178</v>
      </c>
      <c r="H58" s="100">
        <v>12.9540898454452</v>
      </c>
      <c r="I58" s="101">
        <v>5.561306485167731</v>
      </c>
      <c r="J58" s="97">
        <v>15.478290581661801</v>
      </c>
      <c r="K58" s="98">
        <v>6.5800410547982029</v>
      </c>
      <c r="L58" s="100">
        <v>13.39047004490005</v>
      </c>
      <c r="M58" s="101">
        <v>5.9879443390094753</v>
      </c>
      <c r="N58" s="97">
        <v>4.5844990994501007</v>
      </c>
      <c r="O58" s="102">
        <v>7.1947361521172919</v>
      </c>
      <c r="P58" s="99">
        <v>12.718958840250339</v>
      </c>
      <c r="Q58" s="98">
        <v>2.1300267920279601</v>
      </c>
      <c r="R58" s="100" t="s">
        <v>34</v>
      </c>
      <c r="S58" s="101" t="s">
        <v>34</v>
      </c>
      <c r="T58" s="97" t="s">
        <v>34</v>
      </c>
      <c r="U58" s="101" t="s">
        <v>34</v>
      </c>
      <c r="V58" s="97" t="s">
        <v>34</v>
      </c>
      <c r="W58" s="104" t="s">
        <v>34</v>
      </c>
      <c r="X58" s="124"/>
      <c r="Y58" s="124"/>
      <c r="Z58" s="124"/>
      <c r="AA58" s="124"/>
      <c r="AB58" s="124"/>
      <c r="AC58" s="124"/>
      <c r="AD58" s="124"/>
      <c r="AE58" s="124"/>
    </row>
    <row r="59" spans="1:31" s="105" customFormat="1" x14ac:dyDescent="0.25">
      <c r="A59" s="118" t="s">
        <v>241</v>
      </c>
      <c r="B59" s="95">
        <v>129</v>
      </c>
      <c r="C59" s="96">
        <v>83.529983520507813</v>
      </c>
      <c r="D59" s="97">
        <v>27.892441022555222</v>
      </c>
      <c r="E59" s="98">
        <v>3.2475723647005901</v>
      </c>
      <c r="F59" s="99">
        <v>23.417058137590899</v>
      </c>
      <c r="G59" s="98">
        <v>7.3231733814144429</v>
      </c>
      <c r="H59" s="100">
        <v>22.703974990862719</v>
      </c>
      <c r="I59" s="101">
        <v>7.9487305222806226</v>
      </c>
      <c r="J59" s="97">
        <v>36.465031096624301</v>
      </c>
      <c r="K59" s="98">
        <v>9.9505120796706716</v>
      </c>
      <c r="L59" s="100">
        <v>28.967757742945189</v>
      </c>
      <c r="M59" s="101">
        <v>7.4117021484035535</v>
      </c>
      <c r="N59" s="97">
        <v>5.5506996053542927</v>
      </c>
      <c r="O59" s="102">
        <v>10.44219589402435</v>
      </c>
      <c r="P59" s="99">
        <v>28.221816650000079</v>
      </c>
      <c r="Q59" s="98">
        <v>3.2988309230255131</v>
      </c>
      <c r="R59" s="100" t="s">
        <v>34</v>
      </c>
      <c r="S59" s="101" t="s">
        <v>34</v>
      </c>
      <c r="T59" s="97" t="s">
        <v>34</v>
      </c>
      <c r="U59" s="101" t="s">
        <v>34</v>
      </c>
      <c r="V59" s="97" t="s">
        <v>34</v>
      </c>
      <c r="W59" s="104" t="s">
        <v>34</v>
      </c>
      <c r="X59" s="124"/>
      <c r="Y59" s="124"/>
      <c r="Z59" s="124"/>
      <c r="AA59" s="124"/>
      <c r="AB59" s="124"/>
      <c r="AC59" s="124"/>
      <c r="AD59" s="124"/>
      <c r="AE59" s="124"/>
    </row>
    <row r="60" spans="1:31" s="105" customFormat="1" x14ac:dyDescent="0.25">
      <c r="A60" s="118" t="s">
        <v>242</v>
      </c>
      <c r="B60" s="95">
        <v>421</v>
      </c>
      <c r="C60" s="96">
        <v>77.938301086425781</v>
      </c>
      <c r="D60" s="97">
        <v>33.375892914702398</v>
      </c>
      <c r="E60" s="98">
        <v>2.5201835937309789</v>
      </c>
      <c r="F60" s="99">
        <v>43.072984729805647</v>
      </c>
      <c r="G60" s="98">
        <v>4.8817940596495148</v>
      </c>
      <c r="H60" s="100">
        <v>37.731565350226511</v>
      </c>
      <c r="I60" s="101">
        <v>6.625111795285604</v>
      </c>
      <c r="J60" s="97">
        <v>29.548888454460482</v>
      </c>
      <c r="K60" s="98">
        <v>5.6082459155990909</v>
      </c>
      <c r="L60" s="100">
        <v>23.043002621547231</v>
      </c>
      <c r="M60" s="101">
        <v>5.1197696412424776</v>
      </c>
      <c r="N60" s="97">
        <v>-20.02998210825842</v>
      </c>
      <c r="O60" s="102">
        <v>7.5646179180969204</v>
      </c>
      <c r="P60" s="99">
        <v>37.216361640345781</v>
      </c>
      <c r="Q60" s="98">
        <v>2.6473943974438061</v>
      </c>
      <c r="R60" s="100" t="s">
        <v>34</v>
      </c>
      <c r="S60" s="101" t="s">
        <v>34</v>
      </c>
      <c r="T60" s="97">
        <v>16.21166782831672</v>
      </c>
      <c r="U60" s="101">
        <v>6.1022790180713145</v>
      </c>
      <c r="V60" s="97">
        <v>-21.00469381202906</v>
      </c>
      <c r="W60" s="104">
        <v>6.522258800475</v>
      </c>
      <c r="X60" s="124"/>
      <c r="Y60" s="124"/>
      <c r="Z60" s="124"/>
      <c r="AA60" s="124"/>
      <c r="AB60" s="124"/>
      <c r="AC60" s="124"/>
      <c r="AD60" s="124"/>
      <c r="AE60" s="124"/>
    </row>
    <row r="61" spans="1:31" s="105" customFormat="1" x14ac:dyDescent="0.25">
      <c r="A61" s="118" t="s">
        <v>243</v>
      </c>
      <c r="B61" s="95">
        <v>55</v>
      </c>
      <c r="C61" s="96">
        <v>100</v>
      </c>
      <c r="D61" s="97">
        <v>26.219654408186688</v>
      </c>
      <c r="E61" s="98">
        <v>6.4792519306042642E-2</v>
      </c>
      <c r="F61" s="99">
        <v>30.281543609179</v>
      </c>
      <c r="G61" s="98">
        <v>0.19217506247416344</v>
      </c>
      <c r="H61" s="100">
        <v>19.43154034754567</v>
      </c>
      <c r="I61" s="101">
        <v>0.16796682317115957</v>
      </c>
      <c r="J61" s="97">
        <v>29.69288557988137</v>
      </c>
      <c r="K61" s="98">
        <v>0.1654541145435183</v>
      </c>
      <c r="L61" s="100">
        <v>25.13182105742748</v>
      </c>
      <c r="M61" s="101">
        <v>0.11775584048269408</v>
      </c>
      <c r="N61" s="97">
        <v>-5.1497225517515233</v>
      </c>
      <c r="O61" s="102">
        <v>0.22182982091860004</v>
      </c>
      <c r="P61" s="99">
        <v>30.381404380004891</v>
      </c>
      <c r="Q61" s="98">
        <v>7.5100056129414561E-2</v>
      </c>
      <c r="R61" s="100" t="s">
        <v>34</v>
      </c>
      <c r="S61" s="101" t="s">
        <v>34</v>
      </c>
      <c r="T61" s="97">
        <v>3.7962963314471878</v>
      </c>
      <c r="U61" s="101">
        <v>1.1671214204915457E-2</v>
      </c>
      <c r="V61" s="97">
        <v>-26.585108048557704</v>
      </c>
      <c r="W61" s="104">
        <v>7.5987325748616039E-2</v>
      </c>
      <c r="X61" s="124"/>
      <c r="Y61" s="124"/>
      <c r="Z61" s="124"/>
      <c r="AA61" s="124"/>
      <c r="AB61" s="124"/>
      <c r="AC61" s="124"/>
      <c r="AD61" s="124"/>
      <c r="AE61" s="124"/>
    </row>
    <row r="62" spans="1:31" s="105" customFormat="1" x14ac:dyDescent="0.25">
      <c r="A62" s="118" t="s">
        <v>244</v>
      </c>
      <c r="B62" s="95">
        <v>361</v>
      </c>
      <c r="C62" s="96">
        <v>100</v>
      </c>
      <c r="D62" s="97">
        <v>41.228979569616477</v>
      </c>
      <c r="E62" s="98">
        <v>3.8084002320386698</v>
      </c>
      <c r="F62" s="99">
        <v>43.028381052137519</v>
      </c>
      <c r="G62" s="98">
        <v>8.167961584723832</v>
      </c>
      <c r="H62" s="100">
        <v>53.902882186881982</v>
      </c>
      <c r="I62" s="101">
        <v>11.337173536549441</v>
      </c>
      <c r="J62" s="97">
        <v>35.485050037088563</v>
      </c>
      <c r="K62" s="98">
        <v>9.1179046007937625</v>
      </c>
      <c r="L62" s="100">
        <v>32.348813469099881</v>
      </c>
      <c r="M62" s="101">
        <v>4.9699749692274882</v>
      </c>
      <c r="N62" s="97">
        <v>-10.67956758303764</v>
      </c>
      <c r="O62" s="102">
        <v>9.8577589026601249</v>
      </c>
      <c r="P62" s="99">
        <v>41.969565731587608</v>
      </c>
      <c r="Q62" s="98">
        <v>4.3190951206904407</v>
      </c>
      <c r="R62" s="100" t="s">
        <v>34</v>
      </c>
      <c r="S62" s="101" t="s">
        <v>34</v>
      </c>
      <c r="T62" s="97">
        <v>36.073049363674592</v>
      </c>
      <c r="U62" s="101">
        <v>7.7907289081754296</v>
      </c>
      <c r="V62" s="97">
        <v>-5.8965163679130157</v>
      </c>
      <c r="W62" s="104">
        <v>9.1313747196349446</v>
      </c>
      <c r="X62" s="124"/>
      <c r="Y62" s="124"/>
      <c r="Z62" s="124"/>
      <c r="AA62" s="124"/>
      <c r="AB62" s="124"/>
      <c r="AC62" s="124"/>
      <c r="AD62" s="124"/>
      <c r="AE62" s="124"/>
    </row>
    <row r="63" spans="1:31" s="105" customFormat="1" x14ac:dyDescent="0.25">
      <c r="A63" s="118" t="s">
        <v>245</v>
      </c>
      <c r="B63" s="95">
        <v>186</v>
      </c>
      <c r="C63" s="96">
        <v>94.187301635742188</v>
      </c>
      <c r="D63" s="97">
        <v>17.889792683676351</v>
      </c>
      <c r="E63" s="98">
        <v>2.712641478780589</v>
      </c>
      <c r="F63" s="99">
        <v>22.852124123411379</v>
      </c>
      <c r="G63" s="98">
        <v>7.3362489549075507</v>
      </c>
      <c r="H63" s="100">
        <v>23.44227117070502</v>
      </c>
      <c r="I63" s="101">
        <v>7.2660044321272759</v>
      </c>
      <c r="J63" s="97">
        <v>13.232716475576179</v>
      </c>
      <c r="K63" s="98">
        <v>6.928409293311045</v>
      </c>
      <c r="L63" s="100">
        <v>12.195005128399711</v>
      </c>
      <c r="M63" s="101">
        <v>6.125907178203212</v>
      </c>
      <c r="N63" s="97">
        <v>-10.657118995011659</v>
      </c>
      <c r="O63" s="102">
        <v>10.263057203190076</v>
      </c>
      <c r="P63" s="99">
        <v>18.211161193459471</v>
      </c>
      <c r="Q63" s="98">
        <v>2.7445346786630704</v>
      </c>
      <c r="R63" s="100" t="s">
        <v>34</v>
      </c>
      <c r="S63" s="101" t="s">
        <v>34</v>
      </c>
      <c r="T63" s="97" t="s">
        <v>34</v>
      </c>
      <c r="U63" s="101" t="s">
        <v>34</v>
      </c>
      <c r="V63" s="97" t="s">
        <v>34</v>
      </c>
      <c r="W63" s="104" t="s">
        <v>34</v>
      </c>
      <c r="X63" s="124"/>
      <c r="Y63" s="124"/>
      <c r="Z63" s="124"/>
      <c r="AA63" s="124"/>
      <c r="AB63" s="124"/>
      <c r="AC63" s="124"/>
      <c r="AD63" s="124"/>
      <c r="AE63" s="124"/>
    </row>
    <row r="64" spans="1:31" s="105" customFormat="1" x14ac:dyDescent="0.25">
      <c r="A64" s="118" t="s">
        <v>246</v>
      </c>
      <c r="B64" s="95">
        <v>205</v>
      </c>
      <c r="C64" s="96">
        <v>100</v>
      </c>
      <c r="D64" s="97">
        <v>25.424026706791441</v>
      </c>
      <c r="E64" s="98">
        <v>3.3091536968788633</v>
      </c>
      <c r="F64" s="99">
        <v>30.58041481407621</v>
      </c>
      <c r="G64" s="98">
        <v>7.7282021766468185</v>
      </c>
      <c r="H64" s="100">
        <v>27.07004306783638</v>
      </c>
      <c r="I64" s="101">
        <v>8.0087780932010038</v>
      </c>
      <c r="J64" s="97">
        <v>32.626672825998163</v>
      </c>
      <c r="K64" s="98">
        <v>7.428757741169286</v>
      </c>
      <c r="L64" s="100">
        <v>11.26250219311423</v>
      </c>
      <c r="M64" s="101">
        <v>6.4707916878299176</v>
      </c>
      <c r="N64" s="97">
        <v>-19.31791262096197</v>
      </c>
      <c r="O64" s="102">
        <v>9.54874775586139</v>
      </c>
      <c r="P64" s="99">
        <v>29.24276483849582</v>
      </c>
      <c r="Q64" s="98">
        <v>3.7940252029247352</v>
      </c>
      <c r="R64" s="100" t="s">
        <v>34</v>
      </c>
      <c r="S64" s="101" t="s">
        <v>34</v>
      </c>
      <c r="T64" s="97">
        <v>1.6191577467017959</v>
      </c>
      <c r="U64" s="101">
        <v>1.561707622843219</v>
      </c>
      <c r="V64" s="97">
        <v>-27.623607091794025</v>
      </c>
      <c r="W64" s="104">
        <v>4.1021244175152827</v>
      </c>
      <c r="X64" s="124"/>
      <c r="Y64" s="124"/>
      <c r="Z64" s="124"/>
      <c r="AA64" s="124"/>
      <c r="AB64" s="124"/>
      <c r="AC64" s="124"/>
      <c r="AD64" s="124"/>
      <c r="AE64" s="124"/>
    </row>
    <row r="65" spans="1:31" s="105" customFormat="1" x14ac:dyDescent="0.25">
      <c r="A65" s="118" t="s">
        <v>247</v>
      </c>
      <c r="B65" s="95">
        <v>178</v>
      </c>
      <c r="C65" s="96">
        <v>99.149665832519531</v>
      </c>
      <c r="D65" s="97">
        <v>32.931575812545461</v>
      </c>
      <c r="E65" s="98">
        <v>3.3062113403608495</v>
      </c>
      <c r="F65" s="99">
        <v>39.55287696006426</v>
      </c>
      <c r="G65" s="98">
        <v>8.4524436734470871</v>
      </c>
      <c r="H65" s="100">
        <v>39.125226108912258</v>
      </c>
      <c r="I65" s="101">
        <v>8.7144734387811766</v>
      </c>
      <c r="J65" s="97">
        <v>33.317501064450163</v>
      </c>
      <c r="K65" s="98">
        <v>6.627998219872671</v>
      </c>
      <c r="L65" s="100">
        <v>19.912890385246691</v>
      </c>
      <c r="M65" s="101">
        <v>4.8581735929555965</v>
      </c>
      <c r="N65" s="97">
        <v>-19.63998657481757</v>
      </c>
      <c r="O65" s="102">
        <v>9.4264554538721264</v>
      </c>
      <c r="P65" s="99">
        <v>33.364466337263863</v>
      </c>
      <c r="Q65" s="98">
        <v>3.4613695856883346</v>
      </c>
      <c r="R65" s="100" t="s">
        <v>34</v>
      </c>
      <c r="S65" s="101" t="s">
        <v>34</v>
      </c>
      <c r="T65" s="97" t="s">
        <v>34</v>
      </c>
      <c r="U65" s="101" t="s">
        <v>34</v>
      </c>
      <c r="V65" s="97" t="s">
        <v>34</v>
      </c>
      <c r="W65" s="104" t="s">
        <v>34</v>
      </c>
      <c r="X65" s="124"/>
      <c r="Y65" s="124"/>
      <c r="Z65" s="124"/>
      <c r="AA65" s="124"/>
      <c r="AB65" s="124"/>
      <c r="AC65" s="124"/>
      <c r="AD65" s="124"/>
      <c r="AE65" s="124"/>
    </row>
    <row r="66" spans="1:31" s="105" customFormat="1" x14ac:dyDescent="0.25">
      <c r="A66" s="118" t="s">
        <v>248</v>
      </c>
      <c r="B66" s="95">
        <v>77</v>
      </c>
      <c r="C66" s="96">
        <v>96.037605285644531</v>
      </c>
      <c r="D66" s="97">
        <v>7.9388261769648043</v>
      </c>
      <c r="E66" s="98">
        <v>9.2538452529773912E-2</v>
      </c>
      <c r="F66" s="99">
        <v>29.6434659440866</v>
      </c>
      <c r="G66" s="98">
        <v>0.32062359652735045</v>
      </c>
      <c r="H66" s="100">
        <v>0</v>
      </c>
      <c r="I66" s="101" t="s">
        <v>35</v>
      </c>
      <c r="J66" s="97">
        <v>0</v>
      </c>
      <c r="K66" s="98" t="s">
        <v>35</v>
      </c>
      <c r="L66" s="100">
        <v>2.4247010005340899</v>
      </c>
      <c r="M66" s="101">
        <v>7.384006901702253E-3</v>
      </c>
      <c r="N66" s="97">
        <v>-27.218764943552511</v>
      </c>
      <c r="O66" s="102">
        <v>0.32090901757612283</v>
      </c>
      <c r="P66" s="99">
        <v>8.9020399472060809</v>
      </c>
      <c r="Q66" s="98">
        <v>0.11104308041699605</v>
      </c>
      <c r="R66" s="100" t="s">
        <v>34</v>
      </c>
      <c r="S66" s="101" t="s">
        <v>34</v>
      </c>
      <c r="T66" s="97">
        <v>3.3681322593136742</v>
      </c>
      <c r="U66" s="101">
        <v>1.1857187358269733E-2</v>
      </c>
      <c r="V66" s="97">
        <v>-5.5339076878924072</v>
      </c>
      <c r="W66" s="104">
        <v>0.11249414229915454</v>
      </c>
      <c r="X66" s="124"/>
      <c r="Y66" s="124"/>
      <c r="Z66" s="124"/>
      <c r="AA66" s="124"/>
      <c r="AB66" s="124"/>
      <c r="AC66" s="124"/>
      <c r="AD66" s="124"/>
      <c r="AE66" s="124"/>
    </row>
    <row r="67" spans="1:31" s="105" customFormat="1" x14ac:dyDescent="0.25">
      <c r="A67" s="118" t="s">
        <v>249</v>
      </c>
      <c r="B67" s="95">
        <v>215</v>
      </c>
      <c r="C67" s="96">
        <v>91.624969482421875</v>
      </c>
      <c r="D67" s="97">
        <v>13.93678023236099</v>
      </c>
      <c r="E67" s="98">
        <v>2.7116580115838258</v>
      </c>
      <c r="F67" s="99">
        <v>11.7851604586848</v>
      </c>
      <c r="G67" s="98">
        <v>4.8321997415557378</v>
      </c>
      <c r="H67" s="100">
        <v>15.82762131266313</v>
      </c>
      <c r="I67" s="101">
        <v>5.6920450166464391</v>
      </c>
      <c r="J67" s="97">
        <v>19.839410011246681</v>
      </c>
      <c r="K67" s="98">
        <v>8.5973139318819616</v>
      </c>
      <c r="L67" s="100">
        <v>8.2264349572544528</v>
      </c>
      <c r="M67" s="101">
        <v>6.2951294420365089</v>
      </c>
      <c r="N67" s="97">
        <v>-3.55872550143035</v>
      </c>
      <c r="O67" s="102">
        <v>7.4935627774912357</v>
      </c>
      <c r="P67" s="99">
        <v>14.17525427862698</v>
      </c>
      <c r="Q67" s="98">
        <v>2.8073960839097829</v>
      </c>
      <c r="R67" s="100">
        <v>0</v>
      </c>
      <c r="S67" s="101" t="s">
        <v>35</v>
      </c>
      <c r="T67" s="97">
        <v>14.6990692551939</v>
      </c>
      <c r="U67" s="101">
        <v>6.9358697823695259</v>
      </c>
      <c r="V67" s="97">
        <v>-0.95735373847696081</v>
      </c>
      <c r="W67" s="104">
        <v>6.4252708668493197</v>
      </c>
      <c r="X67" s="124"/>
      <c r="Y67" s="124"/>
      <c r="Z67" s="124"/>
      <c r="AA67" s="124"/>
      <c r="AB67" s="124"/>
      <c r="AC67" s="124"/>
      <c r="AD67" s="124"/>
      <c r="AE67" s="124"/>
    </row>
    <row r="68" spans="1:31" s="105" customFormat="1" x14ac:dyDescent="0.25">
      <c r="A68" s="118" t="s">
        <v>250</v>
      </c>
      <c r="B68" s="95">
        <v>309</v>
      </c>
      <c r="C68" s="96">
        <v>98.329208374023438</v>
      </c>
      <c r="D68" s="97">
        <v>29.740167243397138</v>
      </c>
      <c r="E68" s="98">
        <v>3.2019117271026114</v>
      </c>
      <c r="F68" s="99">
        <v>30.81618287540741</v>
      </c>
      <c r="G68" s="98">
        <v>5.9834319927847774</v>
      </c>
      <c r="H68" s="100">
        <v>22.256218954668899</v>
      </c>
      <c r="I68" s="101">
        <v>6.144434407339519</v>
      </c>
      <c r="J68" s="97">
        <v>29.643261198743499</v>
      </c>
      <c r="K68" s="98">
        <v>7.794703113483636</v>
      </c>
      <c r="L68" s="100">
        <v>36.072414821478759</v>
      </c>
      <c r="M68" s="101">
        <v>8.2195499025413206</v>
      </c>
      <c r="N68" s="97">
        <v>5.2562319460713454</v>
      </c>
      <c r="O68" s="102">
        <v>8.9446577746908904</v>
      </c>
      <c r="P68" s="99">
        <v>30.999046913381971</v>
      </c>
      <c r="Q68" s="98">
        <v>3.4711166322277749</v>
      </c>
      <c r="R68" s="100" t="s">
        <v>34</v>
      </c>
      <c r="S68" s="101" t="s">
        <v>34</v>
      </c>
      <c r="T68" s="97">
        <v>21.588279127687979</v>
      </c>
      <c r="U68" s="101">
        <v>8.3636060524339602</v>
      </c>
      <c r="V68" s="97">
        <v>-9.4107677856939915</v>
      </c>
      <c r="W68" s="104">
        <v>9.000658711105503</v>
      </c>
      <c r="X68" s="124"/>
      <c r="Y68" s="124"/>
      <c r="Z68" s="124"/>
      <c r="AA68" s="124"/>
      <c r="AB68" s="124"/>
      <c r="AC68" s="124"/>
      <c r="AD68" s="124"/>
      <c r="AE68" s="124"/>
    </row>
    <row r="69" spans="1:31" s="105" customFormat="1" x14ac:dyDescent="0.25">
      <c r="A69" s="118" t="s">
        <v>303</v>
      </c>
      <c r="B69" s="95">
        <v>112</v>
      </c>
      <c r="C69" s="96">
        <v>75.546546936035156</v>
      </c>
      <c r="D69" s="97">
        <v>22.56100171450743</v>
      </c>
      <c r="E69" s="98">
        <v>3.6249056172553584</v>
      </c>
      <c r="F69" s="99">
        <v>50.462658583835918</v>
      </c>
      <c r="G69" s="98">
        <v>11.053752663252471</v>
      </c>
      <c r="H69" s="100">
        <v>26.202541289304929</v>
      </c>
      <c r="I69" s="101">
        <v>10.849452124347646</v>
      </c>
      <c r="J69" s="97">
        <v>8.8282601411478066</v>
      </c>
      <c r="K69" s="98">
        <v>10.659122811430807</v>
      </c>
      <c r="L69" s="100">
        <v>3.8323695302959009</v>
      </c>
      <c r="M69" s="101">
        <v>5.7094462309986476</v>
      </c>
      <c r="N69" s="97">
        <v>-46.630289053540018</v>
      </c>
      <c r="O69" s="102">
        <v>13.214913285281147</v>
      </c>
      <c r="P69" s="99">
        <v>9.6977083262510551</v>
      </c>
      <c r="Q69" s="98">
        <v>9.2329519587752262</v>
      </c>
      <c r="R69" s="100">
        <v>24.685047208905711</v>
      </c>
      <c r="S69" s="101">
        <v>4.0894909220972453</v>
      </c>
      <c r="T69" s="97" t="s">
        <v>34</v>
      </c>
      <c r="U69" s="101" t="s">
        <v>34</v>
      </c>
      <c r="V69" s="97">
        <v>14.987338882654656</v>
      </c>
      <c r="W69" s="104">
        <v>10.34716400905436</v>
      </c>
      <c r="X69" s="124"/>
      <c r="Y69" s="124"/>
      <c r="Z69" s="124"/>
      <c r="AA69" s="124"/>
      <c r="AB69" s="124"/>
      <c r="AC69" s="124"/>
      <c r="AD69" s="124"/>
      <c r="AE69" s="124"/>
    </row>
    <row r="70" spans="1:31" s="105" customFormat="1" x14ac:dyDescent="0.25">
      <c r="A70" s="118" t="s">
        <v>251</v>
      </c>
      <c r="B70" s="95">
        <v>337</v>
      </c>
      <c r="C70" s="96">
        <v>89.061431884765625</v>
      </c>
      <c r="D70" s="97">
        <v>14.402369466021669</v>
      </c>
      <c r="E70" s="98">
        <v>3.9551406628481032</v>
      </c>
      <c r="F70" s="99">
        <v>23.50873368642894</v>
      </c>
      <c r="G70" s="98">
        <v>8.824130117160971</v>
      </c>
      <c r="H70" s="100">
        <v>13.028732644310759</v>
      </c>
      <c r="I70" s="101">
        <v>8.7161711744253516</v>
      </c>
      <c r="J70" s="97">
        <v>12.23098264996589</v>
      </c>
      <c r="K70" s="98">
        <v>7.512014540701748</v>
      </c>
      <c r="L70" s="100">
        <v>8.8956290595264527</v>
      </c>
      <c r="M70" s="101">
        <v>8.2544511014987325</v>
      </c>
      <c r="N70" s="97">
        <v>-14.613104626902491</v>
      </c>
      <c r="O70" s="102">
        <v>12.324800947206514</v>
      </c>
      <c r="P70" s="99">
        <v>10.11732665515</v>
      </c>
      <c r="Q70" s="98">
        <v>4.3228461885884393</v>
      </c>
      <c r="R70" s="100">
        <v>20.16390172483807</v>
      </c>
      <c r="S70" s="101">
        <v>8.1969913810055726</v>
      </c>
      <c r="T70" s="97">
        <v>14.59805890048036</v>
      </c>
      <c r="U70" s="101">
        <v>10.670333844197042</v>
      </c>
      <c r="V70" s="97">
        <v>7.6273658869166905</v>
      </c>
      <c r="W70" s="104">
        <v>7.9530976952888137</v>
      </c>
      <c r="X70" s="124"/>
      <c r="Y70" s="124"/>
      <c r="Z70" s="124"/>
      <c r="AA70" s="124"/>
      <c r="AB70" s="124"/>
      <c r="AC70" s="124"/>
      <c r="AD70" s="124"/>
      <c r="AE70" s="124"/>
    </row>
    <row r="71" spans="1:31" s="105" customFormat="1" x14ac:dyDescent="0.25">
      <c r="A71" s="118" t="s">
        <v>252</v>
      </c>
      <c r="B71" s="95">
        <v>309</v>
      </c>
      <c r="C71" s="96">
        <v>98.4166259765625</v>
      </c>
      <c r="D71" s="97">
        <v>30.703709870170741</v>
      </c>
      <c r="E71" s="98">
        <v>3.1605653456029157</v>
      </c>
      <c r="F71" s="99">
        <v>30.950356034154911</v>
      </c>
      <c r="G71" s="98">
        <v>6.7087796366910171</v>
      </c>
      <c r="H71" s="100">
        <v>36.495289335706367</v>
      </c>
      <c r="I71" s="101">
        <v>7.4101633832317306</v>
      </c>
      <c r="J71" s="97">
        <v>32.165533075912109</v>
      </c>
      <c r="K71" s="98">
        <v>7.5513192445337598</v>
      </c>
      <c r="L71" s="100">
        <v>23.224298711550709</v>
      </c>
      <c r="M71" s="101">
        <v>6.496330556765586</v>
      </c>
      <c r="N71" s="97">
        <v>-7.7260573226041984</v>
      </c>
      <c r="O71" s="102">
        <v>8.527515348331324</v>
      </c>
      <c r="P71" s="99">
        <v>32.279358413980589</v>
      </c>
      <c r="Q71" s="98">
        <v>3.9531376371204265</v>
      </c>
      <c r="R71" s="100" t="s">
        <v>34</v>
      </c>
      <c r="S71" s="101" t="s">
        <v>34</v>
      </c>
      <c r="T71" s="97">
        <v>24.942331306385029</v>
      </c>
      <c r="U71" s="101">
        <v>6.047762663486461</v>
      </c>
      <c r="V71" s="97">
        <v>-7.33702710759556</v>
      </c>
      <c r="W71" s="104">
        <v>7.7506566850009762</v>
      </c>
      <c r="X71" s="124"/>
      <c r="Y71" s="124"/>
      <c r="Z71" s="124"/>
      <c r="AA71" s="124"/>
      <c r="AB71" s="124"/>
      <c r="AC71" s="124"/>
      <c r="AD71" s="124"/>
      <c r="AE71" s="124"/>
    </row>
    <row r="72" spans="1:31" s="105" customFormat="1" x14ac:dyDescent="0.25">
      <c r="A72" s="118" t="s">
        <v>253</v>
      </c>
      <c r="B72" s="95">
        <v>516</v>
      </c>
      <c r="C72" s="96">
        <v>80.3912353515625</v>
      </c>
      <c r="D72" s="97">
        <v>70.300269952218841</v>
      </c>
      <c r="E72" s="98">
        <v>2.4490921750134476</v>
      </c>
      <c r="F72" s="99">
        <v>69.419264822973162</v>
      </c>
      <c r="G72" s="98">
        <v>4.5065861246983001</v>
      </c>
      <c r="H72" s="100">
        <v>72.014736406138866</v>
      </c>
      <c r="I72" s="101">
        <v>6.1049688385589516</v>
      </c>
      <c r="J72" s="97">
        <v>62.434292581133363</v>
      </c>
      <c r="K72" s="98">
        <v>6.5526382713187932</v>
      </c>
      <c r="L72" s="100">
        <v>77.293431467912569</v>
      </c>
      <c r="M72" s="101">
        <v>3.7831758197698071</v>
      </c>
      <c r="N72" s="97">
        <v>7.8741666449394074</v>
      </c>
      <c r="O72" s="102">
        <v>6.0878475299695127</v>
      </c>
      <c r="P72" s="99">
        <v>70.246783174994917</v>
      </c>
      <c r="Q72" s="98">
        <v>2.4585476210494321</v>
      </c>
      <c r="R72" s="100">
        <v>80.81844354172533</v>
      </c>
      <c r="S72" s="101">
        <v>16.044714268683666</v>
      </c>
      <c r="T72" s="97" t="s">
        <v>34</v>
      </c>
      <c r="U72" s="101" t="s">
        <v>34</v>
      </c>
      <c r="V72" s="97">
        <v>10.571660366730413</v>
      </c>
      <c r="W72" s="104">
        <v>16.270740579753976</v>
      </c>
      <c r="X72" s="124"/>
      <c r="Y72" s="124"/>
      <c r="Z72" s="124"/>
      <c r="AA72" s="124"/>
      <c r="AB72" s="124"/>
      <c r="AC72" s="124"/>
      <c r="AD72" s="124"/>
      <c r="AE72" s="124"/>
    </row>
    <row r="73" spans="1:31" s="105" customFormat="1" x14ac:dyDescent="0.25">
      <c r="A73" s="118" t="s">
        <v>254</v>
      </c>
      <c r="B73" s="95">
        <v>90</v>
      </c>
      <c r="C73" s="96">
        <v>74.572647094726563</v>
      </c>
      <c r="D73" s="97">
        <v>15.144324439503521</v>
      </c>
      <c r="E73" s="98">
        <v>1.4542607095171347</v>
      </c>
      <c r="F73" s="99">
        <v>17.413797618488399</v>
      </c>
      <c r="G73" s="98">
        <v>3.6185824408121987</v>
      </c>
      <c r="H73" s="100">
        <v>26.032954059878289</v>
      </c>
      <c r="I73" s="101">
        <v>3.2214127893933506</v>
      </c>
      <c r="J73" s="97">
        <v>12.066086188979691</v>
      </c>
      <c r="K73" s="98">
        <v>2.859353082211844</v>
      </c>
      <c r="L73" s="100">
        <v>4.4144079824644482</v>
      </c>
      <c r="M73" s="101">
        <v>2.1880866807089396</v>
      </c>
      <c r="N73" s="97">
        <v>-12.999389636023951</v>
      </c>
      <c r="O73" s="102">
        <v>4.2646165211329627</v>
      </c>
      <c r="P73" s="99">
        <v>14.402296285771531</v>
      </c>
      <c r="Q73" s="98">
        <v>1.3563356998990408</v>
      </c>
      <c r="R73" s="100" t="s">
        <v>34</v>
      </c>
      <c r="S73" s="101" t="s">
        <v>34</v>
      </c>
      <c r="T73" s="97" t="s">
        <v>34</v>
      </c>
      <c r="U73" s="101" t="s">
        <v>34</v>
      </c>
      <c r="V73" s="97" t="s">
        <v>34</v>
      </c>
      <c r="W73" s="104" t="s">
        <v>34</v>
      </c>
      <c r="X73" s="124"/>
      <c r="Y73" s="124"/>
      <c r="Z73" s="124"/>
      <c r="AA73" s="124"/>
      <c r="AB73" s="124"/>
      <c r="AC73" s="124"/>
      <c r="AD73" s="124"/>
      <c r="AE73" s="124"/>
    </row>
    <row r="74" spans="1:31" s="105" customFormat="1" x14ac:dyDescent="0.25">
      <c r="A74" s="118" t="s">
        <v>255</v>
      </c>
      <c r="B74" s="95">
        <v>206</v>
      </c>
      <c r="C74" s="96">
        <v>76.490470886230469</v>
      </c>
      <c r="D74" s="97">
        <v>18.7842210891313</v>
      </c>
      <c r="E74" s="98">
        <v>2.6571619460745763</v>
      </c>
      <c r="F74" s="99">
        <v>14.53218882531446</v>
      </c>
      <c r="G74" s="98">
        <v>5.6576169533865928</v>
      </c>
      <c r="H74" s="100">
        <v>32.884986680784543</v>
      </c>
      <c r="I74" s="101">
        <v>7.3953303251432567</v>
      </c>
      <c r="J74" s="97">
        <v>21.5279349454295</v>
      </c>
      <c r="K74" s="98">
        <v>6.1651824352743398</v>
      </c>
      <c r="L74" s="100">
        <v>6.4252811419143914</v>
      </c>
      <c r="M74" s="101">
        <v>4.1842918788162287</v>
      </c>
      <c r="N74" s="97">
        <v>-8.1069076834000651</v>
      </c>
      <c r="O74" s="102">
        <v>6.3611124979624414</v>
      </c>
      <c r="P74" s="99">
        <v>20.815300158702371</v>
      </c>
      <c r="Q74" s="98">
        <v>4.2894791133264514</v>
      </c>
      <c r="R74" s="100" t="s">
        <v>34</v>
      </c>
      <c r="S74" s="101" t="s">
        <v>34</v>
      </c>
      <c r="T74" s="97">
        <v>14.58811851466618</v>
      </c>
      <c r="U74" s="101">
        <v>4.7869893962826922</v>
      </c>
      <c r="V74" s="97">
        <v>-6.2271816440361913</v>
      </c>
      <c r="W74" s="104">
        <v>6.2322188387207973</v>
      </c>
      <c r="X74" s="124"/>
      <c r="Y74" s="124"/>
      <c r="Z74" s="124"/>
      <c r="AA74" s="124"/>
      <c r="AB74" s="124"/>
      <c r="AC74" s="124"/>
      <c r="AD74" s="124"/>
      <c r="AE74" s="124"/>
    </row>
    <row r="75" spans="1:31" s="105" customFormat="1" x14ac:dyDescent="0.25">
      <c r="A75" s="118" t="s">
        <v>256</v>
      </c>
      <c r="B75" s="95">
        <v>45</v>
      </c>
      <c r="C75" s="96">
        <v>100</v>
      </c>
      <c r="D75" s="97">
        <v>14.85097669005772</v>
      </c>
      <c r="E75" s="98">
        <v>4.834359786043306E-2</v>
      </c>
      <c r="F75" s="99">
        <v>18.52094550443924</v>
      </c>
      <c r="G75" s="98">
        <v>0.11174152050043587</v>
      </c>
      <c r="H75" s="100">
        <v>8.1737544015667467</v>
      </c>
      <c r="I75" s="101">
        <v>1.5525547289188367E-2</v>
      </c>
      <c r="J75" s="97">
        <v>11.785913020459301</v>
      </c>
      <c r="K75" s="98">
        <v>2.6407193120945298E-2</v>
      </c>
      <c r="L75" s="100">
        <v>19.96104609773349</v>
      </c>
      <c r="M75" s="101">
        <v>0.10634547619907658</v>
      </c>
      <c r="N75" s="97">
        <v>1.440100593294257</v>
      </c>
      <c r="O75" s="102">
        <v>0.14305263971175602</v>
      </c>
      <c r="P75" s="99">
        <v>0</v>
      </c>
      <c r="Q75" s="98" t="s">
        <v>35</v>
      </c>
      <c r="R75" s="100">
        <v>15.60448383079337</v>
      </c>
      <c r="S75" s="101">
        <v>4.418334087917352E-2</v>
      </c>
      <c r="T75" s="97" t="s">
        <v>34</v>
      </c>
      <c r="U75" s="101" t="s">
        <v>34</v>
      </c>
      <c r="V75" s="97">
        <v>15.60448383079337</v>
      </c>
      <c r="W75" s="104">
        <v>4.418334087917352E-2</v>
      </c>
      <c r="X75" s="124"/>
      <c r="Y75" s="124"/>
      <c r="Z75" s="124"/>
      <c r="AA75" s="124"/>
      <c r="AB75" s="124"/>
      <c r="AC75" s="124"/>
      <c r="AD75" s="124"/>
      <c r="AE75" s="124"/>
    </row>
    <row r="76" spans="1:31" s="105" customFormat="1" x14ac:dyDescent="0.25">
      <c r="A76" s="118" t="s">
        <v>257</v>
      </c>
      <c r="B76" s="95">
        <v>191</v>
      </c>
      <c r="C76" s="96">
        <v>100</v>
      </c>
      <c r="D76" s="97">
        <v>23.498058172590628</v>
      </c>
      <c r="E76" s="98">
        <v>3.2558514513052352</v>
      </c>
      <c r="F76" s="99">
        <v>26.27083698604411</v>
      </c>
      <c r="G76" s="98">
        <v>7.3694113288165637</v>
      </c>
      <c r="H76" s="100">
        <v>22.829715751190491</v>
      </c>
      <c r="I76" s="101">
        <v>7.0800192623580482</v>
      </c>
      <c r="J76" s="97">
        <v>22.38910373439257</v>
      </c>
      <c r="K76" s="98">
        <v>6.1657581476464642</v>
      </c>
      <c r="L76" s="100">
        <v>22.555409004630619</v>
      </c>
      <c r="M76" s="101">
        <v>6.9817743230455829</v>
      </c>
      <c r="N76" s="97">
        <v>-3.715427981413491</v>
      </c>
      <c r="O76" s="102">
        <v>10.09757639057627</v>
      </c>
      <c r="P76" s="99">
        <v>23.960108374197642</v>
      </c>
      <c r="Q76" s="98">
        <v>3.4129128725880684</v>
      </c>
      <c r="R76" s="100" t="s">
        <v>34</v>
      </c>
      <c r="S76" s="101" t="s">
        <v>34</v>
      </c>
      <c r="T76" s="97">
        <v>9.1587478147064516</v>
      </c>
      <c r="U76" s="101">
        <v>6.0682098612218738</v>
      </c>
      <c r="V76" s="97">
        <v>-14.80136055949119</v>
      </c>
      <c r="W76" s="104">
        <v>7.5683082736803033</v>
      </c>
      <c r="X76" s="124"/>
      <c r="Y76" s="124"/>
      <c r="Z76" s="124"/>
      <c r="AA76" s="124"/>
      <c r="AB76" s="124"/>
      <c r="AC76" s="124"/>
      <c r="AD76" s="124"/>
      <c r="AE76" s="124"/>
    </row>
    <row r="77" spans="1:31" s="105" customFormat="1" x14ac:dyDescent="0.25">
      <c r="A77" s="118" t="s">
        <v>258</v>
      </c>
      <c r="B77" s="95">
        <v>49</v>
      </c>
      <c r="C77" s="96">
        <v>99.911201477050781</v>
      </c>
      <c r="D77" s="97">
        <v>17.00009565489054</v>
      </c>
      <c r="E77" s="98">
        <v>0.12933253688311602</v>
      </c>
      <c r="F77" s="99">
        <v>14.74558672772689</v>
      </c>
      <c r="G77" s="98">
        <v>0.25859481277842206</v>
      </c>
      <c r="H77" s="100">
        <v>28.355592325943089</v>
      </c>
      <c r="I77" s="101">
        <v>0.29881448146103445</v>
      </c>
      <c r="J77" s="97">
        <v>8.1821907669105887</v>
      </c>
      <c r="K77" s="98">
        <v>0.21088350560061009</v>
      </c>
      <c r="L77" s="100">
        <v>14.97774751703315</v>
      </c>
      <c r="M77" s="101">
        <v>0.18318582730055988</v>
      </c>
      <c r="N77" s="97">
        <v>0.23216078930626341</v>
      </c>
      <c r="O77" s="102">
        <v>0.31701464623179881</v>
      </c>
      <c r="P77" s="99">
        <v>20.535394947682139</v>
      </c>
      <c r="Q77" s="98">
        <v>0.19919604103300187</v>
      </c>
      <c r="R77" s="100">
        <v>15.86524022423527</v>
      </c>
      <c r="S77" s="101">
        <v>0.16285452978016929</v>
      </c>
      <c r="T77" s="97">
        <v>5.4669794268388241</v>
      </c>
      <c r="U77" s="101">
        <v>0.31548445789671992</v>
      </c>
      <c r="V77" s="97">
        <v>-7.8444672162824585</v>
      </c>
      <c r="W77" s="104">
        <v>0.26409731192763292</v>
      </c>
      <c r="X77" s="124"/>
      <c r="Y77" s="124"/>
      <c r="Z77" s="124"/>
      <c r="AA77" s="124"/>
      <c r="AB77" s="124"/>
      <c r="AC77" s="124"/>
      <c r="AD77" s="124"/>
      <c r="AE77" s="124"/>
    </row>
    <row r="78" spans="1:31" s="105" customFormat="1" x14ac:dyDescent="0.25">
      <c r="A78" s="118" t="s">
        <v>259</v>
      </c>
      <c r="B78" s="95">
        <v>212</v>
      </c>
      <c r="C78" s="96">
        <v>92.190757751464844</v>
      </c>
      <c r="D78" s="97">
        <v>22.0257749272707</v>
      </c>
      <c r="E78" s="98">
        <v>3.2657805992287972</v>
      </c>
      <c r="F78" s="99">
        <v>13.821514754095199</v>
      </c>
      <c r="G78" s="98">
        <v>5.0652966898418859</v>
      </c>
      <c r="H78" s="100">
        <v>22.038599459798299</v>
      </c>
      <c r="I78" s="101">
        <v>6.8560863155091445</v>
      </c>
      <c r="J78" s="97">
        <v>29.737553385942409</v>
      </c>
      <c r="K78" s="98">
        <v>7.7408517652076227</v>
      </c>
      <c r="L78" s="100">
        <v>22.573153381287721</v>
      </c>
      <c r="M78" s="101">
        <v>7.3743883554518108</v>
      </c>
      <c r="N78" s="97">
        <v>8.7516386271925253</v>
      </c>
      <c r="O78" s="102">
        <v>8.8667993860379273</v>
      </c>
      <c r="P78" s="99">
        <v>21.44688902779124</v>
      </c>
      <c r="Q78" s="98">
        <v>3.1930473367717758</v>
      </c>
      <c r="R78" s="100" t="s">
        <v>34</v>
      </c>
      <c r="S78" s="101" t="s">
        <v>34</v>
      </c>
      <c r="T78" s="97" t="s">
        <v>34</v>
      </c>
      <c r="U78" s="101" t="s">
        <v>34</v>
      </c>
      <c r="V78" s="97" t="s">
        <v>34</v>
      </c>
      <c r="W78" s="104" t="s">
        <v>34</v>
      </c>
      <c r="X78" s="124"/>
      <c r="Y78" s="124"/>
      <c r="Z78" s="124"/>
      <c r="AA78" s="124"/>
      <c r="AB78" s="124"/>
      <c r="AC78" s="124"/>
      <c r="AD78" s="124"/>
      <c r="AE78" s="124"/>
    </row>
    <row r="79" spans="1:31" s="105" customFormat="1" x14ac:dyDescent="0.25">
      <c r="A79" s="118" t="s">
        <v>260</v>
      </c>
      <c r="B79" s="95">
        <v>49</v>
      </c>
      <c r="C79" s="96">
        <v>96.651611328125</v>
      </c>
      <c r="D79" s="97">
        <v>7.3670172796618676</v>
      </c>
      <c r="E79" s="98">
        <v>3.0490669495314166E-2</v>
      </c>
      <c r="F79" s="99">
        <v>7.7630463496054896</v>
      </c>
      <c r="G79" s="98">
        <v>5.2015606620574487E-2</v>
      </c>
      <c r="H79" s="100">
        <v>19.427819256101401</v>
      </c>
      <c r="I79" s="101">
        <v>0.12099281856230822</v>
      </c>
      <c r="J79" s="97">
        <v>0</v>
      </c>
      <c r="K79" s="98" t="s">
        <v>35</v>
      </c>
      <c r="L79" s="100">
        <v>4.2822587185827361</v>
      </c>
      <c r="M79" s="101">
        <v>7.4999405630652299E-3</v>
      </c>
      <c r="N79" s="97">
        <v>-3.480787631022753</v>
      </c>
      <c r="O79" s="102">
        <v>5.2545637795397962E-2</v>
      </c>
      <c r="P79" s="99">
        <v>7.381025068450926</v>
      </c>
      <c r="Q79" s="98">
        <v>3.0530369343283955E-2</v>
      </c>
      <c r="R79" s="100" t="s">
        <v>34</v>
      </c>
      <c r="S79" s="101" t="s">
        <v>34</v>
      </c>
      <c r="T79" s="97" t="s">
        <v>34</v>
      </c>
      <c r="U79" s="101" t="s">
        <v>34</v>
      </c>
      <c r="V79" s="97" t="s">
        <v>34</v>
      </c>
      <c r="W79" s="104" t="s">
        <v>34</v>
      </c>
      <c r="X79" s="124"/>
      <c r="Y79" s="124"/>
      <c r="Z79" s="124"/>
      <c r="AA79" s="124"/>
      <c r="AB79" s="124"/>
      <c r="AC79" s="124"/>
      <c r="AD79" s="124"/>
      <c r="AE79" s="124"/>
    </row>
    <row r="80" spans="1:31" s="105" customFormat="1" x14ac:dyDescent="0.25">
      <c r="A80" s="118" t="s">
        <v>261</v>
      </c>
      <c r="B80" s="95">
        <v>173</v>
      </c>
      <c r="C80" s="96">
        <v>96.578025817871094</v>
      </c>
      <c r="D80" s="97">
        <v>34.60790226992728</v>
      </c>
      <c r="E80" s="98">
        <v>3.4017926084430465</v>
      </c>
      <c r="F80" s="99">
        <v>38.170155725729892</v>
      </c>
      <c r="G80" s="98">
        <v>7.6253067594244559</v>
      </c>
      <c r="H80" s="100">
        <v>33.408148351119692</v>
      </c>
      <c r="I80" s="101">
        <v>8.0610309598962857</v>
      </c>
      <c r="J80" s="97">
        <v>29.589227907653569</v>
      </c>
      <c r="K80" s="98">
        <v>8.0123912087347779</v>
      </c>
      <c r="L80" s="100">
        <v>37.317160728957433</v>
      </c>
      <c r="M80" s="101">
        <v>8.3312634700966139</v>
      </c>
      <c r="N80" s="97">
        <v>-0.85299499677245905</v>
      </c>
      <c r="O80" s="102">
        <v>11.912140509615877</v>
      </c>
      <c r="P80" s="99">
        <v>33.68357744592273</v>
      </c>
      <c r="Q80" s="98">
        <v>3.6930214718318601</v>
      </c>
      <c r="R80" s="100" t="s">
        <v>34</v>
      </c>
      <c r="S80" s="101" t="s">
        <v>34</v>
      </c>
      <c r="T80" s="97">
        <v>46.432517233183603</v>
      </c>
      <c r="U80" s="101">
        <v>16.763930839038807</v>
      </c>
      <c r="V80" s="97">
        <v>12.748939787260873</v>
      </c>
      <c r="W80" s="104">
        <v>17.692018290500144</v>
      </c>
      <c r="X80" s="124"/>
      <c r="Y80" s="124"/>
      <c r="Z80" s="124"/>
      <c r="AA80" s="124"/>
      <c r="AB80" s="124"/>
      <c r="AC80" s="124"/>
      <c r="AD80" s="124"/>
      <c r="AE80" s="124"/>
    </row>
    <row r="81" spans="1:31" s="105" customFormat="1" x14ac:dyDescent="0.25">
      <c r="A81" s="118" t="s">
        <v>262</v>
      </c>
      <c r="B81" s="95">
        <v>97</v>
      </c>
      <c r="C81" s="96">
        <v>90.181854248046875</v>
      </c>
      <c r="D81" s="97">
        <v>13.910608702402509</v>
      </c>
      <c r="E81" s="98">
        <v>6.9154894347907572E-2</v>
      </c>
      <c r="F81" s="99">
        <v>21.524488107221011</v>
      </c>
      <c r="G81" s="98">
        <v>0.21922240566044462</v>
      </c>
      <c r="H81" s="100">
        <v>21.788246437900469</v>
      </c>
      <c r="I81" s="101">
        <v>0.47680779146566471</v>
      </c>
      <c r="J81" s="97">
        <v>5.8898307790442006</v>
      </c>
      <c r="K81" s="98">
        <v>0.16498547366250771</v>
      </c>
      <c r="L81" s="100">
        <v>5.5901432833512343</v>
      </c>
      <c r="M81" s="101">
        <v>5.1386379510558799E-2</v>
      </c>
      <c r="N81" s="97">
        <v>-15.93434482386977</v>
      </c>
      <c r="O81" s="102">
        <v>0.24029296187126462</v>
      </c>
      <c r="P81" s="99">
        <v>14.14200509954334</v>
      </c>
      <c r="Q81" s="98">
        <v>7.2764776166273304E-2</v>
      </c>
      <c r="R81" s="100" t="s">
        <v>34</v>
      </c>
      <c r="S81" s="101" t="s">
        <v>34</v>
      </c>
      <c r="T81" s="97">
        <v>11.204830492921801</v>
      </c>
      <c r="U81" s="101">
        <v>0.58566137639563731</v>
      </c>
      <c r="V81" s="97">
        <v>-2.9371746066215394</v>
      </c>
      <c r="W81" s="104">
        <v>0.60884395195940977</v>
      </c>
      <c r="X81" s="124"/>
      <c r="Y81" s="124"/>
      <c r="Z81" s="124"/>
      <c r="AA81" s="124"/>
      <c r="AB81" s="124"/>
      <c r="AC81" s="124"/>
      <c r="AD81" s="124"/>
      <c r="AE81" s="124"/>
    </row>
    <row r="82" spans="1:31" s="105" customFormat="1" x14ac:dyDescent="0.25">
      <c r="A82" s="118" t="s">
        <v>263</v>
      </c>
      <c r="B82" s="95">
        <v>138</v>
      </c>
      <c r="C82" s="96">
        <v>68.210853576660156</v>
      </c>
      <c r="D82" s="97">
        <v>20.276205771632831</v>
      </c>
      <c r="E82" s="98">
        <v>2.2337635094685679</v>
      </c>
      <c r="F82" s="99">
        <v>15.97929047221642</v>
      </c>
      <c r="G82" s="98">
        <v>6.5991866450316303</v>
      </c>
      <c r="H82" s="100">
        <v>23.780496055550682</v>
      </c>
      <c r="I82" s="101">
        <v>5.3746204774266131</v>
      </c>
      <c r="J82" s="97">
        <v>33.370567260414177</v>
      </c>
      <c r="K82" s="98">
        <v>5.3610842244813934</v>
      </c>
      <c r="L82" s="100">
        <v>7.7615752844153487</v>
      </c>
      <c r="M82" s="101">
        <v>3.4245787950526574</v>
      </c>
      <c r="N82" s="97">
        <v>-8.217715187801069</v>
      </c>
      <c r="O82" s="102">
        <v>7.1455713429238701</v>
      </c>
      <c r="P82" s="99">
        <v>23.299002612469881</v>
      </c>
      <c r="Q82" s="98">
        <v>2.4944521111538003</v>
      </c>
      <c r="R82" s="100" t="s">
        <v>34</v>
      </c>
      <c r="S82" s="101" t="s">
        <v>34</v>
      </c>
      <c r="T82" s="97">
        <v>9.4625875095288983</v>
      </c>
      <c r="U82" s="101">
        <v>5.2762862810814619</v>
      </c>
      <c r="V82" s="97">
        <v>-13.836415102940983</v>
      </c>
      <c r="W82" s="104">
        <v>5.8648404923425037</v>
      </c>
      <c r="X82" s="124"/>
      <c r="Y82" s="124"/>
      <c r="Z82" s="124"/>
      <c r="AA82" s="124"/>
      <c r="AB82" s="124"/>
      <c r="AC82" s="124"/>
      <c r="AD82" s="124"/>
      <c r="AE82" s="124"/>
    </row>
    <row r="83" spans="1:31" s="105" customFormat="1" x14ac:dyDescent="0.25">
      <c r="A83" s="118" t="s">
        <v>264</v>
      </c>
      <c r="B83" s="95">
        <v>323</v>
      </c>
      <c r="C83" s="96">
        <v>97.6805419921875</v>
      </c>
      <c r="D83" s="97">
        <v>27.38652076088659</v>
      </c>
      <c r="E83" s="98">
        <v>2.565413154735686</v>
      </c>
      <c r="F83" s="99">
        <v>28.051036975020001</v>
      </c>
      <c r="G83" s="98">
        <v>5.9140072832102843</v>
      </c>
      <c r="H83" s="100">
        <v>40.197101200748477</v>
      </c>
      <c r="I83" s="101">
        <v>5.6789330810166865</v>
      </c>
      <c r="J83" s="97">
        <v>31.547988030768629</v>
      </c>
      <c r="K83" s="98">
        <v>5.7137015909352895</v>
      </c>
      <c r="L83" s="100">
        <v>9.7869596473848368</v>
      </c>
      <c r="M83" s="101">
        <v>3.7266606387531822</v>
      </c>
      <c r="N83" s="97">
        <v>-18.26407732763516</v>
      </c>
      <c r="O83" s="102">
        <v>6.5847002355639797</v>
      </c>
      <c r="P83" s="99">
        <v>31.742635435155389</v>
      </c>
      <c r="Q83" s="98">
        <v>3.2269577594813992</v>
      </c>
      <c r="R83" s="100" t="s">
        <v>34</v>
      </c>
      <c r="S83" s="101" t="s">
        <v>34</v>
      </c>
      <c r="T83" s="97">
        <v>12.676814128003629</v>
      </c>
      <c r="U83" s="101">
        <v>3.8564380164916376</v>
      </c>
      <c r="V83" s="97">
        <v>-19.065821307151758</v>
      </c>
      <c r="W83" s="104">
        <v>5.155401812316069</v>
      </c>
      <c r="X83" s="124"/>
      <c r="Y83" s="124"/>
      <c r="Z83" s="124"/>
      <c r="AA83" s="124"/>
      <c r="AB83" s="124"/>
      <c r="AC83" s="124"/>
      <c r="AD83" s="124"/>
      <c r="AE83" s="124"/>
    </row>
    <row r="84" spans="1:31" s="105" customFormat="1" x14ac:dyDescent="0.25">
      <c r="A84" s="118" t="s">
        <v>265</v>
      </c>
      <c r="B84" s="95">
        <v>186</v>
      </c>
      <c r="C84" s="96">
        <v>99.705375671386719</v>
      </c>
      <c r="D84" s="97">
        <v>13.525912553544901</v>
      </c>
      <c r="E84" s="98">
        <v>2.6134487140799298</v>
      </c>
      <c r="F84" s="99">
        <v>14.569718625352429</v>
      </c>
      <c r="G84" s="98">
        <v>6.1467573711680785</v>
      </c>
      <c r="H84" s="100">
        <v>10.845792751565011</v>
      </c>
      <c r="I84" s="101">
        <v>5.8261324227209554</v>
      </c>
      <c r="J84" s="97">
        <v>14.856081525423599</v>
      </c>
      <c r="K84" s="98">
        <v>6.4850451975811714</v>
      </c>
      <c r="L84" s="100">
        <v>13.758551265400641</v>
      </c>
      <c r="M84" s="101">
        <v>6.0771450692299824</v>
      </c>
      <c r="N84" s="97">
        <v>-0.81116735995179923</v>
      </c>
      <c r="O84" s="102">
        <v>8.5496958205010731</v>
      </c>
      <c r="P84" s="99">
        <v>14.232653223677559</v>
      </c>
      <c r="Q84" s="98">
        <v>2.8158418105186769</v>
      </c>
      <c r="R84" s="100">
        <v>19.494298977528139</v>
      </c>
      <c r="S84" s="101">
        <v>12.211758409475319</v>
      </c>
      <c r="T84" s="97">
        <v>0</v>
      </c>
      <c r="U84" s="101" t="s">
        <v>35</v>
      </c>
      <c r="V84" s="97">
        <v>-4.0484667002580288</v>
      </c>
      <c r="W84" s="104">
        <v>7.0941944805566903</v>
      </c>
      <c r="X84" s="124"/>
      <c r="Y84" s="124"/>
      <c r="Z84" s="124"/>
      <c r="AA84" s="124"/>
      <c r="AB84" s="124"/>
      <c r="AC84" s="124"/>
      <c r="AD84" s="124"/>
      <c r="AE84" s="124"/>
    </row>
    <row r="85" spans="1:31" s="105" customFormat="1" x14ac:dyDescent="0.25">
      <c r="A85" s="118" t="s">
        <v>266</v>
      </c>
      <c r="B85" s="95">
        <v>136</v>
      </c>
      <c r="C85" s="96">
        <v>85.952011108398438</v>
      </c>
      <c r="D85" s="97">
        <v>7.7302977810417444</v>
      </c>
      <c r="E85" s="98">
        <v>5.7020220874084621E-2</v>
      </c>
      <c r="F85" s="99">
        <v>5.9480889523033023</v>
      </c>
      <c r="G85" s="98">
        <v>0.15234879483311559</v>
      </c>
      <c r="H85" s="100">
        <v>5.9327619925027202</v>
      </c>
      <c r="I85" s="101">
        <v>0.12247972185284493</v>
      </c>
      <c r="J85" s="97">
        <v>5.7536536877635269</v>
      </c>
      <c r="K85" s="98">
        <v>8.2908063335491139E-2</v>
      </c>
      <c r="L85" s="100">
        <v>13.49836260024078</v>
      </c>
      <c r="M85" s="101">
        <v>0.15156801883959847</v>
      </c>
      <c r="N85" s="97">
        <v>7.5502736479374777</v>
      </c>
      <c r="O85" s="102">
        <v>0.19291842373889473</v>
      </c>
      <c r="P85" s="99">
        <v>8.5946032663199237</v>
      </c>
      <c r="Q85" s="98">
        <v>5.1968275318778019E-2</v>
      </c>
      <c r="R85" s="100" t="s">
        <v>34</v>
      </c>
      <c r="S85" s="101" t="s">
        <v>34</v>
      </c>
      <c r="T85" s="97">
        <v>7.0949946337878691</v>
      </c>
      <c r="U85" s="101">
        <v>9.2916201614570787E-2</v>
      </c>
      <c r="V85" s="97">
        <v>-1.4996086325320546</v>
      </c>
      <c r="W85" s="104">
        <v>9.5374574193003367E-2</v>
      </c>
      <c r="X85" s="124"/>
      <c r="Y85" s="124"/>
      <c r="Z85" s="124"/>
      <c r="AA85" s="124"/>
      <c r="AB85" s="124"/>
      <c r="AC85" s="124"/>
      <c r="AD85" s="124"/>
      <c r="AE85" s="124"/>
    </row>
    <row r="86" spans="1:31" s="105" customFormat="1" x14ac:dyDescent="0.25">
      <c r="A86" s="118" t="s">
        <v>267</v>
      </c>
      <c r="B86" s="95">
        <v>141</v>
      </c>
      <c r="C86" s="96">
        <v>93.061271667480469</v>
      </c>
      <c r="D86" s="97">
        <v>6.5400466193120614</v>
      </c>
      <c r="E86" s="98">
        <v>1.9522691665609597</v>
      </c>
      <c r="F86" s="99">
        <v>1.7975089906861419</v>
      </c>
      <c r="G86" s="98">
        <v>1.3642767413405654</v>
      </c>
      <c r="H86" s="100">
        <v>8.6018484412971201</v>
      </c>
      <c r="I86" s="101">
        <v>5.5125437630856116</v>
      </c>
      <c r="J86" s="97">
        <v>12.814816386089371</v>
      </c>
      <c r="K86" s="98">
        <v>6.2870302481139761</v>
      </c>
      <c r="L86" s="100">
        <v>3.0778524425993039</v>
      </c>
      <c r="M86" s="101">
        <v>3.1737730575312342</v>
      </c>
      <c r="N86" s="97">
        <v>1.280343451913162</v>
      </c>
      <c r="O86" s="102">
        <v>3.4186382451530704</v>
      </c>
      <c r="P86" s="99">
        <v>6.6866752677567272</v>
      </c>
      <c r="Q86" s="98">
        <v>1.9964857409772383</v>
      </c>
      <c r="R86" s="100" t="s">
        <v>34</v>
      </c>
      <c r="S86" s="101" t="s">
        <v>34</v>
      </c>
      <c r="T86" s="97" t="s">
        <v>34</v>
      </c>
      <c r="U86" s="101" t="s">
        <v>34</v>
      </c>
      <c r="V86" s="97" t="s">
        <v>34</v>
      </c>
      <c r="W86" s="104" t="s">
        <v>34</v>
      </c>
      <c r="X86" s="124"/>
      <c r="Y86" s="124"/>
      <c r="Z86" s="124"/>
      <c r="AA86" s="124"/>
      <c r="AB86" s="124"/>
      <c r="AC86" s="124"/>
      <c r="AD86" s="124"/>
      <c r="AE86" s="124"/>
    </row>
    <row r="87" spans="1:31" s="105" customFormat="1" x14ac:dyDescent="0.25">
      <c r="A87" s="118" t="s">
        <v>268</v>
      </c>
      <c r="B87" s="95">
        <v>235</v>
      </c>
      <c r="C87" s="96">
        <v>91.496650695800781</v>
      </c>
      <c r="D87" s="97">
        <v>44.321565716413389</v>
      </c>
      <c r="E87" s="98">
        <v>3.117893839952651</v>
      </c>
      <c r="F87" s="99">
        <v>53.932797309108388</v>
      </c>
      <c r="G87" s="98">
        <v>6.0426902606150144</v>
      </c>
      <c r="H87" s="100">
        <v>51.509741954168057</v>
      </c>
      <c r="I87" s="101">
        <v>8.159117720819884</v>
      </c>
      <c r="J87" s="97">
        <v>40.488514533250033</v>
      </c>
      <c r="K87" s="98">
        <v>6.9567912089396851</v>
      </c>
      <c r="L87" s="100">
        <v>31.279876717988181</v>
      </c>
      <c r="M87" s="101">
        <v>7.1086894730100578</v>
      </c>
      <c r="N87" s="97">
        <v>-22.652920591120221</v>
      </c>
      <c r="O87" s="102">
        <v>10.492411496509318</v>
      </c>
      <c r="P87" s="99">
        <v>44.321565716413389</v>
      </c>
      <c r="Q87" s="98">
        <v>3.117893839952651</v>
      </c>
      <c r="R87" s="100" t="s">
        <v>34</v>
      </c>
      <c r="S87" s="101" t="s">
        <v>34</v>
      </c>
      <c r="T87" s="97" t="s">
        <v>34</v>
      </c>
      <c r="U87" s="101" t="s">
        <v>34</v>
      </c>
      <c r="V87" s="97" t="s">
        <v>34</v>
      </c>
      <c r="W87" s="104" t="s">
        <v>34</v>
      </c>
      <c r="X87" s="124"/>
      <c r="Y87" s="124"/>
      <c r="Z87" s="124"/>
      <c r="AA87" s="124"/>
      <c r="AB87" s="124"/>
      <c r="AC87" s="124"/>
      <c r="AD87" s="124"/>
      <c r="AE87" s="124"/>
    </row>
    <row r="88" spans="1:31" s="105" customFormat="1" x14ac:dyDescent="0.25">
      <c r="A88" s="118" t="s">
        <v>269</v>
      </c>
      <c r="B88" s="95">
        <v>170</v>
      </c>
      <c r="C88" s="96">
        <v>81.233161926269531</v>
      </c>
      <c r="D88" s="97">
        <v>17.02979131701106</v>
      </c>
      <c r="E88" s="98">
        <v>3.1707604713001913</v>
      </c>
      <c r="F88" s="99">
        <v>23.57481837615564</v>
      </c>
      <c r="G88" s="98">
        <v>6.7917595948715936</v>
      </c>
      <c r="H88" s="100">
        <v>11.870386454883951</v>
      </c>
      <c r="I88" s="101">
        <v>8.0630708397020996</v>
      </c>
      <c r="J88" s="97">
        <v>23.05934933124303</v>
      </c>
      <c r="K88" s="98">
        <v>8.1842588389847482</v>
      </c>
      <c r="L88" s="100">
        <v>10.113975281954129</v>
      </c>
      <c r="M88" s="101">
        <v>5.6057123367710346</v>
      </c>
      <c r="N88" s="97">
        <v>-13.460843094201509</v>
      </c>
      <c r="O88" s="102">
        <v>8.5289364704804314</v>
      </c>
      <c r="P88" s="99">
        <v>17.860280238699229</v>
      </c>
      <c r="Q88" s="98">
        <v>3.5538256893274616</v>
      </c>
      <c r="R88" s="100" t="s">
        <v>34</v>
      </c>
      <c r="S88" s="101" t="s">
        <v>34</v>
      </c>
      <c r="T88" s="97">
        <v>14.966031892430721</v>
      </c>
      <c r="U88" s="101">
        <v>9.6684423557101589</v>
      </c>
      <c r="V88" s="97">
        <v>-2.8942483462685082</v>
      </c>
      <c r="W88" s="104">
        <v>10.390818316128845</v>
      </c>
      <c r="X88" s="124"/>
      <c r="Y88" s="124"/>
      <c r="Z88" s="124"/>
      <c r="AA88" s="124"/>
      <c r="AB88" s="124"/>
      <c r="AC88" s="124"/>
      <c r="AD88" s="124"/>
      <c r="AE88" s="124"/>
    </row>
    <row r="89" spans="1:31" s="105" customFormat="1" x14ac:dyDescent="0.25">
      <c r="A89" s="118" t="s">
        <v>270</v>
      </c>
      <c r="B89" s="95">
        <v>177</v>
      </c>
      <c r="C89" s="96">
        <v>98.513496398925781</v>
      </c>
      <c r="D89" s="97">
        <v>17.173403358084851</v>
      </c>
      <c r="E89" s="98">
        <v>3.1138579502361097</v>
      </c>
      <c r="F89" s="99">
        <v>16.547166598996501</v>
      </c>
      <c r="G89" s="98">
        <v>4.5244722270432467</v>
      </c>
      <c r="H89" s="100">
        <v>16.8613914062317</v>
      </c>
      <c r="I89" s="101">
        <v>6.5851917490256646</v>
      </c>
      <c r="J89" s="97">
        <v>10.973953414247189</v>
      </c>
      <c r="K89" s="98">
        <v>5.9197177758471557</v>
      </c>
      <c r="L89" s="100">
        <v>24.00690883862816</v>
      </c>
      <c r="M89" s="101">
        <v>7.7477781418213967</v>
      </c>
      <c r="N89" s="97">
        <v>7.4597422396316624</v>
      </c>
      <c r="O89" s="102">
        <v>8.8332089180165134</v>
      </c>
      <c r="P89" s="99">
        <v>15.344088866091329</v>
      </c>
      <c r="Q89" s="98">
        <v>2.7916875109895281</v>
      </c>
      <c r="R89" s="100" t="s">
        <v>34</v>
      </c>
      <c r="S89" s="101" t="s">
        <v>34</v>
      </c>
      <c r="T89" s="97">
        <v>71.938541494305596</v>
      </c>
      <c r="U89" s="101">
        <v>21.482970705537436</v>
      </c>
      <c r="V89" s="97">
        <v>56.59445262821427</v>
      </c>
      <c r="W89" s="104">
        <v>21.56364051824194</v>
      </c>
      <c r="X89" s="124"/>
      <c r="Y89" s="124"/>
      <c r="Z89" s="124"/>
      <c r="AA89" s="124"/>
      <c r="AB89" s="124"/>
      <c r="AC89" s="124"/>
      <c r="AD89" s="124"/>
      <c r="AE89" s="124"/>
    </row>
    <row r="90" spans="1:31" s="105" customFormat="1" x14ac:dyDescent="0.25">
      <c r="A90" s="118" t="s">
        <v>271</v>
      </c>
      <c r="B90" s="95">
        <v>166</v>
      </c>
      <c r="C90" s="96">
        <v>100</v>
      </c>
      <c r="D90" s="97">
        <v>8.1743449759675855</v>
      </c>
      <c r="E90" s="98">
        <v>0.52297214510333112</v>
      </c>
      <c r="F90" s="99">
        <v>7.3260910307558262</v>
      </c>
      <c r="G90" s="98">
        <v>0.17650861467365028</v>
      </c>
      <c r="H90" s="100">
        <v>16.071218474704629</v>
      </c>
      <c r="I90" s="101">
        <v>2.2317895475952692</v>
      </c>
      <c r="J90" s="97">
        <v>0.64133738179804833</v>
      </c>
      <c r="K90" s="98">
        <v>0.44280449202792604</v>
      </c>
      <c r="L90" s="100">
        <v>8.7686133430111202</v>
      </c>
      <c r="M90" s="101">
        <v>0.16384656839435513</v>
      </c>
      <c r="N90" s="97">
        <v>1.4425223122552939</v>
      </c>
      <c r="O90" s="102">
        <v>0.21332815966503144</v>
      </c>
      <c r="P90" s="99">
        <v>8.3574130289374864</v>
      </c>
      <c r="Q90" s="98">
        <v>6.4482224389719289E-2</v>
      </c>
      <c r="R90" s="100" t="s">
        <v>34</v>
      </c>
      <c r="S90" s="101" t="s">
        <v>34</v>
      </c>
      <c r="T90" s="97">
        <v>8.1416389363518888</v>
      </c>
      <c r="U90" s="101">
        <v>6.9817184662804586</v>
      </c>
      <c r="V90" s="97">
        <v>-0.21577409258559754</v>
      </c>
      <c r="W90" s="104">
        <v>6.9816058756266628</v>
      </c>
      <c r="X90" s="124"/>
      <c r="Y90" s="124"/>
      <c r="Z90" s="124"/>
      <c r="AA90" s="124"/>
      <c r="AB90" s="124"/>
      <c r="AC90" s="124"/>
      <c r="AD90" s="124"/>
      <c r="AE90" s="124"/>
    </row>
    <row r="91" spans="1:31" s="105" customFormat="1" x14ac:dyDescent="0.25">
      <c r="A91" s="118" t="s">
        <v>272</v>
      </c>
      <c r="B91" s="95">
        <v>187</v>
      </c>
      <c r="C91" s="96">
        <v>97.330612182617188</v>
      </c>
      <c r="D91" s="97">
        <v>23.466950086544301</v>
      </c>
      <c r="E91" s="98">
        <v>3.3668848938900031</v>
      </c>
      <c r="F91" s="99">
        <v>21.829162875814479</v>
      </c>
      <c r="G91" s="98">
        <v>6.2443806190551525</v>
      </c>
      <c r="H91" s="100">
        <v>27.135575510458079</v>
      </c>
      <c r="I91" s="101">
        <v>8.5929934578780998</v>
      </c>
      <c r="J91" s="97">
        <v>28.076268692587519</v>
      </c>
      <c r="K91" s="98">
        <v>8.3282408241154062</v>
      </c>
      <c r="L91" s="100">
        <v>16.671430569598851</v>
      </c>
      <c r="M91" s="101">
        <v>6.1136919566569352</v>
      </c>
      <c r="N91" s="97">
        <v>-5.1577323062156317</v>
      </c>
      <c r="O91" s="102">
        <v>8.5812429061429754</v>
      </c>
      <c r="P91" s="99">
        <v>25.40793523700308</v>
      </c>
      <c r="Q91" s="98">
        <v>4.0985029145906129</v>
      </c>
      <c r="R91" s="100">
        <v>29.52311013339294</v>
      </c>
      <c r="S91" s="101">
        <v>10.234215220029306</v>
      </c>
      <c r="T91" s="97">
        <v>15.165758769147191</v>
      </c>
      <c r="U91" s="101">
        <v>5.884216231622827</v>
      </c>
      <c r="V91" s="97">
        <v>-5.1162109815266206</v>
      </c>
      <c r="W91" s="104">
        <v>6.8615993518853644</v>
      </c>
      <c r="X91" s="124"/>
      <c r="Y91" s="124"/>
      <c r="Z91" s="124"/>
      <c r="AA91" s="124"/>
      <c r="AB91" s="124"/>
      <c r="AC91" s="124"/>
      <c r="AD91" s="124"/>
      <c r="AE91" s="124"/>
    </row>
    <row r="92" spans="1:31" s="105" customFormat="1" x14ac:dyDescent="0.25">
      <c r="A92" s="118" t="s">
        <v>273</v>
      </c>
      <c r="B92" s="95">
        <v>204</v>
      </c>
      <c r="C92" s="96">
        <v>92.950508117675781</v>
      </c>
      <c r="D92" s="97">
        <v>17.694226898121851</v>
      </c>
      <c r="E92" s="98">
        <v>3.0555376379463457</v>
      </c>
      <c r="F92" s="99">
        <v>26.091640268253059</v>
      </c>
      <c r="G92" s="98">
        <v>7.8165121732623648</v>
      </c>
      <c r="H92" s="100">
        <v>14.488629478741309</v>
      </c>
      <c r="I92" s="101">
        <v>7.5168335938454023</v>
      </c>
      <c r="J92" s="97">
        <v>11.67136731601359</v>
      </c>
      <c r="K92" s="98">
        <v>4.5209445670265129</v>
      </c>
      <c r="L92" s="100">
        <v>18.626869229822979</v>
      </c>
      <c r="M92" s="101">
        <v>7.0851845526837547</v>
      </c>
      <c r="N92" s="97">
        <v>-7.4647710384300794</v>
      </c>
      <c r="O92" s="102">
        <v>10.065924208066008</v>
      </c>
      <c r="P92" s="99">
        <v>17.834402705400759</v>
      </c>
      <c r="Q92" s="98">
        <v>3.6311508735077331</v>
      </c>
      <c r="R92" s="100">
        <v>23.810820367025691</v>
      </c>
      <c r="S92" s="101">
        <v>7.7853175482336807</v>
      </c>
      <c r="T92" s="97">
        <v>8.9334951259042086</v>
      </c>
      <c r="U92" s="101">
        <v>8.115658874938358</v>
      </c>
      <c r="V92" s="97">
        <v>-0.83782569367613036</v>
      </c>
      <c r="W92" s="104">
        <v>4.8579638384178851</v>
      </c>
      <c r="X92" s="124"/>
      <c r="Y92" s="124"/>
      <c r="Z92" s="124"/>
      <c r="AA92" s="124"/>
      <c r="AB92" s="124"/>
      <c r="AC92" s="124"/>
      <c r="AD92" s="124"/>
      <c r="AE92" s="124"/>
    </row>
    <row r="93" spans="1:31" s="105" customFormat="1" x14ac:dyDescent="0.25">
      <c r="A93" s="118" t="s">
        <v>274</v>
      </c>
      <c r="B93" s="95">
        <v>248</v>
      </c>
      <c r="C93" s="96">
        <v>99.618400573730469</v>
      </c>
      <c r="D93" s="97">
        <v>20.633276407076231</v>
      </c>
      <c r="E93" s="98">
        <v>3.2160006841825832</v>
      </c>
      <c r="F93" s="99">
        <v>25.30928523420824</v>
      </c>
      <c r="G93" s="98">
        <v>5.8187801596635182</v>
      </c>
      <c r="H93" s="100">
        <v>19.02085779185516</v>
      </c>
      <c r="I93" s="101">
        <v>6.1718743449041016</v>
      </c>
      <c r="J93" s="97">
        <v>27.689797667783999</v>
      </c>
      <c r="K93" s="98">
        <v>7.8126813504718893</v>
      </c>
      <c r="L93" s="100">
        <v>10.958537213065989</v>
      </c>
      <c r="M93" s="101">
        <v>6.2835712834480457</v>
      </c>
      <c r="N93" s="97">
        <v>-14.35074802114225</v>
      </c>
      <c r="O93" s="102">
        <v>7.8495082389194053</v>
      </c>
      <c r="P93" s="99">
        <v>20.807831086122171</v>
      </c>
      <c r="Q93" s="98">
        <v>3.2416547707316306</v>
      </c>
      <c r="R93" s="100" t="s">
        <v>34</v>
      </c>
      <c r="S93" s="101" t="s">
        <v>34</v>
      </c>
      <c r="T93" s="97" t="s">
        <v>34</v>
      </c>
      <c r="U93" s="101" t="s">
        <v>34</v>
      </c>
      <c r="V93" s="97" t="s">
        <v>34</v>
      </c>
      <c r="W93" s="104" t="s">
        <v>34</v>
      </c>
      <c r="X93" s="124"/>
      <c r="Y93" s="124"/>
      <c r="Z93" s="124"/>
      <c r="AA93" s="124"/>
      <c r="AB93" s="124"/>
      <c r="AC93" s="124"/>
      <c r="AD93" s="124"/>
      <c r="AE93" s="124"/>
    </row>
    <row r="94" spans="1:31" s="105" customFormat="1" x14ac:dyDescent="0.25">
      <c r="A94" s="118" t="s">
        <v>275</v>
      </c>
      <c r="B94" s="95">
        <v>592</v>
      </c>
      <c r="C94" s="96">
        <v>90.940567016601563</v>
      </c>
      <c r="D94" s="97">
        <v>23.805208273667819</v>
      </c>
      <c r="E94" s="98">
        <v>1.0693561125380149</v>
      </c>
      <c r="F94" s="99">
        <v>37.034252997533187</v>
      </c>
      <c r="G94" s="98">
        <v>1.5193110163655974</v>
      </c>
      <c r="H94" s="100">
        <v>32.321482647490157</v>
      </c>
      <c r="I94" s="101">
        <v>2.7677012135413954</v>
      </c>
      <c r="J94" s="97">
        <v>18.922344113679319</v>
      </c>
      <c r="K94" s="98">
        <v>3.9289296578386086</v>
      </c>
      <c r="L94" s="100">
        <v>6.9953666022560839</v>
      </c>
      <c r="M94" s="101">
        <v>1.1548088730399892</v>
      </c>
      <c r="N94" s="97">
        <v>-30.0388863952771</v>
      </c>
      <c r="O94" s="102">
        <v>1.8586719430254108</v>
      </c>
      <c r="P94" s="99">
        <v>37.577759945463782</v>
      </c>
      <c r="Q94" s="98">
        <v>0.47769089173983742</v>
      </c>
      <c r="R94" s="100" t="s">
        <v>34</v>
      </c>
      <c r="S94" s="101" t="s">
        <v>34</v>
      </c>
      <c r="T94" s="97">
        <v>15.523587423155361</v>
      </c>
      <c r="U94" s="101">
        <v>1.6067458678141482</v>
      </c>
      <c r="V94" s="97">
        <v>-22.05417252230842</v>
      </c>
      <c r="W94" s="104">
        <v>1.6253105426207881</v>
      </c>
      <c r="X94" s="124"/>
      <c r="Y94" s="124"/>
      <c r="Z94" s="124"/>
      <c r="AA94" s="124"/>
      <c r="AB94" s="124"/>
      <c r="AC94" s="124"/>
      <c r="AD94" s="124"/>
      <c r="AE94" s="124"/>
    </row>
    <row r="95" spans="1:31" s="105" customFormat="1" x14ac:dyDescent="0.25">
      <c r="A95" s="118" t="s">
        <v>276</v>
      </c>
      <c r="B95" s="95">
        <v>189</v>
      </c>
      <c r="C95" s="96">
        <v>100</v>
      </c>
      <c r="D95" s="97">
        <v>35.113008560553737</v>
      </c>
      <c r="E95" s="98">
        <v>3.5973906816567651</v>
      </c>
      <c r="F95" s="99">
        <v>52.316298159833472</v>
      </c>
      <c r="G95" s="98">
        <v>7.8699870643064349</v>
      </c>
      <c r="H95" s="100">
        <v>36.773473399937153</v>
      </c>
      <c r="I95" s="101">
        <v>7.0924087752394493</v>
      </c>
      <c r="J95" s="97">
        <v>40.070191257448819</v>
      </c>
      <c r="K95" s="98">
        <v>8.5214403294543857</v>
      </c>
      <c r="L95" s="100">
        <v>11.02572076358094</v>
      </c>
      <c r="M95" s="101">
        <v>6.8891724795627995</v>
      </c>
      <c r="N95" s="97">
        <v>-41.290577396252537</v>
      </c>
      <c r="O95" s="102">
        <v>10.713532042435661</v>
      </c>
      <c r="P95" s="99">
        <v>41.197431132086002</v>
      </c>
      <c r="Q95" s="98">
        <v>4.1863507045278929</v>
      </c>
      <c r="R95" s="100" t="s">
        <v>34</v>
      </c>
      <c r="S95" s="101" t="s">
        <v>34</v>
      </c>
      <c r="T95" s="97">
        <v>3.010088845415134</v>
      </c>
      <c r="U95" s="101">
        <v>3.402214390203179</v>
      </c>
      <c r="V95" s="97">
        <v>-38.187342286670869</v>
      </c>
      <c r="W95" s="104">
        <v>5.3800268782162446</v>
      </c>
      <c r="X95" s="124"/>
      <c r="Y95" s="124"/>
      <c r="Z95" s="124"/>
      <c r="AA95" s="124"/>
      <c r="AB95" s="124"/>
      <c r="AC95" s="124"/>
      <c r="AD95" s="124"/>
      <c r="AE95" s="124"/>
    </row>
    <row r="96" spans="1:31" s="105" customFormat="1" ht="13.8" thickBot="1" x14ac:dyDescent="0.3">
      <c r="A96" s="125" t="s">
        <v>277</v>
      </c>
      <c r="B96" s="108">
        <v>123</v>
      </c>
      <c r="C96" s="109">
        <v>95.170951843261719</v>
      </c>
      <c r="D96" s="110">
        <v>10.311825647130741</v>
      </c>
      <c r="E96" s="111">
        <v>2.797213624296095</v>
      </c>
      <c r="F96" s="112">
        <v>8.2718632124466573</v>
      </c>
      <c r="G96" s="111">
        <v>4.7589169193076524</v>
      </c>
      <c r="H96" s="113">
        <v>13.428777212024309</v>
      </c>
      <c r="I96" s="114">
        <v>6.3361368888939626</v>
      </c>
      <c r="J96" s="110">
        <v>7.3117220929468036</v>
      </c>
      <c r="K96" s="111">
        <v>5.6887344894169347</v>
      </c>
      <c r="L96" s="113">
        <v>12.10930814174332</v>
      </c>
      <c r="M96" s="114">
        <v>6.155275610195015</v>
      </c>
      <c r="N96" s="110">
        <v>3.8374449292966588</v>
      </c>
      <c r="O96" s="115">
        <v>7.7021261680025068</v>
      </c>
      <c r="P96" s="112">
        <v>10.873436849051259</v>
      </c>
      <c r="Q96" s="111">
        <v>2.9428942098477928</v>
      </c>
      <c r="R96" s="113" t="s">
        <v>34</v>
      </c>
      <c r="S96" s="114" t="s">
        <v>34</v>
      </c>
      <c r="T96" s="110">
        <v>0</v>
      </c>
      <c r="U96" s="114" t="s">
        <v>35</v>
      </c>
      <c r="V96" s="110">
        <v>-10.873436849051259</v>
      </c>
      <c r="W96" s="117">
        <v>2.9428942098477928</v>
      </c>
      <c r="X96" s="124"/>
      <c r="Y96" s="124"/>
      <c r="Z96" s="124"/>
      <c r="AA96" s="124"/>
      <c r="AB96" s="124"/>
      <c r="AC96" s="124"/>
      <c r="AD96" s="124"/>
      <c r="AE96" s="124"/>
    </row>
    <row r="97" spans="1:21" s="105" customFormat="1" x14ac:dyDescent="0.25">
      <c r="N97" s="148"/>
    </row>
    <row r="98" spans="1:21" s="105" customFormat="1" x14ac:dyDescent="0.25"/>
    <row r="103" spans="1:21" x14ac:dyDescent="0.25">
      <c r="A103" s="90"/>
      <c r="B103" s="90"/>
      <c r="C103" s="90"/>
      <c r="D103" s="90"/>
      <c r="E103" s="90"/>
      <c r="F103" s="90"/>
      <c r="G103" s="90"/>
      <c r="H103" s="90"/>
      <c r="I103" s="90"/>
      <c r="J103" s="90"/>
      <c r="K103" s="90"/>
      <c r="L103" s="90"/>
      <c r="M103" s="90"/>
      <c r="N103" s="90"/>
      <c r="O103" s="90"/>
      <c r="P103" s="90"/>
      <c r="Q103" s="90"/>
      <c r="R103" s="90"/>
      <c r="S103" s="90"/>
      <c r="T103" s="90"/>
      <c r="U103" s="90"/>
    </row>
    <row r="104" spans="1:21" x14ac:dyDescent="0.25">
      <c r="A104" s="89" t="s">
        <v>299</v>
      </c>
      <c r="B104" s="90"/>
      <c r="C104" s="90"/>
      <c r="D104" s="90"/>
      <c r="E104" s="90"/>
      <c r="F104" s="90"/>
      <c r="G104" s="90"/>
      <c r="H104" s="90"/>
      <c r="I104" s="90"/>
      <c r="J104" s="90"/>
      <c r="K104" s="90"/>
      <c r="L104" s="90"/>
      <c r="M104" s="90"/>
      <c r="N104" s="90"/>
      <c r="O104" s="90"/>
      <c r="P104" s="90"/>
      <c r="Q104" s="90"/>
      <c r="R104" s="90"/>
      <c r="S104" s="90"/>
      <c r="T104" s="90"/>
      <c r="U104" s="90"/>
    </row>
    <row r="105" spans="1:21" x14ac:dyDescent="0.25">
      <c r="A105" s="89" t="s">
        <v>37</v>
      </c>
      <c r="B105" s="90"/>
      <c r="C105" s="90"/>
      <c r="D105" s="90"/>
      <c r="E105" s="90"/>
      <c r="F105" s="90"/>
      <c r="G105" s="90"/>
      <c r="H105" s="90"/>
      <c r="I105" s="90"/>
      <c r="J105" s="90"/>
      <c r="K105" s="90"/>
      <c r="L105" s="90"/>
      <c r="M105" s="90"/>
      <c r="N105" s="90"/>
      <c r="O105" s="90"/>
      <c r="P105" s="90"/>
      <c r="Q105" s="90"/>
      <c r="R105" s="90"/>
      <c r="S105" s="90"/>
      <c r="T105" s="90"/>
      <c r="U105" s="90"/>
    </row>
    <row r="106" spans="1:21" x14ac:dyDescent="0.25">
      <c r="A106" s="27" t="s">
        <v>53</v>
      </c>
    </row>
    <row r="107" spans="1:21" x14ac:dyDescent="0.25">
      <c r="A107" s="27" t="s">
        <v>39</v>
      </c>
    </row>
    <row r="108" spans="1:21" x14ac:dyDescent="0.25">
      <c r="A108" s="27" t="s">
        <v>40</v>
      </c>
    </row>
    <row r="109" spans="1:21" x14ac:dyDescent="0.25">
      <c r="A109" s="27" t="s">
        <v>41</v>
      </c>
    </row>
    <row r="110" spans="1:21" x14ac:dyDescent="0.25">
      <c r="A110" s="4" t="s">
        <v>43</v>
      </c>
    </row>
    <row r="111" spans="1:21" x14ac:dyDescent="0.25">
      <c r="A111" s="27" t="s">
        <v>42</v>
      </c>
    </row>
  </sheetData>
  <mergeCells count="15">
    <mergeCell ref="B11:E11"/>
    <mergeCell ref="F11:O12"/>
    <mergeCell ref="P11:W12"/>
    <mergeCell ref="B12:B13"/>
    <mergeCell ref="C12:C13"/>
    <mergeCell ref="D12:E13"/>
    <mergeCell ref="F13:G13"/>
    <mergeCell ref="H13:I13"/>
    <mergeCell ref="J13:K13"/>
    <mergeCell ref="P13:Q13"/>
    <mergeCell ref="R13:S13"/>
    <mergeCell ref="T13:U13"/>
    <mergeCell ref="V13:W13"/>
    <mergeCell ref="L13:M13"/>
    <mergeCell ref="N13:O13"/>
  </mergeCells>
  <conditionalFormatting sqref="N16:N96 V16:V96">
    <cfRule type="expression" dxfId="3" priority="2">
      <formula>ABS(N16/O16)&gt;1.96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E98"/>
  <sheetViews>
    <sheetView showGridLines="0" zoomScale="80" zoomScaleNormal="80" workbookViewId="0"/>
  </sheetViews>
  <sheetFormatPr defaultColWidth="9.109375" defaultRowHeight="13.2" x14ac:dyDescent="0.25"/>
  <cols>
    <col min="1" max="1" width="25.33203125" style="4" customWidth="1"/>
    <col min="2" max="2" width="13.109375" style="4" customWidth="1"/>
    <col min="3" max="4" width="13.44140625" style="4" customWidth="1"/>
    <col min="5" max="16384" width="9.109375" style="4"/>
  </cols>
  <sheetData>
    <row r="1" spans="1:31" s="240" customFormat="1" x14ac:dyDescent="0.25">
      <c r="A1" s="241" t="s">
        <v>305</v>
      </c>
    </row>
    <row r="2" spans="1:31" s="240" customFormat="1" x14ac:dyDescent="0.25">
      <c r="A2" s="240" t="s">
        <v>306</v>
      </c>
      <c r="B2" s="240" t="s">
        <v>307</v>
      </c>
    </row>
    <row r="3" spans="1:31" s="240" customFormat="1" x14ac:dyDescent="0.25">
      <c r="A3" s="240" t="s">
        <v>308</v>
      </c>
    </row>
    <row r="4" spans="1:31" s="240" customFormat="1" x14ac:dyDescent="0.25">
      <c r="A4" s="241" t="s">
        <v>309</v>
      </c>
    </row>
    <row r="5" spans="1:31" s="240" customFormat="1" x14ac:dyDescent="0.25"/>
    <row r="6" spans="1:31" x14ac:dyDescent="0.25">
      <c r="A6" s="1" t="s">
        <v>185</v>
      </c>
      <c r="B6" s="2"/>
      <c r="C6" s="3"/>
      <c r="D6" s="2"/>
      <c r="E6" s="3"/>
      <c r="F6" s="3"/>
      <c r="G6" s="3"/>
      <c r="H6" s="3"/>
      <c r="I6" s="3"/>
      <c r="J6" s="3"/>
      <c r="K6" s="3"/>
      <c r="L6" s="3"/>
      <c r="M6" s="3"/>
      <c r="N6" s="3"/>
      <c r="O6" s="3"/>
      <c r="P6" s="3"/>
    </row>
    <row r="7" spans="1:31" x14ac:dyDescent="0.25">
      <c r="A7" s="5" t="s">
        <v>186</v>
      </c>
    </row>
    <row r="8" spans="1:31" x14ac:dyDescent="0.25">
      <c r="A8" s="6" t="s">
        <v>187</v>
      </c>
    </row>
    <row r="9" spans="1:31" x14ac:dyDescent="0.25">
      <c r="A9" s="59"/>
    </row>
    <row r="10" spans="1:31" x14ac:dyDescent="0.25">
      <c r="A10" s="6"/>
    </row>
    <row r="11" spans="1:31" ht="25.5" customHeight="1" thickBot="1" x14ac:dyDescent="0.3">
      <c r="A11" s="7"/>
      <c r="B11" s="8"/>
      <c r="C11" s="9"/>
      <c r="D11" s="8"/>
      <c r="E11" s="9"/>
      <c r="F11" s="9"/>
      <c r="G11" s="9"/>
      <c r="H11" s="9"/>
      <c r="I11" s="9"/>
      <c r="J11" s="9"/>
      <c r="K11" s="9"/>
      <c r="L11" s="9"/>
      <c r="M11" s="9"/>
      <c r="N11" s="9"/>
      <c r="O11" s="9"/>
      <c r="P11" s="9"/>
    </row>
    <row r="12" spans="1:31" ht="30" customHeight="1" x14ac:dyDescent="0.25">
      <c r="A12" s="28"/>
      <c r="B12" s="211" t="s">
        <v>7</v>
      </c>
      <c r="C12" s="212"/>
      <c r="D12" s="212"/>
      <c r="E12" s="212"/>
      <c r="F12" s="237"/>
      <c r="G12" s="211" t="s">
        <v>188</v>
      </c>
      <c r="H12" s="212"/>
      <c r="I12" s="212"/>
      <c r="J12" s="212"/>
      <c r="K12" s="212"/>
      <c r="L12" s="212"/>
      <c r="M12" s="212"/>
      <c r="N12" s="212"/>
      <c r="O12" s="212"/>
      <c r="P12" s="237"/>
      <c r="Q12" s="201" t="s">
        <v>189</v>
      </c>
      <c r="R12" s="202"/>
      <c r="S12" s="202"/>
      <c r="T12" s="202"/>
      <c r="U12" s="202"/>
      <c r="V12" s="202"/>
      <c r="W12" s="202"/>
      <c r="X12" s="203"/>
    </row>
    <row r="13" spans="1:31" ht="120" customHeight="1" x14ac:dyDescent="0.25">
      <c r="A13" s="32"/>
      <c r="B13" s="209" t="s">
        <v>10</v>
      </c>
      <c r="C13" s="236"/>
      <c r="D13" s="92" t="s">
        <v>11</v>
      </c>
      <c r="E13" s="209" t="s">
        <v>190</v>
      </c>
      <c r="F13" s="236"/>
      <c r="G13" s="229" t="s">
        <v>16</v>
      </c>
      <c r="H13" s="230"/>
      <c r="I13" s="231" t="s">
        <v>17</v>
      </c>
      <c r="J13" s="230"/>
      <c r="K13" s="234" t="s">
        <v>50</v>
      </c>
      <c r="L13" s="235"/>
      <c r="M13" s="234" t="s">
        <v>19</v>
      </c>
      <c r="N13" s="235"/>
      <c r="O13" s="207" t="s">
        <v>20</v>
      </c>
      <c r="P13" s="236"/>
      <c r="Q13" s="209" t="s">
        <v>21</v>
      </c>
      <c r="R13" s="210"/>
      <c r="S13" s="207" t="s">
        <v>22</v>
      </c>
      <c r="T13" s="210"/>
      <c r="U13" s="207" t="s">
        <v>23</v>
      </c>
      <c r="V13" s="210"/>
      <c r="W13" s="207" t="s">
        <v>70</v>
      </c>
      <c r="X13" s="208"/>
    </row>
    <row r="14" spans="1:31" ht="27" customHeight="1" x14ac:dyDescent="0.25">
      <c r="A14" s="33"/>
      <c r="B14" s="34" t="s">
        <v>51</v>
      </c>
      <c r="C14" s="47" t="s">
        <v>25</v>
      </c>
      <c r="D14" s="36" t="s">
        <v>26</v>
      </c>
      <c r="E14" s="34" t="s">
        <v>80</v>
      </c>
      <c r="F14" s="35" t="s">
        <v>28</v>
      </c>
      <c r="G14" s="34" t="s">
        <v>80</v>
      </c>
      <c r="H14" s="36" t="s">
        <v>28</v>
      </c>
      <c r="I14" s="44" t="s">
        <v>80</v>
      </c>
      <c r="J14" s="36" t="s">
        <v>28</v>
      </c>
      <c r="K14" s="44" t="s">
        <v>80</v>
      </c>
      <c r="L14" s="36" t="s">
        <v>28</v>
      </c>
      <c r="M14" s="48" t="s">
        <v>80</v>
      </c>
      <c r="N14" s="36" t="s">
        <v>28</v>
      </c>
      <c r="O14" s="44" t="s">
        <v>81</v>
      </c>
      <c r="P14" s="35" t="s">
        <v>28</v>
      </c>
      <c r="Q14" s="34" t="s">
        <v>26</v>
      </c>
      <c r="R14" s="36" t="s">
        <v>28</v>
      </c>
      <c r="S14" s="49" t="s">
        <v>26</v>
      </c>
      <c r="T14" s="43" t="s">
        <v>28</v>
      </c>
      <c r="U14" s="36" t="s">
        <v>26</v>
      </c>
      <c r="V14" s="36" t="s">
        <v>28</v>
      </c>
      <c r="W14" s="49" t="s">
        <v>63</v>
      </c>
      <c r="X14" s="46" t="s">
        <v>28</v>
      </c>
    </row>
    <row r="15" spans="1:31" ht="13.5" customHeight="1" x14ac:dyDescent="0.25">
      <c r="A15" s="182" t="s">
        <v>278</v>
      </c>
      <c r="B15" s="192"/>
      <c r="C15" s="184"/>
      <c r="D15" s="185"/>
      <c r="E15" s="186"/>
      <c r="F15" s="187"/>
      <c r="G15" s="188"/>
      <c r="H15" s="189"/>
      <c r="I15" s="190"/>
      <c r="J15" s="189"/>
      <c r="K15" s="190"/>
      <c r="L15" s="189"/>
      <c r="M15" s="190"/>
      <c r="N15" s="189"/>
      <c r="O15" s="190"/>
      <c r="P15" s="187"/>
      <c r="Q15" s="188"/>
      <c r="R15" s="189"/>
      <c r="S15" s="190"/>
      <c r="T15" s="189"/>
      <c r="U15" s="190"/>
      <c r="V15" s="189"/>
      <c r="W15" s="190"/>
      <c r="X15" s="191"/>
    </row>
    <row r="16" spans="1:31" s="105" customFormat="1" x14ac:dyDescent="0.25">
      <c r="A16" s="118" t="s">
        <v>206</v>
      </c>
      <c r="B16" s="132">
        <v>2537</v>
      </c>
      <c r="C16" s="133">
        <v>223</v>
      </c>
      <c r="D16" s="97">
        <v>82.506561279296875</v>
      </c>
      <c r="E16" s="99">
        <v>79.998616584562996</v>
      </c>
      <c r="F16" s="102">
        <v>1.0491651686924481</v>
      </c>
      <c r="G16" s="99">
        <v>78.944765261547658</v>
      </c>
      <c r="H16" s="98">
        <v>2.6107175509256728</v>
      </c>
      <c r="I16" s="100">
        <v>77.084111342051898</v>
      </c>
      <c r="J16" s="98">
        <v>2.8622430394067608</v>
      </c>
      <c r="K16" s="100">
        <v>78.302518845109432</v>
      </c>
      <c r="L16" s="98">
        <v>1.5773433003915873</v>
      </c>
      <c r="M16" s="100">
        <v>84.315078974744679</v>
      </c>
      <c r="N16" s="98">
        <v>1.488247910085114</v>
      </c>
      <c r="O16" s="100">
        <v>5.3703137131970209</v>
      </c>
      <c r="P16" s="102">
        <v>2.8789400144048924</v>
      </c>
      <c r="Q16" s="99">
        <v>79.765902632119463</v>
      </c>
      <c r="R16" s="98">
        <v>2.1862554562074998</v>
      </c>
      <c r="S16" s="100">
        <v>78.946251954374162</v>
      </c>
      <c r="T16" s="98">
        <v>1.1351920324150504</v>
      </c>
      <c r="U16" s="100">
        <v>85.170042204790221</v>
      </c>
      <c r="V16" s="98">
        <v>1.8149118999037972</v>
      </c>
      <c r="W16" s="100">
        <v>0.98089484620005862</v>
      </c>
      <c r="X16" s="104">
        <v>2.3407396643853402</v>
      </c>
      <c r="Y16" s="124"/>
      <c r="Z16" s="124"/>
      <c r="AA16" s="124"/>
      <c r="AB16" s="124"/>
      <c r="AC16" s="124"/>
      <c r="AD16" s="124"/>
      <c r="AE16" s="124"/>
    </row>
    <row r="17" spans="1:31" s="105" customFormat="1" x14ac:dyDescent="0.25">
      <c r="A17" s="118" t="s">
        <v>213</v>
      </c>
      <c r="B17" s="132">
        <v>4259</v>
      </c>
      <c r="C17" s="133">
        <v>218</v>
      </c>
      <c r="D17" s="97">
        <v>72.4619140625</v>
      </c>
      <c r="E17" s="99">
        <v>85.881446835320986</v>
      </c>
      <c r="F17" s="102">
        <v>0.7129239863842225</v>
      </c>
      <c r="G17" s="99">
        <v>85.475418361984779</v>
      </c>
      <c r="H17" s="98">
        <v>1.3291227351988317</v>
      </c>
      <c r="I17" s="100">
        <v>82.504899852005209</v>
      </c>
      <c r="J17" s="98">
        <v>1.3641410132773344</v>
      </c>
      <c r="K17" s="100">
        <v>87.481328884404036</v>
      </c>
      <c r="L17" s="98">
        <v>1.1996924781326053</v>
      </c>
      <c r="M17" s="100">
        <v>89.32721099793126</v>
      </c>
      <c r="N17" s="98">
        <v>1.2553371998070548</v>
      </c>
      <c r="O17" s="100">
        <v>3.8517926359464809</v>
      </c>
      <c r="P17" s="102">
        <v>1.9032875013140442</v>
      </c>
      <c r="Q17" s="99">
        <v>86.275436358992309</v>
      </c>
      <c r="R17" s="98">
        <v>0.81499982220827449</v>
      </c>
      <c r="S17" s="100">
        <v>79.975427403056145</v>
      </c>
      <c r="T17" s="98">
        <v>6.2334423756221167</v>
      </c>
      <c r="U17" s="100">
        <v>89.65517241379311</v>
      </c>
      <c r="V17" s="98">
        <v>4.4938668397781776E-14</v>
      </c>
      <c r="W17" s="100">
        <v>-4.4857103712287199</v>
      </c>
      <c r="X17" s="104">
        <v>5.1793992765527781</v>
      </c>
      <c r="Y17" s="124"/>
      <c r="Z17" s="124"/>
      <c r="AA17" s="124"/>
      <c r="AB17" s="124"/>
      <c r="AC17" s="124"/>
      <c r="AD17" s="124"/>
      <c r="AE17" s="124"/>
    </row>
    <row r="18" spans="1:31" s="105" customFormat="1" x14ac:dyDescent="0.25">
      <c r="A18" s="118" t="s">
        <v>221</v>
      </c>
      <c r="B18" s="132">
        <v>3548</v>
      </c>
      <c r="C18" s="133">
        <v>154</v>
      </c>
      <c r="D18" s="97">
        <v>83.615036010742188</v>
      </c>
      <c r="E18" s="99">
        <v>88.958640273263811</v>
      </c>
      <c r="F18" s="102">
        <v>0.81629616746282252</v>
      </c>
      <c r="G18" s="99">
        <v>86.66458683479479</v>
      </c>
      <c r="H18" s="98">
        <v>1.5679120046910828</v>
      </c>
      <c r="I18" s="100">
        <v>89.300423194798555</v>
      </c>
      <c r="J18" s="98">
        <v>1.7871748220261874</v>
      </c>
      <c r="K18" s="100">
        <v>91.031977142381805</v>
      </c>
      <c r="L18" s="98">
        <v>1.2277588189018491</v>
      </c>
      <c r="M18" s="100">
        <v>90.156879658715695</v>
      </c>
      <c r="N18" s="98">
        <v>1.1731892716059076</v>
      </c>
      <c r="O18" s="100">
        <v>3.4922928239209057</v>
      </c>
      <c r="P18" s="102">
        <v>1.9819154894970605</v>
      </c>
      <c r="Q18" s="99">
        <v>88.628424348820872</v>
      </c>
      <c r="R18" s="98">
        <v>1.0208443581671167</v>
      </c>
      <c r="S18" s="100">
        <v>89.066708155447287</v>
      </c>
      <c r="T18" s="98">
        <v>1.3387938713891974</v>
      </c>
      <c r="U18" s="100">
        <v>91.739023047221437</v>
      </c>
      <c r="V18" s="98">
        <v>2.509481034159589</v>
      </c>
      <c r="W18" s="100">
        <v>0.76757612099071082</v>
      </c>
      <c r="X18" s="104">
        <v>1.4962394587608234</v>
      </c>
      <c r="Y18" s="124"/>
      <c r="Z18" s="124"/>
      <c r="AA18" s="124"/>
      <c r="AB18" s="124"/>
      <c r="AC18" s="124"/>
      <c r="AD18" s="124"/>
      <c r="AE18" s="124"/>
    </row>
    <row r="19" spans="1:31" s="105" customFormat="1" x14ac:dyDescent="0.25">
      <c r="A19" s="118" t="s">
        <v>301</v>
      </c>
      <c r="B19" s="132">
        <v>3679</v>
      </c>
      <c r="C19" s="133">
        <v>234</v>
      </c>
      <c r="D19" s="97">
        <v>82.0277099609375</v>
      </c>
      <c r="E19" s="99">
        <v>81.129018480737102</v>
      </c>
      <c r="F19" s="102">
        <v>1.3870829884970319</v>
      </c>
      <c r="G19" s="99">
        <v>78.622007691027548</v>
      </c>
      <c r="H19" s="98">
        <v>2.103635940898847</v>
      </c>
      <c r="I19" s="100">
        <v>81.377862694073855</v>
      </c>
      <c r="J19" s="98">
        <v>2.872297779772973</v>
      </c>
      <c r="K19" s="100">
        <v>80.821242562162666</v>
      </c>
      <c r="L19" s="98">
        <v>2.7878227453801485</v>
      </c>
      <c r="M19" s="100">
        <v>85.173826642389358</v>
      </c>
      <c r="N19" s="98">
        <v>1.7967335867634711</v>
      </c>
      <c r="O19" s="100">
        <v>6.5518189513618097</v>
      </c>
      <c r="P19" s="102">
        <v>2.7277733561161068</v>
      </c>
      <c r="Q19" s="99">
        <v>80.354028862601226</v>
      </c>
      <c r="R19" s="98">
        <v>1.1657203667188216</v>
      </c>
      <c r="S19" s="100">
        <v>85.650899211876521</v>
      </c>
      <c r="T19" s="98">
        <v>3.8596162520710173</v>
      </c>
      <c r="U19" s="100">
        <v>81.204654355519253</v>
      </c>
      <c r="V19" s="98">
        <v>4.524037979620581</v>
      </c>
      <c r="W19" s="100">
        <v>3.0897617424535753</v>
      </c>
      <c r="X19" s="104">
        <v>3.0098083480914495</v>
      </c>
      <c r="Y19" s="124"/>
      <c r="Z19" s="124"/>
      <c r="AA19" s="124"/>
      <c r="AB19" s="124"/>
      <c r="AC19" s="124"/>
      <c r="AD19" s="124"/>
      <c r="AE19" s="124"/>
    </row>
    <row r="20" spans="1:31" s="105" customFormat="1" x14ac:dyDescent="0.25">
      <c r="A20" s="118" t="s">
        <v>231</v>
      </c>
      <c r="B20" s="132">
        <v>15659</v>
      </c>
      <c r="C20" s="133">
        <v>1079</v>
      </c>
      <c r="D20" s="97">
        <v>87.09588623046875</v>
      </c>
      <c r="E20" s="99">
        <v>83.63938054686767</v>
      </c>
      <c r="F20" s="102">
        <v>0.48997821137668535</v>
      </c>
      <c r="G20" s="99">
        <v>83.490906053571692</v>
      </c>
      <c r="H20" s="98">
        <v>1.2682725822841399</v>
      </c>
      <c r="I20" s="100">
        <v>84.300640057631611</v>
      </c>
      <c r="J20" s="98">
        <v>0.8167030113094389</v>
      </c>
      <c r="K20" s="100">
        <v>82.576835952957651</v>
      </c>
      <c r="L20" s="98">
        <v>0.96096221009526939</v>
      </c>
      <c r="M20" s="100">
        <v>84.175783501608777</v>
      </c>
      <c r="N20" s="98">
        <v>0.88057657865158478</v>
      </c>
      <c r="O20" s="100">
        <v>0.68487744803708495</v>
      </c>
      <c r="P20" s="102">
        <v>1.5394184849899932</v>
      </c>
      <c r="Q20" s="99">
        <v>82.771452917966727</v>
      </c>
      <c r="R20" s="98">
        <v>0.57780933427852577</v>
      </c>
      <c r="S20" s="100">
        <v>85.157154981203277</v>
      </c>
      <c r="T20" s="98">
        <v>1.0017870654290835</v>
      </c>
      <c r="U20" s="100">
        <v>85.354208544751785</v>
      </c>
      <c r="V20" s="98">
        <v>1.6210350086639467</v>
      </c>
      <c r="W20" s="100">
        <v>2.4298175180643824</v>
      </c>
      <c r="X20" s="104">
        <v>1.0292807202426622</v>
      </c>
      <c r="Y20" s="124"/>
      <c r="Z20" s="124"/>
      <c r="AA20" s="124"/>
      <c r="AB20" s="124"/>
      <c r="AC20" s="124"/>
      <c r="AD20" s="124"/>
      <c r="AE20" s="124"/>
    </row>
    <row r="21" spans="1:31" s="105" customFormat="1" x14ac:dyDescent="0.25">
      <c r="A21" s="118" t="s">
        <v>297</v>
      </c>
      <c r="B21" s="132">
        <v>1412</v>
      </c>
      <c r="C21" s="133">
        <v>97</v>
      </c>
      <c r="D21" s="97">
        <v>36.128810882568359</v>
      </c>
      <c r="E21" s="99">
        <v>98.520694980540299</v>
      </c>
      <c r="F21" s="102">
        <v>0.40600988824508288</v>
      </c>
      <c r="G21" s="99">
        <v>99.381497582243</v>
      </c>
      <c r="H21" s="98">
        <v>0.4235774215228123</v>
      </c>
      <c r="I21" s="100">
        <v>99.090482146319303</v>
      </c>
      <c r="J21" s="98">
        <v>0.4296371543474134</v>
      </c>
      <c r="K21" s="100">
        <v>97.271997925631737</v>
      </c>
      <c r="L21" s="98">
        <v>1.0517689811762758</v>
      </c>
      <c r="M21" s="100">
        <v>98.668171491717899</v>
      </c>
      <c r="N21" s="98">
        <v>0.74043092720583581</v>
      </c>
      <c r="O21" s="100">
        <v>-0.71332609052510065</v>
      </c>
      <c r="P21" s="102">
        <v>0.85580129871879196</v>
      </c>
      <c r="Q21" s="99">
        <v>98.752932547160086</v>
      </c>
      <c r="R21" s="98">
        <v>0.41865695451177737</v>
      </c>
      <c r="S21" s="100" t="s">
        <v>34</v>
      </c>
      <c r="T21" s="98" t="s">
        <v>34</v>
      </c>
      <c r="U21" s="100">
        <v>95.471853125565488</v>
      </c>
      <c r="V21" s="98">
        <v>3.148301970513006</v>
      </c>
      <c r="W21" s="100">
        <v>-3.2810794215945975</v>
      </c>
      <c r="X21" s="104">
        <v>3.1849662964826306</v>
      </c>
      <c r="Y21" s="124"/>
      <c r="Z21" s="124"/>
      <c r="AA21" s="124"/>
      <c r="AB21" s="124"/>
      <c r="AC21" s="124"/>
      <c r="AD21" s="124"/>
      <c r="AE21" s="124"/>
    </row>
    <row r="22" spans="1:31" s="105" customFormat="1" x14ac:dyDescent="0.25">
      <c r="A22" s="118" t="s">
        <v>302</v>
      </c>
      <c r="B22" s="132">
        <v>2520</v>
      </c>
      <c r="C22" s="133">
        <v>157</v>
      </c>
      <c r="D22" s="97">
        <v>79.251380920410156</v>
      </c>
      <c r="E22" s="99">
        <v>89.062144476686299</v>
      </c>
      <c r="F22" s="102">
        <v>0.92896874445353417</v>
      </c>
      <c r="G22" s="99">
        <v>86.429658231967622</v>
      </c>
      <c r="H22" s="98">
        <v>1.2982826426400675</v>
      </c>
      <c r="I22" s="100">
        <v>91.784911220868239</v>
      </c>
      <c r="J22" s="98">
        <v>1.3175029686448858</v>
      </c>
      <c r="K22" s="100">
        <v>90.342593336400299</v>
      </c>
      <c r="L22" s="98">
        <v>3.5483827216759396</v>
      </c>
      <c r="M22" s="100">
        <v>87.826062293764736</v>
      </c>
      <c r="N22" s="98">
        <v>2.2283368526597505</v>
      </c>
      <c r="O22" s="100">
        <v>1.3964040617971136</v>
      </c>
      <c r="P22" s="102">
        <v>2.6195366314707309</v>
      </c>
      <c r="Q22" s="99">
        <v>90.760283753274706</v>
      </c>
      <c r="R22" s="98">
        <v>0.77466787234247447</v>
      </c>
      <c r="S22" s="100">
        <v>91.9872248719211</v>
      </c>
      <c r="T22" s="98">
        <v>2.8780173939961928</v>
      </c>
      <c r="U22" s="100">
        <v>74.624439067685458</v>
      </c>
      <c r="V22" s="98">
        <v>6.068686455900278</v>
      </c>
      <c r="W22" s="100">
        <v>-10.999424739285772</v>
      </c>
      <c r="X22" s="104">
        <v>4.8513154232799476</v>
      </c>
      <c r="Y22" s="124"/>
      <c r="Z22" s="124"/>
      <c r="AA22" s="124"/>
      <c r="AB22" s="124"/>
      <c r="AC22" s="124"/>
      <c r="AD22" s="124"/>
      <c r="AE22" s="124"/>
    </row>
    <row r="23" spans="1:31" s="105" customFormat="1" x14ac:dyDescent="0.25">
      <c r="A23" s="118" t="s">
        <v>236</v>
      </c>
      <c r="B23" s="132" t="s">
        <v>34</v>
      </c>
      <c r="C23" s="133" t="s">
        <v>34</v>
      </c>
      <c r="D23" s="97" t="s">
        <v>34</v>
      </c>
      <c r="E23" s="99">
        <v>86.74142031113989</v>
      </c>
      <c r="F23" s="102">
        <v>0.33403080782397049</v>
      </c>
      <c r="G23" s="99">
        <v>85.572691431019592</v>
      </c>
      <c r="H23" s="98">
        <v>0.62170792815568643</v>
      </c>
      <c r="I23" s="100">
        <v>86.491904358249812</v>
      </c>
      <c r="J23" s="98">
        <v>0.70108967973120428</v>
      </c>
      <c r="K23" s="100">
        <v>86.832642092721088</v>
      </c>
      <c r="L23" s="98">
        <v>0.75359420473988903</v>
      </c>
      <c r="M23" s="100">
        <v>88.520430508696066</v>
      </c>
      <c r="N23" s="98">
        <v>0.54743402007972586</v>
      </c>
      <c r="O23" s="100">
        <v>2.947739077676474</v>
      </c>
      <c r="P23" s="102">
        <v>0.82367658729041804</v>
      </c>
      <c r="Q23" s="99">
        <v>86.758351631562192</v>
      </c>
      <c r="R23" s="98">
        <v>0.4274798620642265</v>
      </c>
      <c r="S23" s="100">
        <v>85.130611096313075</v>
      </c>
      <c r="T23" s="98">
        <v>1.3552371000285719</v>
      </c>
      <c r="U23" s="100">
        <v>86.174198965618103</v>
      </c>
      <c r="V23" s="98">
        <v>1.2731676332750319</v>
      </c>
      <c r="W23" s="100">
        <v>-1.6425949006286229</v>
      </c>
      <c r="X23" s="104">
        <v>1.2644399369922521</v>
      </c>
      <c r="Y23" s="124"/>
      <c r="Z23" s="124"/>
      <c r="AA23" s="124"/>
      <c r="AB23" s="124"/>
      <c r="AC23" s="124"/>
      <c r="AD23" s="124"/>
      <c r="AE23" s="124"/>
    </row>
    <row r="24" spans="1:31" s="105" customFormat="1" x14ac:dyDescent="0.25">
      <c r="A24" s="181" t="s">
        <v>279</v>
      </c>
      <c r="B24" s="132"/>
      <c r="C24" s="133"/>
      <c r="D24" s="97"/>
      <c r="E24" s="99"/>
      <c r="F24" s="102"/>
      <c r="G24" s="99"/>
      <c r="H24" s="98"/>
      <c r="I24" s="100"/>
      <c r="J24" s="98"/>
      <c r="K24" s="100"/>
      <c r="L24" s="98"/>
      <c r="M24" s="100"/>
      <c r="N24" s="98"/>
      <c r="O24" s="100"/>
      <c r="P24" s="102"/>
      <c r="Q24" s="99"/>
      <c r="R24" s="98"/>
      <c r="S24" s="100"/>
      <c r="T24" s="98"/>
      <c r="U24" s="100"/>
      <c r="V24" s="98"/>
      <c r="W24" s="100"/>
      <c r="X24" s="104"/>
      <c r="Y24" s="124"/>
      <c r="Z24" s="124"/>
      <c r="AA24" s="124"/>
      <c r="AB24" s="124"/>
      <c r="AC24" s="124"/>
      <c r="AD24" s="124"/>
      <c r="AE24" s="124"/>
    </row>
    <row r="25" spans="1:31" s="105" customFormat="1" x14ac:dyDescent="0.25">
      <c r="A25" s="118" t="s">
        <v>237</v>
      </c>
      <c r="B25" s="132">
        <v>2552</v>
      </c>
      <c r="C25" s="133">
        <v>324</v>
      </c>
      <c r="D25" s="97">
        <v>96.489616394042969</v>
      </c>
      <c r="E25" s="99">
        <v>77.858679851925515</v>
      </c>
      <c r="F25" s="102">
        <v>1.7608828428920849</v>
      </c>
      <c r="G25" s="99">
        <v>76.420401726881735</v>
      </c>
      <c r="H25" s="98">
        <v>3.1449603134651651</v>
      </c>
      <c r="I25" s="100">
        <v>81.098437772224216</v>
      </c>
      <c r="J25" s="98">
        <v>2.5462546775914272</v>
      </c>
      <c r="K25" s="100">
        <v>82.152055995495047</v>
      </c>
      <c r="L25" s="98">
        <v>2.817398551025923</v>
      </c>
      <c r="M25" s="100">
        <v>74.690660057924603</v>
      </c>
      <c r="N25" s="98">
        <v>3.3126294273169545</v>
      </c>
      <c r="O25" s="100">
        <v>-1.7297416689571321</v>
      </c>
      <c r="P25" s="102">
        <v>4.5655704662178707</v>
      </c>
      <c r="Q25" s="99">
        <v>79.111840040307612</v>
      </c>
      <c r="R25" s="98">
        <v>1.8922018891340338</v>
      </c>
      <c r="S25" s="100" t="s">
        <v>34</v>
      </c>
      <c r="T25" s="98" t="s">
        <v>34</v>
      </c>
      <c r="U25" s="100">
        <v>68.02461865548365</v>
      </c>
      <c r="V25" s="98">
        <v>3.2260998830445806</v>
      </c>
      <c r="W25" s="100">
        <v>-11.087221384823962</v>
      </c>
      <c r="X25" s="104">
        <v>3.5949414145294347</v>
      </c>
      <c r="Y25" s="124"/>
      <c r="Z25" s="124"/>
      <c r="AA25" s="124"/>
      <c r="AB25" s="124"/>
      <c r="AC25" s="124"/>
      <c r="AD25" s="124"/>
      <c r="AE25" s="124"/>
    </row>
    <row r="26" spans="1:31" s="105" customFormat="1" x14ac:dyDescent="0.25">
      <c r="A26" s="118" t="s">
        <v>239</v>
      </c>
      <c r="B26" s="132">
        <v>1825</v>
      </c>
      <c r="C26" s="133">
        <v>153</v>
      </c>
      <c r="D26" s="97">
        <v>50.663261413574219</v>
      </c>
      <c r="E26" s="99">
        <v>86.150919474463535</v>
      </c>
      <c r="F26" s="102">
        <v>0.97740577115762861</v>
      </c>
      <c r="G26" s="99">
        <v>84.588951528423223</v>
      </c>
      <c r="H26" s="98">
        <v>2.2347986840572154</v>
      </c>
      <c r="I26" s="100">
        <v>83.781976368867717</v>
      </c>
      <c r="J26" s="98">
        <v>3.0862016327285846</v>
      </c>
      <c r="K26" s="100">
        <v>88.020021140162612</v>
      </c>
      <c r="L26" s="98">
        <v>1.6313998605002404</v>
      </c>
      <c r="M26" s="100">
        <v>87.924720978704855</v>
      </c>
      <c r="N26" s="98">
        <v>1.5877164718443457</v>
      </c>
      <c r="O26" s="100">
        <v>3.3357694502816315</v>
      </c>
      <c r="P26" s="102">
        <v>2.8923868866361215</v>
      </c>
      <c r="Q26" s="99">
        <v>86.123759443233027</v>
      </c>
      <c r="R26" s="98">
        <v>1.0169709280937314</v>
      </c>
      <c r="S26" s="100" t="s">
        <v>34</v>
      </c>
      <c r="T26" s="98" t="s">
        <v>34</v>
      </c>
      <c r="U26" s="100">
        <v>87.861276711695055</v>
      </c>
      <c r="V26" s="98">
        <v>5.811592132293069</v>
      </c>
      <c r="W26" s="100">
        <v>1.7375172684620281</v>
      </c>
      <c r="X26" s="104">
        <v>6.1014305046711108</v>
      </c>
      <c r="Y26" s="124"/>
      <c r="Z26" s="124"/>
      <c r="AA26" s="124"/>
      <c r="AB26" s="124"/>
      <c r="AC26" s="124"/>
      <c r="AD26" s="124"/>
      <c r="AE26" s="124"/>
    </row>
    <row r="27" spans="1:31" s="105" customFormat="1" x14ac:dyDescent="0.25">
      <c r="A27" s="118" t="s">
        <v>242</v>
      </c>
      <c r="B27" s="132">
        <v>6056</v>
      </c>
      <c r="C27" s="133">
        <v>435</v>
      </c>
      <c r="D27" s="97">
        <v>72.174659729003906</v>
      </c>
      <c r="E27" s="99">
        <v>85.712916317813082</v>
      </c>
      <c r="F27" s="102">
        <v>0.81814564231799958</v>
      </c>
      <c r="G27" s="99">
        <v>84.334929643770678</v>
      </c>
      <c r="H27" s="98">
        <v>1.650373662614675</v>
      </c>
      <c r="I27" s="100">
        <v>85.394240412506392</v>
      </c>
      <c r="J27" s="98">
        <v>0.83561558398839209</v>
      </c>
      <c r="K27" s="100">
        <v>85.828685759490781</v>
      </c>
      <c r="L27" s="98">
        <v>1.2384590479434576</v>
      </c>
      <c r="M27" s="100">
        <v>86.848918417382677</v>
      </c>
      <c r="N27" s="98">
        <v>1.8503314785650553</v>
      </c>
      <c r="O27" s="100">
        <v>2.5139887736119988</v>
      </c>
      <c r="P27" s="102">
        <v>2.4662725924757027</v>
      </c>
      <c r="Q27" s="99">
        <v>84.975649209208996</v>
      </c>
      <c r="R27" s="98">
        <v>0.78623647648034956</v>
      </c>
      <c r="S27" s="100" t="s">
        <v>34</v>
      </c>
      <c r="T27" s="98" t="s">
        <v>34</v>
      </c>
      <c r="U27" s="100">
        <v>87.144404822711806</v>
      </c>
      <c r="V27" s="98">
        <v>2.1176983866616159</v>
      </c>
      <c r="W27" s="100">
        <v>2.1687556135028103</v>
      </c>
      <c r="X27" s="104">
        <v>2.2375281823154531</v>
      </c>
      <c r="Y27" s="124"/>
      <c r="Z27" s="124"/>
      <c r="AA27" s="124"/>
      <c r="AB27" s="124"/>
      <c r="AC27" s="124"/>
      <c r="AD27" s="124"/>
      <c r="AE27" s="124"/>
    </row>
    <row r="28" spans="1:31" s="105" customFormat="1" x14ac:dyDescent="0.25">
      <c r="A28" s="118" t="s">
        <v>249</v>
      </c>
      <c r="B28" s="132">
        <v>1873</v>
      </c>
      <c r="C28" s="133">
        <v>222</v>
      </c>
      <c r="D28" s="97">
        <v>86.17041015625</v>
      </c>
      <c r="E28" s="99">
        <v>77.655007501091433</v>
      </c>
      <c r="F28" s="102">
        <v>1.3299493434067824</v>
      </c>
      <c r="G28" s="99">
        <v>73.867956891840947</v>
      </c>
      <c r="H28" s="98">
        <v>2.6315816059799269</v>
      </c>
      <c r="I28" s="100">
        <v>82.502989000395914</v>
      </c>
      <c r="J28" s="98">
        <v>2.295386702535398</v>
      </c>
      <c r="K28" s="100">
        <v>77.786839256795943</v>
      </c>
      <c r="L28" s="98">
        <v>3.0020202378995196</v>
      </c>
      <c r="M28" s="100">
        <v>79.681663210605294</v>
      </c>
      <c r="N28" s="98">
        <v>2.5311832714903884</v>
      </c>
      <c r="O28" s="100">
        <v>5.8137063187643463</v>
      </c>
      <c r="P28" s="102">
        <v>3.4321491758416705</v>
      </c>
      <c r="Q28" s="99">
        <v>77.993768475206949</v>
      </c>
      <c r="R28" s="98">
        <v>1.583713638718464</v>
      </c>
      <c r="S28" s="100">
        <v>94.753940878303283</v>
      </c>
      <c r="T28" s="98">
        <v>3.2817096598422197</v>
      </c>
      <c r="U28" s="100">
        <v>76.036883738821359</v>
      </c>
      <c r="V28" s="98">
        <v>2.9282042490285844</v>
      </c>
      <c r="W28" s="100">
        <v>-0.48512224080536726</v>
      </c>
      <c r="X28" s="104">
        <v>3.438030944615055</v>
      </c>
      <c r="Y28" s="124"/>
      <c r="Z28" s="124"/>
      <c r="AA28" s="124"/>
      <c r="AB28" s="124"/>
      <c r="AC28" s="124"/>
      <c r="AD28" s="124"/>
      <c r="AE28" s="124"/>
    </row>
    <row r="29" spans="1:31" s="105" customFormat="1" x14ac:dyDescent="0.25">
      <c r="A29" s="118" t="s">
        <v>303</v>
      </c>
      <c r="B29" s="132">
        <v>3188</v>
      </c>
      <c r="C29" s="133">
        <v>147</v>
      </c>
      <c r="D29" s="97">
        <v>85.725349426269531</v>
      </c>
      <c r="E29" s="99">
        <v>97.961340141231972</v>
      </c>
      <c r="F29" s="102">
        <v>0.30674932527809584</v>
      </c>
      <c r="G29" s="99">
        <v>98.422435901803809</v>
      </c>
      <c r="H29" s="98">
        <v>0.47388721768073316</v>
      </c>
      <c r="I29" s="100">
        <v>98.448045852456261</v>
      </c>
      <c r="J29" s="98">
        <v>0.50542992313425372</v>
      </c>
      <c r="K29" s="100">
        <v>97.820536921645115</v>
      </c>
      <c r="L29" s="98">
        <v>0.53795699082603521</v>
      </c>
      <c r="M29" s="100">
        <v>96.82257939687365</v>
      </c>
      <c r="N29" s="98">
        <v>1.0047395487388124</v>
      </c>
      <c r="O29" s="100">
        <v>-1.599856504930159</v>
      </c>
      <c r="P29" s="102">
        <v>1.1075737207693994</v>
      </c>
      <c r="Q29" s="99">
        <v>99.341493880444943</v>
      </c>
      <c r="R29" s="98">
        <v>0.4711505372282096</v>
      </c>
      <c r="S29" s="100">
        <v>98.194668376548805</v>
      </c>
      <c r="T29" s="98">
        <v>0.30763289964008333</v>
      </c>
      <c r="U29" s="100">
        <v>93.986735543125803</v>
      </c>
      <c r="V29" s="98">
        <v>4.5449015264230654</v>
      </c>
      <c r="W29" s="100">
        <v>-1.3508765969064029</v>
      </c>
      <c r="X29" s="104">
        <v>0.62952175047866621</v>
      </c>
      <c r="Y29" s="124"/>
      <c r="Z29" s="124"/>
      <c r="AA29" s="124"/>
      <c r="AB29" s="124"/>
      <c r="AC29" s="124"/>
      <c r="AD29" s="124"/>
      <c r="AE29" s="124"/>
    </row>
    <row r="30" spans="1:31" s="105" customFormat="1" x14ac:dyDescent="0.25">
      <c r="A30" s="118" t="s">
        <v>256</v>
      </c>
      <c r="B30" s="132">
        <v>2614</v>
      </c>
      <c r="C30" s="133">
        <v>45</v>
      </c>
      <c r="D30" s="97">
        <v>99.374214172363281</v>
      </c>
      <c r="E30" s="99">
        <v>93.390496605930693</v>
      </c>
      <c r="F30" s="102" t="s">
        <v>35</v>
      </c>
      <c r="G30" s="99">
        <v>95.67430025445293</v>
      </c>
      <c r="H30" s="98" t="s">
        <v>35</v>
      </c>
      <c r="I30" s="100">
        <v>92.92649098474341</v>
      </c>
      <c r="J30" s="98" t="s">
        <v>35</v>
      </c>
      <c r="K30" s="100">
        <v>94.871794871794876</v>
      </c>
      <c r="L30" s="98" t="s">
        <v>35</v>
      </c>
      <c r="M30" s="100">
        <v>90.348525469168905</v>
      </c>
      <c r="N30" s="98" t="s">
        <v>35</v>
      </c>
      <c r="O30" s="100">
        <v>-5.3257747852840254</v>
      </c>
      <c r="P30" s="102" t="s">
        <v>35</v>
      </c>
      <c r="Q30" s="99">
        <v>85.714285714285708</v>
      </c>
      <c r="R30" s="98" t="s">
        <v>35</v>
      </c>
      <c r="S30" s="100">
        <v>94.279661016949149</v>
      </c>
      <c r="T30" s="98" t="s">
        <v>35</v>
      </c>
      <c r="U30" s="100">
        <v>91.82692307692308</v>
      </c>
      <c r="V30" s="98" t="s">
        <v>35</v>
      </c>
      <c r="W30" s="100">
        <v>8.3667111704494914</v>
      </c>
      <c r="X30" s="104" t="s">
        <v>35</v>
      </c>
      <c r="Y30" s="124"/>
      <c r="Z30" s="124"/>
      <c r="AA30" s="124"/>
      <c r="AB30" s="124"/>
      <c r="AC30" s="124"/>
      <c r="AD30" s="124"/>
      <c r="AE30" s="124"/>
    </row>
    <row r="31" spans="1:31" s="105" customFormat="1" x14ac:dyDescent="0.25">
      <c r="A31" s="118" t="s">
        <v>257</v>
      </c>
      <c r="B31" s="134">
        <v>4359</v>
      </c>
      <c r="C31" s="135">
        <v>191</v>
      </c>
      <c r="D31" s="136">
        <v>97.909133911132813</v>
      </c>
      <c r="E31" s="137">
        <v>91.244096022827478</v>
      </c>
      <c r="F31" s="138">
        <v>1.2873798000247969</v>
      </c>
      <c r="G31" s="137">
        <v>93.828969246790592</v>
      </c>
      <c r="H31" s="139">
        <v>3.495296283077832</v>
      </c>
      <c r="I31" s="140">
        <v>98.001312088066939</v>
      </c>
      <c r="J31" s="139">
        <v>0.54726683671161991</v>
      </c>
      <c r="K31" s="140">
        <v>92.405508139386342</v>
      </c>
      <c r="L31" s="139">
        <v>2.2949565226392759</v>
      </c>
      <c r="M31" s="140">
        <v>81.022884307642158</v>
      </c>
      <c r="N31" s="139">
        <v>3.0406988915145163</v>
      </c>
      <c r="O31" s="140">
        <v>-12.806084939148434</v>
      </c>
      <c r="P31" s="138">
        <v>4.8580587880196893</v>
      </c>
      <c r="Q31" s="137">
        <v>96.076043831153143</v>
      </c>
      <c r="R31" s="139">
        <v>0.81793966282714292</v>
      </c>
      <c r="S31" s="140">
        <v>50</v>
      </c>
      <c r="T31" s="139">
        <v>2.2469334198890888E-14</v>
      </c>
      <c r="U31" s="140">
        <v>42.056061392895408</v>
      </c>
      <c r="V31" s="139">
        <v>8.8653907970670538</v>
      </c>
      <c r="W31" s="140">
        <v>-52.834920023424864</v>
      </c>
      <c r="X31" s="141">
        <v>7.9880159129207984</v>
      </c>
      <c r="Y31" s="142"/>
      <c r="Z31" s="124"/>
      <c r="AA31" s="124"/>
      <c r="AB31" s="124"/>
      <c r="AC31" s="124"/>
      <c r="AD31" s="124"/>
      <c r="AE31" s="124"/>
    </row>
    <row r="32" spans="1:31" s="105" customFormat="1" x14ac:dyDescent="0.25">
      <c r="A32" s="118" t="s">
        <v>261</v>
      </c>
      <c r="B32" s="134">
        <v>2501</v>
      </c>
      <c r="C32" s="135">
        <v>177</v>
      </c>
      <c r="D32" s="136">
        <v>87.096466064453125</v>
      </c>
      <c r="E32" s="137">
        <v>84.334647832523316</v>
      </c>
      <c r="F32" s="138">
        <v>1.0503935387147503</v>
      </c>
      <c r="G32" s="137">
        <v>82.937689181703391</v>
      </c>
      <c r="H32" s="139">
        <v>1.4871116414074617</v>
      </c>
      <c r="I32" s="140">
        <v>82.939465302501105</v>
      </c>
      <c r="J32" s="139">
        <v>4.0816445522343816</v>
      </c>
      <c r="K32" s="140">
        <v>82.263613404868877</v>
      </c>
      <c r="L32" s="139">
        <v>1.9134989869036216</v>
      </c>
      <c r="M32" s="140">
        <v>88.109040660640417</v>
      </c>
      <c r="N32" s="139">
        <v>1.8661470278606098</v>
      </c>
      <c r="O32" s="140">
        <v>5.1713514789370265</v>
      </c>
      <c r="P32" s="138">
        <v>2.4462782181440197</v>
      </c>
      <c r="Q32" s="137">
        <v>84.084362260653634</v>
      </c>
      <c r="R32" s="139">
        <v>0.86368145471399926</v>
      </c>
      <c r="S32" s="140">
        <v>86.666666666666671</v>
      </c>
      <c r="T32" s="139">
        <v>4.0194366942304644E-14</v>
      </c>
      <c r="U32" s="140">
        <v>85.205485348735721</v>
      </c>
      <c r="V32" s="139">
        <v>5.3010422655737202</v>
      </c>
      <c r="W32" s="140">
        <v>1.2252843821041353</v>
      </c>
      <c r="X32" s="141">
        <v>5.1792855531977828</v>
      </c>
      <c r="Y32" s="142"/>
      <c r="Z32" s="124"/>
      <c r="AA32" s="124"/>
      <c r="AB32" s="124"/>
      <c r="AC32" s="124"/>
      <c r="AD32" s="124"/>
      <c r="AE32" s="124"/>
    </row>
    <row r="33" spans="1:31" s="105" customFormat="1" x14ac:dyDescent="0.25">
      <c r="A33" s="118" t="s">
        <v>263</v>
      </c>
      <c r="B33" s="132">
        <v>2210</v>
      </c>
      <c r="C33" s="133">
        <v>157</v>
      </c>
      <c r="D33" s="97">
        <v>72.096229553222656</v>
      </c>
      <c r="E33" s="99">
        <v>74.513834670715553</v>
      </c>
      <c r="F33" s="102">
        <v>2.0228912565827413</v>
      </c>
      <c r="G33" s="99">
        <v>76.335895745190612</v>
      </c>
      <c r="H33" s="98">
        <v>2.9360028288554849</v>
      </c>
      <c r="I33" s="100">
        <v>84.710628193656632</v>
      </c>
      <c r="J33" s="98">
        <v>1.9761820869943516</v>
      </c>
      <c r="K33" s="100">
        <v>81.634510088004845</v>
      </c>
      <c r="L33" s="98">
        <v>1.9955192063822857</v>
      </c>
      <c r="M33" s="100">
        <v>64.140009691516951</v>
      </c>
      <c r="N33" s="98">
        <v>4.5616852682309421</v>
      </c>
      <c r="O33" s="100">
        <v>-12.195886053673661</v>
      </c>
      <c r="P33" s="102">
        <v>5.3922952020119972</v>
      </c>
      <c r="Q33" s="99">
        <v>79.401129977390511</v>
      </c>
      <c r="R33" s="98">
        <v>1.6661033022208576</v>
      </c>
      <c r="S33" s="100">
        <v>75.000000000000014</v>
      </c>
      <c r="T33" s="98" t="s">
        <v>35</v>
      </c>
      <c r="U33" s="100">
        <v>64.980200725329738</v>
      </c>
      <c r="V33" s="98">
        <v>4.6184214874118812</v>
      </c>
      <c r="W33" s="100">
        <v>-14.239440782988297</v>
      </c>
      <c r="X33" s="104">
        <v>4.8398276511077389</v>
      </c>
      <c r="Y33" s="124"/>
      <c r="Z33" s="124"/>
      <c r="AA33" s="124"/>
      <c r="AB33" s="124"/>
      <c r="AC33" s="124"/>
      <c r="AD33" s="124"/>
      <c r="AE33" s="124"/>
    </row>
    <row r="34" spans="1:31" s="105" customFormat="1" x14ac:dyDescent="0.25">
      <c r="A34" s="118" t="s">
        <v>264</v>
      </c>
      <c r="B34" s="132">
        <v>3877</v>
      </c>
      <c r="C34" s="133">
        <v>324</v>
      </c>
      <c r="D34" s="97">
        <v>96.0496826171875</v>
      </c>
      <c r="E34" s="99">
        <v>74.905556094903446</v>
      </c>
      <c r="F34" s="102">
        <v>1.1026058515475763</v>
      </c>
      <c r="G34" s="99">
        <v>73.910133083644169</v>
      </c>
      <c r="H34" s="98">
        <v>1.7690824208714522</v>
      </c>
      <c r="I34" s="100">
        <v>77.754343574536165</v>
      </c>
      <c r="J34" s="98">
        <v>2.1451570410227876</v>
      </c>
      <c r="K34" s="100">
        <v>77.372413048848031</v>
      </c>
      <c r="L34" s="98">
        <v>3.0130334531732137</v>
      </c>
      <c r="M34" s="100">
        <v>73.218516103345323</v>
      </c>
      <c r="N34" s="98">
        <v>2.1149300450732986</v>
      </c>
      <c r="O34" s="100">
        <v>-0.69161698029884633</v>
      </c>
      <c r="P34" s="102">
        <v>2.8501015282468427</v>
      </c>
      <c r="Q34" s="137">
        <v>76.609856960442386</v>
      </c>
      <c r="R34" s="139">
        <v>1.1284563643157999</v>
      </c>
      <c r="S34" s="140">
        <v>72.72727272727272</v>
      </c>
      <c r="T34" s="139">
        <v>2.8421709430404007E-14</v>
      </c>
      <c r="U34" s="140">
        <v>70.937754171105979</v>
      </c>
      <c r="V34" s="139">
        <v>2.6465514736712135</v>
      </c>
      <c r="W34" s="140">
        <v>-5.6580282164815969</v>
      </c>
      <c r="X34" s="141">
        <v>2.9005445627323714</v>
      </c>
      <c r="Y34" s="142"/>
      <c r="Z34" s="124"/>
      <c r="AA34" s="124"/>
      <c r="AB34" s="124"/>
      <c r="AC34" s="124"/>
      <c r="AD34" s="124"/>
      <c r="AE34" s="124"/>
    </row>
    <row r="35" spans="1:31" s="105" customFormat="1" x14ac:dyDescent="0.25">
      <c r="A35" s="118" t="s">
        <v>272</v>
      </c>
      <c r="B35" s="132">
        <v>3520</v>
      </c>
      <c r="C35" s="133">
        <v>192</v>
      </c>
      <c r="D35" s="97">
        <v>88.204437255859375</v>
      </c>
      <c r="E35" s="99">
        <v>88.497082784792113</v>
      </c>
      <c r="F35" s="102">
        <v>1.0573148313759979</v>
      </c>
      <c r="G35" s="99">
        <v>83.817694989275637</v>
      </c>
      <c r="H35" s="98">
        <v>2.0465841428208247</v>
      </c>
      <c r="I35" s="100">
        <v>89.633749219993462</v>
      </c>
      <c r="J35" s="98">
        <v>3.4714206148839923</v>
      </c>
      <c r="K35" s="100">
        <v>90.344443031493412</v>
      </c>
      <c r="L35" s="98">
        <v>1.593542527566967</v>
      </c>
      <c r="M35" s="100">
        <v>94.529931373771433</v>
      </c>
      <c r="N35" s="98">
        <v>0.72679478258962682</v>
      </c>
      <c r="O35" s="100">
        <v>10.712236384495796</v>
      </c>
      <c r="P35" s="102">
        <v>2.1846289610366165</v>
      </c>
      <c r="Q35" s="99">
        <v>91.086020262703371</v>
      </c>
      <c r="R35" s="98">
        <v>1.1921340214475631</v>
      </c>
      <c r="S35" s="100">
        <v>68.92483706299295</v>
      </c>
      <c r="T35" s="98">
        <v>8.6168448655969545</v>
      </c>
      <c r="U35" s="100">
        <v>81.966952416318023</v>
      </c>
      <c r="V35" s="98">
        <v>2.6513454150855678</v>
      </c>
      <c r="W35" s="100">
        <v>-13.876021600248947</v>
      </c>
      <c r="X35" s="104">
        <v>4.2688726662189387</v>
      </c>
      <c r="Y35" s="124"/>
      <c r="Z35" s="124"/>
      <c r="AA35" s="124"/>
      <c r="AB35" s="124"/>
      <c r="AC35" s="124"/>
      <c r="AD35" s="124"/>
      <c r="AE35" s="124"/>
    </row>
    <row r="36" spans="1:31" s="105" customFormat="1" x14ac:dyDescent="0.25">
      <c r="A36" s="118" t="s">
        <v>275</v>
      </c>
      <c r="B36" s="132">
        <v>8708</v>
      </c>
      <c r="C36" s="133">
        <v>619</v>
      </c>
      <c r="D36" s="97">
        <v>86.784629821777344</v>
      </c>
      <c r="E36" s="99">
        <v>83.055688334283488</v>
      </c>
      <c r="F36" s="102">
        <v>0.37220972866284918</v>
      </c>
      <c r="G36" s="99">
        <v>83.831007052419508</v>
      </c>
      <c r="H36" s="98">
        <v>0.79598112601392979</v>
      </c>
      <c r="I36" s="100">
        <v>82.871145394129542</v>
      </c>
      <c r="J36" s="98">
        <v>0.65132806947354316</v>
      </c>
      <c r="K36" s="100">
        <v>81.622869975936013</v>
      </c>
      <c r="L36" s="98">
        <v>0.88512900214103274</v>
      </c>
      <c r="M36" s="100">
        <v>83.63958136389148</v>
      </c>
      <c r="N36" s="98">
        <v>0.56270612925064267</v>
      </c>
      <c r="O36" s="100">
        <v>-0.1914256885280281</v>
      </c>
      <c r="P36" s="102">
        <v>1.0106893094090807</v>
      </c>
      <c r="Q36" s="99">
        <v>85.413681253183029</v>
      </c>
      <c r="R36" s="98">
        <v>0.17690364439726625</v>
      </c>
      <c r="S36" s="100">
        <v>80</v>
      </c>
      <c r="T36" s="98" t="s">
        <v>35</v>
      </c>
      <c r="U36" s="100">
        <v>82.036121290129984</v>
      </c>
      <c r="V36" s="98">
        <v>0.52740555438730108</v>
      </c>
      <c r="W36" s="100">
        <v>-3.3812810849165373</v>
      </c>
      <c r="X36" s="104">
        <v>0.50196582874640172</v>
      </c>
      <c r="Y36" s="124"/>
      <c r="Z36" s="124"/>
      <c r="AA36" s="124"/>
      <c r="AB36" s="124"/>
      <c r="AC36" s="124"/>
      <c r="AD36" s="124"/>
      <c r="AE36" s="124"/>
    </row>
    <row r="37" spans="1:31" s="105" customFormat="1" ht="13.8" thickBot="1" x14ac:dyDescent="0.3">
      <c r="A37" s="125"/>
      <c r="B37" s="143"/>
      <c r="C37" s="144"/>
      <c r="D37" s="145"/>
      <c r="E37" s="143"/>
      <c r="F37" s="115"/>
      <c r="G37" s="143"/>
      <c r="H37" s="111"/>
      <c r="I37" s="146"/>
      <c r="J37" s="111"/>
      <c r="K37" s="146"/>
      <c r="L37" s="111"/>
      <c r="M37" s="146"/>
      <c r="N37" s="111"/>
      <c r="O37" s="146"/>
      <c r="P37" s="115"/>
      <c r="Q37" s="147"/>
      <c r="R37" s="111"/>
      <c r="S37" s="146"/>
      <c r="T37" s="111"/>
      <c r="U37" s="146"/>
      <c r="V37" s="111"/>
      <c r="W37" s="146"/>
      <c r="X37" s="117"/>
      <c r="Y37" s="124"/>
      <c r="Z37" s="124"/>
      <c r="AA37" s="124"/>
      <c r="AB37" s="124"/>
      <c r="AC37" s="124"/>
      <c r="AD37" s="124"/>
      <c r="AE37" s="124"/>
    </row>
    <row r="38" spans="1:31"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row>
    <row r="39" spans="1:31" s="105" customFormat="1" x14ac:dyDescent="0.25">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row>
    <row r="40" spans="1:31" s="105" customFormat="1" x14ac:dyDescent="0.25">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row>
    <row r="41" spans="1:31" s="105" customFormat="1" x14ac:dyDescent="0.25">
      <c r="A41" s="105" t="s">
        <v>299</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row>
    <row r="42" spans="1:31" s="105" customFormat="1" x14ac:dyDescent="0.25">
      <c r="A42" s="131" t="s">
        <v>53</v>
      </c>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row>
    <row r="43" spans="1:31" s="105" customFormat="1" x14ac:dyDescent="0.25">
      <c r="A43" s="131" t="s">
        <v>39</v>
      </c>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row>
    <row r="44" spans="1:31" s="105" customFormat="1" x14ac:dyDescent="0.25">
      <c r="A44" s="131" t="s">
        <v>191</v>
      </c>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row>
    <row r="45" spans="1:31" s="105" customFormat="1" x14ac:dyDescent="0.25">
      <c r="A45" s="131" t="s">
        <v>55</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row>
    <row r="46" spans="1:31" s="105" customFormat="1" x14ac:dyDescent="0.25">
      <c r="A46" s="131" t="s">
        <v>56</v>
      </c>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row>
    <row r="47" spans="1:31" s="105" customFormat="1" x14ac:dyDescent="0.25">
      <c r="A47" s="105" t="s">
        <v>43</v>
      </c>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row>
    <row r="48" spans="1:31" s="105" customFormat="1" x14ac:dyDescent="0.25">
      <c r="A48" s="131" t="s">
        <v>42</v>
      </c>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row>
    <row r="49" spans="2:31"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row>
    <row r="50" spans="2:31"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row>
    <row r="51" spans="2:31"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row>
    <row r="52" spans="2:31"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row>
    <row r="53" spans="2:31"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row>
    <row r="54" spans="2:31"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row>
    <row r="55" spans="2:31"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row>
    <row r="56" spans="2:31"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row>
    <row r="57" spans="2:31"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row>
    <row r="58" spans="2:31"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row>
    <row r="59" spans="2:31"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row>
    <row r="60" spans="2:31"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row>
    <row r="61" spans="2:31"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row>
    <row r="62" spans="2:31"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row>
    <row r="63" spans="2:31"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row>
    <row r="64" spans="2:31"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row>
    <row r="65" spans="2:31"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row>
    <row r="66" spans="2:31"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row>
    <row r="67" spans="2:31"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row>
    <row r="68" spans="2:31"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row>
    <row r="69" spans="2:31"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row>
    <row r="70" spans="2:31"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row>
    <row r="71" spans="2:31"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row>
    <row r="72" spans="2:31"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row>
    <row r="73" spans="2:31"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row>
    <row r="74" spans="2:31"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row>
    <row r="75" spans="2:31"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row>
    <row r="76" spans="2:31"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row>
    <row r="77" spans="2:31"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row>
    <row r="78" spans="2:31"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row>
    <row r="79" spans="2:31"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row>
    <row r="80" spans="2:31"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row>
    <row r="81" spans="2:31"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row>
    <row r="82" spans="2:31"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row>
    <row r="83" spans="2:31"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row>
    <row r="84" spans="2:31"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row>
    <row r="85" spans="2:31"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row>
    <row r="86" spans="2:31"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row>
    <row r="87" spans="2:31"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row>
    <row r="88" spans="2:31"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row>
    <row r="89" spans="2:31"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row>
    <row r="90" spans="2:31"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row>
    <row r="91" spans="2:31"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row>
    <row r="92" spans="2:31"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row>
    <row r="93" spans="2:31"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row>
    <row r="94" spans="2:31"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row>
    <row r="95" spans="2:31"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row>
    <row r="96" spans="2:31"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row>
    <row r="97" spans="2:31" s="105" customFormat="1" x14ac:dyDescent="0.25">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row>
    <row r="98" spans="2:31" s="105" customFormat="1" x14ac:dyDescent="0.25"/>
  </sheetData>
  <mergeCells count="14">
    <mergeCell ref="B12:F12"/>
    <mergeCell ref="G12:P12"/>
    <mergeCell ref="Q12:X12"/>
    <mergeCell ref="B13:C13"/>
    <mergeCell ref="E13:F13"/>
    <mergeCell ref="W13:X13"/>
    <mergeCell ref="O13:P13"/>
    <mergeCell ref="G13:H13"/>
    <mergeCell ref="I13:J13"/>
    <mergeCell ref="K13:L13"/>
    <mergeCell ref="M13:N13"/>
    <mergeCell ref="S13:T13"/>
    <mergeCell ref="U13:V13"/>
    <mergeCell ref="Q13:R13"/>
  </mergeCells>
  <conditionalFormatting sqref="W16:W36">
    <cfRule type="expression" dxfId="2" priority="2">
      <formula>ABS(W16/X16)&gt;1.96</formula>
    </cfRule>
  </conditionalFormatting>
  <conditionalFormatting sqref="O16:O36">
    <cfRule type="expression" dxfId="1" priority="3">
      <formula>ABS(O16/P16)&gt;1.96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98"/>
  <sheetViews>
    <sheetView showGridLines="0" zoomScale="80" zoomScaleNormal="80" workbookViewId="0"/>
  </sheetViews>
  <sheetFormatPr defaultColWidth="9.109375" defaultRowHeight="13.2" x14ac:dyDescent="0.25"/>
  <cols>
    <col min="1" max="1" width="25.33203125" style="4" customWidth="1"/>
    <col min="2" max="13" width="11.5546875" style="4" customWidth="1"/>
    <col min="14" max="16384" width="9.109375" style="4"/>
  </cols>
  <sheetData>
    <row r="1" spans="1:37" s="240" customFormat="1" x14ac:dyDescent="0.25">
      <c r="A1" s="241" t="s">
        <v>305</v>
      </c>
    </row>
    <row r="2" spans="1:37" s="240" customFormat="1" x14ac:dyDescent="0.25">
      <c r="A2" s="240" t="s">
        <v>306</v>
      </c>
      <c r="B2" s="240" t="s">
        <v>307</v>
      </c>
    </row>
    <row r="3" spans="1:37" s="240" customFormat="1" x14ac:dyDescent="0.25">
      <c r="A3" s="240" t="s">
        <v>308</v>
      </c>
    </row>
    <row r="4" spans="1:37" s="240" customFormat="1" x14ac:dyDescent="0.25">
      <c r="A4" s="241" t="s">
        <v>309</v>
      </c>
    </row>
    <row r="5" spans="1:37" s="240" customFormat="1" x14ac:dyDescent="0.25"/>
    <row r="6" spans="1:37" x14ac:dyDescent="0.25">
      <c r="A6" s="1" t="s">
        <v>192</v>
      </c>
      <c r="B6" s="3"/>
      <c r="C6" s="3"/>
      <c r="D6" s="3"/>
      <c r="E6" s="3"/>
      <c r="F6" s="3"/>
      <c r="G6" s="85"/>
      <c r="H6" s="3"/>
      <c r="I6" s="3"/>
      <c r="J6" s="3"/>
      <c r="K6" s="3"/>
      <c r="L6" s="3"/>
      <c r="M6" s="3"/>
    </row>
    <row r="7" spans="1:37" x14ac:dyDescent="0.25">
      <c r="A7" s="5" t="s">
        <v>193</v>
      </c>
    </row>
    <row r="8" spans="1:37" x14ac:dyDescent="0.25">
      <c r="A8" s="6" t="s">
        <v>96</v>
      </c>
    </row>
    <row r="9" spans="1:37" x14ac:dyDescent="0.25">
      <c r="A9" s="59"/>
    </row>
    <row r="10" spans="1:37" x14ac:dyDescent="0.25">
      <c r="A10" s="6"/>
    </row>
    <row r="11" spans="1:37" ht="25.5" customHeight="1" thickBot="1" x14ac:dyDescent="0.3">
      <c r="A11" s="7"/>
      <c r="B11" s="9"/>
      <c r="C11" s="9"/>
      <c r="D11" s="9"/>
      <c r="E11" s="9"/>
      <c r="F11" s="9"/>
      <c r="G11" s="9"/>
      <c r="H11" s="9"/>
      <c r="I11" s="9"/>
      <c r="J11" s="9"/>
      <c r="K11" s="9"/>
      <c r="L11" s="9"/>
      <c r="M11" s="9"/>
    </row>
    <row r="12" spans="1:37" ht="30" customHeight="1" x14ac:dyDescent="0.25">
      <c r="A12" s="28"/>
      <c r="B12" s="211" t="s">
        <v>194</v>
      </c>
      <c r="C12" s="212"/>
      <c r="D12" s="212"/>
      <c r="E12" s="212"/>
      <c r="F12" s="212"/>
      <c r="G12" s="212"/>
      <c r="H12" s="212"/>
      <c r="I12" s="212"/>
      <c r="J12" s="212"/>
      <c r="K12" s="212"/>
      <c r="L12" s="212"/>
      <c r="M12" s="238"/>
    </row>
    <row r="13" spans="1:37" ht="120" customHeight="1" x14ac:dyDescent="0.25">
      <c r="A13" s="32"/>
      <c r="B13" s="218" t="s">
        <v>195</v>
      </c>
      <c r="C13" s="221"/>
      <c r="D13" s="218" t="s">
        <v>196</v>
      </c>
      <c r="E13" s="222"/>
      <c r="F13" s="217" t="s">
        <v>197</v>
      </c>
      <c r="G13" s="217"/>
      <c r="H13" s="218" t="s">
        <v>198</v>
      </c>
      <c r="I13" s="222"/>
      <c r="J13" s="218" t="s">
        <v>199</v>
      </c>
      <c r="K13" s="219"/>
      <c r="L13" s="217" t="s">
        <v>200</v>
      </c>
      <c r="M13" s="239"/>
    </row>
    <row r="14" spans="1:37" ht="12.75" customHeight="1" x14ac:dyDescent="0.25">
      <c r="A14" s="33"/>
      <c r="B14" s="34" t="s">
        <v>80</v>
      </c>
      <c r="C14" s="35" t="s">
        <v>28</v>
      </c>
      <c r="D14" s="36" t="s">
        <v>80</v>
      </c>
      <c r="E14" s="35" t="s">
        <v>28</v>
      </c>
      <c r="F14" s="34" t="s">
        <v>80</v>
      </c>
      <c r="G14" s="35" t="s">
        <v>28</v>
      </c>
      <c r="H14" s="91" t="s">
        <v>80</v>
      </c>
      <c r="I14" s="36" t="s">
        <v>28</v>
      </c>
      <c r="J14" s="34" t="s">
        <v>26</v>
      </c>
      <c r="K14" s="36" t="s">
        <v>28</v>
      </c>
      <c r="L14" s="34" t="s">
        <v>26</v>
      </c>
      <c r="M14" s="46" t="s">
        <v>28</v>
      </c>
    </row>
    <row r="15" spans="1:37" ht="13.5" customHeight="1" x14ac:dyDescent="0.25">
      <c r="A15" s="182" t="s">
        <v>278</v>
      </c>
      <c r="B15" s="188"/>
      <c r="C15" s="187"/>
      <c r="D15" s="195"/>
      <c r="E15" s="189"/>
      <c r="F15" s="188"/>
      <c r="G15" s="187"/>
      <c r="H15" s="195"/>
      <c r="I15" s="189"/>
      <c r="J15" s="200"/>
      <c r="K15" s="189"/>
      <c r="L15" s="188"/>
      <c r="M15" s="191"/>
    </row>
    <row r="16" spans="1:37" s="105" customFormat="1" x14ac:dyDescent="0.25">
      <c r="A16" s="118" t="s">
        <v>206</v>
      </c>
      <c r="B16" s="119">
        <v>77.789609342255105</v>
      </c>
      <c r="C16" s="120">
        <v>1.2752361208686158</v>
      </c>
      <c r="D16" s="121">
        <v>43.225136322955557</v>
      </c>
      <c r="E16" s="122">
        <v>1.2549090496208017</v>
      </c>
      <c r="F16" s="119">
        <v>23.035511228169586</v>
      </c>
      <c r="G16" s="120">
        <v>1.3742984077752238</v>
      </c>
      <c r="H16" s="121">
        <v>21.210479085123094</v>
      </c>
      <c r="I16" s="122">
        <v>1.2718750262680694</v>
      </c>
      <c r="J16" s="119">
        <v>13.220377045681392</v>
      </c>
      <c r="K16" s="122">
        <v>0.92385691888813326</v>
      </c>
      <c r="L16" s="119">
        <v>87.237145512039405</v>
      </c>
      <c r="M16" s="123">
        <v>0.92491035102592578</v>
      </c>
      <c r="N16" s="124"/>
      <c r="O16" s="124"/>
      <c r="P16" s="124"/>
      <c r="Q16" s="124"/>
      <c r="R16" s="124"/>
      <c r="S16" s="124"/>
      <c r="T16" s="124"/>
      <c r="U16" s="124"/>
      <c r="V16" s="124"/>
      <c r="W16" s="124"/>
      <c r="X16" s="124"/>
      <c r="Y16" s="124"/>
      <c r="Z16" s="124"/>
      <c r="AA16" s="124"/>
      <c r="AB16" s="124"/>
      <c r="AC16" s="124"/>
      <c r="AD16" s="124"/>
      <c r="AE16" s="124"/>
      <c r="AF16" s="124"/>
      <c r="AG16" s="124"/>
      <c r="AH16" s="124"/>
      <c r="AI16" s="124"/>
      <c r="AJ16" s="124"/>
      <c r="AK16" s="124"/>
    </row>
    <row r="17" spans="1:37" s="105" customFormat="1" x14ac:dyDescent="0.25">
      <c r="A17" s="118" t="s">
        <v>213</v>
      </c>
      <c r="B17" s="119">
        <v>81.449535674624585</v>
      </c>
      <c r="C17" s="120">
        <v>0.98896262111410282</v>
      </c>
      <c r="D17" s="121">
        <v>34.565960470463196</v>
      </c>
      <c r="E17" s="122">
        <v>1.0903940810410455</v>
      </c>
      <c r="F17" s="119">
        <v>32.694697461598466</v>
      </c>
      <c r="G17" s="120">
        <v>1.0286275425821696</v>
      </c>
      <c r="H17" s="121">
        <v>25.086220713310318</v>
      </c>
      <c r="I17" s="122">
        <v>0.99042614859318789</v>
      </c>
      <c r="J17" s="119">
        <v>13.654378267030637</v>
      </c>
      <c r="K17" s="122">
        <v>0.92905724013307378</v>
      </c>
      <c r="L17" s="119">
        <v>89.042857724710188</v>
      </c>
      <c r="M17" s="123">
        <v>0.85176212864610623</v>
      </c>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row>
    <row r="18" spans="1:37" s="105" customFormat="1" x14ac:dyDescent="0.25">
      <c r="A18" s="118" t="s">
        <v>221</v>
      </c>
      <c r="B18" s="119">
        <v>89.564684371792779</v>
      </c>
      <c r="C18" s="120">
        <v>0.86749827258477841</v>
      </c>
      <c r="D18" s="121">
        <v>64.922219666121933</v>
      </c>
      <c r="E18" s="122">
        <v>1.4161193426731926</v>
      </c>
      <c r="F18" s="119">
        <v>37.963760000761191</v>
      </c>
      <c r="G18" s="120">
        <v>1.4768666355083409</v>
      </c>
      <c r="H18" s="121">
        <v>23.143969032318985</v>
      </c>
      <c r="I18" s="122">
        <v>1.5068155829054926</v>
      </c>
      <c r="J18" s="119">
        <v>37.452819139738651</v>
      </c>
      <c r="K18" s="122">
        <v>1.7790649439272093</v>
      </c>
      <c r="L18" s="119">
        <v>94.18519909205348</v>
      </c>
      <c r="M18" s="123">
        <v>0.57710267593435249</v>
      </c>
      <c r="N18" s="124"/>
      <c r="O18" s="124"/>
      <c r="P18" s="124"/>
      <c r="Q18" s="124"/>
      <c r="R18" s="124"/>
      <c r="S18" s="124"/>
      <c r="T18" s="124"/>
      <c r="U18" s="124"/>
      <c r="V18" s="124"/>
      <c r="W18" s="124"/>
      <c r="X18" s="124"/>
      <c r="Y18" s="124"/>
      <c r="Z18" s="124"/>
      <c r="AA18" s="124"/>
      <c r="AB18" s="124"/>
      <c r="AC18" s="124"/>
      <c r="AD18" s="124"/>
      <c r="AE18" s="124"/>
      <c r="AF18" s="124"/>
      <c r="AG18" s="124"/>
      <c r="AH18" s="124"/>
      <c r="AI18" s="124"/>
      <c r="AJ18" s="124"/>
      <c r="AK18" s="124"/>
    </row>
    <row r="19" spans="1:37" s="105" customFormat="1" x14ac:dyDescent="0.25">
      <c r="A19" s="118" t="s">
        <v>301</v>
      </c>
      <c r="B19" s="119">
        <v>67.773629225609696</v>
      </c>
      <c r="C19" s="120">
        <v>1.9118110191067581</v>
      </c>
      <c r="D19" s="121">
        <v>50.043099592212037</v>
      </c>
      <c r="E19" s="122">
        <v>1.6880405676745107</v>
      </c>
      <c r="F19" s="119">
        <v>17.573740661439714</v>
      </c>
      <c r="G19" s="120">
        <v>1.3819426097638761</v>
      </c>
      <c r="H19" s="121">
        <v>28.7114989435252</v>
      </c>
      <c r="I19" s="122">
        <v>1.7426271649978533</v>
      </c>
      <c r="J19" s="119">
        <v>11.17567041052653</v>
      </c>
      <c r="K19" s="122">
        <v>1.3372702177199032</v>
      </c>
      <c r="L19" s="119">
        <v>85.60999361776102</v>
      </c>
      <c r="M19" s="123">
        <v>1.0677353070026514</v>
      </c>
      <c r="N19" s="124"/>
      <c r="O19" s="124"/>
      <c r="P19" s="124"/>
      <c r="Q19" s="124"/>
      <c r="R19" s="124"/>
      <c r="S19" s="124"/>
      <c r="T19" s="124"/>
      <c r="U19" s="124"/>
      <c r="V19" s="124"/>
      <c r="W19" s="124"/>
      <c r="X19" s="124"/>
      <c r="Y19" s="124"/>
      <c r="Z19" s="124"/>
      <c r="AA19" s="124"/>
      <c r="AB19" s="124"/>
      <c r="AC19" s="124"/>
      <c r="AD19" s="124"/>
      <c r="AE19" s="124"/>
      <c r="AF19" s="124"/>
      <c r="AG19" s="124"/>
      <c r="AH19" s="124"/>
      <c r="AI19" s="124"/>
      <c r="AJ19" s="124"/>
      <c r="AK19" s="124"/>
    </row>
    <row r="20" spans="1:37" s="105" customFormat="1" x14ac:dyDescent="0.25">
      <c r="A20" s="118" t="s">
        <v>231</v>
      </c>
      <c r="B20" s="119">
        <v>82.421179686834321</v>
      </c>
      <c r="C20" s="120">
        <v>0.74971796234653787</v>
      </c>
      <c r="D20" s="121">
        <v>49.136793534057396</v>
      </c>
      <c r="E20" s="122">
        <v>0.73241723406564618</v>
      </c>
      <c r="F20" s="119">
        <v>29.099843459269966</v>
      </c>
      <c r="G20" s="120">
        <v>0.83174626665586671</v>
      </c>
      <c r="H20" s="121">
        <v>26.415369252379513</v>
      </c>
      <c r="I20" s="122">
        <v>0.69218830170135603</v>
      </c>
      <c r="J20" s="119">
        <v>24.169860536722684</v>
      </c>
      <c r="K20" s="122">
        <v>0.58799597742115106</v>
      </c>
      <c r="L20" s="119">
        <v>90.689996684385306</v>
      </c>
      <c r="M20" s="123">
        <v>0.47267094889645977</v>
      </c>
      <c r="N20" s="124"/>
      <c r="O20" s="124"/>
      <c r="P20" s="124"/>
      <c r="Q20" s="124"/>
      <c r="R20" s="124"/>
      <c r="S20" s="124"/>
      <c r="T20" s="124"/>
      <c r="U20" s="124"/>
      <c r="V20" s="124"/>
      <c r="W20" s="124"/>
      <c r="X20" s="124"/>
      <c r="Y20" s="124"/>
      <c r="Z20" s="124"/>
      <c r="AA20" s="124"/>
      <c r="AB20" s="124"/>
      <c r="AC20" s="124"/>
      <c r="AD20" s="124"/>
      <c r="AE20" s="124"/>
      <c r="AF20" s="124"/>
      <c r="AG20" s="124"/>
      <c r="AH20" s="124"/>
      <c r="AI20" s="124"/>
      <c r="AJ20" s="124"/>
      <c r="AK20" s="124"/>
    </row>
    <row r="21" spans="1:37" s="105" customFormat="1" x14ac:dyDescent="0.25">
      <c r="A21" s="118" t="s">
        <v>297</v>
      </c>
      <c r="B21" s="119">
        <v>94.128708345708645</v>
      </c>
      <c r="C21" s="120">
        <v>0.97419927125143402</v>
      </c>
      <c r="D21" s="121">
        <v>60.074545622849762</v>
      </c>
      <c r="E21" s="122">
        <v>1.5518512902583481</v>
      </c>
      <c r="F21" s="119">
        <v>23.473455206444097</v>
      </c>
      <c r="G21" s="120">
        <v>2.0504662250375141</v>
      </c>
      <c r="H21" s="121">
        <v>13.821296777053323</v>
      </c>
      <c r="I21" s="122">
        <v>1.5482737071522612</v>
      </c>
      <c r="J21" s="119">
        <v>36.921525353747803</v>
      </c>
      <c r="K21" s="122">
        <v>2.0122780204616761</v>
      </c>
      <c r="L21" s="119">
        <v>96.819489317712566</v>
      </c>
      <c r="M21" s="123">
        <v>0.83932379038008831</v>
      </c>
      <c r="N21" s="124"/>
      <c r="O21" s="124"/>
      <c r="P21" s="124"/>
      <c r="Q21" s="124"/>
      <c r="R21" s="124"/>
      <c r="S21" s="124"/>
      <c r="T21" s="124"/>
      <c r="U21" s="124"/>
      <c r="V21" s="124"/>
      <c r="W21" s="124"/>
      <c r="X21" s="124"/>
      <c r="Y21" s="124"/>
      <c r="Z21" s="124"/>
      <c r="AA21" s="124"/>
      <c r="AB21" s="124"/>
      <c r="AC21" s="124"/>
      <c r="AD21" s="124"/>
      <c r="AE21" s="124"/>
      <c r="AF21" s="124"/>
      <c r="AG21" s="124"/>
      <c r="AH21" s="124"/>
      <c r="AI21" s="124"/>
      <c r="AJ21" s="124"/>
      <c r="AK21" s="124"/>
    </row>
    <row r="22" spans="1:37" s="105" customFormat="1" x14ac:dyDescent="0.25">
      <c r="A22" s="118" t="s">
        <v>302</v>
      </c>
      <c r="B22" s="119">
        <v>91.888822156690253</v>
      </c>
      <c r="C22" s="120">
        <v>0.89793833889275121</v>
      </c>
      <c r="D22" s="121">
        <v>61.588455224724711</v>
      </c>
      <c r="E22" s="122">
        <v>2.0196801732460341</v>
      </c>
      <c r="F22" s="119">
        <v>16.796576572563449</v>
      </c>
      <c r="G22" s="120">
        <v>1.6152890205534414</v>
      </c>
      <c r="H22" s="121">
        <v>17.366259341852984</v>
      </c>
      <c r="I22" s="122">
        <v>1.5762695677842551</v>
      </c>
      <c r="J22" s="119">
        <v>23.620495060401382</v>
      </c>
      <c r="K22" s="122">
        <v>1.3391312630993557</v>
      </c>
      <c r="L22" s="119">
        <v>95.286072631807755</v>
      </c>
      <c r="M22" s="123">
        <v>0.65343883391370639</v>
      </c>
      <c r="N22" s="124"/>
      <c r="O22" s="124"/>
      <c r="P22" s="124"/>
      <c r="Q22" s="124"/>
      <c r="R22" s="124"/>
      <c r="S22" s="124"/>
      <c r="T22" s="124"/>
      <c r="U22" s="124"/>
      <c r="V22" s="124"/>
      <c r="W22" s="124"/>
      <c r="X22" s="124"/>
      <c r="Y22" s="124"/>
      <c r="Z22" s="124"/>
      <c r="AA22" s="124"/>
      <c r="AB22" s="124"/>
      <c r="AC22" s="124"/>
      <c r="AD22" s="124"/>
      <c r="AE22" s="124"/>
      <c r="AF22" s="124"/>
      <c r="AG22" s="124"/>
      <c r="AH22" s="124"/>
      <c r="AI22" s="124"/>
      <c r="AJ22" s="124"/>
      <c r="AK22" s="124"/>
    </row>
    <row r="23" spans="1:37" s="105" customFormat="1" x14ac:dyDescent="0.25">
      <c r="A23" s="118" t="s">
        <v>236</v>
      </c>
      <c r="B23" s="119">
        <v>83.573738400502194</v>
      </c>
      <c r="C23" s="120">
        <v>0.43634107976576569</v>
      </c>
      <c r="D23" s="121">
        <v>51.936601490483511</v>
      </c>
      <c r="E23" s="122">
        <v>0.54664872273277554</v>
      </c>
      <c r="F23" s="119">
        <v>25.805369227178069</v>
      </c>
      <c r="G23" s="120">
        <v>0.54479059967076648</v>
      </c>
      <c r="H23" s="121">
        <v>22.250727592223349</v>
      </c>
      <c r="I23" s="122">
        <v>0.52033652095680416</v>
      </c>
      <c r="J23" s="119">
        <v>22.887875116264151</v>
      </c>
      <c r="K23" s="122">
        <v>0.51226383184539492</v>
      </c>
      <c r="L23" s="119">
        <v>91.267250654352807</v>
      </c>
      <c r="M23" s="123">
        <v>0.2999635557092773</v>
      </c>
      <c r="N23" s="124"/>
      <c r="O23" s="124"/>
      <c r="P23" s="124"/>
      <c r="Q23" s="124"/>
      <c r="R23" s="124"/>
      <c r="S23" s="124"/>
      <c r="T23" s="124"/>
      <c r="U23" s="124"/>
      <c r="V23" s="124"/>
      <c r="W23" s="124"/>
      <c r="X23" s="124"/>
      <c r="Y23" s="124"/>
      <c r="Z23" s="124"/>
      <c r="AA23" s="124"/>
      <c r="AB23" s="124"/>
      <c r="AC23" s="124"/>
      <c r="AD23" s="124"/>
      <c r="AE23" s="124"/>
      <c r="AF23" s="124"/>
      <c r="AG23" s="124"/>
      <c r="AH23" s="124"/>
      <c r="AI23" s="124"/>
      <c r="AJ23" s="124"/>
      <c r="AK23" s="124"/>
    </row>
    <row r="24" spans="1:37" s="105" customFormat="1" x14ac:dyDescent="0.25">
      <c r="A24" s="181" t="s">
        <v>279</v>
      </c>
      <c r="B24" s="119"/>
      <c r="C24" s="120"/>
      <c r="D24" s="121"/>
      <c r="E24" s="122"/>
      <c r="F24" s="119"/>
      <c r="G24" s="120"/>
      <c r="H24" s="121"/>
      <c r="I24" s="122"/>
      <c r="J24" s="119"/>
      <c r="K24" s="122"/>
      <c r="L24" s="119"/>
      <c r="M24" s="123"/>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row>
    <row r="25" spans="1:37" s="105" customFormat="1" x14ac:dyDescent="0.25">
      <c r="A25" s="118" t="s">
        <v>237</v>
      </c>
      <c r="B25" s="119">
        <v>84.04673809236435</v>
      </c>
      <c r="C25" s="120">
        <v>1.4492146556419334</v>
      </c>
      <c r="D25" s="121">
        <v>51.305233012499627</v>
      </c>
      <c r="E25" s="122">
        <v>1.5782424765408385</v>
      </c>
      <c r="F25" s="119">
        <v>45.701705870105904</v>
      </c>
      <c r="G25" s="120">
        <v>1.6965593867614184</v>
      </c>
      <c r="H25" s="121">
        <v>24.814360865371395</v>
      </c>
      <c r="I25" s="122">
        <v>1.2723201358503839</v>
      </c>
      <c r="J25" s="119">
        <v>20.301346475360489</v>
      </c>
      <c r="K25" s="122">
        <v>1.3307323963805719</v>
      </c>
      <c r="L25" s="119">
        <v>92.265144431710311</v>
      </c>
      <c r="M25" s="123">
        <v>1.0544789410120174</v>
      </c>
      <c r="N25" s="124"/>
      <c r="O25" s="124"/>
      <c r="P25" s="124"/>
      <c r="Q25" s="124"/>
      <c r="R25" s="124"/>
      <c r="S25" s="124"/>
      <c r="T25" s="124"/>
      <c r="U25" s="124"/>
      <c r="V25" s="124"/>
      <c r="W25" s="124"/>
      <c r="X25" s="124"/>
      <c r="Y25" s="124"/>
      <c r="Z25" s="124"/>
      <c r="AA25" s="124"/>
      <c r="AB25" s="124"/>
      <c r="AC25" s="124"/>
      <c r="AD25" s="124"/>
      <c r="AE25" s="124"/>
      <c r="AF25" s="124"/>
      <c r="AG25" s="124"/>
      <c r="AH25" s="124"/>
      <c r="AI25" s="124"/>
      <c r="AJ25" s="124"/>
      <c r="AK25" s="124"/>
    </row>
    <row r="26" spans="1:37" s="105" customFormat="1" x14ac:dyDescent="0.25">
      <c r="A26" s="118" t="s">
        <v>239</v>
      </c>
      <c r="B26" s="119">
        <v>55.144925552154305</v>
      </c>
      <c r="C26" s="120">
        <v>1.8629710738200778</v>
      </c>
      <c r="D26" s="121">
        <v>46.08884358564859</v>
      </c>
      <c r="E26" s="122">
        <v>1.8520524554431645</v>
      </c>
      <c r="F26" s="119">
        <v>44.282678953475092</v>
      </c>
      <c r="G26" s="120">
        <v>2.0606234851719214</v>
      </c>
      <c r="H26" s="121">
        <v>14.171774111086</v>
      </c>
      <c r="I26" s="122">
        <v>1.5861876679083771</v>
      </c>
      <c r="J26" s="119">
        <v>12.375815419084322</v>
      </c>
      <c r="K26" s="122">
        <v>1.3930851654945089</v>
      </c>
      <c r="L26" s="119">
        <v>75.456593542531976</v>
      </c>
      <c r="M26" s="123">
        <v>1.5026423449459012</v>
      </c>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row>
    <row r="27" spans="1:37" s="105" customFormat="1" x14ac:dyDescent="0.25">
      <c r="A27" s="118" t="s">
        <v>242</v>
      </c>
      <c r="B27" s="119">
        <v>62.317640127956771</v>
      </c>
      <c r="C27" s="120">
        <v>1.207071718037187</v>
      </c>
      <c r="D27" s="121">
        <v>43.077697298713673</v>
      </c>
      <c r="E27" s="122">
        <v>1.1054827566404297</v>
      </c>
      <c r="F27" s="119">
        <v>32.543663607142499</v>
      </c>
      <c r="G27" s="120">
        <v>1.0890595004989629</v>
      </c>
      <c r="H27" s="121">
        <v>24.544958044735672</v>
      </c>
      <c r="I27" s="122">
        <v>0.98905570889721572</v>
      </c>
      <c r="J27" s="119">
        <v>45.173459395481537</v>
      </c>
      <c r="K27" s="122">
        <v>1.3599197469307092</v>
      </c>
      <c r="L27" s="119">
        <v>81.168232073404795</v>
      </c>
      <c r="M27" s="123">
        <v>0.9451085014303191</v>
      </c>
      <c r="N27" s="124"/>
      <c r="O27" s="124"/>
      <c r="P27" s="124"/>
      <c r="Q27" s="124"/>
      <c r="R27" s="124"/>
      <c r="S27" s="124"/>
      <c r="T27" s="124"/>
      <c r="U27" s="124"/>
      <c r="V27" s="124"/>
      <c r="W27" s="124"/>
      <c r="X27" s="124"/>
      <c r="Y27" s="124"/>
      <c r="Z27" s="124"/>
      <c r="AA27" s="124"/>
      <c r="AB27" s="124"/>
      <c r="AC27" s="124"/>
      <c r="AD27" s="124"/>
      <c r="AE27" s="124"/>
      <c r="AF27" s="124"/>
      <c r="AG27" s="124"/>
      <c r="AH27" s="124"/>
      <c r="AI27" s="124"/>
      <c r="AJ27" s="124"/>
      <c r="AK27" s="124"/>
    </row>
    <row r="28" spans="1:37" s="105" customFormat="1" x14ac:dyDescent="0.25">
      <c r="A28" s="118" t="s">
        <v>249</v>
      </c>
      <c r="B28" s="119">
        <v>84.17463193450719</v>
      </c>
      <c r="C28" s="120">
        <v>1.3368768299791829</v>
      </c>
      <c r="D28" s="121">
        <v>41.850496097043617</v>
      </c>
      <c r="E28" s="122">
        <v>1.9360468097418981</v>
      </c>
      <c r="F28" s="119">
        <v>36.655666854623576</v>
      </c>
      <c r="G28" s="120">
        <v>1.7185847099177032</v>
      </c>
      <c r="H28" s="121">
        <v>31.444724584702339</v>
      </c>
      <c r="I28" s="122">
        <v>1.4426522758592002</v>
      </c>
      <c r="J28" s="119">
        <v>24.26993347952115</v>
      </c>
      <c r="K28" s="122">
        <v>1.5101208213260067</v>
      </c>
      <c r="L28" s="119">
        <v>89.186447205163248</v>
      </c>
      <c r="M28" s="123">
        <v>1.1973979924769198</v>
      </c>
      <c r="N28" s="124"/>
      <c r="O28" s="124"/>
      <c r="P28" s="124"/>
      <c r="Q28" s="124"/>
      <c r="R28" s="124"/>
      <c r="S28" s="124"/>
      <c r="T28" s="124"/>
      <c r="U28" s="124"/>
      <c r="V28" s="124"/>
      <c r="W28" s="124"/>
      <c r="X28" s="124"/>
      <c r="Y28" s="124"/>
      <c r="Z28" s="124"/>
      <c r="AA28" s="124"/>
      <c r="AB28" s="124"/>
      <c r="AC28" s="124"/>
      <c r="AD28" s="124"/>
      <c r="AE28" s="124"/>
      <c r="AF28" s="124"/>
      <c r="AG28" s="124"/>
      <c r="AH28" s="124"/>
      <c r="AI28" s="124"/>
      <c r="AJ28" s="124"/>
      <c r="AK28" s="124"/>
    </row>
    <row r="29" spans="1:37" s="105" customFormat="1" x14ac:dyDescent="0.25">
      <c r="A29" s="118" t="s">
        <v>303</v>
      </c>
      <c r="B29" s="119">
        <v>94.679109046007056</v>
      </c>
      <c r="C29" s="120">
        <v>0.64602476657194441</v>
      </c>
      <c r="D29" s="121">
        <v>67.541841359785806</v>
      </c>
      <c r="E29" s="122">
        <v>0.96704767408394088</v>
      </c>
      <c r="F29" s="119">
        <v>54.036659781470647</v>
      </c>
      <c r="G29" s="120">
        <v>1.8438739261583423</v>
      </c>
      <c r="H29" s="121">
        <v>34.334579473252148</v>
      </c>
      <c r="I29" s="122">
        <v>1.3658632600768577</v>
      </c>
      <c r="J29" s="119">
        <v>19.58455790997899</v>
      </c>
      <c r="K29" s="122">
        <v>0.96983177989653624</v>
      </c>
      <c r="L29" s="119">
        <v>97.782516352463958</v>
      </c>
      <c r="M29" s="123">
        <v>0.35809470564146756</v>
      </c>
      <c r="N29" s="124"/>
      <c r="O29" s="124"/>
      <c r="P29" s="124"/>
      <c r="Q29" s="124"/>
      <c r="R29" s="124"/>
      <c r="S29" s="124"/>
      <c r="T29" s="124"/>
      <c r="U29" s="124"/>
      <c r="V29" s="124"/>
      <c r="W29" s="124"/>
      <c r="X29" s="124"/>
      <c r="Y29" s="124"/>
      <c r="Z29" s="124"/>
      <c r="AA29" s="124"/>
      <c r="AB29" s="124"/>
      <c r="AC29" s="124"/>
      <c r="AD29" s="124"/>
      <c r="AE29" s="124"/>
      <c r="AF29" s="124"/>
      <c r="AG29" s="124"/>
      <c r="AH29" s="124"/>
      <c r="AI29" s="124"/>
      <c r="AJ29" s="124"/>
      <c r="AK29" s="124"/>
    </row>
    <row r="30" spans="1:37" s="105" customFormat="1" x14ac:dyDescent="0.25">
      <c r="A30" s="118" t="s">
        <v>256</v>
      </c>
      <c r="B30" s="119">
        <v>91.774383078730907</v>
      </c>
      <c r="C30" s="120" t="s">
        <v>35</v>
      </c>
      <c r="D30" s="121">
        <v>72.035398230088489</v>
      </c>
      <c r="E30" s="122" t="s">
        <v>35</v>
      </c>
      <c r="F30" s="119">
        <v>61.209964412811388</v>
      </c>
      <c r="G30" s="120" t="s">
        <v>35</v>
      </c>
      <c r="H30" s="121">
        <v>32.275449101796404</v>
      </c>
      <c r="I30" s="122" t="s">
        <v>35</v>
      </c>
      <c r="J30" s="119">
        <v>38.374178123132097</v>
      </c>
      <c r="K30" s="122" t="s">
        <v>35</v>
      </c>
      <c r="L30" s="119">
        <v>97.555296856810244</v>
      </c>
      <c r="M30" s="123" t="s">
        <v>35</v>
      </c>
      <c r="N30" s="124"/>
      <c r="O30" s="124"/>
      <c r="P30" s="124"/>
      <c r="Q30" s="124"/>
      <c r="R30" s="124"/>
      <c r="S30" s="124"/>
      <c r="T30" s="124"/>
      <c r="U30" s="124"/>
      <c r="V30" s="124"/>
      <c r="W30" s="124"/>
      <c r="X30" s="124"/>
      <c r="Y30" s="124"/>
      <c r="Z30" s="124"/>
      <c r="AA30" s="124"/>
      <c r="AB30" s="124"/>
      <c r="AC30" s="124"/>
      <c r="AD30" s="124"/>
      <c r="AE30" s="124"/>
      <c r="AF30" s="124"/>
      <c r="AG30" s="124"/>
      <c r="AH30" s="124"/>
      <c r="AI30" s="124"/>
      <c r="AJ30" s="124"/>
      <c r="AK30" s="124"/>
    </row>
    <row r="31" spans="1:37" s="105" customFormat="1" x14ac:dyDescent="0.25">
      <c r="A31" s="118" t="s">
        <v>257</v>
      </c>
      <c r="B31" s="119">
        <v>92.403042998715819</v>
      </c>
      <c r="C31" s="120">
        <v>0.79959190098906574</v>
      </c>
      <c r="D31" s="121">
        <v>43.138953635735348</v>
      </c>
      <c r="E31" s="122">
        <v>1.3370217758574037</v>
      </c>
      <c r="F31" s="119">
        <v>41.81716431460039</v>
      </c>
      <c r="G31" s="120">
        <v>1.6822406722753889</v>
      </c>
      <c r="H31" s="121">
        <v>31.915601078732628</v>
      </c>
      <c r="I31" s="122">
        <v>1.0158493073619379</v>
      </c>
      <c r="J31" s="119">
        <v>35.61030669836132</v>
      </c>
      <c r="K31" s="122">
        <v>1.228500148071612</v>
      </c>
      <c r="L31" s="119">
        <v>96.38165098239152</v>
      </c>
      <c r="M31" s="123">
        <v>0.5672797961264936</v>
      </c>
      <c r="N31" s="124"/>
      <c r="O31" s="124"/>
      <c r="P31" s="124"/>
      <c r="Q31" s="124"/>
      <c r="R31" s="124"/>
      <c r="S31" s="124"/>
      <c r="T31" s="124"/>
      <c r="U31" s="124"/>
      <c r="V31" s="124"/>
      <c r="W31" s="124"/>
      <c r="X31" s="124"/>
      <c r="Y31" s="124"/>
      <c r="Z31" s="124"/>
      <c r="AA31" s="124"/>
      <c r="AB31" s="124"/>
      <c r="AC31" s="124"/>
      <c r="AD31" s="124"/>
      <c r="AE31" s="124"/>
      <c r="AF31" s="124"/>
      <c r="AG31" s="124"/>
      <c r="AH31" s="124"/>
      <c r="AI31" s="124"/>
      <c r="AJ31" s="124"/>
      <c r="AK31" s="124"/>
    </row>
    <row r="32" spans="1:37" s="105" customFormat="1" x14ac:dyDescent="0.25">
      <c r="A32" s="118" t="s">
        <v>261</v>
      </c>
      <c r="B32" s="119">
        <v>50.274248029915171</v>
      </c>
      <c r="C32" s="120">
        <v>1.9910377268214503</v>
      </c>
      <c r="D32" s="121">
        <v>26.242881517612307</v>
      </c>
      <c r="E32" s="122">
        <v>2.229786707400303</v>
      </c>
      <c r="F32" s="119">
        <v>32.621320361230424</v>
      </c>
      <c r="G32" s="120">
        <v>2.0688749065854792</v>
      </c>
      <c r="H32" s="121">
        <v>11.160970828343773</v>
      </c>
      <c r="I32" s="122">
        <v>0.82655068688090017</v>
      </c>
      <c r="J32" s="119">
        <v>7.2718689209256739</v>
      </c>
      <c r="K32" s="122">
        <v>0.71114908986791703</v>
      </c>
      <c r="L32" s="119">
        <v>63.321310746375602</v>
      </c>
      <c r="M32" s="123">
        <v>2.0907315673261375</v>
      </c>
      <c r="N32" s="124"/>
      <c r="O32" s="124"/>
      <c r="P32" s="124"/>
      <c r="Q32" s="124"/>
      <c r="R32" s="124"/>
      <c r="S32" s="124"/>
      <c r="T32" s="124"/>
      <c r="U32" s="124"/>
      <c r="V32" s="124"/>
      <c r="W32" s="124"/>
      <c r="X32" s="124"/>
      <c r="Y32" s="124"/>
      <c r="Z32" s="124"/>
      <c r="AA32" s="124"/>
      <c r="AB32" s="124"/>
      <c r="AC32" s="124"/>
      <c r="AD32" s="124"/>
      <c r="AE32" s="124"/>
      <c r="AF32" s="124"/>
      <c r="AG32" s="124"/>
      <c r="AH32" s="124"/>
      <c r="AI32" s="124"/>
      <c r="AJ32" s="124"/>
      <c r="AK32" s="124"/>
    </row>
    <row r="33" spans="1:37" s="105" customFormat="1" x14ac:dyDescent="0.25">
      <c r="A33" s="118" t="s">
        <v>263</v>
      </c>
      <c r="B33" s="119">
        <v>76.958387775871074</v>
      </c>
      <c r="C33" s="120">
        <v>1.827184140617006</v>
      </c>
      <c r="D33" s="121">
        <v>58.807228690906243</v>
      </c>
      <c r="E33" s="122">
        <v>1.7787137292647928</v>
      </c>
      <c r="F33" s="119">
        <v>44.439647811209326</v>
      </c>
      <c r="G33" s="120">
        <v>2.4588799641891153</v>
      </c>
      <c r="H33" s="121">
        <v>36.202279155962124</v>
      </c>
      <c r="I33" s="122">
        <v>2.2714217988535466</v>
      </c>
      <c r="J33" s="119">
        <v>23.631742145176979</v>
      </c>
      <c r="K33" s="122">
        <v>1.3482322914965745</v>
      </c>
      <c r="L33" s="119">
        <v>89.480343017348318</v>
      </c>
      <c r="M33" s="123">
        <v>1.3437179005708455</v>
      </c>
      <c r="N33" s="124"/>
      <c r="O33" s="124"/>
      <c r="P33" s="124"/>
      <c r="Q33" s="124"/>
      <c r="R33" s="124"/>
      <c r="S33" s="124"/>
      <c r="T33" s="124"/>
      <c r="U33" s="124"/>
      <c r="V33" s="124"/>
      <c r="W33" s="124"/>
      <c r="X33" s="124"/>
      <c r="Y33" s="124"/>
      <c r="Z33" s="124"/>
      <c r="AA33" s="124"/>
      <c r="AB33" s="124"/>
      <c r="AC33" s="124"/>
      <c r="AD33" s="124"/>
      <c r="AE33" s="124"/>
      <c r="AF33" s="124"/>
      <c r="AG33" s="124"/>
      <c r="AH33" s="124"/>
      <c r="AI33" s="124"/>
      <c r="AJ33" s="124"/>
      <c r="AK33" s="124"/>
    </row>
    <row r="34" spans="1:37" s="105" customFormat="1" x14ac:dyDescent="0.25">
      <c r="A34" s="118" t="s">
        <v>264</v>
      </c>
      <c r="B34" s="119">
        <v>76.98047778004856</v>
      </c>
      <c r="C34" s="120">
        <v>1.0487296714972141</v>
      </c>
      <c r="D34" s="121">
        <v>36.617284185506698</v>
      </c>
      <c r="E34" s="122">
        <v>1.1897535663652383</v>
      </c>
      <c r="F34" s="119">
        <v>38.715229981797776</v>
      </c>
      <c r="G34" s="120">
        <v>1.2844746492159307</v>
      </c>
      <c r="H34" s="121">
        <v>20.048160835773047</v>
      </c>
      <c r="I34" s="122">
        <v>1.0675138536887163</v>
      </c>
      <c r="J34" s="119">
        <v>18.442776355399069</v>
      </c>
      <c r="K34" s="122">
        <v>0.79747885541405761</v>
      </c>
      <c r="L34" s="119">
        <v>87.984232262462399</v>
      </c>
      <c r="M34" s="123">
        <v>0.80938688395793312</v>
      </c>
      <c r="N34" s="124"/>
      <c r="O34" s="124"/>
      <c r="P34" s="124"/>
      <c r="Q34" s="124"/>
      <c r="R34" s="124"/>
      <c r="S34" s="124"/>
      <c r="T34" s="124"/>
      <c r="U34" s="124"/>
      <c r="V34" s="124"/>
      <c r="W34" s="124"/>
      <c r="X34" s="124"/>
      <c r="Y34" s="124"/>
      <c r="Z34" s="124"/>
      <c r="AA34" s="124"/>
      <c r="AB34" s="124"/>
      <c r="AC34" s="124"/>
      <c r="AD34" s="124"/>
      <c r="AE34" s="124"/>
      <c r="AF34" s="124"/>
      <c r="AG34" s="124"/>
      <c r="AH34" s="124"/>
      <c r="AI34" s="124"/>
      <c r="AJ34" s="124"/>
      <c r="AK34" s="124"/>
    </row>
    <row r="35" spans="1:37" s="105" customFormat="1" x14ac:dyDescent="0.25">
      <c r="A35" s="118" t="s">
        <v>272</v>
      </c>
      <c r="B35" s="119">
        <v>90.935286058662356</v>
      </c>
      <c r="C35" s="120">
        <v>0.91514170068621725</v>
      </c>
      <c r="D35" s="121">
        <v>65.633556745164356</v>
      </c>
      <c r="E35" s="122">
        <v>1.8383900747138824</v>
      </c>
      <c r="F35" s="119">
        <v>50.805050419940663</v>
      </c>
      <c r="G35" s="120">
        <v>2.1980132069104528</v>
      </c>
      <c r="H35" s="121">
        <v>33.971248711141698</v>
      </c>
      <c r="I35" s="122">
        <v>1.4402591276244368</v>
      </c>
      <c r="J35" s="119">
        <v>16.914661317805514</v>
      </c>
      <c r="K35" s="122">
        <v>0.77622671356623829</v>
      </c>
      <c r="L35" s="119">
        <v>95.798203620300924</v>
      </c>
      <c r="M35" s="123">
        <v>0.65230680021651688</v>
      </c>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row>
    <row r="36" spans="1:37" s="105" customFormat="1" ht="13.8" thickBot="1" x14ac:dyDescent="0.3">
      <c r="A36" s="125" t="s">
        <v>275</v>
      </c>
      <c r="B36" s="126">
        <v>88.821069084480541</v>
      </c>
      <c r="C36" s="127">
        <v>0.70074201056412966</v>
      </c>
      <c r="D36" s="128">
        <v>62.081466860073604</v>
      </c>
      <c r="E36" s="129">
        <v>0.84959777528001712</v>
      </c>
      <c r="F36" s="126">
        <v>36.424774184232774</v>
      </c>
      <c r="G36" s="127">
        <v>0.69262901625988815</v>
      </c>
      <c r="H36" s="128">
        <v>26.222739040148884</v>
      </c>
      <c r="I36" s="129">
        <v>0.61000783868619046</v>
      </c>
      <c r="J36" s="126">
        <v>45.503559353061938</v>
      </c>
      <c r="K36" s="129">
        <v>0.77691827840177141</v>
      </c>
      <c r="L36" s="126">
        <v>93.564641962597079</v>
      </c>
      <c r="M36" s="130">
        <v>0.63509144673895823</v>
      </c>
      <c r="N36" s="124"/>
      <c r="O36" s="124"/>
      <c r="P36" s="124"/>
      <c r="Q36" s="124"/>
      <c r="R36" s="124"/>
      <c r="S36" s="124"/>
      <c r="T36" s="124"/>
      <c r="U36" s="124"/>
      <c r="V36" s="124"/>
      <c r="W36" s="124"/>
      <c r="X36" s="124"/>
      <c r="Y36" s="124"/>
      <c r="Z36" s="124"/>
      <c r="AA36" s="124"/>
      <c r="AB36" s="124"/>
      <c r="AC36" s="124"/>
      <c r="AD36" s="124"/>
      <c r="AE36" s="124"/>
      <c r="AF36" s="124"/>
      <c r="AG36" s="124"/>
      <c r="AH36" s="124"/>
      <c r="AI36" s="124"/>
      <c r="AJ36" s="124"/>
      <c r="AK36" s="124"/>
    </row>
    <row r="37" spans="1:37" s="105" customFormat="1" x14ac:dyDescent="0.25">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c r="AC37" s="124"/>
      <c r="AD37" s="124"/>
      <c r="AE37" s="124"/>
      <c r="AF37" s="124"/>
      <c r="AG37" s="124"/>
      <c r="AH37" s="124"/>
      <c r="AI37" s="124"/>
      <c r="AJ37" s="124"/>
      <c r="AK37" s="124"/>
    </row>
    <row r="38" spans="1:37" s="105" customFormat="1" x14ac:dyDescent="0.25">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124"/>
      <c r="AH38" s="124"/>
      <c r="AI38" s="124"/>
      <c r="AJ38" s="124"/>
      <c r="AK38" s="124"/>
    </row>
    <row r="39" spans="1:37" s="105" customFormat="1" x14ac:dyDescent="0.25">
      <c r="A39" s="105" t="s">
        <v>299</v>
      </c>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124"/>
      <c r="AH39" s="124"/>
      <c r="AI39" s="124"/>
      <c r="AJ39" s="124"/>
      <c r="AK39" s="124"/>
    </row>
    <row r="40" spans="1:37" s="105" customFormat="1" x14ac:dyDescent="0.25">
      <c r="A40" s="131" t="s">
        <v>53</v>
      </c>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c r="AF40" s="124"/>
      <c r="AG40" s="124"/>
      <c r="AH40" s="124"/>
      <c r="AI40" s="124"/>
      <c r="AJ40" s="124"/>
      <c r="AK40" s="124"/>
    </row>
    <row r="41" spans="1:37" s="105" customFormat="1" x14ac:dyDescent="0.25">
      <c r="A41" s="131" t="s">
        <v>201</v>
      </c>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c r="AC41" s="124"/>
      <c r="AD41" s="124"/>
      <c r="AE41" s="124"/>
      <c r="AF41" s="124"/>
      <c r="AG41" s="124"/>
      <c r="AH41" s="124"/>
      <c r="AI41" s="124"/>
      <c r="AJ41" s="124"/>
      <c r="AK41" s="124"/>
    </row>
    <row r="42" spans="1:37" s="105" customFormat="1" x14ac:dyDescent="0.25">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c r="AC42" s="124"/>
      <c r="AD42" s="124"/>
      <c r="AE42" s="124"/>
      <c r="AF42" s="124"/>
      <c r="AG42" s="124"/>
      <c r="AH42" s="124"/>
      <c r="AI42" s="124"/>
      <c r="AJ42" s="124"/>
      <c r="AK42" s="124"/>
    </row>
    <row r="43" spans="1:37" s="105" customFormat="1" x14ac:dyDescent="0.25">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c r="AC43" s="124"/>
      <c r="AD43" s="124"/>
      <c r="AE43" s="124"/>
      <c r="AF43" s="124"/>
      <c r="AG43" s="124"/>
      <c r="AH43" s="124"/>
      <c r="AI43" s="124"/>
      <c r="AJ43" s="124"/>
      <c r="AK43" s="124"/>
    </row>
    <row r="44" spans="1:37" s="105" customFormat="1" x14ac:dyDescent="0.25">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row>
    <row r="45" spans="1:37" s="105" customFormat="1" x14ac:dyDescent="0.25">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c r="AC45" s="124"/>
      <c r="AD45" s="124"/>
      <c r="AE45" s="124"/>
      <c r="AF45" s="124"/>
      <c r="AG45" s="124"/>
      <c r="AH45" s="124"/>
      <c r="AI45" s="124"/>
      <c r="AJ45" s="124"/>
      <c r="AK45" s="124"/>
    </row>
    <row r="46" spans="1:37" s="105" customFormat="1" x14ac:dyDescent="0.25">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c r="AC46" s="124"/>
      <c r="AD46" s="124"/>
      <c r="AE46" s="124"/>
      <c r="AF46" s="124"/>
      <c r="AG46" s="124"/>
      <c r="AH46" s="124"/>
      <c r="AI46" s="124"/>
      <c r="AJ46" s="124"/>
      <c r="AK46" s="124"/>
    </row>
    <row r="47" spans="1:37" s="105" customFormat="1" x14ac:dyDescent="0.25">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c r="AC47" s="124"/>
      <c r="AD47" s="124"/>
      <c r="AE47" s="124"/>
      <c r="AF47" s="124"/>
      <c r="AG47" s="124"/>
      <c r="AH47" s="124"/>
      <c r="AI47" s="124"/>
      <c r="AJ47" s="124"/>
      <c r="AK47" s="124"/>
    </row>
    <row r="48" spans="1:37" s="105" customFormat="1" x14ac:dyDescent="0.25">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c r="AC48" s="124"/>
      <c r="AD48" s="124"/>
      <c r="AE48" s="124"/>
      <c r="AF48" s="124"/>
      <c r="AG48" s="124"/>
      <c r="AH48" s="124"/>
      <c r="AI48" s="124"/>
      <c r="AJ48" s="124"/>
      <c r="AK48" s="124"/>
    </row>
    <row r="49" spans="2:37" s="105" customFormat="1" x14ac:dyDescent="0.25">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c r="AC49" s="124"/>
      <c r="AD49" s="124"/>
      <c r="AE49" s="124"/>
      <c r="AF49" s="124"/>
      <c r="AG49" s="124"/>
      <c r="AH49" s="124"/>
      <c r="AI49" s="124"/>
      <c r="AJ49" s="124"/>
      <c r="AK49" s="124"/>
    </row>
    <row r="50" spans="2:37" s="105" customFormat="1" x14ac:dyDescent="0.25">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4"/>
      <c r="AH50" s="124"/>
      <c r="AI50" s="124"/>
      <c r="AJ50" s="124"/>
      <c r="AK50" s="124"/>
    </row>
    <row r="51" spans="2:37" s="105" customFormat="1" x14ac:dyDescent="0.25">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c r="AC51" s="124"/>
      <c r="AD51" s="124"/>
      <c r="AE51" s="124"/>
      <c r="AF51" s="124"/>
      <c r="AG51" s="124"/>
      <c r="AH51" s="124"/>
      <c r="AI51" s="124"/>
      <c r="AJ51" s="124"/>
      <c r="AK51" s="124"/>
    </row>
    <row r="52" spans="2:37" s="105" customFormat="1" x14ac:dyDescent="0.25">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c r="AC52" s="124"/>
      <c r="AD52" s="124"/>
      <c r="AE52" s="124"/>
      <c r="AF52" s="124"/>
      <c r="AG52" s="124"/>
      <c r="AH52" s="124"/>
      <c r="AI52" s="124"/>
      <c r="AJ52" s="124"/>
      <c r="AK52" s="124"/>
    </row>
    <row r="53" spans="2:37" s="105" customFormat="1" x14ac:dyDescent="0.25">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c r="AC53" s="124"/>
      <c r="AD53" s="124"/>
      <c r="AE53" s="124"/>
      <c r="AF53" s="124"/>
      <c r="AG53" s="124"/>
      <c r="AH53" s="124"/>
      <c r="AI53" s="124"/>
      <c r="AJ53" s="124"/>
      <c r="AK53" s="124"/>
    </row>
    <row r="54" spans="2:37" s="105" customFormat="1" x14ac:dyDescent="0.25">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c r="AC54" s="124"/>
      <c r="AD54" s="124"/>
      <c r="AE54" s="124"/>
      <c r="AF54" s="124"/>
      <c r="AG54" s="124"/>
      <c r="AH54" s="124"/>
      <c r="AI54" s="124"/>
      <c r="AJ54" s="124"/>
      <c r="AK54" s="124"/>
    </row>
    <row r="55" spans="2:37" s="105" customFormat="1" x14ac:dyDescent="0.25">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c r="AC55" s="124"/>
      <c r="AD55" s="124"/>
      <c r="AE55" s="124"/>
      <c r="AF55" s="124"/>
      <c r="AG55" s="124"/>
      <c r="AH55" s="124"/>
      <c r="AI55" s="124"/>
      <c r="AJ55" s="124"/>
      <c r="AK55" s="124"/>
    </row>
    <row r="56" spans="2:37" s="105" customFormat="1" x14ac:dyDescent="0.25">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c r="AC56" s="124"/>
      <c r="AD56" s="124"/>
      <c r="AE56" s="124"/>
      <c r="AF56" s="124"/>
      <c r="AG56" s="124"/>
      <c r="AH56" s="124"/>
      <c r="AI56" s="124"/>
      <c r="AJ56" s="124"/>
      <c r="AK56" s="124"/>
    </row>
    <row r="57" spans="2:37" s="105" customFormat="1" x14ac:dyDescent="0.25">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c r="AC57" s="124"/>
      <c r="AD57" s="124"/>
      <c r="AE57" s="124"/>
      <c r="AF57" s="124"/>
      <c r="AG57" s="124"/>
      <c r="AH57" s="124"/>
      <c r="AI57" s="124"/>
      <c r="AJ57" s="124"/>
      <c r="AK57" s="124"/>
    </row>
    <row r="58" spans="2:37" s="105" customFormat="1" x14ac:dyDescent="0.25">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c r="AC58" s="124"/>
      <c r="AD58" s="124"/>
      <c r="AE58" s="124"/>
      <c r="AF58" s="124"/>
      <c r="AG58" s="124"/>
      <c r="AH58" s="124"/>
      <c r="AI58" s="124"/>
      <c r="AJ58" s="124"/>
      <c r="AK58" s="124"/>
    </row>
    <row r="59" spans="2:37" s="105" customFormat="1" x14ac:dyDescent="0.25">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c r="AC59" s="124"/>
      <c r="AD59" s="124"/>
      <c r="AE59" s="124"/>
      <c r="AF59" s="124"/>
      <c r="AG59" s="124"/>
      <c r="AH59" s="124"/>
      <c r="AI59" s="124"/>
      <c r="AJ59" s="124"/>
      <c r="AK59" s="124"/>
    </row>
    <row r="60" spans="2:37" s="105" customFormat="1" x14ac:dyDescent="0.25">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c r="AC60" s="124"/>
      <c r="AD60" s="124"/>
      <c r="AE60" s="124"/>
      <c r="AF60" s="124"/>
      <c r="AG60" s="124"/>
      <c r="AH60" s="124"/>
      <c r="AI60" s="124"/>
      <c r="AJ60" s="124"/>
      <c r="AK60" s="124"/>
    </row>
    <row r="61" spans="2:37" s="105" customFormat="1" x14ac:dyDescent="0.25">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c r="AC61" s="124"/>
      <c r="AD61" s="124"/>
      <c r="AE61" s="124"/>
      <c r="AF61" s="124"/>
      <c r="AG61" s="124"/>
      <c r="AH61" s="124"/>
      <c r="AI61" s="124"/>
      <c r="AJ61" s="124"/>
      <c r="AK61" s="124"/>
    </row>
    <row r="62" spans="2:37" s="105" customFormat="1" x14ac:dyDescent="0.25">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row>
    <row r="63" spans="2:37" s="105" customFormat="1" x14ac:dyDescent="0.25">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c r="AC63" s="124"/>
      <c r="AD63" s="124"/>
      <c r="AE63" s="124"/>
      <c r="AF63" s="124"/>
      <c r="AG63" s="124"/>
      <c r="AH63" s="124"/>
      <c r="AI63" s="124"/>
      <c r="AJ63" s="124"/>
      <c r="AK63" s="124"/>
    </row>
    <row r="64" spans="2:37" s="105" customFormat="1" x14ac:dyDescent="0.25">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c r="AC64" s="124"/>
      <c r="AD64" s="124"/>
      <c r="AE64" s="124"/>
      <c r="AF64" s="124"/>
      <c r="AG64" s="124"/>
      <c r="AH64" s="124"/>
      <c r="AI64" s="124"/>
      <c r="AJ64" s="124"/>
      <c r="AK64" s="124"/>
    </row>
    <row r="65" spans="2:37" s="105" customFormat="1" x14ac:dyDescent="0.25">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c r="AC65" s="124"/>
      <c r="AD65" s="124"/>
      <c r="AE65" s="124"/>
      <c r="AF65" s="124"/>
      <c r="AG65" s="124"/>
      <c r="AH65" s="124"/>
      <c r="AI65" s="124"/>
      <c r="AJ65" s="124"/>
      <c r="AK65" s="124"/>
    </row>
    <row r="66" spans="2:37" s="105" customFormat="1" x14ac:dyDescent="0.25">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c r="AC66" s="124"/>
      <c r="AD66" s="124"/>
      <c r="AE66" s="124"/>
      <c r="AF66" s="124"/>
      <c r="AG66" s="124"/>
      <c r="AH66" s="124"/>
      <c r="AI66" s="124"/>
      <c r="AJ66" s="124"/>
      <c r="AK66" s="124"/>
    </row>
    <row r="67" spans="2:37" s="105" customFormat="1" x14ac:dyDescent="0.25">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row>
    <row r="68" spans="2:37" s="105" customFormat="1" x14ac:dyDescent="0.25">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c r="AC68" s="124"/>
      <c r="AD68" s="124"/>
      <c r="AE68" s="124"/>
      <c r="AF68" s="124"/>
      <c r="AG68" s="124"/>
      <c r="AH68" s="124"/>
      <c r="AI68" s="124"/>
      <c r="AJ68" s="124"/>
      <c r="AK68" s="124"/>
    </row>
    <row r="69" spans="2:37" s="105" customFormat="1" x14ac:dyDescent="0.25">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c r="AC69" s="124"/>
      <c r="AD69" s="124"/>
      <c r="AE69" s="124"/>
      <c r="AF69" s="124"/>
      <c r="AG69" s="124"/>
      <c r="AH69" s="124"/>
      <c r="AI69" s="124"/>
      <c r="AJ69" s="124"/>
      <c r="AK69" s="124"/>
    </row>
    <row r="70" spans="2:37" s="105" customFormat="1" x14ac:dyDescent="0.25">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c r="AC70" s="124"/>
      <c r="AD70" s="124"/>
      <c r="AE70" s="124"/>
      <c r="AF70" s="124"/>
      <c r="AG70" s="124"/>
      <c r="AH70" s="124"/>
      <c r="AI70" s="124"/>
      <c r="AJ70" s="124"/>
      <c r="AK70" s="124"/>
    </row>
    <row r="71" spans="2:37" s="105" customFormat="1" x14ac:dyDescent="0.25">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row>
    <row r="72" spans="2:37" s="105" customFormat="1" x14ac:dyDescent="0.25">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c r="AC72" s="124"/>
      <c r="AD72" s="124"/>
      <c r="AE72" s="124"/>
      <c r="AF72" s="124"/>
      <c r="AG72" s="124"/>
      <c r="AH72" s="124"/>
      <c r="AI72" s="124"/>
      <c r="AJ72" s="124"/>
      <c r="AK72" s="124"/>
    </row>
    <row r="73" spans="2:37" s="105" customFormat="1" x14ac:dyDescent="0.25">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c r="AC73" s="124"/>
      <c r="AD73" s="124"/>
      <c r="AE73" s="124"/>
      <c r="AF73" s="124"/>
      <c r="AG73" s="124"/>
      <c r="AH73" s="124"/>
      <c r="AI73" s="124"/>
      <c r="AJ73" s="124"/>
      <c r="AK73" s="124"/>
    </row>
    <row r="74" spans="2:37" s="105" customFormat="1" x14ac:dyDescent="0.25">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c r="AC74" s="124"/>
      <c r="AD74" s="124"/>
      <c r="AE74" s="124"/>
      <c r="AF74" s="124"/>
      <c r="AG74" s="124"/>
      <c r="AH74" s="124"/>
      <c r="AI74" s="124"/>
      <c r="AJ74" s="124"/>
      <c r="AK74" s="124"/>
    </row>
    <row r="75" spans="2:37" s="105" customFormat="1" x14ac:dyDescent="0.25">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c r="AC75" s="124"/>
      <c r="AD75" s="124"/>
      <c r="AE75" s="124"/>
      <c r="AF75" s="124"/>
      <c r="AG75" s="124"/>
      <c r="AH75" s="124"/>
      <c r="AI75" s="124"/>
      <c r="AJ75" s="124"/>
      <c r="AK75" s="124"/>
    </row>
    <row r="76" spans="2:37" s="105" customFormat="1" x14ac:dyDescent="0.25">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c r="AC76" s="124"/>
      <c r="AD76" s="124"/>
      <c r="AE76" s="124"/>
      <c r="AF76" s="124"/>
      <c r="AG76" s="124"/>
      <c r="AH76" s="124"/>
      <c r="AI76" s="124"/>
      <c r="AJ76" s="124"/>
      <c r="AK76" s="124"/>
    </row>
    <row r="77" spans="2:37" s="105" customFormat="1" x14ac:dyDescent="0.25">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c r="AC77" s="124"/>
      <c r="AD77" s="124"/>
      <c r="AE77" s="124"/>
      <c r="AF77" s="124"/>
      <c r="AG77" s="124"/>
      <c r="AH77" s="124"/>
      <c r="AI77" s="124"/>
      <c r="AJ77" s="124"/>
      <c r="AK77" s="124"/>
    </row>
    <row r="78" spans="2:37" s="105" customFormat="1" x14ac:dyDescent="0.25">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c r="AC78" s="124"/>
      <c r="AD78" s="124"/>
      <c r="AE78" s="124"/>
      <c r="AF78" s="124"/>
      <c r="AG78" s="124"/>
      <c r="AH78" s="124"/>
      <c r="AI78" s="124"/>
      <c r="AJ78" s="124"/>
      <c r="AK78" s="124"/>
    </row>
    <row r="79" spans="2:37" s="105" customFormat="1" x14ac:dyDescent="0.25">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c r="AC79" s="124"/>
      <c r="AD79" s="124"/>
      <c r="AE79" s="124"/>
      <c r="AF79" s="124"/>
      <c r="AG79" s="124"/>
      <c r="AH79" s="124"/>
      <c r="AI79" s="124"/>
      <c r="AJ79" s="124"/>
      <c r="AK79" s="124"/>
    </row>
    <row r="80" spans="2:37" s="105" customFormat="1" x14ac:dyDescent="0.25">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c r="AC80" s="124"/>
      <c r="AD80" s="124"/>
      <c r="AE80" s="124"/>
      <c r="AF80" s="124"/>
      <c r="AG80" s="124"/>
      <c r="AH80" s="124"/>
      <c r="AI80" s="124"/>
      <c r="AJ80" s="124"/>
      <c r="AK80" s="124"/>
    </row>
    <row r="81" spans="2:37" s="105" customFormat="1" x14ac:dyDescent="0.25">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c r="AC81" s="124"/>
      <c r="AD81" s="124"/>
      <c r="AE81" s="124"/>
      <c r="AF81" s="124"/>
      <c r="AG81" s="124"/>
      <c r="AH81" s="124"/>
      <c r="AI81" s="124"/>
      <c r="AJ81" s="124"/>
      <c r="AK81" s="124"/>
    </row>
    <row r="82" spans="2:37" s="105" customFormat="1" x14ac:dyDescent="0.25">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c r="AC82" s="124"/>
      <c r="AD82" s="124"/>
      <c r="AE82" s="124"/>
      <c r="AF82" s="124"/>
      <c r="AG82" s="124"/>
      <c r="AH82" s="124"/>
      <c r="AI82" s="124"/>
      <c r="AJ82" s="124"/>
      <c r="AK82" s="124"/>
    </row>
    <row r="83" spans="2:37" s="105" customFormat="1" x14ac:dyDescent="0.25">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c r="AC83" s="124"/>
      <c r="AD83" s="124"/>
      <c r="AE83" s="124"/>
      <c r="AF83" s="124"/>
      <c r="AG83" s="124"/>
      <c r="AH83" s="124"/>
      <c r="AI83" s="124"/>
      <c r="AJ83" s="124"/>
      <c r="AK83" s="124"/>
    </row>
    <row r="84" spans="2:37" s="105" customFormat="1" x14ac:dyDescent="0.25">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c r="AC84" s="124"/>
      <c r="AD84" s="124"/>
      <c r="AE84" s="124"/>
      <c r="AF84" s="124"/>
      <c r="AG84" s="124"/>
      <c r="AH84" s="124"/>
      <c r="AI84" s="124"/>
      <c r="AJ84" s="124"/>
      <c r="AK84" s="124"/>
    </row>
    <row r="85" spans="2:37" s="105" customFormat="1" x14ac:dyDescent="0.25">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4"/>
      <c r="AH85" s="124"/>
      <c r="AI85" s="124"/>
      <c r="AJ85" s="124"/>
      <c r="AK85" s="124"/>
    </row>
    <row r="86" spans="2:37" s="105" customFormat="1" x14ac:dyDescent="0.25">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24"/>
      <c r="AI86" s="124"/>
      <c r="AJ86" s="124"/>
      <c r="AK86" s="124"/>
    </row>
    <row r="87" spans="2:37" s="105" customFormat="1" x14ac:dyDescent="0.25">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c r="AC87" s="124"/>
      <c r="AD87" s="124"/>
      <c r="AE87" s="124"/>
      <c r="AF87" s="124"/>
      <c r="AG87" s="124"/>
      <c r="AH87" s="124"/>
      <c r="AI87" s="124"/>
      <c r="AJ87" s="124"/>
      <c r="AK87" s="124"/>
    </row>
    <row r="88" spans="2:37" s="105" customFormat="1" x14ac:dyDescent="0.25">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c r="AC88" s="124"/>
      <c r="AD88" s="124"/>
      <c r="AE88" s="124"/>
      <c r="AF88" s="124"/>
      <c r="AG88" s="124"/>
      <c r="AH88" s="124"/>
      <c r="AI88" s="124"/>
      <c r="AJ88" s="124"/>
      <c r="AK88" s="124"/>
    </row>
    <row r="89" spans="2:37" s="105" customFormat="1" x14ac:dyDescent="0.25">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24"/>
      <c r="AI89" s="124"/>
      <c r="AJ89" s="124"/>
      <c r="AK89" s="124"/>
    </row>
    <row r="90" spans="2:37" s="105" customFormat="1" x14ac:dyDescent="0.25">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c r="AC90" s="124"/>
      <c r="AD90" s="124"/>
      <c r="AE90" s="124"/>
      <c r="AF90" s="124"/>
      <c r="AG90" s="124"/>
      <c r="AH90" s="124"/>
      <c r="AI90" s="124"/>
      <c r="AJ90" s="124"/>
      <c r="AK90" s="124"/>
    </row>
    <row r="91" spans="2:37" s="105" customFormat="1" x14ac:dyDescent="0.25">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c r="AC91" s="124"/>
      <c r="AD91" s="124"/>
      <c r="AE91" s="124"/>
      <c r="AF91" s="124"/>
      <c r="AG91" s="124"/>
      <c r="AH91" s="124"/>
      <c r="AI91" s="124"/>
      <c r="AJ91" s="124"/>
      <c r="AK91" s="124"/>
    </row>
    <row r="92" spans="2:37" s="105" customFormat="1" x14ac:dyDescent="0.25">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c r="AC92" s="124"/>
      <c r="AD92" s="124"/>
      <c r="AE92" s="124"/>
      <c r="AF92" s="124"/>
      <c r="AG92" s="124"/>
      <c r="AH92" s="124"/>
      <c r="AI92" s="124"/>
      <c r="AJ92" s="124"/>
      <c r="AK92" s="124"/>
    </row>
    <row r="93" spans="2:37" s="105" customFormat="1" x14ac:dyDescent="0.25">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c r="AC93" s="124"/>
      <c r="AD93" s="124"/>
      <c r="AE93" s="124"/>
      <c r="AF93" s="124"/>
      <c r="AG93" s="124"/>
      <c r="AH93" s="124"/>
      <c r="AI93" s="124"/>
      <c r="AJ93" s="124"/>
      <c r="AK93" s="124"/>
    </row>
    <row r="94" spans="2:37" s="105" customFormat="1" x14ac:dyDescent="0.25">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c r="AC94" s="124"/>
      <c r="AD94" s="124"/>
      <c r="AE94" s="124"/>
      <c r="AF94" s="124"/>
      <c r="AG94" s="124"/>
      <c r="AH94" s="124"/>
      <c r="AI94" s="124"/>
      <c r="AJ94" s="124"/>
      <c r="AK94" s="124"/>
    </row>
    <row r="95" spans="2:37" s="105" customFormat="1" x14ac:dyDescent="0.25">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c r="AC95" s="124"/>
      <c r="AD95" s="124"/>
      <c r="AE95" s="124"/>
      <c r="AF95" s="124"/>
      <c r="AG95" s="124"/>
      <c r="AH95" s="124"/>
      <c r="AI95" s="124"/>
      <c r="AJ95" s="124"/>
      <c r="AK95" s="124"/>
    </row>
    <row r="96" spans="2:37" s="105" customFormat="1" x14ac:dyDescent="0.25">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c r="AC96" s="124"/>
      <c r="AD96" s="124"/>
      <c r="AE96" s="124"/>
      <c r="AF96" s="124"/>
      <c r="AG96" s="124"/>
      <c r="AH96" s="124"/>
      <c r="AI96" s="124"/>
      <c r="AJ96" s="124"/>
      <c r="AK96" s="124"/>
    </row>
    <row r="97" s="105" customFormat="1" x14ac:dyDescent="0.25"/>
    <row r="98" s="105" customFormat="1" x14ac:dyDescent="0.25"/>
  </sheetData>
  <mergeCells count="7">
    <mergeCell ref="B12:M12"/>
    <mergeCell ref="B13:C13"/>
    <mergeCell ref="D13:E13"/>
    <mergeCell ref="F13:G13"/>
    <mergeCell ref="H13:I13"/>
    <mergeCell ref="J13:K13"/>
    <mergeCell ref="L13:M13"/>
  </mergeCells>
  <conditionalFormatting sqref="L15">
    <cfRule type="expression" dxfId="0" priority="1">
      <formula>ABS(L15/M15)&gt;1.96</formula>
    </cfRule>
  </conditionalFormatting>
  <hyperlinks>
    <hyperlink ref="A1" r:id="rId1" display="https://doi.org/10.1787/b5fd1b8f-en"/>
    <hyperlink ref="A4" r:id="rId2"/>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C. Volume II: Equity in Education</Volume>
    <Topic xmlns="3D72D9FF-5AFA-4718-A0DC-C752FA647307">Chapter 5</Topic>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4AF1C-FC79-4669-8394-3FC07500191B}">
  <ds:schemaRefs>
    <ds:schemaRef ds:uri="http://purl.org/dc/terms/"/>
    <ds:schemaRef ds:uri="d2ab8eed-794c-4dae-abdc-edd99f56379b"/>
    <ds:schemaRef ds:uri="http://schemas.microsoft.com/office/2006/documentManagement/types"/>
    <ds:schemaRef ds:uri="http://schemas.microsoft.com/office/infopath/2007/PartnerControls"/>
    <ds:schemaRef ds:uri="3D72D9FF-5AFA-4718-A0DC-C752FA647307"/>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E7C1FE54-0367-4FD2-BBEE-CD700660C1A7}">
  <ds:schemaRefs>
    <ds:schemaRef ds:uri="http://schemas.microsoft.com/sharepoint/v3/contenttype/forms"/>
  </ds:schemaRefs>
</ds:datastoreItem>
</file>

<file path=customXml/itemProps3.xml><?xml version="1.0" encoding="utf-8"?>
<ds:datastoreItem xmlns:ds="http://schemas.openxmlformats.org/officeDocument/2006/customXml" ds:itemID="{09395FB1-FFD7-44F3-9ED5-E703BEB0AB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TOC</vt:lpstr>
      <vt:lpstr>Table II.B1.5.1</vt:lpstr>
      <vt:lpstr>Table II.B1.5.2</vt:lpstr>
      <vt:lpstr>Table II.B1.5.3</vt:lpstr>
      <vt:lpstr>Table II.B1.5.4</vt:lpstr>
      <vt:lpstr>Table II.B1.5.5</vt:lpstr>
      <vt:lpstr>Table II.B1.5.6</vt:lpstr>
      <vt:lpstr>Table II.B1.5.7</vt:lpstr>
      <vt:lpstr>Table II.B1.5.8</vt:lpstr>
      <vt:lpstr>Table II.B1.5.9</vt:lpstr>
      <vt:lpstr>Table II.B1.5.10</vt:lpstr>
      <vt:lpstr>Table II.B1.5.11</vt:lpstr>
      <vt:lpstr>Table II.B1.5.12</vt:lpstr>
      <vt:lpstr>Table II.B1.5.13</vt:lpstr>
      <vt:lpstr>Table II.B1.5.14</vt:lpstr>
      <vt:lpstr>Table II.B1.5.15</vt:lpstr>
      <vt:lpstr>Table II.B1.5.16</vt:lpstr>
      <vt:lpstr>Table II.B1.5.17</vt:lpstr>
      <vt:lpstr>Table II.B1.5.18</vt:lpstr>
      <vt:lpstr>Table II.B1.5.19</vt:lpstr>
      <vt:lpstr>Table II.B1.5.20</vt:lpstr>
      <vt:lpstr>Table II.B1.5.21</vt:lpstr>
      <vt:lpstr>Table II.B1.5.22</vt:lpstr>
      <vt:lpstr>Table II.B1.5.23</vt:lpstr>
      <vt:lpstr>Table II.B1.5.24</vt:lpstr>
      <vt:lpstr>Table II.B1.5.25</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SIMMONS Margaret</cp:lastModifiedBy>
  <cp:revision/>
  <dcterms:created xsi:type="dcterms:W3CDTF">2019-06-05T13:06:15Z</dcterms:created>
  <dcterms:modified xsi:type="dcterms:W3CDTF">2019-12-02T11:11:33Z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