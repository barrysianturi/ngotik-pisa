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PACSVR2.main.oecd.org\Publications\Tools\StatEditors\StatLinksFormatter\data\EDU-2019-4229-EN - PISA 2018 Results (Volume II)\"/>
    </mc:Choice>
  </mc:AlternateContent>
  <bookViews>
    <workbookView xWindow="0" yWindow="0" windowWidth="23040" windowHeight="9108"/>
  </bookViews>
  <sheets>
    <sheet name="TOC" sheetId="5" r:id="rId1"/>
    <sheet name="Table II.B1.9.1" sheetId="2" r:id="rId2"/>
    <sheet name="Table II.B1.9.2" sheetId="6" r:id="rId3"/>
    <sheet name="Table II.B1.9.3" sheetId="3" r:id="rId4"/>
    <sheet name="Table II.B1.9.4" sheetId="4" r:id="rId5"/>
    <sheet name="Table II.B1.9.5" sheetId="8" r:id="rId6"/>
    <sheet name="Table II.B1.9.6" sheetId="11" r:id="rId7"/>
    <sheet name="Table II.B1.9.7" sheetId="12" r:id="rId8"/>
    <sheet name="Table II.B1.9.8" sheetId="14" r:id="rId9"/>
    <sheet name="Table II.B1.9.9" sheetId="1" r:id="rId10"/>
    <sheet name="Table II.B1.9.10" sheetId="15" r:id="rId11"/>
    <sheet name="Table II.B1.9.11" sheetId="10" r:id="rId12"/>
  </sheets>
  <externalReferences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</externalReferences>
  <definedNames>
    <definedName name="_" localSheetId="10">[1]EAT12_1!#REF!,[1]EAT12_1!#REF!,[1]EAT12_1!#REF!,[1]EAT12_1!#REF!,[1]EAT12_1!#REF!,[1]EAT12_1!#REF!,[1]EAT12_1!#REF!,[1]EAT12_1!#REF!,[1]EAT12_1!#REF!,[1]EAT12_1!#REF!</definedName>
    <definedName name="_">[1]EAT12_1!#REF!,[1]EAT12_1!#REF!,[1]EAT12_1!#REF!,[1]EAT12_1!#REF!,[1]EAT12_1!#REF!,[1]EAT12_1!#REF!,[1]EAT12_1!#REF!,[1]EAT12_1!#REF!,[1]EAT12_1!#REF!,[1]EAT12_1!#REF!</definedName>
    <definedName name="_______ISC3">[2]ISC01!$B:$B+[3]Q_ISC3!$1:$23</definedName>
    <definedName name="______ISC3">[2]ISC01!$B:$B+[3]Q_ISC3!$1:$23</definedName>
    <definedName name="_____ISC3">[2]ISC01!$B:$B+[3]Q_ISC3!$1:$23</definedName>
    <definedName name="____ISC3">[2]ISC01!$B:$B+[3]Q_ISC3!$1:$23</definedName>
    <definedName name="___ISC3">[2]ISC01!$B:$B+[3]Q_ISC3!$1:$23</definedName>
    <definedName name="__123Graph_ABERLGRAP" localSheetId="10" hidden="1">'[4]Time series'!#REF!</definedName>
    <definedName name="__123Graph_ABERLGRAP" hidden="1">'[4]Time series'!#REF!</definedName>
    <definedName name="__123Graph_ACATCH1" localSheetId="10" hidden="1">'[4]Time series'!#REF!</definedName>
    <definedName name="__123Graph_ACATCH1" hidden="1">'[4]Time series'!#REF!</definedName>
    <definedName name="__123Graph_ACONVERG1" localSheetId="10" hidden="1">'[4]Time series'!#REF!</definedName>
    <definedName name="__123Graph_ACONVERG1" hidden="1">'[4]Time series'!#REF!</definedName>
    <definedName name="__123Graph_AGRAPH2" localSheetId="10" hidden="1">'[4]Time series'!#REF!</definedName>
    <definedName name="__123Graph_AGRAPH2" hidden="1">'[4]Time series'!#REF!</definedName>
    <definedName name="__123Graph_AGRAPH41" localSheetId="10" hidden="1">'[4]Time series'!#REF!</definedName>
    <definedName name="__123Graph_AGRAPH41" hidden="1">'[4]Time series'!#REF!</definedName>
    <definedName name="__123Graph_AGRAPH42" localSheetId="10" hidden="1">'[4]Time series'!#REF!</definedName>
    <definedName name="__123Graph_AGRAPH42" hidden="1">'[4]Time series'!#REF!</definedName>
    <definedName name="__123Graph_AGRAPH44" localSheetId="10" hidden="1">'[4]Time series'!#REF!</definedName>
    <definedName name="__123Graph_AGRAPH44" hidden="1">'[4]Time series'!#REF!</definedName>
    <definedName name="__123Graph_APERIB" localSheetId="10" hidden="1">'[4]Time series'!#REF!</definedName>
    <definedName name="__123Graph_APERIB" hidden="1">'[4]Time series'!#REF!</definedName>
    <definedName name="__123Graph_APRODABSC" localSheetId="10" hidden="1">'[4]Time series'!#REF!</definedName>
    <definedName name="__123Graph_APRODABSC" hidden="1">'[4]Time series'!#REF!</definedName>
    <definedName name="__123Graph_APRODABSD" localSheetId="10" hidden="1">'[4]Time series'!#REF!</definedName>
    <definedName name="__123Graph_APRODABSD" hidden="1">'[4]Time series'!#REF!</definedName>
    <definedName name="__123Graph_APRODTRE2" localSheetId="10" hidden="1">'[4]Time series'!#REF!</definedName>
    <definedName name="__123Graph_APRODTRE2" hidden="1">'[4]Time series'!#REF!</definedName>
    <definedName name="__123Graph_APRODTRE3" localSheetId="10" hidden="1">'[4]Time series'!#REF!</definedName>
    <definedName name="__123Graph_APRODTRE3" hidden="1">'[4]Time series'!#REF!</definedName>
    <definedName name="__123Graph_APRODTRE4" localSheetId="10" hidden="1">'[4]Time series'!#REF!</definedName>
    <definedName name="__123Graph_APRODTRE4" hidden="1">'[4]Time series'!#REF!</definedName>
    <definedName name="__123Graph_APRODTREND" localSheetId="10" hidden="1">'[4]Time series'!#REF!</definedName>
    <definedName name="__123Graph_APRODTREND" hidden="1">'[4]Time series'!#REF!</definedName>
    <definedName name="__123Graph_AUTRECHT" localSheetId="10" hidden="1">'[4]Time series'!#REF!</definedName>
    <definedName name="__123Graph_AUTRECHT" hidden="1">'[4]Time series'!#REF!</definedName>
    <definedName name="__123Graph_BBERLGRAP" localSheetId="10" hidden="1">'[4]Time series'!#REF!</definedName>
    <definedName name="__123Graph_BBERLGRAP" hidden="1">'[4]Time series'!#REF!</definedName>
    <definedName name="__123Graph_BCATCH1" localSheetId="10" hidden="1">'[4]Time series'!#REF!</definedName>
    <definedName name="__123Graph_BCATCH1" hidden="1">'[4]Time series'!#REF!</definedName>
    <definedName name="__123Graph_BCONVERG1" localSheetId="10" hidden="1">'[4]Time series'!#REF!</definedName>
    <definedName name="__123Graph_BCONVERG1" hidden="1">'[4]Time series'!#REF!</definedName>
    <definedName name="__123Graph_BGRAPH2" localSheetId="10" hidden="1">'[4]Time series'!#REF!</definedName>
    <definedName name="__123Graph_BGRAPH2" hidden="1">'[4]Time series'!#REF!</definedName>
    <definedName name="__123Graph_BGRAPH41" localSheetId="10" hidden="1">'[4]Time series'!#REF!</definedName>
    <definedName name="__123Graph_BGRAPH41" hidden="1">'[4]Time series'!#REF!</definedName>
    <definedName name="__123Graph_BPERIB" localSheetId="10" hidden="1">'[4]Time series'!#REF!</definedName>
    <definedName name="__123Graph_BPERIB" hidden="1">'[4]Time series'!#REF!</definedName>
    <definedName name="__123Graph_BPRODABSC" localSheetId="10" hidden="1">'[4]Time series'!#REF!</definedName>
    <definedName name="__123Graph_BPRODABSC" hidden="1">'[4]Time series'!#REF!</definedName>
    <definedName name="__123Graph_BPRODABSD" localSheetId="10" hidden="1">'[4]Time series'!#REF!</definedName>
    <definedName name="__123Graph_BPRODABSD" hidden="1">'[4]Time series'!#REF!</definedName>
    <definedName name="__123Graph_CBERLGRAP" localSheetId="10" hidden="1">'[4]Time series'!#REF!</definedName>
    <definedName name="__123Graph_CBERLGRAP" hidden="1">'[4]Time series'!#REF!</definedName>
    <definedName name="__123Graph_CCATCH1" localSheetId="10" hidden="1">'[4]Time series'!#REF!</definedName>
    <definedName name="__123Graph_CCATCH1" hidden="1">'[4]Time series'!#REF!</definedName>
    <definedName name="__123Graph_CGRAPH41" localSheetId="10" hidden="1">'[4]Time series'!#REF!</definedName>
    <definedName name="__123Graph_CGRAPH41" hidden="1">'[4]Time series'!#REF!</definedName>
    <definedName name="__123Graph_CGRAPH44" localSheetId="10" hidden="1">'[4]Time series'!#REF!</definedName>
    <definedName name="__123Graph_CGRAPH44" hidden="1">'[4]Time series'!#REF!</definedName>
    <definedName name="__123Graph_CPERIA" localSheetId="10" hidden="1">'[4]Time series'!#REF!</definedName>
    <definedName name="__123Graph_CPERIA" hidden="1">'[4]Time series'!#REF!</definedName>
    <definedName name="__123Graph_CPERIB" localSheetId="10" hidden="1">'[4]Time series'!#REF!</definedName>
    <definedName name="__123Graph_CPERIB" hidden="1">'[4]Time series'!#REF!</definedName>
    <definedName name="__123Graph_CPRODABSC" localSheetId="10" hidden="1">'[4]Time series'!#REF!</definedName>
    <definedName name="__123Graph_CPRODABSC" hidden="1">'[4]Time series'!#REF!</definedName>
    <definedName name="__123Graph_CPRODTRE2" localSheetId="10" hidden="1">'[4]Time series'!#REF!</definedName>
    <definedName name="__123Graph_CPRODTRE2" hidden="1">'[4]Time series'!#REF!</definedName>
    <definedName name="__123Graph_CPRODTREND" localSheetId="10" hidden="1">'[4]Time series'!#REF!</definedName>
    <definedName name="__123Graph_CPRODTREND" hidden="1">'[4]Time series'!#REF!</definedName>
    <definedName name="__123Graph_CUTRECHT" localSheetId="10" hidden="1">'[4]Time series'!#REF!</definedName>
    <definedName name="__123Graph_CUTRECHT" hidden="1">'[4]Time series'!#REF!</definedName>
    <definedName name="__123Graph_DBERLGRAP" localSheetId="10" hidden="1">'[4]Time series'!#REF!</definedName>
    <definedName name="__123Graph_DBERLGRAP" hidden="1">'[4]Time series'!#REF!</definedName>
    <definedName name="__123Graph_DCATCH1" localSheetId="10" hidden="1">'[4]Time series'!#REF!</definedName>
    <definedName name="__123Graph_DCATCH1" hidden="1">'[4]Time series'!#REF!</definedName>
    <definedName name="__123Graph_DCONVERG1" localSheetId="10" hidden="1">'[4]Time series'!#REF!</definedName>
    <definedName name="__123Graph_DCONVERG1" hidden="1">'[4]Time series'!#REF!</definedName>
    <definedName name="__123Graph_DGRAPH41" localSheetId="10" hidden="1">'[4]Time series'!#REF!</definedName>
    <definedName name="__123Graph_DGRAPH41" hidden="1">'[4]Time series'!#REF!</definedName>
    <definedName name="__123Graph_DPERIA" localSheetId="10" hidden="1">'[4]Time series'!#REF!</definedName>
    <definedName name="__123Graph_DPERIA" hidden="1">'[4]Time series'!#REF!</definedName>
    <definedName name="__123Graph_DPERIB" localSheetId="10" hidden="1">'[4]Time series'!#REF!</definedName>
    <definedName name="__123Graph_DPERIB" hidden="1">'[4]Time series'!#REF!</definedName>
    <definedName name="__123Graph_DPRODABSC" localSheetId="10" hidden="1">'[4]Time series'!#REF!</definedName>
    <definedName name="__123Graph_DPRODABSC" hidden="1">'[4]Time series'!#REF!</definedName>
    <definedName name="__123Graph_DUTRECHT" localSheetId="10" hidden="1">'[4]Time series'!#REF!</definedName>
    <definedName name="__123Graph_DUTRECHT" hidden="1">'[4]Time series'!#REF!</definedName>
    <definedName name="__123Graph_EBERLGRAP" localSheetId="10" hidden="1">'[4]Time series'!#REF!</definedName>
    <definedName name="__123Graph_EBERLGRAP" hidden="1">'[4]Time series'!#REF!</definedName>
    <definedName name="__123Graph_ECONVERG1" localSheetId="10" hidden="1">'[4]Time series'!#REF!</definedName>
    <definedName name="__123Graph_ECONVERG1" hidden="1">'[4]Time series'!#REF!</definedName>
    <definedName name="__123Graph_EGRAPH41" localSheetId="10" hidden="1">'[4]Time series'!#REF!</definedName>
    <definedName name="__123Graph_EGRAPH41" hidden="1">'[4]Time series'!#REF!</definedName>
    <definedName name="__123Graph_EPERIA" localSheetId="10" hidden="1">'[4]Time series'!#REF!</definedName>
    <definedName name="__123Graph_EPERIA" hidden="1">'[4]Time series'!#REF!</definedName>
    <definedName name="__123Graph_EPRODABSC" localSheetId="10" hidden="1">'[4]Time series'!#REF!</definedName>
    <definedName name="__123Graph_EPRODABSC" hidden="1">'[4]Time series'!#REF!</definedName>
    <definedName name="__123Graph_FBERLGRAP" localSheetId="10" hidden="1">'[4]Time series'!#REF!</definedName>
    <definedName name="__123Graph_FBERLGRAP" hidden="1">'[4]Time series'!#REF!</definedName>
    <definedName name="__123Graph_FGRAPH41" localSheetId="10" hidden="1">'[4]Time series'!#REF!</definedName>
    <definedName name="__123Graph_FGRAPH41" hidden="1">'[4]Time series'!#REF!</definedName>
    <definedName name="__123Graph_FPRODABSC" localSheetId="10" hidden="1">'[4]Time series'!#REF!</definedName>
    <definedName name="__123Graph_FPRODABSC" hidden="1">'[4]Time series'!#REF!</definedName>
    <definedName name="__ISC3">[2]ISC01!$B:$B+[3]Q_ISC3!$1:$23</definedName>
    <definedName name="_1__123Graph_AChart_1" localSheetId="10" hidden="1">'[5]Table 1'!#REF!</definedName>
    <definedName name="_1__123Graph_AChart_1" hidden="1">'[5]Table 1'!#REF!</definedName>
    <definedName name="_2__123Graph_ADEV_EMPL" localSheetId="10" hidden="1">'[4]Time series'!#REF!</definedName>
    <definedName name="_2__123Graph_ADEV_EMPL" hidden="1">'[4]Time series'!#REF!</definedName>
    <definedName name="_3__123Graph_BDEV_EMPL" localSheetId="10" hidden="1">'[4]Time series'!#REF!</definedName>
    <definedName name="_3__123Graph_BDEV_EMPL" hidden="1">'[4]Time series'!#REF!</definedName>
    <definedName name="_4__123Graph_CDEV_EMPL" localSheetId="10" hidden="1">'[4]Time series'!#REF!</definedName>
    <definedName name="_4__123Graph_CDEV_EMPL" hidden="1">'[4]Time series'!#REF!</definedName>
    <definedName name="_5__123Graph_CSWE_EMPL" localSheetId="10" hidden="1">'[4]Time series'!#REF!</definedName>
    <definedName name="_5__123Graph_CSWE_EMPL" hidden="1">'[4]Time series'!#REF!</definedName>
    <definedName name="_6Y" localSheetId="10">[1]EAT12_1!#REF!,[1]EAT12_1!#REF!,[1]EAT12_1!#REF!,[1]EAT12_1!#REF!,[1]EAT12_1!#REF!,[1]EAT12_1!#REF!,[1]EAT12_1!#REF!,[1]EAT12_1!#REF!,[1]EAT12_1!#REF!,[1]EAT12_1!#REF!</definedName>
    <definedName name="_6Y">[1]EAT12_1!#REF!,[1]EAT12_1!#REF!,[1]EAT12_1!#REF!,[1]EAT12_1!#REF!,[1]EAT12_1!#REF!,[1]EAT12_1!#REF!,[1]EAT12_1!#REF!,[1]EAT12_1!#REF!,[1]EAT12_1!#REF!,[1]EAT12_1!#REF!</definedName>
    <definedName name="_xlnm._FilterDatabase" localSheetId="1" hidden="1">'Table II.B1.9.1'!$A$15:$AN$15</definedName>
    <definedName name="_xlnm._FilterDatabase" localSheetId="10" hidden="1">'Table II.B1.9.10'!$A$15:$AT$15</definedName>
    <definedName name="_xlnm._FilterDatabase" localSheetId="11" hidden="1">'Table II.B1.9.11'!$A$15:$U$15</definedName>
    <definedName name="_xlnm._FilterDatabase" localSheetId="2" hidden="1">'Table II.B1.9.2'!$A$15:$AB$15</definedName>
    <definedName name="_xlnm._FilterDatabase" localSheetId="3" hidden="1">'Table II.B1.9.3'!$A$15:$AB$15</definedName>
    <definedName name="_xlnm._FilterDatabase" localSheetId="4" hidden="1">'Table II.B1.9.4'!$A$15:$Z$15</definedName>
    <definedName name="_xlnm._FilterDatabase" localSheetId="5" hidden="1">'Table II.B1.9.5'!$A$15:$Y$15</definedName>
    <definedName name="_xlnm._FilterDatabase" localSheetId="6" hidden="1">'Table II.B1.9.6'!$A$15:$DK$15</definedName>
    <definedName name="_xlnm._FilterDatabase" localSheetId="7" hidden="1">'Table II.B1.9.7'!$A$15:$BC$15</definedName>
    <definedName name="_xlnm._FilterDatabase" localSheetId="8" hidden="1">'Table II.B1.9.8'!$A$15:$BC$15</definedName>
    <definedName name="_xlnm._FilterDatabase" localSheetId="9" hidden="1">'Table II.B1.9.9'!$A$15:$AK$15</definedName>
    <definedName name="_ISC3">[2]ISC01!$B:$B+[3]Q_ISC3!$1:$23</definedName>
    <definedName name="_Order1" hidden="1">0</definedName>
    <definedName name="calcul">'[6]Calcul_B1.1'!$A$1:$L$37</definedName>
    <definedName name="dpogjr" localSheetId="10" hidden="1">'[4]Time series'!#REF!</definedName>
    <definedName name="dpogjr" hidden="1">'[4]Time series'!#REF!</definedName>
    <definedName name="ffff" localSheetId="10" hidden="1">'[7]Time series'!#REF!</definedName>
    <definedName name="ffff" hidden="1">'[7]Time series'!#REF!</definedName>
    <definedName name="fgfgfgf" localSheetId="10" hidden="1">'[7]Time series'!#REF!</definedName>
    <definedName name="fgfgfgf" hidden="1">'[7]Time series'!#REF!</definedName>
    <definedName name="ghfgf" localSheetId="10" hidden="1">'[4]Time series'!#REF!</definedName>
    <definedName name="ghfgf" hidden="1">'[4]Time series'!#REF!</definedName>
    <definedName name="gjgfgk" localSheetId="10" hidden="1">'[4]Time series'!#REF!</definedName>
    <definedName name="gjgfgk" hidden="1">'[4]Time series'!#REF!</definedName>
    <definedName name="help" localSheetId="10" hidden="1">'[4]Time series'!#REF!</definedName>
    <definedName name="help" hidden="1">'[4]Time series'!#REF!</definedName>
    <definedName name="hjjh" localSheetId="10" hidden="1">'[4]Time series'!#REF!</definedName>
    <definedName name="hjjh" hidden="1">'[4]Time series'!#REF!</definedName>
    <definedName name="jhhhg" localSheetId="10" hidden="1">'[4]Time series'!#REF!</definedName>
    <definedName name="jhhhg" hidden="1">'[4]Time series'!#REF!</definedName>
    <definedName name="POpula">[8]POpula!$A$1:$I$1559</definedName>
    <definedName name="sdakjkjsad" localSheetId="10" hidden="1">'[4]Time series'!#REF!</definedName>
    <definedName name="sdakjkjsad" hidden="1">'[4]Time series'!#REF!</definedName>
    <definedName name="SPSS">[9]Figure5.6!$B$2:$X$30</definedName>
    <definedName name="tabx" hidden="1">{"g95_96m1",#N/A,FALSE,"Graf(95+96)M";"g95_96m2",#N/A,FALSE,"Graf(95+96)M";"g95_96mb1",#N/A,FALSE,"Graf(95+96)Mb";"g95_96mb2",#N/A,FALSE,"Graf(95+96)Mb";"g95_96f1",#N/A,FALSE,"Graf(95+96)F";"g95_96f2",#N/A,FALSE,"Graf(95+96)F";"g95_96fb1",#N/A,FALSE,"Graf(95+96)Fb";"g95_96fb2",#N/A,FALSE,"Graf(95+96)Fb"}</definedName>
    <definedName name="toto">[10]Data5.11a!$B$3:$C$34</definedName>
    <definedName name="wrn.Graf95_96." hidden="1">{"g95_96m1",#N/A,FALSE,"Graf(95+96)M";"g95_96m2",#N/A,FALSE,"Graf(95+96)M";"g95_96mb1",#N/A,FALSE,"Graf(95+96)Mb";"g95_96mb2",#N/A,FALSE,"Graf(95+96)Mb";"g95_96f1",#N/A,FALSE,"Graf(95+96)F";"g95_96f2",#N/A,FALSE,"Graf(95+96)F";"g95_96fb1",#N/A,FALSE,"Graf(95+96)Fb";"g95_96fb2",#N/A,FALSE,"Graf(95+96)Fb"}</definedName>
    <definedName name="wrn.R22_Data_Collection1997." hidden="1">{"_R22_General",#N/A,TRUE,"R22_General";"_R22_Questions",#N/A,TRUE,"R22_Questions";"ColA_R22",#N/A,TRUE,"R2295";"_R22_Tables",#N/A,TRUE,"R2295"}</definedName>
    <definedName name="wrn.TabARA." hidden="1">{"Page1",#N/A,FALSE,"ARA M&amp;F&amp;T";"Page2",#N/A,FALSE,"ARA M&amp;F&amp;T";"Page3",#N/A,FALSE,"ARA M&amp;F&amp;T"}</definedName>
  </definedNames>
  <calcPr calcId="162913"/>
</workbook>
</file>

<file path=xl/calcChain.xml><?xml version="1.0" encoding="utf-8"?>
<calcChain xmlns="http://schemas.openxmlformats.org/spreadsheetml/2006/main">
  <c r="B21" i="5" l="1"/>
  <c r="A21" i="5"/>
  <c r="B20" i="5"/>
  <c r="A20" i="5"/>
  <c r="B19" i="5"/>
  <c r="A19" i="5"/>
  <c r="B18" i="5"/>
  <c r="A18" i="5"/>
  <c r="B17" i="5"/>
  <c r="A17" i="5"/>
  <c r="B16" i="5"/>
  <c r="A16" i="5"/>
  <c r="B15" i="5"/>
  <c r="A15" i="5"/>
  <c r="B14" i="5"/>
  <c r="A14" i="5"/>
  <c r="B13" i="5"/>
  <c r="A13" i="5"/>
  <c r="B12" i="5"/>
  <c r="A12" i="5"/>
  <c r="B11" i="5"/>
  <c r="A11" i="5"/>
</calcChain>
</file>

<file path=xl/sharedStrings.xml><?xml version="1.0" encoding="utf-8"?>
<sst xmlns="http://schemas.openxmlformats.org/spreadsheetml/2006/main" count="18019" uniqueCount="237">
  <si>
    <t>%</t>
  </si>
  <si>
    <t>S.E.</t>
  </si>
  <si>
    <t>s</t>
  </si>
  <si>
    <t>% dif.</t>
  </si>
  <si>
    <t>PISA 2018</t>
  </si>
  <si>
    <t>Non-immigrant students</t>
  </si>
  <si>
    <t>Immigrant students</t>
  </si>
  <si>
    <t>Percentage of students</t>
  </si>
  <si>
    <t>Percentage of immigrant students</t>
  </si>
  <si>
    <t>Students' socio-economic status (ESCS)</t>
  </si>
  <si>
    <t>Mean index</t>
  </si>
  <si>
    <t>Reading performance</t>
  </si>
  <si>
    <t>Mean score</t>
  </si>
  <si>
    <t>Low performance in reading, by immigrant background</t>
  </si>
  <si>
    <t>Odds ratio</t>
  </si>
  <si>
    <t>Tables</t>
  </si>
  <si>
    <t>Average performance</t>
  </si>
  <si>
    <t>Score dif.</t>
  </si>
  <si>
    <t>PISA 2018 Results - Volume II</t>
  </si>
  <si>
    <t>Immigrant background and students’ performance</t>
  </si>
  <si>
    <t>Socio-economic status, by immigrant background</t>
  </si>
  <si>
    <r>
      <t>Percentage of disadvantaged students</t>
    </r>
    <r>
      <rPr>
        <b/>
        <vertAlign val="superscript"/>
        <sz val="10"/>
        <color theme="1"/>
        <rFont val="Arial"/>
        <family val="2"/>
      </rPr>
      <t>1</t>
    </r>
  </si>
  <si>
    <t>Note</t>
  </si>
  <si>
    <t>1. A socio-economically disadvantaged student is a student in the bottom quarter of the PISA index of economic, social and cultural status (ESCS) in his or her own country/economy.</t>
  </si>
  <si>
    <t>Percentage of students who speak mainly another language at home</t>
  </si>
  <si>
    <t>1. The socio-economic profile is measured by the PISA index of economic, social and cultural status (ESCS).</t>
  </si>
  <si>
    <t>All students</t>
  </si>
  <si>
    <t>Based on students' reports</t>
  </si>
  <si>
    <t>Percentage of students who expect to complete tertiary education (ISCED 5B, ISCED 5A or 6)</t>
  </si>
  <si>
    <r>
      <t>Percentage of advantaged students</t>
    </r>
    <r>
      <rPr>
        <b/>
        <vertAlign val="superscript"/>
        <sz val="10"/>
        <color theme="1"/>
        <rFont val="Arial"/>
        <family val="2"/>
      </rPr>
      <t>2</t>
    </r>
  </si>
  <si>
    <t>2. A socio-economically advantaged student is a student in the top quarter of the PISA index of economic, social and cultural status (ESCS) in his or her own country/economy.</t>
  </si>
  <si>
    <t>Students who expect to complete tertiary education, by immigrant background</t>
  </si>
  <si>
    <t>Concentration of immigrant students in schools</t>
  </si>
  <si>
    <r>
      <t>Segregation of immigrant students (isolation index)</t>
    </r>
    <r>
      <rPr>
        <b/>
        <vertAlign val="superscript"/>
        <sz val="10"/>
        <rFont val="Arial"/>
        <family val="2"/>
      </rPr>
      <t>1</t>
    </r>
  </si>
  <si>
    <t>Academic resilience</t>
  </si>
  <si>
    <t>Bottom quarter</t>
  </si>
  <si>
    <t>Second quarter</t>
  </si>
  <si>
    <t>Third quarter</t>
  </si>
  <si>
    <t>Top quarter</t>
  </si>
  <si>
    <t>Difference
Top - Bottom</t>
  </si>
  <si>
    <t>Index of enjoyment of reading</t>
  </si>
  <si>
    <t>Percentage of students who expect to complete tertiary education</t>
  </si>
  <si>
    <t>Dif.</t>
  </si>
  <si>
    <t>Score-point difference in reading performance associated with immigrant background</t>
  </si>
  <si>
    <t>Percentage of low performers in reading (below Level 2)</t>
  </si>
  <si>
    <t>Second-generation immigrant</t>
  </si>
  <si>
    <t>First-generation immigrant</t>
  </si>
  <si>
    <t>Second-generation immigrant students</t>
  </si>
  <si>
    <t>First-generation immigrant students</t>
  </si>
  <si>
    <r>
      <t>Before accounting for gender, and students' and schools' socio-economic profile</t>
    </r>
    <r>
      <rPr>
        <b/>
        <vertAlign val="superscript"/>
        <sz val="10"/>
        <rFont val="Arial"/>
        <family val="2"/>
      </rPr>
      <t>1</t>
    </r>
  </si>
  <si>
    <r>
      <t>After accounting for gender, and students' and schools' socio-economic profile</t>
    </r>
    <r>
      <rPr>
        <sz val="10"/>
        <color theme="1"/>
        <rFont val="Arial"/>
        <family val="2"/>
      </rPr>
      <t/>
    </r>
  </si>
  <si>
    <t>After accounting for gender, students' and schools' socio-economic profile, and performance in reading</t>
  </si>
  <si>
    <t xml:space="preserve">Average of key student attitudes, by academic resilience </t>
  </si>
  <si>
    <t/>
  </si>
  <si>
    <t>†</t>
  </si>
  <si>
    <t>m</t>
  </si>
  <si>
    <t>c</t>
  </si>
  <si>
    <t>‡</t>
  </si>
  <si>
    <t>Difference Immigrants-Non-immigrants</t>
  </si>
  <si>
    <t>Index of parents' emotional support</t>
  </si>
  <si>
    <t>Index of teacher support</t>
  </si>
  <si>
    <t>Index of disciplinary climate</t>
  </si>
  <si>
    <t>Index of student co-operation</t>
  </si>
  <si>
    <t>Index of student competition</t>
  </si>
  <si>
    <r>
      <t>Index of self-efficacy</t>
    </r>
    <r>
      <rPr>
        <b/>
        <vertAlign val="superscript"/>
        <sz val="10"/>
        <rFont val="Arial"/>
        <family val="2"/>
      </rPr>
      <t>3</t>
    </r>
  </si>
  <si>
    <r>
      <t>Index of teacher enthusiasm</t>
    </r>
    <r>
      <rPr>
        <b/>
        <vertAlign val="superscript"/>
        <sz val="10"/>
        <rFont val="Arial"/>
        <family val="2"/>
      </rPr>
      <t>2</t>
    </r>
  </si>
  <si>
    <t>Non-immigrant</t>
  </si>
  <si>
    <t>Immigrant</t>
  </si>
  <si>
    <t>Mean reading performance and academic resilience, by immigrant background</t>
  </si>
  <si>
    <t>Likelihood of an immigrant student scoring below Level 2 in reading, compared to a non-immigrant student</t>
  </si>
  <si>
    <t>Likelihood of an immigrant student expecting to complete tertiary education, compared to a non-immigrant student</t>
  </si>
  <si>
    <r>
      <t>Index of learning goals</t>
    </r>
    <r>
      <rPr>
        <b/>
        <vertAlign val="superscript"/>
        <sz val="10"/>
        <rFont val="Arial"/>
        <family val="2"/>
      </rPr>
      <t>3</t>
    </r>
  </si>
  <si>
    <r>
      <t>Index of meaning in life</t>
    </r>
    <r>
      <rPr>
        <b/>
        <vertAlign val="superscript"/>
        <sz val="10"/>
        <rFont val="Arial"/>
        <family val="2"/>
      </rPr>
      <t>4</t>
    </r>
  </si>
  <si>
    <r>
      <t>Index of positive feelings</t>
    </r>
    <r>
      <rPr>
        <b/>
        <vertAlign val="superscript"/>
        <sz val="10"/>
        <rFont val="Arial"/>
        <family val="2"/>
      </rPr>
      <t>5</t>
    </r>
  </si>
  <si>
    <r>
      <t>Percentage of students who are satisfied with their lives</t>
    </r>
    <r>
      <rPr>
        <b/>
        <vertAlign val="superscript"/>
        <sz val="10"/>
        <rFont val="Arial"/>
        <family val="2"/>
      </rPr>
      <t>1</t>
    </r>
  </si>
  <si>
    <t>1. In PISA 2018, students were asked “Overall, how satisfied are you with your life as a whole these days?”. Students who rated their life with values from 7 to 10 were considered satisfied with their lives.</t>
  </si>
  <si>
    <t xml:space="preserve">2. Students who disagreed with the following statement: “I feel like an outsider (or left out of things) at school”. </t>
  </si>
  <si>
    <r>
      <t>Percentage of students who do not feel like outsiders</t>
    </r>
    <r>
      <rPr>
        <b/>
        <vertAlign val="superscript"/>
        <sz val="10"/>
        <rFont val="Arial"/>
        <family val="2"/>
      </rPr>
      <t>2</t>
    </r>
  </si>
  <si>
    <t>Notes: Information regarding the proportion of the sample covered is shown next to the standard error. No symbol means at least 75% of the population was covered; one dagger (†) means at least 50% but less than 75%; and one double-dagger (‡) means less than 50% was covered. For comparisons across cycles, the coverage information corresponds to the cycle with the lowest sample coverage.</t>
  </si>
  <si>
    <t>Note: Information regarding the proportion of the sample covered is shown next to the standard error. No symbol means at least 75% of the population was covered; one dagger (†) means at least 50% but less than 75%; and one double-dagger (‡) means less than 50% was covered. For comparisons across cycles, the coverage information corresponds to the cycle with the lowest sample coverage.</t>
  </si>
  <si>
    <r>
      <t>Before accounting for gender, students' and schools' socio-economic profile,</t>
    </r>
    <r>
      <rPr>
        <b/>
        <vertAlign val="superscript"/>
        <sz val="10"/>
        <rFont val="Arial"/>
        <family val="2"/>
      </rPr>
      <t>1</t>
    </r>
    <r>
      <rPr>
        <b/>
        <sz val="10"/>
        <rFont val="Arial"/>
        <family val="2"/>
      </rPr>
      <t xml:space="preserve"> and performance in reading</t>
    </r>
  </si>
  <si>
    <r>
      <t xml:space="preserve">2. This index has been renamed and refers to IRT-scaled index "TEACHINT". For further information, please refer to the </t>
    </r>
    <r>
      <rPr>
        <i/>
        <sz val="10"/>
        <rFont val="Arial"/>
        <family val="2"/>
      </rPr>
      <t>PISA 2018 Technical Report</t>
    </r>
    <r>
      <rPr>
        <sz val="10"/>
        <rFont val="Arial"/>
        <family val="2"/>
      </rPr>
      <t>.</t>
    </r>
  </si>
  <si>
    <r>
      <t xml:space="preserve">3. This index has been renamed and refers to IRT-scaled index "RESILIENCE". For further information, please refer to the </t>
    </r>
    <r>
      <rPr>
        <i/>
        <sz val="10"/>
        <rFont val="Arial"/>
        <family val="2"/>
      </rPr>
      <t>PISA 2018 Technical Report</t>
    </r>
    <r>
      <rPr>
        <sz val="10"/>
        <rFont val="Arial"/>
        <family val="2"/>
      </rPr>
      <t>.</t>
    </r>
  </si>
  <si>
    <t>4. Students with a growth mindset are those who believe that their abilities and circumstances are not fixed and can be changed.</t>
  </si>
  <si>
    <r>
      <t xml:space="preserve">2. This index has been renamed and refers to IRT-scaled index "WORKMAST". For further information, please refer to the </t>
    </r>
    <r>
      <rPr>
        <i/>
        <sz val="10"/>
        <rFont val="Arial"/>
        <family val="2"/>
      </rPr>
      <t>PISA 2018 Technical Report</t>
    </r>
    <r>
      <rPr>
        <sz val="10"/>
        <rFont val="Arial"/>
        <family val="2"/>
      </rPr>
      <t>.</t>
    </r>
  </si>
  <si>
    <r>
      <t xml:space="preserve">3. This index has been renamed and refers to IRT-scaled index "MASTGOAL". For further information, please refer to the </t>
    </r>
    <r>
      <rPr>
        <i/>
        <sz val="10"/>
        <rFont val="Arial"/>
        <family val="2"/>
      </rPr>
      <t>PISA 2018 Technical Report</t>
    </r>
    <r>
      <rPr>
        <sz val="10"/>
        <rFont val="Arial"/>
        <family val="2"/>
      </rPr>
      <t>.</t>
    </r>
  </si>
  <si>
    <r>
      <t xml:space="preserve">4. This index has been renamed and refers to IRT-scaled index "EUDMO". For further information, please refer to the </t>
    </r>
    <r>
      <rPr>
        <i/>
        <sz val="10"/>
        <rFont val="Arial"/>
        <family val="2"/>
      </rPr>
      <t>PISA 2018 Technical Report</t>
    </r>
    <r>
      <rPr>
        <sz val="10"/>
        <rFont val="Arial"/>
        <family val="2"/>
      </rPr>
      <t>.</t>
    </r>
  </si>
  <si>
    <r>
      <t xml:space="preserve">5. This index has been renamed and refers to IRT-scaled index "SWBP". For further information, please refer to the </t>
    </r>
    <r>
      <rPr>
        <i/>
        <sz val="10"/>
        <rFont val="Arial"/>
        <family val="2"/>
      </rPr>
      <t>PISA 2018 Technical Report</t>
    </r>
    <r>
      <rPr>
        <sz val="10"/>
        <rFont val="Arial"/>
        <family val="2"/>
      </rPr>
      <t>.</t>
    </r>
  </si>
  <si>
    <r>
      <t>Academically resilient immigrant students</t>
    </r>
    <r>
      <rPr>
        <b/>
        <vertAlign val="superscript"/>
        <sz val="10"/>
        <rFont val="Arial"/>
        <family val="2"/>
      </rPr>
      <t>2</t>
    </r>
  </si>
  <si>
    <t>Average performance in reading</t>
  </si>
  <si>
    <t>Immigrant students who speak mainly another language at home</t>
  </si>
  <si>
    <t>Immigrant students who are NOT academically resilient</t>
  </si>
  <si>
    <t>Difference between immigrant students who are academically resilient and those who are not</t>
  </si>
  <si>
    <t>Immigrant students who are academically resilient</t>
  </si>
  <si>
    <t>Language spoken at home, by immigrant background</t>
  </si>
  <si>
    <t>Difference in reading performance between immigrant students who speak the language of assessment at home and those who do not</t>
  </si>
  <si>
    <t>2. Immigrant students who scored in the top quarter of performance in reading amongst students in their own country.</t>
  </si>
  <si>
    <t>1. The isolation index measures whether students of type A are more concentrated in some schools. The index is related to the likelihood of a representative type A student to be enrolled in schools that enrol students of another type. It ranges from 0 to 1, with 0 corresponding to no segregation and 1 to full segregation.</t>
  </si>
  <si>
    <t>Percentage of academically resilient immigrant students, by quarter of key indices</t>
  </si>
  <si>
    <t>Percentage of academically resilient immigrant students,1 by national quarter of the following indices</t>
  </si>
  <si>
    <t>Students did not exhibit a growth mindset</t>
  </si>
  <si>
    <t>Students exhibited a growth mindset</t>
  </si>
  <si>
    <t>Difference between
students who exhibited a growth mindset and those who did not</t>
  </si>
  <si>
    <t>1. Immigrant students who scored in the top quarter of performance in reading amongst students in their own country.</t>
  </si>
  <si>
    <t>Students' well-being, by immigrant background</t>
  </si>
  <si>
    <t>PISA 2009</t>
  </si>
  <si>
    <t>Change between 2009 and 2018 in the percentage of students with an immigrant background</t>
  </si>
  <si>
    <t>Change between 2009 and 2018 in the reading performance of students with an immigrant background</t>
  </si>
  <si>
    <t>TOC</t>
  </si>
  <si>
    <t>Change in reading performance between PISA 2009 and PISA 2018 (PISA 2018 - PISA 2009)</t>
  </si>
  <si>
    <t>Change between PISA 2009 and PISA 2018 (PISA 2018 - PISA 2009)</t>
  </si>
  <si>
    <r>
      <t>Percentage of academically resilient immigrant students, amongst students who exhibited or did not exhibit a growth mindset</t>
    </r>
    <r>
      <rPr>
        <b/>
        <vertAlign val="superscript"/>
        <sz val="10"/>
        <rFont val="Arial"/>
        <family val="2"/>
      </rPr>
      <t>4</t>
    </r>
  </si>
  <si>
    <t>Symbols for missing data</t>
  </si>
  <si>
    <t>c: There were too few observations to provide reliable estimates (i.e. there were fewer than 30 students or fewer than 5 schools with valid data).</t>
  </si>
  <si>
    <t>w: Results were withdrawn at the request of the country concerned.</t>
  </si>
  <si>
    <t>OECD averages</t>
  </si>
  <si>
    <t>Information on data for Cyprus: https://oe.cd/cyprus-disclaimer</t>
  </si>
  <si>
    <t>Table II.B1.9.2</t>
  </si>
  <si>
    <t>Table II.B1.9.1</t>
  </si>
  <si>
    <t>Table II.B1.9.3</t>
  </si>
  <si>
    <t>Table II.B1.9.4</t>
  </si>
  <si>
    <t>Table II.B1.9.5</t>
  </si>
  <si>
    <t>Table II.B1.9.6</t>
  </si>
  <si>
    <t>Table II.B1.9.7</t>
  </si>
  <si>
    <t>Table II.B1.9.8</t>
  </si>
  <si>
    <t>Table II.B1.9.9</t>
  </si>
  <si>
    <t>Table II.B1.9.10</t>
  </si>
  <si>
    <t>Table II.B1.9.11</t>
  </si>
  <si>
    <t>w</t>
  </si>
  <si>
    <r>
      <t>Immigrant students who are academically resilient</t>
    </r>
    <r>
      <rPr>
        <b/>
        <vertAlign val="superscript"/>
        <sz val="10"/>
        <rFont val="Arial"/>
        <family val="2"/>
      </rPr>
      <t>1</t>
    </r>
  </si>
  <si>
    <t>Australia</t>
  </si>
  <si>
    <t>Austria</t>
  </si>
  <si>
    <t>Belgium</t>
  </si>
  <si>
    <t>Canada</t>
  </si>
  <si>
    <t>Chile</t>
  </si>
  <si>
    <t>Colombia</t>
  </si>
  <si>
    <t>Czech Republic</t>
  </si>
  <si>
    <t>Denmark</t>
  </si>
  <si>
    <t>Estonia</t>
  </si>
  <si>
    <t>Finland</t>
  </si>
  <si>
    <t>France</t>
  </si>
  <si>
    <t>Germany</t>
  </si>
  <si>
    <t>Greece</t>
  </si>
  <si>
    <t>Hungary</t>
  </si>
  <si>
    <t>Iceland</t>
  </si>
  <si>
    <t>Ireland</t>
  </si>
  <si>
    <t>Israel</t>
  </si>
  <si>
    <t>Italy</t>
  </si>
  <si>
    <t>Japan</t>
  </si>
  <si>
    <t>Korea</t>
  </si>
  <si>
    <t>Latvia</t>
  </si>
  <si>
    <t>Lithuania</t>
  </si>
  <si>
    <t>Luxembourg</t>
  </si>
  <si>
    <t>Mexico</t>
  </si>
  <si>
    <t>New Zealand</t>
  </si>
  <si>
    <t>Norway</t>
  </si>
  <si>
    <t>Poland</t>
  </si>
  <si>
    <t>Slovak Republic</t>
  </si>
  <si>
    <t>Slovenia</t>
  </si>
  <si>
    <t>Spain</t>
  </si>
  <si>
    <t>Sweden</t>
  </si>
  <si>
    <t>Switzerland</t>
  </si>
  <si>
    <t>Turkey</t>
  </si>
  <si>
    <t>United Kingdom</t>
  </si>
  <si>
    <t>OECD average</t>
  </si>
  <si>
    <t>OECD average-35a</t>
  </si>
  <si>
    <t>OECD average-36a</t>
  </si>
  <si>
    <t>OECD average-36b</t>
  </si>
  <si>
    <t>OECD average-37</t>
  </si>
  <si>
    <t>Albania</t>
  </si>
  <si>
    <t>Argentina</t>
  </si>
  <si>
    <t>Baku (Azerbaijan)</t>
  </si>
  <si>
    <t>Belarus</t>
  </si>
  <si>
    <t>Bosnia and Herzegovina</t>
  </si>
  <si>
    <t>Brazil</t>
  </si>
  <si>
    <t>Brunei Darussalam</t>
  </si>
  <si>
    <t>B-S-J-Z (China)</t>
  </si>
  <si>
    <t>Bulgaria</t>
  </si>
  <si>
    <t>Costa Rica</t>
  </si>
  <si>
    <t>Croatia</t>
  </si>
  <si>
    <t>Cyprus</t>
  </si>
  <si>
    <t>Dominican Republic</t>
  </si>
  <si>
    <t>Georgia</t>
  </si>
  <si>
    <t>Indonesia</t>
  </si>
  <si>
    <t>Jordan</t>
  </si>
  <si>
    <t>Kazakhstan</t>
  </si>
  <si>
    <t>Kosovo</t>
  </si>
  <si>
    <t>Lebanon</t>
  </si>
  <si>
    <t>Macao (China)</t>
  </si>
  <si>
    <t>Malaysia</t>
  </si>
  <si>
    <t>Malta</t>
  </si>
  <si>
    <t>Moldova</t>
  </si>
  <si>
    <t>Montenegro</t>
  </si>
  <si>
    <t>Morocco</t>
  </si>
  <si>
    <t>North Macedonia</t>
  </si>
  <si>
    <t>Panama</t>
  </si>
  <si>
    <t>Peru</t>
  </si>
  <si>
    <t>Philippines</t>
  </si>
  <si>
    <t>Qatar</t>
  </si>
  <si>
    <t>Romania</t>
  </si>
  <si>
    <t>Russia</t>
  </si>
  <si>
    <t>Saudi Arabia</t>
  </si>
  <si>
    <t>Serbia</t>
  </si>
  <si>
    <t>Singapore</t>
  </si>
  <si>
    <t>Chinese Taipei</t>
  </si>
  <si>
    <t>Thailand</t>
  </si>
  <si>
    <t>Ukraine</t>
  </si>
  <si>
    <t>United Arab Emirates</t>
  </si>
  <si>
    <t>Uruguay</t>
  </si>
  <si>
    <t>Viet Nam</t>
  </si>
  <si>
    <t>OECD</t>
  </si>
  <si>
    <t>Partners</t>
  </si>
  <si>
    <t>Values that are statistically significant are indicated in bold (see Annex A3).</t>
  </si>
  <si>
    <t>m: Data are not available. There was no observation in the sample; these data were not collected by the country; or these data were collected but subsequently removed from the publication for technical reasons.</t>
  </si>
  <si>
    <t>OECD average, OECD average-37</t>
  </si>
  <si>
    <r>
      <t>Index of motivation to master tasks</t>
    </r>
    <r>
      <rPr>
        <b/>
        <vertAlign val="superscript"/>
        <sz val="10"/>
        <rFont val="Arial"/>
        <family val="2"/>
      </rPr>
      <t>2</t>
    </r>
  </si>
  <si>
    <r>
      <t>Belgium</t>
    </r>
    <r>
      <rPr>
        <vertAlign val="superscript"/>
        <sz val="10"/>
        <color theme="1"/>
        <rFont val="Arial"/>
        <family val="2"/>
      </rPr>
      <t>5</t>
    </r>
  </si>
  <si>
    <t>5. For the index Self-efficacy and Growth mindset, questionnaires were only distributed to the Flemish community.</t>
  </si>
  <si>
    <r>
      <t>Belgium</t>
    </r>
    <r>
      <rPr>
        <vertAlign val="superscript"/>
        <sz val="10"/>
        <color theme="1"/>
        <rFont val="Arial"/>
        <family val="2"/>
      </rPr>
      <t>6</t>
    </r>
  </si>
  <si>
    <t>*Honk Kong (China), Netherlands, Portugal and United States: Data did not meet the PISA technical standards but were accepted as largely comparable (see Annexes A2 and A4).</t>
  </si>
  <si>
    <t>*Honk Kong (China), Netherlands, Portugal and United States: PISA 2018 data did not meet the PISA technical standards but were accepted as largely comparable (see Annexes A2 and A4).</t>
  </si>
  <si>
    <t xml:space="preserve"> Arithmetic mean across all OECD Member countries (and Colombia).</t>
  </si>
  <si>
    <t xml:space="preserve"> Arithmetic mean across all OECD Member countries (and Colombia), excluding Spain.</t>
  </si>
  <si>
    <t xml:space="preserve"> Arithmetic mean across all OECD Member countries (and Colombia), excluding Austria.</t>
  </si>
  <si>
    <t xml:space="preserve"> Arithmetic mean across all OECD Member countries (and Colombia), excluding Austria and Spain.</t>
  </si>
  <si>
    <t>Chapter 9</t>
  </si>
  <si>
    <t>Netherlands*</t>
  </si>
  <si>
    <t>Portugal*</t>
  </si>
  <si>
    <t>United States*</t>
  </si>
  <si>
    <t>Hong Kong (China)*</t>
  </si>
  <si>
    <t>6. For the index Meaning in life, questionnaire was only distributed to the Flemish community.</t>
  </si>
  <si>
    <t>Immigrant students who speak the language of assessment at home</t>
  </si>
  <si>
    <t>PISA 2018 Results (Volume II) - © OECD 2019</t>
  </si>
  <si>
    <t>Annex B1</t>
  </si>
  <si>
    <t>Annex B1.9 Results (tables): Immigrant background and students’ performance</t>
  </si>
  <si>
    <t>Version 2 - Last updated: 02-Dec-2019</t>
  </si>
  <si>
    <t>Disclaimer: http://oe.cd/disclaimer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</si>
</sst>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\(0.00\)"/>
    <numFmt numFmtId="165" formatCode="0.0"/>
    <numFmt numFmtId="166" formatCode="\(0.0\)"/>
    <numFmt numFmtId="167" formatCode="\(0.00000\)"/>
  </numFmts>
  <fonts count="15" x14ac:knownFonts="1">
    <font>
      <sz val="10"/>
      <color theme="1"/>
      <name val="Arial"/>
      <family val="2"/>
    </font>
    <font>
      <sz val="10"/>
      <color rgb="FFFF0000"/>
      <name val="Arial"/>
      <family val="2"/>
    </font>
    <font>
      <b/>
      <sz val="10"/>
      <color theme="1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0"/>
      <color rgb="FF0070C0"/>
      <name val="Arial"/>
      <family val="2"/>
    </font>
    <font>
      <i/>
      <sz val="10"/>
      <name val="Arial"/>
      <family val="2"/>
    </font>
    <font>
      <b/>
      <i/>
      <sz val="10"/>
      <color theme="1"/>
      <name val="Arial"/>
      <family val="2"/>
    </font>
    <font>
      <u/>
      <sz val="10"/>
      <color theme="10"/>
      <name val="Arial"/>
      <family val="2"/>
    </font>
    <font>
      <i/>
      <sz val="10"/>
      <color rgb="FFFF0000"/>
      <name val="Arial"/>
      <family val="2"/>
    </font>
    <font>
      <b/>
      <vertAlign val="superscript"/>
      <sz val="10"/>
      <color theme="1"/>
      <name val="Arial"/>
      <family val="2"/>
    </font>
    <font>
      <b/>
      <vertAlign val="superscript"/>
      <sz val="10"/>
      <name val="Arial"/>
      <family val="2"/>
    </font>
    <font>
      <vertAlign val="superscript"/>
      <sz val="10"/>
      <color theme="1"/>
      <name val="Arial"/>
      <family val="2"/>
    </font>
    <font>
      <sz val="10"/>
      <color rgb="FF01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indexed="9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auto="1"/>
      </right>
      <top style="thin">
        <color indexed="64"/>
      </top>
      <bottom/>
      <diagonal/>
    </border>
  </borders>
  <cellStyleXfs count="4">
    <xf numFmtId="0" fontId="0" fillId="0" borderId="0"/>
    <xf numFmtId="0" fontId="3" fillId="0" borderId="0"/>
    <xf numFmtId="0" fontId="9" fillId="0" borderId="0" applyNumberFormat="0" applyFill="0" applyBorder="0" applyAlignment="0" applyProtection="0"/>
    <xf numFmtId="0" fontId="3" fillId="4" borderId="0"/>
  </cellStyleXfs>
  <cellXfs count="117">
    <xf numFmtId="0" fontId="0" fillId="0" borderId="0" xfId="0"/>
    <xf numFmtId="0" fontId="3" fillId="2" borderId="0" xfId="1" applyFont="1" applyFill="1" applyAlignment="1">
      <alignment horizontal="left"/>
    </xf>
    <xf numFmtId="0" fontId="3" fillId="2" borderId="0" xfId="0" applyFont="1" applyFill="1"/>
    <xf numFmtId="0" fontId="4" fillId="0" borderId="0" xfId="0" applyFont="1" applyFill="1" applyBorder="1"/>
    <xf numFmtId="0" fontId="5" fillId="2" borderId="0" xfId="0" applyFont="1" applyFill="1"/>
    <xf numFmtId="0" fontId="6" fillId="2" borderId="0" xfId="0" applyFont="1" applyFill="1"/>
    <xf numFmtId="0" fontId="4" fillId="2" borderId="0" xfId="0" applyFont="1" applyFill="1"/>
    <xf numFmtId="0" fontId="7" fillId="2" borderId="0" xfId="0" applyFont="1" applyFill="1"/>
    <xf numFmtId="0" fontId="3" fillId="3" borderId="1" xfId="0" applyFont="1" applyFill="1" applyBorder="1" applyAlignment="1">
      <alignment vertical="center" wrapText="1"/>
    </xf>
    <xf numFmtId="0" fontId="3" fillId="3" borderId="5" xfId="0" applyFont="1" applyFill="1" applyBorder="1" applyAlignment="1">
      <alignment vertical="center" wrapText="1"/>
    </xf>
    <xf numFmtId="0" fontId="3" fillId="3" borderId="12" xfId="0" applyFont="1" applyFill="1" applyBorder="1" applyAlignment="1">
      <alignment wrapText="1"/>
    </xf>
    <xf numFmtId="0" fontId="3" fillId="3" borderId="6" xfId="1" applyFont="1" applyFill="1" applyBorder="1" applyAlignment="1">
      <alignment horizontal="center" wrapText="1"/>
    </xf>
    <xf numFmtId="0" fontId="3" fillId="3" borderId="7" xfId="1" applyFont="1" applyFill="1" applyBorder="1" applyAlignment="1">
      <alignment horizontal="center" wrapText="1"/>
    </xf>
    <xf numFmtId="0" fontId="3" fillId="3" borderId="7" xfId="1" applyFont="1" applyFill="1" applyBorder="1" applyAlignment="1">
      <alignment horizontal="right" wrapText="1"/>
    </xf>
    <xf numFmtId="0" fontId="3" fillId="3" borderId="8" xfId="1" applyFont="1" applyFill="1" applyBorder="1" applyAlignment="1">
      <alignment horizontal="right" wrapText="1"/>
    </xf>
    <xf numFmtId="0" fontId="0" fillId="0" borderId="5" xfId="0" applyBorder="1"/>
    <xf numFmtId="2" fontId="0" fillId="0" borderId="13" xfId="0" applyNumberFormat="1" applyBorder="1" applyAlignment="1">
      <alignment horizontal="right"/>
    </xf>
    <xf numFmtId="164" fontId="0" fillId="0" borderId="0" xfId="0" applyNumberFormat="1" applyBorder="1" applyAlignment="1">
      <alignment horizontal="right"/>
    </xf>
    <xf numFmtId="0" fontId="0" fillId="0" borderId="16" xfId="0" applyBorder="1"/>
    <xf numFmtId="2" fontId="0" fillId="0" borderId="17" xfId="0" applyNumberFormat="1" applyBorder="1" applyAlignment="1">
      <alignment horizontal="right"/>
    </xf>
    <xf numFmtId="164" fontId="0" fillId="0" borderId="18" xfId="0" applyNumberFormat="1" applyBorder="1" applyAlignment="1">
      <alignment horizontal="right"/>
    </xf>
    <xf numFmtId="0" fontId="1" fillId="0" borderId="0" xfId="0" applyFont="1"/>
    <xf numFmtId="0" fontId="3" fillId="3" borderId="22" xfId="0" applyFont="1" applyFill="1" applyBorder="1" applyAlignment="1">
      <alignment vertical="center" wrapText="1"/>
    </xf>
    <xf numFmtId="0" fontId="2" fillId="0" borderId="0" xfId="0" applyFont="1"/>
    <xf numFmtId="0" fontId="8" fillId="0" borderId="0" xfId="0" applyFont="1"/>
    <xf numFmtId="0" fontId="9" fillId="0" borderId="0" xfId="2"/>
    <xf numFmtId="0" fontId="10" fillId="2" borderId="0" xfId="0" applyFont="1" applyFill="1"/>
    <xf numFmtId="0" fontId="3" fillId="0" borderId="0" xfId="0" applyFont="1"/>
    <xf numFmtId="0" fontId="7" fillId="0" borderId="0" xfId="3" applyFont="1" applyFill="1" applyAlignment="1">
      <alignment horizontal="left"/>
    </xf>
    <xf numFmtId="0" fontId="0" fillId="0" borderId="0" xfId="0" applyAlignment="1">
      <alignment wrapText="1"/>
    </xf>
    <xf numFmtId="0" fontId="1" fillId="2" borderId="0" xfId="1" applyFont="1" applyFill="1" applyAlignment="1">
      <alignment horizontal="left"/>
    </xf>
    <xf numFmtId="0" fontId="3" fillId="3" borderId="1" xfId="0" applyFont="1" applyFill="1" applyBorder="1" applyAlignment="1">
      <alignment wrapText="1"/>
    </xf>
    <xf numFmtId="0" fontId="3" fillId="3" borderId="26" xfId="0" applyFont="1" applyFill="1" applyBorder="1" applyAlignment="1">
      <alignment wrapText="1"/>
    </xf>
    <xf numFmtId="0" fontId="0" fillId="0" borderId="0" xfId="0" applyAlignment="1"/>
    <xf numFmtId="0" fontId="3" fillId="3" borderId="8" xfId="1" applyFont="1" applyFill="1" applyBorder="1" applyAlignment="1">
      <alignment horizontal="center" wrapText="1"/>
    </xf>
    <xf numFmtId="164" fontId="4" fillId="0" borderId="0" xfId="3" applyNumberFormat="1" applyFont="1" applyFill="1" applyAlignment="1">
      <alignment horizontal="left"/>
    </xf>
    <xf numFmtId="165" fontId="0" fillId="0" borderId="13" xfId="0" applyNumberFormat="1" applyBorder="1" applyAlignment="1">
      <alignment horizontal="right"/>
    </xf>
    <xf numFmtId="166" fontId="0" fillId="0" borderId="0" xfId="0" applyNumberFormat="1" applyBorder="1" applyAlignment="1">
      <alignment horizontal="right"/>
    </xf>
    <xf numFmtId="0" fontId="0" fillId="0" borderId="0" xfId="0" applyBorder="1"/>
    <xf numFmtId="0" fontId="0" fillId="0" borderId="15" xfId="0" applyBorder="1"/>
    <xf numFmtId="165" fontId="0" fillId="0" borderId="17" xfId="0" applyNumberFormat="1" applyBorder="1" applyAlignment="1">
      <alignment horizontal="right"/>
    </xf>
    <xf numFmtId="166" fontId="0" fillId="0" borderId="18" xfId="0" applyNumberFormat="1" applyBorder="1" applyAlignment="1">
      <alignment horizontal="right"/>
    </xf>
    <xf numFmtId="0" fontId="0" fillId="0" borderId="18" xfId="0" applyBorder="1"/>
    <xf numFmtId="0" fontId="0" fillId="0" borderId="19" xfId="0" applyBorder="1"/>
    <xf numFmtId="1" fontId="0" fillId="0" borderId="13" xfId="0" applyNumberFormat="1" applyBorder="1" applyAlignment="1">
      <alignment horizontal="right"/>
    </xf>
    <xf numFmtId="1" fontId="0" fillId="0" borderId="17" xfId="0" applyNumberFormat="1" applyBorder="1" applyAlignment="1">
      <alignment horizontal="right"/>
    </xf>
    <xf numFmtId="0" fontId="0" fillId="0" borderId="0" xfId="0" applyAlignment="1">
      <alignment wrapText="1"/>
    </xf>
    <xf numFmtId="0" fontId="0" fillId="0" borderId="0" xfId="0" applyAlignment="1">
      <alignment wrapText="1"/>
    </xf>
    <xf numFmtId="0" fontId="0" fillId="0" borderId="18" xfId="0" applyBorder="1" applyAlignment="1"/>
    <xf numFmtId="0" fontId="2" fillId="0" borderId="0" xfId="0" applyFont="1" applyAlignment="1">
      <alignment vertical="center"/>
    </xf>
    <xf numFmtId="0" fontId="0" fillId="0" borderId="0" xfId="0" applyAlignment="1">
      <alignment vertical="center"/>
    </xf>
    <xf numFmtId="0" fontId="4" fillId="0" borderId="33" xfId="1" applyFont="1" applyFill="1" applyBorder="1" applyAlignment="1">
      <alignment horizontal="left"/>
    </xf>
    <xf numFmtId="0" fontId="3" fillId="0" borderId="29" xfId="1" applyFont="1" applyFill="1" applyBorder="1" applyAlignment="1">
      <alignment horizontal="center"/>
    </xf>
    <xf numFmtId="0" fontId="3" fillId="0" borderId="30" xfId="1" applyFont="1" applyFill="1" applyBorder="1" applyAlignment="1">
      <alignment horizontal="center"/>
    </xf>
    <xf numFmtId="0" fontId="3" fillId="0" borderId="30" xfId="1" applyFont="1" applyFill="1" applyBorder="1" applyAlignment="1">
      <alignment horizontal="right"/>
    </xf>
    <xf numFmtId="0" fontId="3" fillId="0" borderId="29" xfId="1" applyFont="1" applyFill="1" applyBorder="1" applyAlignment="1">
      <alignment horizontal="right"/>
    </xf>
    <xf numFmtId="0" fontId="3" fillId="0" borderId="32" xfId="1" applyFont="1" applyFill="1" applyBorder="1" applyAlignment="1">
      <alignment horizontal="right"/>
    </xf>
    <xf numFmtId="0" fontId="2" fillId="0" borderId="5" xfId="0" applyFont="1" applyBorder="1"/>
    <xf numFmtId="0" fontId="0" fillId="0" borderId="0" xfId="0" applyFont="1" applyAlignment="1">
      <alignment vertical="center"/>
    </xf>
    <xf numFmtId="0" fontId="3" fillId="0" borderId="29" xfId="1" applyFont="1" applyFill="1" applyBorder="1" applyAlignment="1">
      <alignment horizontal="center" wrapText="1"/>
    </xf>
    <xf numFmtId="0" fontId="3" fillId="0" borderId="30" xfId="1" applyFont="1" applyFill="1" applyBorder="1" applyAlignment="1">
      <alignment horizontal="center" wrapText="1"/>
    </xf>
    <xf numFmtId="0" fontId="3" fillId="0" borderId="30" xfId="1" applyFont="1" applyFill="1" applyBorder="1" applyAlignment="1">
      <alignment horizontal="right" wrapText="1"/>
    </xf>
    <xf numFmtId="0" fontId="3" fillId="0" borderId="32" xfId="1" applyFont="1" applyFill="1" applyBorder="1" applyAlignment="1">
      <alignment horizontal="right" wrapText="1"/>
    </xf>
    <xf numFmtId="0" fontId="4" fillId="0" borderId="33" xfId="0" applyFont="1" applyFill="1" applyBorder="1" applyAlignment="1">
      <alignment wrapText="1"/>
    </xf>
    <xf numFmtId="0" fontId="0" fillId="0" borderId="0" xfId="0" applyFont="1"/>
    <xf numFmtId="0" fontId="4" fillId="0" borderId="34" xfId="0" applyFont="1" applyFill="1" applyBorder="1" applyAlignment="1">
      <alignment wrapText="1"/>
    </xf>
    <xf numFmtId="167" fontId="0" fillId="0" borderId="0" xfId="0" applyNumberFormat="1" applyBorder="1" applyAlignment="1">
      <alignment horizontal="right"/>
    </xf>
    <xf numFmtId="0" fontId="4" fillId="3" borderId="6" xfId="1" applyFont="1" applyFill="1" applyBorder="1" applyAlignment="1">
      <alignment horizontal="center" vertical="center" wrapText="1"/>
    </xf>
    <xf numFmtId="0" fontId="4" fillId="3" borderId="7" xfId="1" applyFont="1" applyFill="1" applyBorder="1" applyAlignment="1">
      <alignment horizontal="center" vertical="center" wrapText="1"/>
    </xf>
    <xf numFmtId="0" fontId="4" fillId="3" borderId="20" xfId="1" applyFont="1" applyFill="1" applyBorder="1" applyAlignment="1">
      <alignment horizontal="center" vertical="center" wrapText="1"/>
    </xf>
    <xf numFmtId="0" fontId="4" fillId="3" borderId="8" xfId="1" applyFont="1" applyFill="1" applyBorder="1" applyAlignment="1">
      <alignment horizontal="center" vertical="center" wrapText="1"/>
    </xf>
    <xf numFmtId="0" fontId="2" fillId="3" borderId="23" xfId="0" applyFont="1" applyFill="1" applyBorder="1" applyAlignment="1">
      <alignment horizontal="center" vertical="center" wrapText="1"/>
    </xf>
    <xf numFmtId="0" fontId="2" fillId="3" borderId="24" xfId="0" applyFont="1" applyFill="1" applyBorder="1" applyAlignment="1">
      <alignment horizontal="center" vertical="center" wrapText="1"/>
    </xf>
    <xf numFmtId="0" fontId="2" fillId="3" borderId="25" xfId="0" applyFont="1" applyFill="1" applyBorder="1" applyAlignment="1">
      <alignment horizontal="center" vertical="center" wrapText="1"/>
    </xf>
    <xf numFmtId="0" fontId="2" fillId="3" borderId="13" xfId="0" applyFont="1" applyFill="1" applyBorder="1" applyAlignment="1">
      <alignment horizontal="center" vertical="center" wrapText="1"/>
    </xf>
    <xf numFmtId="0" fontId="2" fillId="3" borderId="0" xfId="0" applyFont="1" applyFill="1" applyBorder="1" applyAlignment="1">
      <alignment horizontal="center" vertical="center" wrapText="1"/>
    </xf>
    <xf numFmtId="0" fontId="2" fillId="3" borderId="14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21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4" fillId="3" borderId="30" xfId="1" applyFont="1" applyFill="1" applyBorder="1" applyAlignment="1">
      <alignment horizontal="center" vertical="center" wrapText="1"/>
    </xf>
    <xf numFmtId="0" fontId="4" fillId="3" borderId="31" xfId="1" applyFont="1" applyFill="1" applyBorder="1" applyAlignment="1">
      <alignment horizontal="center" vertical="center" wrapText="1"/>
    </xf>
    <xf numFmtId="0" fontId="4" fillId="3" borderId="29" xfId="1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4" fillId="3" borderId="32" xfId="1" applyFont="1" applyFill="1" applyBorder="1" applyAlignment="1">
      <alignment horizontal="center" vertical="center" wrapText="1"/>
    </xf>
    <xf numFmtId="0" fontId="4" fillId="3" borderId="23" xfId="1" applyFont="1" applyFill="1" applyBorder="1" applyAlignment="1">
      <alignment horizontal="center" vertical="center" wrapText="1"/>
    </xf>
    <xf numFmtId="0" fontId="4" fillId="3" borderId="24" xfId="1" applyFont="1" applyFill="1" applyBorder="1" applyAlignment="1">
      <alignment horizontal="center" vertical="center" wrapText="1"/>
    </xf>
    <xf numFmtId="0" fontId="4" fillId="3" borderId="25" xfId="1" applyFont="1" applyFill="1" applyBorder="1" applyAlignment="1">
      <alignment horizontal="center" vertical="center" wrapText="1"/>
    </xf>
    <xf numFmtId="0" fontId="4" fillId="3" borderId="13" xfId="1" applyFont="1" applyFill="1" applyBorder="1" applyAlignment="1">
      <alignment horizontal="center" vertical="center" wrapText="1"/>
    </xf>
    <xf numFmtId="0" fontId="4" fillId="3" borderId="0" xfId="1" applyFont="1" applyFill="1" applyBorder="1" applyAlignment="1">
      <alignment horizontal="center" vertical="center" wrapText="1"/>
    </xf>
    <xf numFmtId="0" fontId="4" fillId="3" borderId="14" xfId="1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23" xfId="0" applyFont="1" applyFill="1" applyBorder="1" applyAlignment="1">
      <alignment horizontal="center" vertical="center" wrapText="1"/>
    </xf>
    <xf numFmtId="0" fontId="4" fillId="3" borderId="24" xfId="0" applyFont="1" applyFill="1" applyBorder="1" applyAlignment="1">
      <alignment horizontal="center" vertical="center" wrapText="1"/>
    </xf>
    <xf numFmtId="0" fontId="4" fillId="3" borderId="25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21" xfId="0" applyFont="1" applyFill="1" applyBorder="1" applyAlignment="1">
      <alignment horizontal="center" vertical="center" wrapText="1"/>
    </xf>
    <xf numFmtId="0" fontId="4" fillId="3" borderId="2" xfId="1" applyFont="1" applyFill="1" applyBorder="1" applyAlignment="1">
      <alignment horizontal="center" vertical="center" wrapText="1"/>
    </xf>
    <xf numFmtId="0" fontId="4" fillId="3" borderId="3" xfId="1" applyFont="1" applyFill="1" applyBorder="1" applyAlignment="1">
      <alignment horizontal="center" vertical="center" wrapText="1"/>
    </xf>
    <xf numFmtId="0" fontId="4" fillId="3" borderId="21" xfId="1" applyFont="1" applyFill="1" applyBorder="1" applyAlignment="1">
      <alignment horizontal="center" vertical="center" wrapText="1"/>
    </xf>
    <xf numFmtId="0" fontId="4" fillId="3" borderId="27" xfId="1" applyFont="1" applyFill="1" applyBorder="1" applyAlignment="1">
      <alignment horizontal="center" vertical="center" wrapText="1"/>
    </xf>
    <xf numFmtId="0" fontId="4" fillId="3" borderId="9" xfId="1" applyFont="1" applyFill="1" applyBorder="1" applyAlignment="1">
      <alignment horizontal="center" vertical="center" wrapText="1"/>
    </xf>
    <xf numFmtId="0" fontId="4" fillId="3" borderId="10" xfId="1" applyFont="1" applyFill="1" applyBorder="1" applyAlignment="1">
      <alignment horizontal="center" vertical="center" wrapText="1"/>
    </xf>
    <xf numFmtId="0" fontId="4" fillId="3" borderId="28" xfId="1" applyFont="1" applyFill="1" applyBorder="1" applyAlignment="1">
      <alignment horizontal="center" vertical="center" wrapText="1"/>
    </xf>
    <xf numFmtId="0" fontId="4" fillId="3" borderId="11" xfId="1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2" fillId="3" borderId="20" xfId="0" applyFont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2" fillId="3" borderId="27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3" borderId="10" xfId="0" applyFont="1" applyFill="1" applyBorder="1" applyAlignment="1">
      <alignment horizontal="center" vertical="center" wrapText="1"/>
    </xf>
    <xf numFmtId="0" fontId="2" fillId="3" borderId="28" xfId="0" applyFont="1" applyFill="1" applyBorder="1" applyAlignment="1">
      <alignment horizontal="center" vertical="center" wrapText="1"/>
    </xf>
    <xf numFmtId="0" fontId="4" fillId="3" borderId="15" xfId="1" applyFont="1" applyFill="1" applyBorder="1" applyAlignment="1">
      <alignment horizontal="center" vertical="center" wrapText="1"/>
    </xf>
    <xf numFmtId="0" fontId="14" fillId="4" borderId="0" xfId="0" applyFont="1" applyFill="1" applyAlignment="1"/>
    <xf numFmtId="0" fontId="9" fillId="4" borderId="0" xfId="2" applyFill="1" applyAlignment="1"/>
  </cellXfs>
  <cellStyles count="4">
    <cellStyle name="Hyperlink" xfId="2" builtinId="8"/>
    <cellStyle name="Normal" xfId="0" builtinId="0"/>
    <cellStyle name="Normal 2" xfId="1"/>
    <cellStyle name="Normal_PISAPartIIStudents_Filled 2 2" xfId="3"/>
  </cellStyles>
  <dxfs count="19"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externalLink" Target="externalLinks/externalLink6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9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5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4.xml"/><Relationship Id="rId20" Type="http://schemas.openxmlformats.org/officeDocument/2006/relationships/externalLink" Target="externalLinks/externalLink8.xml"/><Relationship Id="rId29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3.xml"/><Relationship Id="rId23" Type="http://schemas.openxmlformats.org/officeDocument/2006/relationships/theme" Target="theme/theme1.xml"/><Relationship Id="rId28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7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Relationship Id="rId22" Type="http://schemas.openxmlformats.org/officeDocument/2006/relationships/externalLink" Target="externalLinks/externalLink10.xml"/><Relationship Id="rId27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EAT12_1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S5\sdataELS\TEMP\SUBSNEU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S5\sdataELS\Q_ISC3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oecdshare.oecd.org/TEMP/prod%20levels%20manufacturing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oecdshare.oecd.org/TEMP/IJSTECH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oecdemeamicrosoftonlinecom-1.sharepoint.emea.microsoftonline.com/applic/uoe/ind2002/calcul_B1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EMP\prod%20levels%20manufacturing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oecdemeamicrosoftonlinecom-1.sharepoint.emea.microsoftonline.com/NWB/POpula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ata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oecdemeamicrosoftonlinecom-1.sharepoint.emea.microsoftonline.com/AS/CD%20Australia/PISA%20Plus/PISA%20Plus%20Final%20Charts/IRPISAPlus_Chap5_ChartCorrect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AT12_1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C01"/>
    </sheetNames>
    <sheetDataSet>
      <sheetData sheetId="0" refreshError="1">
        <row r="3">
          <cell r="B3">
            <v>1</v>
          </cell>
        </row>
        <row r="4">
          <cell r="B4" t="str">
            <v>Scholarships/grants from public sources</v>
          </cell>
        </row>
        <row r="5">
          <cell r="B5" t="str">
            <v>Sc./gr. undivided</v>
          </cell>
        </row>
        <row r="6">
          <cell r="B6" t="str">
            <v>n</v>
          </cell>
        </row>
        <row r="7">
          <cell r="B7">
            <v>253.5</v>
          </cell>
        </row>
        <row r="14">
          <cell r="B14" t="str">
            <v>x:ISC3</v>
          </cell>
        </row>
        <row r="16">
          <cell r="B16" t="str">
            <v>n</v>
          </cell>
        </row>
        <row r="17">
          <cell r="B17">
            <v>50.1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Q_ISC3"/>
    </sheetNames>
    <sheetDataSet>
      <sheetData sheetId="0" refreshError="1">
        <row r="1">
          <cell r="A1" t="str">
            <v>LCNTRY</v>
          </cell>
          <cell r="B1" t="str">
            <v>100</v>
          </cell>
          <cell r="C1" t="str">
            <v>110</v>
          </cell>
          <cell r="D1" t="str">
            <v>120</v>
          </cell>
          <cell r="E1" t="str">
            <v>210</v>
          </cell>
          <cell r="F1" t="str">
            <v>220</v>
          </cell>
          <cell r="G1" t="str">
            <v>300</v>
          </cell>
          <cell r="H1" t="str">
            <v>410</v>
          </cell>
          <cell r="I1" t="str">
            <v>420</v>
          </cell>
          <cell r="J1" t="str">
            <v>510</v>
          </cell>
          <cell r="K1" t="str">
            <v>520</v>
          </cell>
          <cell r="L1" t="str">
            <v>530</v>
          </cell>
          <cell r="M1" t="str">
            <v>540</v>
          </cell>
          <cell r="N1" t="str">
            <v>550</v>
          </cell>
          <cell r="O1" t="str">
            <v>800</v>
          </cell>
        </row>
        <row r="2">
          <cell r="A2" t="str">
            <v>Australia</v>
          </cell>
          <cell r="B2" t="str">
            <v/>
          </cell>
          <cell r="C2" t="str">
            <v/>
          </cell>
          <cell r="D2" t="str">
            <v/>
          </cell>
          <cell r="E2" t="str">
            <v/>
          </cell>
          <cell r="F2" t="str">
            <v/>
          </cell>
          <cell r="G2">
            <v>2.6</v>
          </cell>
          <cell r="H2" t="str">
            <v/>
          </cell>
          <cell r="I2" t="str">
            <v/>
          </cell>
          <cell r="J2" t="str">
            <v/>
          </cell>
          <cell r="K2" t="str">
            <v/>
          </cell>
          <cell r="L2">
            <v>60</v>
          </cell>
          <cell r="M2" t="str">
            <v/>
          </cell>
          <cell r="N2" t="str">
            <v/>
          </cell>
          <cell r="O2" t="str">
            <v/>
          </cell>
        </row>
        <row r="3">
          <cell r="A3" t="str">
            <v>Austria</v>
          </cell>
          <cell r="B3">
            <v>283</v>
          </cell>
          <cell r="C3" t="str">
            <v/>
          </cell>
          <cell r="D3" t="str">
            <v/>
          </cell>
          <cell r="E3" t="str">
            <v/>
          </cell>
          <cell r="F3" t="str">
            <v/>
          </cell>
          <cell r="G3" t="str">
            <v/>
          </cell>
          <cell r="H3" t="str">
            <v/>
          </cell>
          <cell r="I3" t="str">
            <v/>
          </cell>
          <cell r="J3" t="str">
            <v/>
          </cell>
          <cell r="K3" t="str">
            <v/>
          </cell>
          <cell r="L3">
            <v>648.5</v>
          </cell>
          <cell r="M3" t="str">
            <v/>
          </cell>
          <cell r="N3">
            <v>201.1</v>
          </cell>
          <cell r="O3" t="str">
            <v/>
          </cell>
        </row>
        <row r="4">
          <cell r="A4" t="str">
            <v>Canada</v>
          </cell>
          <cell r="B4" t="str">
            <v/>
          </cell>
          <cell r="C4" t="str">
            <v/>
          </cell>
          <cell r="D4" t="str">
            <v/>
          </cell>
          <cell r="E4" t="str">
            <v/>
          </cell>
          <cell r="F4" t="str">
            <v/>
          </cell>
          <cell r="G4" t="str">
            <v/>
          </cell>
          <cell r="H4" t="str">
            <v/>
          </cell>
          <cell r="I4" t="str">
            <v/>
          </cell>
          <cell r="J4" t="str">
            <v/>
          </cell>
          <cell r="K4" t="str">
            <v/>
          </cell>
          <cell r="L4" t="str">
            <v/>
          </cell>
          <cell r="M4" t="str">
            <v/>
          </cell>
          <cell r="N4" t="str">
            <v/>
          </cell>
          <cell r="O4" t="str">
            <v/>
          </cell>
        </row>
        <row r="5">
          <cell r="A5" t="str">
            <v>Czech Republic</v>
          </cell>
          <cell r="B5" t="str">
            <v/>
          </cell>
          <cell r="C5" t="str">
            <v/>
          </cell>
          <cell r="D5">
            <v>5</v>
          </cell>
          <cell r="E5" t="str">
            <v/>
          </cell>
          <cell r="F5" t="str">
            <v/>
          </cell>
          <cell r="G5">
            <v>3280</v>
          </cell>
          <cell r="H5" t="str">
            <v/>
          </cell>
          <cell r="I5">
            <v>1204</v>
          </cell>
          <cell r="J5">
            <v>903</v>
          </cell>
          <cell r="K5">
            <v>467</v>
          </cell>
          <cell r="L5">
            <v>51</v>
          </cell>
          <cell r="M5">
            <v>135</v>
          </cell>
          <cell r="N5">
            <v>1000</v>
          </cell>
          <cell r="O5" t="str">
            <v/>
          </cell>
        </row>
        <row r="6">
          <cell r="A6" t="str">
            <v>Denmark</v>
          </cell>
          <cell r="B6" t="str">
            <v/>
          </cell>
          <cell r="C6" t="str">
            <v/>
          </cell>
          <cell r="D6">
            <v>2299</v>
          </cell>
          <cell r="E6">
            <v>120.2</v>
          </cell>
          <cell r="F6" t="str">
            <v/>
          </cell>
          <cell r="G6" t="str">
            <v/>
          </cell>
          <cell r="H6" t="str">
            <v/>
          </cell>
          <cell r="I6" t="str">
            <v/>
          </cell>
          <cell r="J6" t="str">
            <v/>
          </cell>
          <cell r="K6" t="str">
            <v/>
          </cell>
          <cell r="L6" t="str">
            <v/>
          </cell>
          <cell r="M6" t="str">
            <v/>
          </cell>
          <cell r="N6" t="str">
            <v/>
          </cell>
          <cell r="O6" t="str">
            <v/>
          </cell>
        </row>
        <row r="7">
          <cell r="A7" t="str">
            <v>Finland</v>
          </cell>
          <cell r="B7" t="str">
            <v/>
          </cell>
          <cell r="C7" t="str">
            <v/>
          </cell>
          <cell r="D7">
            <v>1046</v>
          </cell>
          <cell r="E7" t="str">
            <v/>
          </cell>
          <cell r="F7">
            <v>172</v>
          </cell>
          <cell r="G7" t="str">
            <v/>
          </cell>
          <cell r="H7" t="str">
            <v/>
          </cell>
          <cell r="I7" t="str">
            <v/>
          </cell>
          <cell r="J7">
            <v>221</v>
          </cell>
          <cell r="K7" t="str">
            <v/>
          </cell>
          <cell r="L7" t="str">
            <v/>
          </cell>
          <cell r="M7" t="str">
            <v/>
          </cell>
          <cell r="N7" t="str">
            <v/>
          </cell>
          <cell r="O7" t="str">
            <v/>
          </cell>
        </row>
        <row r="8">
          <cell r="A8" t="str">
            <v>France</v>
          </cell>
          <cell r="B8" t="str">
            <v/>
          </cell>
          <cell r="C8" t="str">
            <v/>
          </cell>
          <cell r="D8">
            <v>3179</v>
          </cell>
          <cell r="E8" t="str">
            <v/>
          </cell>
          <cell r="F8" t="str">
            <v/>
          </cell>
          <cell r="G8">
            <v>1155</v>
          </cell>
          <cell r="H8" t="str">
            <v/>
          </cell>
          <cell r="I8">
            <v>1216</v>
          </cell>
          <cell r="J8">
            <v>5824</v>
          </cell>
          <cell r="K8" t="str">
            <v/>
          </cell>
          <cell r="L8">
            <v>3421</v>
          </cell>
          <cell r="M8">
            <v>996</v>
          </cell>
          <cell r="N8">
            <v>69</v>
          </cell>
          <cell r="O8" t="str">
            <v/>
          </cell>
        </row>
        <row r="9">
          <cell r="A9" t="str">
            <v>Greece</v>
          </cell>
          <cell r="B9" t="str">
            <v/>
          </cell>
          <cell r="C9" t="str">
            <v/>
          </cell>
          <cell r="D9">
            <v>161.517809</v>
          </cell>
          <cell r="E9" t="str">
            <v/>
          </cell>
          <cell r="F9" t="str">
            <v/>
          </cell>
          <cell r="G9" t="str">
            <v/>
          </cell>
          <cell r="H9" t="str">
            <v/>
          </cell>
          <cell r="I9" t="str">
            <v/>
          </cell>
          <cell r="J9" t="str">
            <v/>
          </cell>
          <cell r="K9" t="str">
            <v/>
          </cell>
          <cell r="L9" t="str">
            <v/>
          </cell>
          <cell r="M9" t="str">
            <v/>
          </cell>
          <cell r="N9" t="str">
            <v/>
          </cell>
          <cell r="O9" t="str">
            <v/>
          </cell>
        </row>
        <row r="10">
          <cell r="A10" t="str">
            <v>Ireland</v>
          </cell>
          <cell r="B10" t="str">
            <v/>
          </cell>
          <cell r="C10" t="str">
            <v/>
          </cell>
          <cell r="D10" t="str">
            <v/>
          </cell>
          <cell r="E10" t="str">
            <v/>
          </cell>
          <cell r="F10" t="str">
            <v/>
          </cell>
          <cell r="G10">
            <v>22</v>
          </cell>
          <cell r="H10" t="str">
            <v/>
          </cell>
          <cell r="I10" t="str">
            <v/>
          </cell>
          <cell r="J10" t="str">
            <v/>
          </cell>
          <cell r="K10" t="str">
            <v/>
          </cell>
          <cell r="L10">
            <v>7.4</v>
          </cell>
          <cell r="M10" t="str">
            <v/>
          </cell>
          <cell r="N10">
            <v>1.4</v>
          </cell>
          <cell r="O10" t="str">
            <v/>
          </cell>
        </row>
        <row r="11">
          <cell r="A11" t="str">
            <v>New Zealand</v>
          </cell>
          <cell r="B11" t="str">
            <v/>
          </cell>
          <cell r="C11" t="str">
            <v/>
          </cell>
          <cell r="D11">
            <v>2.2639999999999998</v>
          </cell>
          <cell r="E11">
            <v>68.296000000000006</v>
          </cell>
          <cell r="F11" t="str">
            <v/>
          </cell>
          <cell r="G11">
            <v>130.87899999999999</v>
          </cell>
          <cell r="H11" t="str">
            <v/>
          </cell>
          <cell r="I11" t="str">
            <v/>
          </cell>
          <cell r="J11">
            <v>2.1139999999999999</v>
          </cell>
          <cell r="K11" t="str">
            <v/>
          </cell>
          <cell r="L11" t="str">
            <v/>
          </cell>
          <cell r="M11" t="str">
            <v/>
          </cell>
          <cell r="N11" t="str">
            <v/>
          </cell>
          <cell r="O11" t="str">
            <v/>
          </cell>
        </row>
        <row r="12">
          <cell r="A12" t="str">
            <v>Spain</v>
          </cell>
          <cell r="B12" t="str">
            <v/>
          </cell>
          <cell r="C12">
            <v>0</v>
          </cell>
          <cell r="D12">
            <v>28973.3</v>
          </cell>
          <cell r="E12" t="str">
            <v/>
          </cell>
          <cell r="F12" t="str">
            <v/>
          </cell>
          <cell r="G12" t="str">
            <v/>
          </cell>
          <cell r="H12" t="str">
            <v/>
          </cell>
          <cell r="I12" t="str">
            <v/>
          </cell>
          <cell r="J12" t="str">
            <v/>
          </cell>
          <cell r="K12" t="str">
            <v/>
          </cell>
          <cell r="L12" t="str">
            <v/>
          </cell>
          <cell r="M12" t="str">
            <v/>
          </cell>
          <cell r="N12" t="str">
            <v/>
          </cell>
          <cell r="O12" t="str">
            <v/>
          </cell>
        </row>
        <row r="13">
          <cell r="A13" t="str">
            <v>Sweden</v>
          </cell>
          <cell r="B13" t="str">
            <v/>
          </cell>
          <cell r="C13" t="str">
            <v/>
          </cell>
          <cell r="D13">
            <v>5212</v>
          </cell>
          <cell r="E13">
            <v>7512</v>
          </cell>
          <cell r="F13" t="str">
            <v/>
          </cell>
          <cell r="G13">
            <v>2290</v>
          </cell>
          <cell r="H13" t="str">
            <v/>
          </cell>
          <cell r="I13" t="str">
            <v/>
          </cell>
          <cell r="J13" t="str">
            <v/>
          </cell>
          <cell r="K13">
            <v>906</v>
          </cell>
          <cell r="L13">
            <v>670</v>
          </cell>
          <cell r="M13">
            <v>230</v>
          </cell>
          <cell r="N13">
            <v>500</v>
          </cell>
          <cell r="O13">
            <v>700</v>
          </cell>
        </row>
        <row r="14">
          <cell r="A14" t="str">
            <v>Switzerland</v>
          </cell>
          <cell r="B14" t="str">
            <v/>
          </cell>
          <cell r="C14" t="str">
            <v/>
          </cell>
          <cell r="D14">
            <v>191.2</v>
          </cell>
          <cell r="E14">
            <v>6.2</v>
          </cell>
          <cell r="F14" t="str">
            <v/>
          </cell>
          <cell r="G14" t="str">
            <v/>
          </cell>
          <cell r="H14" t="str">
            <v/>
          </cell>
          <cell r="I14" t="str">
            <v/>
          </cell>
          <cell r="J14" t="str">
            <v/>
          </cell>
          <cell r="K14" t="str">
            <v/>
          </cell>
          <cell r="L14" t="str">
            <v/>
          </cell>
          <cell r="M14" t="str">
            <v/>
          </cell>
          <cell r="N14" t="str">
            <v/>
          </cell>
          <cell r="O14" t="str">
            <v/>
          </cell>
        </row>
        <row r="15">
          <cell r="A15" t="str">
            <v>United Kingdom</v>
          </cell>
          <cell r="B15" t="str">
            <v/>
          </cell>
          <cell r="C15">
            <v>193.4</v>
          </cell>
          <cell r="D15">
            <v>232.2</v>
          </cell>
          <cell r="E15" t="str">
            <v/>
          </cell>
          <cell r="F15">
            <v>11.6</v>
          </cell>
          <cell r="G15" t="str">
            <v/>
          </cell>
          <cell r="H15" t="str">
            <v/>
          </cell>
          <cell r="I15" t="str">
            <v/>
          </cell>
          <cell r="J15" t="str">
            <v/>
          </cell>
          <cell r="K15" t="str">
            <v/>
          </cell>
          <cell r="L15" t="str">
            <v/>
          </cell>
          <cell r="M15" t="str">
            <v/>
          </cell>
          <cell r="N15" t="str">
            <v/>
          </cell>
          <cell r="O15" t="str">
            <v/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DP per hour"/>
      <sheetName val="GDP per person"/>
      <sheetName val="Time series"/>
      <sheetName val="table with hist comp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e 1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lcul_B1.1"/>
      <sheetName val="Calcul_B1.1a"/>
      <sheetName val="calcul_B1.1b"/>
      <sheetName val="calcul_B1.1c"/>
      <sheetName val="calcul_B1.1d"/>
      <sheetName val="Calcul_B1.3"/>
    </sheetNames>
    <sheetDataSet>
      <sheetData sheetId="0" refreshError="1">
        <row r="1">
          <cell r="A1" t="str">
            <v>Table B1.1</v>
          </cell>
        </row>
        <row r="2">
          <cell r="A2" t="str">
            <v>Expenditure on educational institutions as a percentage of GDP</v>
          </cell>
          <cell r="J2" t="str">
            <v>(</v>
          </cell>
          <cell r="K2">
            <v>1998</v>
          </cell>
          <cell r="L2" t="str">
            <v>)</v>
          </cell>
        </row>
        <row r="5">
          <cell r="A5" t="str">
            <v>B1.1a: All level of education</v>
          </cell>
          <cell r="D5" t="str">
            <v>(</v>
          </cell>
          <cell r="E5">
            <v>900000</v>
          </cell>
          <cell r="F5" t="str">
            <v>)</v>
          </cell>
        </row>
        <row r="6">
          <cell r="A6" t="str">
            <v>Column 1:</v>
          </cell>
          <cell r="B6" t="str">
            <v>Public funds for educational institutions (including international sources, public subsidies to the private sector attributable for institutions)</v>
          </cell>
        </row>
        <row r="7">
          <cell r="B7" t="str">
            <v>((</v>
          </cell>
          <cell r="C7" t="str">
            <v>G5</v>
          </cell>
          <cell r="D7" t="str">
            <v>+</v>
          </cell>
          <cell r="E7" t="str">
            <v>G13</v>
          </cell>
          <cell r="F7" t="str">
            <v>+</v>
          </cell>
          <cell r="G7" t="str">
            <v>G12a</v>
          </cell>
          <cell r="H7" t="str">
            <v>+</v>
          </cell>
          <cell r="I7" t="str">
            <v>F1</v>
          </cell>
          <cell r="J7" t="str">
            <v>+</v>
          </cell>
          <cell r="K7" t="str">
            <v>F2</v>
          </cell>
          <cell r="L7" t="str">
            <v>+</v>
          </cell>
        </row>
        <row r="8">
          <cell r="B8" t="str">
            <v>((</v>
          </cell>
          <cell r="C8">
            <v>1199963.5273689399</v>
          </cell>
          <cell r="D8" t="str">
            <v>+</v>
          </cell>
          <cell r="E8" t="str">
            <v>a</v>
          </cell>
          <cell r="F8" t="str">
            <v>+</v>
          </cell>
          <cell r="G8">
            <v>43612.081200000001</v>
          </cell>
          <cell r="H8" t="str">
            <v>+</v>
          </cell>
          <cell r="I8" t="str">
            <v>a</v>
          </cell>
          <cell r="J8" t="str">
            <v>+</v>
          </cell>
          <cell r="K8" t="str">
            <v>a</v>
          </cell>
          <cell r="L8" t="str">
            <v>+</v>
          </cell>
        </row>
        <row r="10">
          <cell r="A10" t="str">
            <v>Column 2:</v>
          </cell>
          <cell r="B10" t="str">
            <v>Private funds for educational institutions excluding public subsidies to households and other private entities</v>
          </cell>
        </row>
        <row r="11">
          <cell r="B11" t="str">
            <v>((</v>
          </cell>
          <cell r="C11" t="str">
            <v>H5</v>
          </cell>
          <cell r="D11" t="str">
            <v>+</v>
          </cell>
          <cell r="E11" t="str">
            <v>E5</v>
          </cell>
          <cell r="F11" t="str">
            <v>-(</v>
          </cell>
          <cell r="G11" t="str">
            <v>G12a</v>
          </cell>
          <cell r="H11" t="str">
            <v>+</v>
          </cell>
          <cell r="I11" t="str">
            <v>G13</v>
          </cell>
          <cell r="J11" t="str">
            <v>))/</v>
          </cell>
          <cell r="K11" t="str">
            <v>GDP</v>
          </cell>
          <cell r="L11" t="str">
            <v>)*</v>
          </cell>
        </row>
        <row r="12">
          <cell r="B12" t="str">
            <v>((</v>
          </cell>
          <cell r="C12">
            <v>940876.74185999995</v>
          </cell>
          <cell r="D12" t="str">
            <v>+</v>
          </cell>
          <cell r="E12">
            <v>21777.158343999999</v>
          </cell>
          <cell r="F12" t="str">
            <v>-(</v>
          </cell>
          <cell r="G12">
            <v>43612.081200000001</v>
          </cell>
          <cell r="H12" t="str">
            <v>+</v>
          </cell>
          <cell r="I12" t="str">
            <v>a</v>
          </cell>
          <cell r="J12" t="str">
            <v>))/</v>
          </cell>
          <cell r="K12">
            <v>35130299</v>
          </cell>
          <cell r="L12" t="str">
            <v>)*</v>
          </cell>
        </row>
        <row r="14">
          <cell r="A14" t="str">
            <v>Column 3:</v>
          </cell>
          <cell r="B14" t="str">
            <v>Total</v>
          </cell>
        </row>
        <row r="15">
          <cell r="B15" t="str">
            <v>((</v>
          </cell>
          <cell r="C15" t="str">
            <v>G5</v>
          </cell>
          <cell r="D15" t="str">
            <v>+</v>
          </cell>
          <cell r="E15" t="str">
            <v>H5</v>
          </cell>
          <cell r="F15" t="str">
            <v>+</v>
          </cell>
          <cell r="G15" t="str">
            <v>E5</v>
          </cell>
          <cell r="H15" t="str">
            <v>+</v>
          </cell>
          <cell r="I15" t="str">
            <v>F1</v>
          </cell>
          <cell r="J15" t="str">
            <v>+</v>
          </cell>
          <cell r="K15" t="str">
            <v>F2</v>
          </cell>
          <cell r="L15" t="str">
            <v>+</v>
          </cell>
        </row>
        <row r="16">
          <cell r="B16" t="str">
            <v>((</v>
          </cell>
          <cell r="C16">
            <v>1199963.5273689399</v>
          </cell>
          <cell r="D16" t="str">
            <v>+</v>
          </cell>
          <cell r="E16">
            <v>940876.74185999995</v>
          </cell>
          <cell r="F16" t="str">
            <v>+</v>
          </cell>
          <cell r="G16">
            <v>21777.158343999999</v>
          </cell>
          <cell r="H16" t="str">
            <v>+</v>
          </cell>
          <cell r="I16" t="str">
            <v>a</v>
          </cell>
          <cell r="J16" t="str">
            <v>+</v>
          </cell>
          <cell r="K16" t="str">
            <v>a</v>
          </cell>
          <cell r="L16" t="str">
            <v>+</v>
          </cell>
        </row>
        <row r="18">
          <cell r="A18" t="str">
            <v>B1.1b: ISCED1-4</v>
          </cell>
          <cell r="D18" t="str">
            <v>(</v>
          </cell>
          <cell r="E18">
            <v>901040</v>
          </cell>
          <cell r="F18" t="str">
            <v>)</v>
          </cell>
        </row>
        <row r="19">
          <cell r="A19" t="str">
            <v>Column 1:</v>
          </cell>
          <cell r="B19" t="str">
            <v>Public funds for educational institutions (including international sources, public subsidies to the private sector attributable for institutions)</v>
          </cell>
        </row>
        <row r="20">
          <cell r="B20" t="str">
            <v>((</v>
          </cell>
          <cell r="C20" t="str">
            <v>G5</v>
          </cell>
          <cell r="D20" t="str">
            <v>+</v>
          </cell>
          <cell r="E20" t="str">
            <v>G13</v>
          </cell>
          <cell r="F20" t="str">
            <v>+</v>
          </cell>
          <cell r="G20" t="str">
            <v>G12a</v>
          </cell>
          <cell r="H20" t="str">
            <v>+</v>
          </cell>
          <cell r="I20" t="str">
            <v>F1</v>
          </cell>
          <cell r="J20" t="str">
            <v>+</v>
          </cell>
          <cell r="K20" t="str">
            <v>F2</v>
          </cell>
          <cell r="L20" t="str">
            <v>+</v>
          </cell>
        </row>
        <row r="21">
          <cell r="B21" t="str">
            <v>((</v>
          </cell>
          <cell r="C21">
            <v>934396.10557654104</v>
          </cell>
          <cell r="D21" t="str">
            <v>+</v>
          </cell>
          <cell r="E21" t="str">
            <v>a</v>
          </cell>
          <cell r="F21" t="str">
            <v>+</v>
          </cell>
          <cell r="G21" t="str">
            <v>a</v>
          </cell>
          <cell r="H21" t="str">
            <v>+</v>
          </cell>
          <cell r="I21" t="str">
            <v>a</v>
          </cell>
          <cell r="J21" t="str">
            <v>+</v>
          </cell>
          <cell r="K21" t="str">
            <v>a</v>
          </cell>
          <cell r="L21" t="str">
            <v>+</v>
          </cell>
        </row>
        <row r="23">
          <cell r="A23" t="str">
            <v>Column 2:</v>
          </cell>
          <cell r="B23" t="str">
            <v>Private funds for educational institutions excluding public subsidies to households and other private entities</v>
          </cell>
        </row>
        <row r="24">
          <cell r="B24" t="str">
            <v>((</v>
          </cell>
          <cell r="C24" t="str">
            <v>H5</v>
          </cell>
          <cell r="D24" t="str">
            <v>+</v>
          </cell>
          <cell r="E24" t="str">
            <v>E5</v>
          </cell>
          <cell r="F24" t="str">
            <v>-(</v>
          </cell>
          <cell r="G24" t="str">
            <v>G12a</v>
          </cell>
          <cell r="H24" t="str">
            <v>+</v>
          </cell>
          <cell r="I24" t="str">
            <v>G13</v>
          </cell>
          <cell r="J24" t="str">
            <v>))/</v>
          </cell>
          <cell r="K24" t="str">
            <v>GDP</v>
          </cell>
          <cell r="L24" t="str">
            <v>)*</v>
          </cell>
        </row>
        <row r="25">
          <cell r="B25" t="str">
            <v>((</v>
          </cell>
          <cell r="C25">
            <v>418905.19703077298</v>
          </cell>
          <cell r="D25" t="str">
            <v>+</v>
          </cell>
          <cell r="E25">
            <v>7061.2689353659998</v>
          </cell>
          <cell r="F25" t="str">
            <v>-(</v>
          </cell>
          <cell r="G25" t="str">
            <v>a</v>
          </cell>
          <cell r="H25" t="str">
            <v>+</v>
          </cell>
          <cell r="I25" t="str">
            <v>a</v>
          </cell>
          <cell r="J25" t="str">
            <v>))/</v>
          </cell>
          <cell r="K25">
            <v>35130299</v>
          </cell>
          <cell r="L25" t="str">
            <v>)*</v>
          </cell>
        </row>
        <row r="27">
          <cell r="A27" t="str">
            <v>Column 3:</v>
          </cell>
          <cell r="B27" t="str">
            <v>Total</v>
          </cell>
        </row>
        <row r="28">
          <cell r="B28" t="str">
            <v>((</v>
          </cell>
          <cell r="C28" t="str">
            <v>G5</v>
          </cell>
          <cell r="D28" t="str">
            <v>+</v>
          </cell>
          <cell r="E28" t="str">
            <v>H5</v>
          </cell>
          <cell r="F28" t="str">
            <v>+</v>
          </cell>
          <cell r="G28" t="str">
            <v>E5</v>
          </cell>
          <cell r="H28" t="str">
            <v>+</v>
          </cell>
          <cell r="I28" t="str">
            <v>F1</v>
          </cell>
          <cell r="J28" t="str">
            <v>+</v>
          </cell>
          <cell r="K28" t="str">
            <v>F2</v>
          </cell>
          <cell r="L28" t="str">
            <v>+</v>
          </cell>
        </row>
        <row r="29">
          <cell r="B29" t="str">
            <v>((</v>
          </cell>
          <cell r="C29">
            <v>934396.10557654104</v>
          </cell>
          <cell r="D29" t="str">
            <v>+</v>
          </cell>
          <cell r="E29">
            <v>418905.19703077298</v>
          </cell>
          <cell r="F29" t="str">
            <v>+</v>
          </cell>
          <cell r="G29">
            <v>7061.2689353659998</v>
          </cell>
          <cell r="H29" t="str">
            <v>+</v>
          </cell>
          <cell r="I29" t="str">
            <v>a</v>
          </cell>
          <cell r="J29" t="str">
            <v>+</v>
          </cell>
          <cell r="K29" t="str">
            <v>a</v>
          </cell>
          <cell r="L29" t="str">
            <v>+</v>
          </cell>
        </row>
        <row r="31">
          <cell r="A31" t="str">
            <v>B1.1b: ISCED5-6</v>
          </cell>
          <cell r="D31" t="str">
            <v>(</v>
          </cell>
          <cell r="E31">
            <v>905060</v>
          </cell>
          <cell r="F31" t="str">
            <v>)</v>
          </cell>
        </row>
        <row r="32">
          <cell r="A32" t="str">
            <v>Column 1:</v>
          </cell>
          <cell r="B32" t="str">
            <v>Public funds for educational institutions (including international sources, public subsidies to the private sector attributable for institutions)</v>
          </cell>
        </row>
        <row r="33">
          <cell r="B33" t="str">
            <v>((</v>
          </cell>
          <cell r="C33" t="str">
            <v>G5</v>
          </cell>
          <cell r="D33" t="str">
            <v>+</v>
          </cell>
          <cell r="E33" t="str">
            <v>G13</v>
          </cell>
          <cell r="F33" t="str">
            <v>+</v>
          </cell>
          <cell r="G33" t="str">
            <v>G12a</v>
          </cell>
          <cell r="H33" t="str">
            <v>+</v>
          </cell>
          <cell r="I33" t="str">
            <v>F1</v>
          </cell>
          <cell r="J33" t="str">
            <v>+</v>
          </cell>
          <cell r="K33" t="str">
            <v>F2</v>
          </cell>
          <cell r="L33" t="str">
            <v>+</v>
          </cell>
        </row>
        <row r="34">
          <cell r="B34" t="str">
            <v>((</v>
          </cell>
          <cell r="C34">
            <v>157093.15117200001</v>
          </cell>
          <cell r="D34" t="str">
            <v>+</v>
          </cell>
          <cell r="E34" t="str">
            <v>a</v>
          </cell>
          <cell r="F34" t="str">
            <v>+</v>
          </cell>
          <cell r="G34">
            <v>43612.081200000001</v>
          </cell>
          <cell r="H34" t="str">
            <v>+</v>
          </cell>
          <cell r="I34" t="str">
            <v>a</v>
          </cell>
          <cell r="J34" t="str">
            <v>+</v>
          </cell>
          <cell r="K34" t="str">
            <v>a</v>
          </cell>
          <cell r="L34" t="str">
            <v>+</v>
          </cell>
        </row>
        <row r="36">
          <cell r="A36" t="str">
            <v>Column 2:</v>
          </cell>
          <cell r="B36" t="str">
            <v>Private funds for educational institutions excluding public subsidies to households and other private entities</v>
          </cell>
        </row>
        <row r="37">
          <cell r="B37" t="str">
            <v>((</v>
          </cell>
          <cell r="C37" t="str">
            <v>H5</v>
          </cell>
          <cell r="D37" t="str">
            <v>+</v>
          </cell>
          <cell r="E37" t="str">
            <v>E5</v>
          </cell>
          <cell r="F37" t="str">
            <v>-(</v>
          </cell>
          <cell r="G37" t="str">
            <v>G12a</v>
          </cell>
          <cell r="H37" t="str">
            <v>+</v>
          </cell>
          <cell r="I37" t="str">
            <v>G13</v>
          </cell>
          <cell r="J37" t="str">
            <v>))/</v>
          </cell>
          <cell r="K37" t="str">
            <v>GDP</v>
          </cell>
          <cell r="L37" t="str">
            <v>)*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DP per hour"/>
      <sheetName val="GDP per person"/>
      <sheetName val="Time series"/>
      <sheetName val="table with hist comp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tA4.2"/>
      <sheetName val="charta4.2(data)"/>
      <sheetName val="chtA4.1"/>
      <sheetName val="readme"/>
      <sheetName val="A4_12000"/>
      <sheetName val="Dbase_proj"/>
      <sheetName val="Sheet8"/>
      <sheetName val="Pivot_proj"/>
      <sheetName val="table(1998=100)"/>
      <sheetName val="Sheet1"/>
      <sheetName val="POpula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>
        <row r="1">
          <cell r="A1" t="str">
            <v>DCOUNTRY</v>
          </cell>
          <cell r="B1" t="str">
            <v>LDCOUNTRY</v>
          </cell>
          <cell r="C1" t="str">
            <v>DTIME</v>
          </cell>
          <cell r="D1" t="str">
            <v>DSEX</v>
          </cell>
          <cell r="E1" t="str">
            <v>DAGEGR</v>
          </cell>
          <cell r="F1" t="str">
            <v>DSTATUS</v>
          </cell>
          <cell r="G1" t="str">
            <v>VPOP</v>
          </cell>
          <cell r="H1" t="str">
            <v>NOTE</v>
          </cell>
          <cell r="I1" t="str">
            <v>MNOTE</v>
          </cell>
        </row>
        <row r="2">
          <cell r="A2">
            <v>40</v>
          </cell>
          <cell r="B2" t="str">
            <v>Austria</v>
          </cell>
          <cell r="C2">
            <v>1998</v>
          </cell>
          <cell r="D2">
            <v>90</v>
          </cell>
          <cell r="E2">
            <v>900000</v>
          </cell>
          <cell r="F2">
            <v>90</v>
          </cell>
          <cell r="G2">
            <v>8075425</v>
          </cell>
          <cell r="H2" t="str">
            <v>;;=SUM(F11:G11);</v>
          </cell>
          <cell r="I2" t="str">
            <v>.</v>
          </cell>
        </row>
        <row r="3">
          <cell r="A3">
            <v>40</v>
          </cell>
          <cell r="B3" t="str">
            <v>Austria</v>
          </cell>
          <cell r="C3">
            <v>1998</v>
          </cell>
          <cell r="D3">
            <v>90</v>
          </cell>
          <cell r="E3">
            <v>300</v>
          </cell>
          <cell r="F3">
            <v>90</v>
          </cell>
          <cell r="G3">
            <v>261654</v>
          </cell>
          <cell r="H3" t="str">
            <v>;;=SUM(F12:G12);</v>
          </cell>
          <cell r="I3" t="str">
            <v>.</v>
          </cell>
        </row>
        <row r="4">
          <cell r="A4">
            <v>40</v>
          </cell>
          <cell r="B4" t="str">
            <v>Austria</v>
          </cell>
          <cell r="C4">
            <v>1998</v>
          </cell>
          <cell r="D4">
            <v>90</v>
          </cell>
          <cell r="E4">
            <v>303</v>
          </cell>
          <cell r="F4">
            <v>90</v>
          </cell>
          <cell r="G4">
            <v>92567</v>
          </cell>
          <cell r="H4" t="str">
            <v>;;=SUM(F13:G13);</v>
          </cell>
          <cell r="I4" t="str">
            <v>.</v>
          </cell>
        </row>
        <row r="5">
          <cell r="A5">
            <v>40</v>
          </cell>
          <cell r="B5" t="str">
            <v>Austria</v>
          </cell>
          <cell r="C5">
            <v>1998</v>
          </cell>
          <cell r="D5">
            <v>90</v>
          </cell>
          <cell r="E5">
            <v>404</v>
          </cell>
          <cell r="F5">
            <v>90</v>
          </cell>
          <cell r="G5">
            <v>95357</v>
          </cell>
          <cell r="H5" t="str">
            <v>;;=SUM(F14:G14);</v>
          </cell>
          <cell r="I5" t="str">
            <v>.</v>
          </cell>
        </row>
        <row r="6">
          <cell r="A6">
            <v>40</v>
          </cell>
          <cell r="B6" t="str">
            <v>Austria</v>
          </cell>
          <cell r="C6">
            <v>1998</v>
          </cell>
          <cell r="D6">
            <v>90</v>
          </cell>
          <cell r="E6">
            <v>505</v>
          </cell>
          <cell r="F6">
            <v>90</v>
          </cell>
          <cell r="G6">
            <v>95737</v>
          </cell>
          <cell r="H6" t="str">
            <v>;;=SUM(F15:G15);</v>
          </cell>
          <cell r="I6" t="str">
            <v>.</v>
          </cell>
        </row>
        <row r="7">
          <cell r="A7">
            <v>40</v>
          </cell>
          <cell r="B7" t="str">
            <v>Austria</v>
          </cell>
          <cell r="C7">
            <v>1998</v>
          </cell>
          <cell r="D7">
            <v>90</v>
          </cell>
          <cell r="E7">
            <v>606</v>
          </cell>
          <cell r="F7">
            <v>90</v>
          </cell>
          <cell r="G7">
            <v>95113</v>
          </cell>
          <cell r="H7" t="str">
            <v>;;=SUM(F16:G16);</v>
          </cell>
          <cell r="I7" t="str">
            <v>.</v>
          </cell>
        </row>
        <row r="8">
          <cell r="A8">
            <v>40</v>
          </cell>
          <cell r="B8" t="str">
            <v>Austria</v>
          </cell>
          <cell r="C8">
            <v>1998</v>
          </cell>
          <cell r="D8">
            <v>90</v>
          </cell>
          <cell r="E8">
            <v>707</v>
          </cell>
          <cell r="F8">
            <v>90</v>
          </cell>
          <cell r="G8">
            <v>93468</v>
          </cell>
          <cell r="H8" t="str">
            <v>;;=SUM(F17:G17);</v>
          </cell>
          <cell r="I8" t="str">
            <v>.</v>
          </cell>
        </row>
        <row r="9">
          <cell r="A9">
            <v>40</v>
          </cell>
          <cell r="B9" t="str">
            <v>Austria</v>
          </cell>
          <cell r="C9">
            <v>1998</v>
          </cell>
          <cell r="D9">
            <v>90</v>
          </cell>
          <cell r="E9">
            <v>808</v>
          </cell>
          <cell r="F9">
            <v>90</v>
          </cell>
          <cell r="G9">
            <v>92084</v>
          </cell>
          <cell r="H9" t="str">
            <v>;;=SUM(F18:G18);</v>
          </cell>
          <cell r="I9" t="str">
            <v>.</v>
          </cell>
        </row>
        <row r="10">
          <cell r="A10">
            <v>40</v>
          </cell>
          <cell r="B10" t="str">
            <v>Austria</v>
          </cell>
          <cell r="C10">
            <v>1998</v>
          </cell>
          <cell r="D10">
            <v>90</v>
          </cell>
          <cell r="E10">
            <v>909</v>
          </cell>
          <cell r="F10">
            <v>90</v>
          </cell>
          <cell r="G10">
            <v>93357</v>
          </cell>
          <cell r="H10" t="str">
            <v>;;=SUM(F19:G19);</v>
          </cell>
          <cell r="I10" t="str">
            <v>.</v>
          </cell>
        </row>
        <row r="11">
          <cell r="A11">
            <v>40</v>
          </cell>
          <cell r="B11" t="str">
            <v>Austria</v>
          </cell>
          <cell r="C11">
            <v>1998</v>
          </cell>
          <cell r="D11">
            <v>90</v>
          </cell>
          <cell r="E11">
            <v>509</v>
          </cell>
          <cell r="F11">
            <v>90</v>
          </cell>
          <cell r="G11">
            <v>469759</v>
          </cell>
          <cell r="H11" t="str">
            <v>;;=SUM(F20:G20);</v>
          </cell>
          <cell r="I11" t="str">
            <v>.</v>
          </cell>
        </row>
        <row r="12">
          <cell r="A12">
            <v>40</v>
          </cell>
          <cell r="B12" t="str">
            <v>Austria</v>
          </cell>
          <cell r="C12">
            <v>1998</v>
          </cell>
          <cell r="D12">
            <v>90</v>
          </cell>
          <cell r="E12">
            <v>1010</v>
          </cell>
          <cell r="F12">
            <v>90</v>
          </cell>
          <cell r="G12">
            <v>92229</v>
          </cell>
          <cell r="H12" t="str">
            <v>;;=SUM(F21:G21);</v>
          </cell>
          <cell r="I12" t="str">
            <v>.</v>
          </cell>
        </row>
        <row r="13">
          <cell r="A13">
            <v>40</v>
          </cell>
          <cell r="B13" t="str">
            <v>Austria</v>
          </cell>
          <cell r="C13">
            <v>1998</v>
          </cell>
          <cell r="D13">
            <v>90</v>
          </cell>
          <cell r="E13">
            <v>1111</v>
          </cell>
          <cell r="F13">
            <v>90</v>
          </cell>
          <cell r="G13">
            <v>93318</v>
          </cell>
          <cell r="H13" t="str">
            <v>;;=SUM(F22:G22);</v>
          </cell>
          <cell r="I13" t="str">
            <v>.</v>
          </cell>
        </row>
        <row r="14">
          <cell r="A14">
            <v>40</v>
          </cell>
          <cell r="B14" t="str">
            <v>Austria</v>
          </cell>
          <cell r="C14">
            <v>1998</v>
          </cell>
          <cell r="D14">
            <v>90</v>
          </cell>
          <cell r="E14">
            <v>1212</v>
          </cell>
          <cell r="F14">
            <v>90</v>
          </cell>
          <cell r="G14">
            <v>93256</v>
          </cell>
          <cell r="H14" t="str">
            <v>;;=SUM(F23:G23);</v>
          </cell>
          <cell r="I14" t="str">
            <v>.</v>
          </cell>
        </row>
        <row r="15">
          <cell r="A15">
            <v>40</v>
          </cell>
          <cell r="B15" t="str">
            <v>Austria</v>
          </cell>
          <cell r="C15">
            <v>1998</v>
          </cell>
          <cell r="D15">
            <v>90</v>
          </cell>
          <cell r="E15">
            <v>1313</v>
          </cell>
          <cell r="F15">
            <v>90</v>
          </cell>
          <cell r="G15">
            <v>94218</v>
          </cell>
          <cell r="H15" t="str">
            <v>;;=SUM(F24:G24);</v>
          </cell>
          <cell r="I15" t="str">
            <v>.</v>
          </cell>
        </row>
        <row r="16">
          <cell r="A16">
            <v>40</v>
          </cell>
          <cell r="B16" t="str">
            <v>Austria</v>
          </cell>
          <cell r="C16">
            <v>1998</v>
          </cell>
          <cell r="D16">
            <v>90</v>
          </cell>
          <cell r="E16">
            <v>1414</v>
          </cell>
          <cell r="F16">
            <v>90</v>
          </cell>
          <cell r="G16">
            <v>94245</v>
          </cell>
          <cell r="H16" t="str">
            <v>;;=SUM(F25:G25);</v>
          </cell>
          <cell r="I16" t="str">
            <v>.</v>
          </cell>
        </row>
        <row r="17">
          <cell r="A17">
            <v>40</v>
          </cell>
          <cell r="B17" t="str">
            <v>Austria</v>
          </cell>
          <cell r="C17">
            <v>1998</v>
          </cell>
          <cell r="D17">
            <v>90</v>
          </cell>
          <cell r="E17">
            <v>1014</v>
          </cell>
          <cell r="F17">
            <v>90</v>
          </cell>
          <cell r="G17">
            <v>467266</v>
          </cell>
          <cell r="H17" t="str">
            <v>;;=SUM(F26:G26);</v>
          </cell>
          <cell r="I17" t="str">
            <v>.</v>
          </cell>
        </row>
        <row r="18">
          <cell r="A18">
            <v>40</v>
          </cell>
          <cell r="B18" t="str">
            <v>Austria</v>
          </cell>
          <cell r="C18">
            <v>1998</v>
          </cell>
          <cell r="D18">
            <v>90</v>
          </cell>
          <cell r="E18">
            <v>1515</v>
          </cell>
          <cell r="F18">
            <v>90</v>
          </cell>
          <cell r="G18">
            <v>98248</v>
          </cell>
          <cell r="H18" t="str">
            <v>;;=SUM(F27:G27);</v>
          </cell>
          <cell r="I18" t="str">
            <v>.</v>
          </cell>
        </row>
        <row r="19">
          <cell r="A19">
            <v>40</v>
          </cell>
          <cell r="B19" t="str">
            <v>Austria</v>
          </cell>
          <cell r="C19">
            <v>1998</v>
          </cell>
          <cell r="D19">
            <v>90</v>
          </cell>
          <cell r="E19">
            <v>1616</v>
          </cell>
          <cell r="F19">
            <v>90</v>
          </cell>
          <cell r="G19">
            <v>99744</v>
          </cell>
          <cell r="H19" t="str">
            <v>;;=SUM(F28:G28);</v>
          </cell>
          <cell r="I19" t="str">
            <v>.</v>
          </cell>
        </row>
        <row r="20">
          <cell r="A20">
            <v>40</v>
          </cell>
          <cell r="B20" t="str">
            <v>Austria</v>
          </cell>
          <cell r="C20">
            <v>1998</v>
          </cell>
          <cell r="D20">
            <v>90</v>
          </cell>
          <cell r="E20">
            <v>1717</v>
          </cell>
          <cell r="F20">
            <v>90</v>
          </cell>
          <cell r="G20">
            <v>97008</v>
          </cell>
          <cell r="H20" t="str">
            <v>;;=SUM(F29:G29);</v>
          </cell>
          <cell r="I20" t="str">
            <v>.</v>
          </cell>
        </row>
        <row r="21">
          <cell r="A21">
            <v>40</v>
          </cell>
          <cell r="B21" t="str">
            <v>Austria</v>
          </cell>
          <cell r="C21">
            <v>1998</v>
          </cell>
          <cell r="D21">
            <v>90</v>
          </cell>
          <cell r="E21">
            <v>1818</v>
          </cell>
          <cell r="F21">
            <v>90</v>
          </cell>
          <cell r="G21">
            <v>90393</v>
          </cell>
          <cell r="H21" t="str">
            <v>;;=SUM(F30:G30);</v>
          </cell>
          <cell r="I21" t="str">
            <v>.</v>
          </cell>
        </row>
        <row r="22">
          <cell r="A22">
            <v>76</v>
          </cell>
          <cell r="B22" t="str">
            <v>Brazil</v>
          </cell>
          <cell r="C22">
            <v>1997</v>
          </cell>
          <cell r="D22">
            <v>90</v>
          </cell>
          <cell r="E22">
            <v>900000</v>
          </cell>
          <cell r="F22">
            <v>90</v>
          </cell>
          <cell r="G22">
            <v>159969072</v>
          </cell>
          <cell r="H22" t="str">
            <v>;;=SUM(F11:G11);</v>
          </cell>
          <cell r="I22" t="str">
            <v>.</v>
          </cell>
        </row>
        <row r="23">
          <cell r="A23">
            <v>76</v>
          </cell>
          <cell r="B23" t="str">
            <v>Brazil</v>
          </cell>
          <cell r="C23">
            <v>1997</v>
          </cell>
          <cell r="D23">
            <v>90</v>
          </cell>
          <cell r="E23">
            <v>300</v>
          </cell>
          <cell r="F23">
            <v>90</v>
          </cell>
          <cell r="G23">
            <v>9468241.6243874021</v>
          </cell>
          <cell r="H23" t="str">
            <v>;;=SUM(F12:G12);</v>
          </cell>
          <cell r="I23" t="str">
            <v>.</v>
          </cell>
        </row>
        <row r="24">
          <cell r="A24">
            <v>76</v>
          </cell>
          <cell r="B24" t="str">
            <v>Brazil</v>
          </cell>
          <cell r="C24">
            <v>1997</v>
          </cell>
          <cell r="D24">
            <v>90</v>
          </cell>
          <cell r="E24">
            <v>303</v>
          </cell>
          <cell r="F24">
            <v>90</v>
          </cell>
          <cell r="G24">
            <v>3218062.6032536076</v>
          </cell>
          <cell r="H24" t="str">
            <v>;;=SUM(F13:G13);</v>
          </cell>
          <cell r="I24" t="str">
            <v>.</v>
          </cell>
        </row>
        <row r="25">
          <cell r="A25">
            <v>32</v>
          </cell>
          <cell r="B25" t="str">
            <v>Argentina</v>
          </cell>
          <cell r="C25">
            <v>1997</v>
          </cell>
          <cell r="D25">
            <v>90</v>
          </cell>
          <cell r="E25">
            <v>900000</v>
          </cell>
          <cell r="F25">
            <v>90</v>
          </cell>
          <cell r="G25">
            <v>35671897</v>
          </cell>
          <cell r="H25" t="str">
            <v>;;=SUM(F11:G11);</v>
          </cell>
          <cell r="I25" t="str">
            <v>.</v>
          </cell>
        </row>
        <row r="26">
          <cell r="A26">
            <v>32</v>
          </cell>
          <cell r="B26" t="str">
            <v>Argentina</v>
          </cell>
          <cell r="C26">
            <v>1997</v>
          </cell>
          <cell r="D26">
            <v>90</v>
          </cell>
          <cell r="E26">
            <v>300</v>
          </cell>
          <cell r="F26">
            <v>90</v>
          </cell>
          <cell r="G26">
            <v>2082804.21</v>
          </cell>
          <cell r="H26" t="str">
            <v>;;=SUM(F12:G12);</v>
          </cell>
          <cell r="I26" t="str">
            <v>.</v>
          </cell>
        </row>
        <row r="27">
          <cell r="A27">
            <v>32</v>
          </cell>
          <cell r="B27" t="str">
            <v>Argentina</v>
          </cell>
          <cell r="C27">
            <v>1997</v>
          </cell>
          <cell r="D27">
            <v>90</v>
          </cell>
          <cell r="E27">
            <v>303</v>
          </cell>
          <cell r="F27">
            <v>90</v>
          </cell>
          <cell r="G27">
            <v>687359.93</v>
          </cell>
          <cell r="H27" t="str">
            <v>;;=SUM(F13:G13);</v>
          </cell>
          <cell r="I27" t="str">
            <v>.</v>
          </cell>
        </row>
        <row r="28">
          <cell r="A28">
            <v>32</v>
          </cell>
          <cell r="B28" t="str">
            <v>Argentina</v>
          </cell>
          <cell r="C28">
            <v>1997</v>
          </cell>
          <cell r="D28">
            <v>90</v>
          </cell>
          <cell r="E28">
            <v>404</v>
          </cell>
          <cell r="F28">
            <v>90</v>
          </cell>
          <cell r="G28">
            <v>683905.86</v>
          </cell>
          <cell r="H28" t="str">
            <v>;;=SUM(F14:G14);</v>
          </cell>
          <cell r="I28" t="str">
            <v>.</v>
          </cell>
        </row>
        <row r="29">
          <cell r="A29">
            <v>32</v>
          </cell>
          <cell r="B29" t="str">
            <v>Argentina</v>
          </cell>
          <cell r="C29">
            <v>1997</v>
          </cell>
          <cell r="D29">
            <v>90</v>
          </cell>
          <cell r="E29">
            <v>505</v>
          </cell>
          <cell r="F29">
            <v>90</v>
          </cell>
          <cell r="G29">
            <v>682381</v>
          </cell>
          <cell r="H29" t="str">
            <v>;;=SUM(F15:G15);</v>
          </cell>
          <cell r="I29" t="str">
            <v>.</v>
          </cell>
        </row>
        <row r="30">
          <cell r="A30">
            <v>32</v>
          </cell>
          <cell r="B30" t="str">
            <v>Argentina</v>
          </cell>
          <cell r="C30">
            <v>1997</v>
          </cell>
          <cell r="D30">
            <v>90</v>
          </cell>
          <cell r="E30">
            <v>606</v>
          </cell>
          <cell r="F30">
            <v>90</v>
          </cell>
          <cell r="G30">
            <v>678332</v>
          </cell>
          <cell r="H30" t="str">
            <v>;;=SUM(F16:G16);</v>
          </cell>
          <cell r="I30" t="str">
            <v>.</v>
          </cell>
        </row>
        <row r="31">
          <cell r="A31">
            <v>32</v>
          </cell>
          <cell r="B31" t="str">
            <v>Argentina</v>
          </cell>
          <cell r="C31">
            <v>1997</v>
          </cell>
          <cell r="D31">
            <v>90</v>
          </cell>
          <cell r="E31">
            <v>707</v>
          </cell>
          <cell r="F31">
            <v>90</v>
          </cell>
          <cell r="G31">
            <v>674164</v>
          </cell>
          <cell r="H31" t="str">
            <v>;;=SUM(F17:G17);</v>
          </cell>
          <cell r="I31" t="str">
            <v>.</v>
          </cell>
        </row>
        <row r="32">
          <cell r="A32">
            <v>32</v>
          </cell>
          <cell r="B32" t="str">
            <v>Argentina</v>
          </cell>
          <cell r="C32">
            <v>1997</v>
          </cell>
          <cell r="D32">
            <v>90</v>
          </cell>
          <cell r="E32">
            <v>808</v>
          </cell>
          <cell r="F32">
            <v>90</v>
          </cell>
          <cell r="G32">
            <v>670082</v>
          </cell>
          <cell r="H32" t="str">
            <v>;;=SUM(F18:G18);</v>
          </cell>
          <cell r="I32" t="str">
            <v>.</v>
          </cell>
        </row>
        <row r="33">
          <cell r="A33">
            <v>32</v>
          </cell>
          <cell r="B33" t="str">
            <v>Argentina</v>
          </cell>
          <cell r="C33">
            <v>1997</v>
          </cell>
          <cell r="D33">
            <v>90</v>
          </cell>
          <cell r="E33">
            <v>909</v>
          </cell>
          <cell r="F33">
            <v>90</v>
          </cell>
          <cell r="G33">
            <v>666292</v>
          </cell>
          <cell r="H33" t="str">
            <v>;;=SUM(F19:G19);</v>
          </cell>
          <cell r="I33" t="str">
            <v>.</v>
          </cell>
        </row>
        <row r="34">
          <cell r="A34">
            <v>32</v>
          </cell>
          <cell r="B34" t="str">
            <v>Argentina</v>
          </cell>
          <cell r="C34">
            <v>1997</v>
          </cell>
          <cell r="D34">
            <v>90</v>
          </cell>
          <cell r="E34">
            <v>509</v>
          </cell>
          <cell r="F34">
            <v>90</v>
          </cell>
          <cell r="G34">
            <v>3371251</v>
          </cell>
          <cell r="H34" t="str">
            <v>;;=SUM(F20:G20);</v>
          </cell>
          <cell r="I34" t="str">
            <v>.</v>
          </cell>
        </row>
        <row r="35">
          <cell r="A35">
            <v>32</v>
          </cell>
          <cell r="B35" t="str">
            <v>Argentina</v>
          </cell>
          <cell r="C35">
            <v>1997</v>
          </cell>
          <cell r="D35">
            <v>90</v>
          </cell>
          <cell r="E35">
            <v>1010</v>
          </cell>
          <cell r="F35">
            <v>90</v>
          </cell>
          <cell r="G35">
            <v>661954</v>
          </cell>
          <cell r="H35" t="str">
            <v>;;=SUM(F21:G21);</v>
          </cell>
          <cell r="I35" t="str">
            <v>.</v>
          </cell>
        </row>
        <row r="36">
          <cell r="A36">
            <v>32</v>
          </cell>
          <cell r="B36" t="str">
            <v>Argentina</v>
          </cell>
          <cell r="C36">
            <v>1997</v>
          </cell>
          <cell r="D36">
            <v>90</v>
          </cell>
          <cell r="E36">
            <v>1111</v>
          </cell>
          <cell r="F36">
            <v>90</v>
          </cell>
          <cell r="G36">
            <v>656227</v>
          </cell>
          <cell r="H36" t="str">
            <v>;;=SUM(F22:G22);</v>
          </cell>
          <cell r="I36" t="str">
            <v>.</v>
          </cell>
        </row>
        <row r="37">
          <cell r="A37">
            <v>32</v>
          </cell>
          <cell r="B37" t="str">
            <v>Argentina</v>
          </cell>
          <cell r="C37">
            <v>1997</v>
          </cell>
          <cell r="D37">
            <v>90</v>
          </cell>
          <cell r="E37">
            <v>1212</v>
          </cell>
          <cell r="F37">
            <v>90</v>
          </cell>
          <cell r="G37">
            <v>654547</v>
          </cell>
          <cell r="H37" t="str">
            <v>;;=SUM(F23:G23);</v>
          </cell>
          <cell r="I37" t="str">
            <v>.</v>
          </cell>
        </row>
        <row r="38">
          <cell r="A38">
            <v>32</v>
          </cell>
          <cell r="B38" t="str">
            <v>Argentina</v>
          </cell>
          <cell r="C38">
            <v>1997</v>
          </cell>
          <cell r="D38">
            <v>90</v>
          </cell>
          <cell r="E38">
            <v>1313</v>
          </cell>
          <cell r="F38">
            <v>90</v>
          </cell>
          <cell r="G38">
            <v>659209</v>
          </cell>
          <cell r="H38" t="str">
            <v>;;=SUM(F24:G24);</v>
          </cell>
          <cell r="I38" t="str">
            <v>.</v>
          </cell>
        </row>
        <row r="39">
          <cell r="A39">
            <v>32</v>
          </cell>
          <cell r="B39" t="str">
            <v>Argentina</v>
          </cell>
          <cell r="C39">
            <v>1997</v>
          </cell>
          <cell r="D39">
            <v>90</v>
          </cell>
          <cell r="E39">
            <v>1414</v>
          </cell>
          <cell r="F39">
            <v>90</v>
          </cell>
          <cell r="G39">
            <v>667283</v>
          </cell>
          <cell r="H39" t="str">
            <v>;;=SUM(F25:G25);</v>
          </cell>
          <cell r="I39" t="str">
            <v>.</v>
          </cell>
        </row>
        <row r="40">
          <cell r="A40">
            <v>32</v>
          </cell>
          <cell r="B40" t="str">
            <v>Argentina</v>
          </cell>
          <cell r="C40">
            <v>1997</v>
          </cell>
          <cell r="D40">
            <v>90</v>
          </cell>
          <cell r="E40">
            <v>1014</v>
          </cell>
          <cell r="F40">
            <v>90</v>
          </cell>
          <cell r="G40">
            <v>3299220</v>
          </cell>
          <cell r="H40" t="str">
            <v>;;=SUM(F26:G26);</v>
          </cell>
          <cell r="I40" t="str">
            <v>.</v>
          </cell>
        </row>
        <row r="41">
          <cell r="A41">
            <v>32</v>
          </cell>
          <cell r="B41" t="str">
            <v>Argentina</v>
          </cell>
          <cell r="C41">
            <v>1997</v>
          </cell>
          <cell r="D41">
            <v>90</v>
          </cell>
          <cell r="E41">
            <v>1515</v>
          </cell>
          <cell r="F41">
            <v>90</v>
          </cell>
          <cell r="G41">
            <v>673924</v>
          </cell>
          <cell r="H41" t="str">
            <v>;;=SUM(F27:G27);</v>
          </cell>
          <cell r="I41" t="str">
            <v>.</v>
          </cell>
        </row>
        <row r="42">
          <cell r="A42">
            <v>32</v>
          </cell>
          <cell r="B42" t="str">
            <v>Argentina</v>
          </cell>
          <cell r="C42">
            <v>1997</v>
          </cell>
          <cell r="D42">
            <v>90</v>
          </cell>
          <cell r="E42">
            <v>1616</v>
          </cell>
          <cell r="F42">
            <v>90</v>
          </cell>
          <cell r="G42">
            <v>680565</v>
          </cell>
          <cell r="H42" t="str">
            <v>;;=SUM(F28:G28);</v>
          </cell>
          <cell r="I42" t="str">
            <v>.</v>
          </cell>
        </row>
        <row r="43">
          <cell r="A43">
            <v>32</v>
          </cell>
          <cell r="B43" t="str">
            <v>Argentina</v>
          </cell>
          <cell r="C43">
            <v>1997</v>
          </cell>
          <cell r="D43">
            <v>90</v>
          </cell>
          <cell r="E43">
            <v>1717</v>
          </cell>
          <cell r="F43">
            <v>90</v>
          </cell>
          <cell r="G43">
            <v>681285</v>
          </cell>
          <cell r="H43" t="str">
            <v>;;=SUM(F29:G29);</v>
          </cell>
          <cell r="I43" t="str">
            <v>.</v>
          </cell>
        </row>
        <row r="44">
          <cell r="A44">
            <v>32</v>
          </cell>
          <cell r="B44" t="str">
            <v>Argentina</v>
          </cell>
          <cell r="C44">
            <v>1997</v>
          </cell>
          <cell r="D44">
            <v>90</v>
          </cell>
          <cell r="E44">
            <v>1818</v>
          </cell>
          <cell r="F44">
            <v>90</v>
          </cell>
          <cell r="G44">
            <v>672797</v>
          </cell>
          <cell r="H44" t="str">
            <v>;;=SUM(F30:G30);</v>
          </cell>
          <cell r="I44" t="str">
            <v>.</v>
          </cell>
        </row>
        <row r="45">
          <cell r="A45">
            <v>32</v>
          </cell>
          <cell r="B45" t="str">
            <v>Argentina</v>
          </cell>
          <cell r="C45">
            <v>1997</v>
          </cell>
          <cell r="D45">
            <v>90</v>
          </cell>
          <cell r="E45">
            <v>1919</v>
          </cell>
          <cell r="F45">
            <v>90</v>
          </cell>
          <cell r="G45">
            <v>657933</v>
          </cell>
          <cell r="H45" t="str">
            <v>;;=SUM(F31:G31);</v>
          </cell>
          <cell r="I45" t="str">
            <v>.</v>
          </cell>
        </row>
        <row r="46">
          <cell r="A46">
            <v>76</v>
          </cell>
          <cell r="B46" t="str">
            <v>Brazil</v>
          </cell>
          <cell r="C46">
            <v>1997</v>
          </cell>
          <cell r="D46">
            <v>90</v>
          </cell>
          <cell r="E46">
            <v>404</v>
          </cell>
          <cell r="F46">
            <v>90</v>
          </cell>
          <cell r="G46">
            <v>3264914.1056923261</v>
          </cell>
          <cell r="H46" t="str">
            <v>;;=SUM(F14:G14);</v>
          </cell>
          <cell r="I46" t="str">
            <v>.</v>
          </cell>
        </row>
        <row r="47">
          <cell r="A47">
            <v>792</v>
          </cell>
          <cell r="B47" t="str">
            <v>Turkey</v>
          </cell>
          <cell r="C47">
            <v>1998</v>
          </cell>
          <cell r="D47">
            <v>90</v>
          </cell>
          <cell r="E47">
            <v>1212</v>
          </cell>
          <cell r="F47">
            <v>90</v>
          </cell>
          <cell r="G47">
            <v>1340000</v>
          </cell>
          <cell r="H47" t="str">
            <v>;;=SUM(F23:G23);</v>
          </cell>
          <cell r="I47" t="str">
            <v>.</v>
          </cell>
        </row>
        <row r="48">
          <cell r="A48">
            <v>792</v>
          </cell>
          <cell r="B48" t="str">
            <v>Turkey</v>
          </cell>
          <cell r="C48">
            <v>1998</v>
          </cell>
          <cell r="D48">
            <v>90</v>
          </cell>
          <cell r="E48">
            <v>1313</v>
          </cell>
          <cell r="F48">
            <v>90</v>
          </cell>
          <cell r="G48">
            <v>1345000</v>
          </cell>
          <cell r="H48" t="str">
            <v>;;=SUM(F24:G24);</v>
          </cell>
          <cell r="I48" t="str">
            <v>.</v>
          </cell>
        </row>
        <row r="49">
          <cell r="A49">
            <v>792</v>
          </cell>
          <cell r="B49" t="str">
            <v>Turkey</v>
          </cell>
          <cell r="C49">
            <v>1998</v>
          </cell>
          <cell r="D49">
            <v>90</v>
          </cell>
          <cell r="E49">
            <v>1414</v>
          </cell>
          <cell r="F49">
            <v>90</v>
          </cell>
          <cell r="G49">
            <v>1352000</v>
          </cell>
          <cell r="H49" t="str">
            <v>;;=SUM(F25:G25);</v>
          </cell>
          <cell r="I49" t="str">
            <v>.</v>
          </cell>
        </row>
        <row r="50">
          <cell r="A50">
            <v>792</v>
          </cell>
          <cell r="B50" t="str">
            <v>Turkey</v>
          </cell>
          <cell r="C50">
            <v>1998</v>
          </cell>
          <cell r="D50">
            <v>90</v>
          </cell>
          <cell r="E50">
            <v>1014</v>
          </cell>
          <cell r="F50">
            <v>90</v>
          </cell>
          <cell r="G50">
            <v>6687000</v>
          </cell>
          <cell r="H50" t="str">
            <v>;;=SUM(F26:G26);</v>
          </cell>
          <cell r="I50" t="str">
            <v>.</v>
          </cell>
        </row>
        <row r="51">
          <cell r="A51">
            <v>792</v>
          </cell>
          <cell r="B51" t="str">
            <v>Turkey</v>
          </cell>
          <cell r="C51">
            <v>1998</v>
          </cell>
          <cell r="D51">
            <v>90</v>
          </cell>
          <cell r="E51">
            <v>1515</v>
          </cell>
          <cell r="F51">
            <v>90</v>
          </cell>
          <cell r="G51">
            <v>1356000</v>
          </cell>
          <cell r="H51" t="str">
            <v>;;=SUM(F27:G27);</v>
          </cell>
          <cell r="I51" t="str">
            <v>.</v>
          </cell>
        </row>
        <row r="52">
          <cell r="A52">
            <v>792</v>
          </cell>
          <cell r="B52" t="str">
            <v>Turkey</v>
          </cell>
          <cell r="C52">
            <v>1998</v>
          </cell>
          <cell r="D52">
            <v>90</v>
          </cell>
          <cell r="E52">
            <v>1616</v>
          </cell>
          <cell r="F52">
            <v>90</v>
          </cell>
          <cell r="G52">
            <v>1357000</v>
          </cell>
          <cell r="H52" t="str">
            <v>;;=SUM(F28:G28);</v>
          </cell>
          <cell r="I52" t="str">
            <v>.</v>
          </cell>
        </row>
        <row r="53">
          <cell r="A53">
            <v>792</v>
          </cell>
          <cell r="B53" t="str">
            <v>Turkey</v>
          </cell>
          <cell r="C53">
            <v>1998</v>
          </cell>
          <cell r="D53">
            <v>90</v>
          </cell>
          <cell r="E53">
            <v>1717</v>
          </cell>
          <cell r="F53">
            <v>90</v>
          </cell>
          <cell r="G53">
            <v>1354000</v>
          </cell>
          <cell r="H53" t="str">
            <v>;;=SUM(F29:G29);</v>
          </cell>
          <cell r="I53" t="str">
            <v>.</v>
          </cell>
        </row>
        <row r="54">
          <cell r="A54">
            <v>792</v>
          </cell>
          <cell r="B54" t="str">
            <v>Turkey</v>
          </cell>
          <cell r="C54">
            <v>1998</v>
          </cell>
          <cell r="D54">
            <v>90</v>
          </cell>
          <cell r="E54">
            <v>1818</v>
          </cell>
          <cell r="F54">
            <v>90</v>
          </cell>
          <cell r="G54">
            <v>1351000</v>
          </cell>
          <cell r="H54" t="str">
            <v>;;=SUM(F30:G30);</v>
          </cell>
          <cell r="I54" t="str">
            <v>.</v>
          </cell>
        </row>
        <row r="55">
          <cell r="A55">
            <v>792</v>
          </cell>
          <cell r="B55" t="str">
            <v>Turkey</v>
          </cell>
          <cell r="C55">
            <v>1998</v>
          </cell>
          <cell r="D55">
            <v>90</v>
          </cell>
          <cell r="E55">
            <v>1919</v>
          </cell>
          <cell r="F55">
            <v>90</v>
          </cell>
          <cell r="G55">
            <v>1346000</v>
          </cell>
          <cell r="H55" t="str">
            <v>;;=SUM(F31:G31);</v>
          </cell>
          <cell r="I55" t="str">
            <v>.</v>
          </cell>
        </row>
        <row r="56">
          <cell r="A56">
            <v>792</v>
          </cell>
          <cell r="B56" t="str">
            <v>Turkey</v>
          </cell>
          <cell r="C56">
            <v>1998</v>
          </cell>
          <cell r="D56">
            <v>90</v>
          </cell>
          <cell r="E56">
            <v>1519</v>
          </cell>
          <cell r="F56">
            <v>90</v>
          </cell>
          <cell r="G56">
            <v>6764000</v>
          </cell>
          <cell r="H56" t="str">
            <v>;;=SUM(F32:G32);</v>
          </cell>
          <cell r="I56" t="str">
            <v>.</v>
          </cell>
        </row>
        <row r="57">
          <cell r="A57">
            <v>792</v>
          </cell>
          <cell r="B57" t="str">
            <v>Turkey</v>
          </cell>
          <cell r="C57">
            <v>1998</v>
          </cell>
          <cell r="D57">
            <v>90</v>
          </cell>
          <cell r="E57">
            <v>2020</v>
          </cell>
          <cell r="F57">
            <v>90</v>
          </cell>
          <cell r="G57">
            <v>1333000</v>
          </cell>
          <cell r="H57" t="str">
            <v>;;=SUM(F33:G33);</v>
          </cell>
          <cell r="I57" t="str">
            <v>.</v>
          </cell>
        </row>
        <row r="58">
          <cell r="A58">
            <v>792</v>
          </cell>
          <cell r="B58" t="str">
            <v>Turkey</v>
          </cell>
          <cell r="C58">
            <v>1998</v>
          </cell>
          <cell r="D58">
            <v>90</v>
          </cell>
          <cell r="E58">
            <v>2121</v>
          </cell>
          <cell r="F58">
            <v>90</v>
          </cell>
          <cell r="G58">
            <v>1311000</v>
          </cell>
          <cell r="H58" t="str">
            <v>;;=SUM(F34:G34);</v>
          </cell>
          <cell r="I58" t="str">
            <v>.</v>
          </cell>
        </row>
        <row r="59">
          <cell r="A59">
            <v>792</v>
          </cell>
          <cell r="B59" t="str">
            <v>Turkey</v>
          </cell>
          <cell r="C59">
            <v>1998</v>
          </cell>
          <cell r="D59">
            <v>90</v>
          </cell>
          <cell r="E59">
            <v>2222</v>
          </cell>
          <cell r="F59">
            <v>90</v>
          </cell>
          <cell r="G59">
            <v>1281000</v>
          </cell>
          <cell r="H59" t="str">
            <v>;;=SUM(F35:G35);</v>
          </cell>
          <cell r="I59" t="str">
            <v>.</v>
          </cell>
        </row>
        <row r="60">
          <cell r="A60">
            <v>792</v>
          </cell>
          <cell r="B60" t="str">
            <v>Turkey</v>
          </cell>
          <cell r="C60">
            <v>1998</v>
          </cell>
          <cell r="D60">
            <v>90</v>
          </cell>
          <cell r="E60">
            <v>2323</v>
          </cell>
          <cell r="F60">
            <v>90</v>
          </cell>
          <cell r="G60">
            <v>1251000</v>
          </cell>
          <cell r="H60" t="str">
            <v>;;=SUM(F36:G36);</v>
          </cell>
          <cell r="I60" t="str">
            <v>.</v>
          </cell>
        </row>
        <row r="61">
          <cell r="A61">
            <v>792</v>
          </cell>
          <cell r="B61" t="str">
            <v>Turkey</v>
          </cell>
          <cell r="C61">
            <v>1998</v>
          </cell>
          <cell r="D61">
            <v>90</v>
          </cell>
          <cell r="E61">
            <v>2424</v>
          </cell>
          <cell r="F61">
            <v>90</v>
          </cell>
          <cell r="G61">
            <v>1220000</v>
          </cell>
          <cell r="H61" t="str">
            <v>;;=SUM(F37:G37);</v>
          </cell>
          <cell r="I61" t="str">
            <v>.</v>
          </cell>
        </row>
        <row r="62">
          <cell r="A62">
            <v>792</v>
          </cell>
          <cell r="B62" t="str">
            <v>Turkey</v>
          </cell>
          <cell r="C62">
            <v>1998</v>
          </cell>
          <cell r="D62">
            <v>90</v>
          </cell>
          <cell r="E62">
            <v>2024</v>
          </cell>
          <cell r="F62">
            <v>90</v>
          </cell>
          <cell r="G62">
            <v>6396000</v>
          </cell>
          <cell r="H62" t="str">
            <v>;;=SUM(F38:G38);</v>
          </cell>
          <cell r="I62" t="str">
            <v>.</v>
          </cell>
        </row>
        <row r="63">
          <cell r="A63">
            <v>792</v>
          </cell>
          <cell r="B63" t="str">
            <v>Turkey</v>
          </cell>
          <cell r="C63">
            <v>1998</v>
          </cell>
          <cell r="D63">
            <v>90</v>
          </cell>
          <cell r="E63">
            <v>2525</v>
          </cell>
          <cell r="F63">
            <v>90</v>
          </cell>
          <cell r="G63">
            <v>1188000</v>
          </cell>
          <cell r="H63" t="str">
            <v>;;=SUM(F39:G39);</v>
          </cell>
          <cell r="I63" t="str">
            <v>.</v>
          </cell>
        </row>
        <row r="64">
          <cell r="A64">
            <v>792</v>
          </cell>
          <cell r="B64" t="str">
            <v>Turkey</v>
          </cell>
          <cell r="C64">
            <v>1998</v>
          </cell>
          <cell r="D64">
            <v>90</v>
          </cell>
          <cell r="E64">
            <v>2626</v>
          </cell>
          <cell r="F64">
            <v>90</v>
          </cell>
          <cell r="G64">
            <v>1154000</v>
          </cell>
          <cell r="H64" t="str">
            <v>;;=SUM(F40:G40);</v>
          </cell>
          <cell r="I64" t="str">
            <v>.</v>
          </cell>
        </row>
        <row r="65">
          <cell r="A65">
            <v>792</v>
          </cell>
          <cell r="B65" t="str">
            <v>Turkey</v>
          </cell>
          <cell r="C65">
            <v>1998</v>
          </cell>
          <cell r="D65">
            <v>90</v>
          </cell>
          <cell r="E65">
            <v>2727</v>
          </cell>
          <cell r="F65">
            <v>90</v>
          </cell>
          <cell r="G65">
            <v>1121000</v>
          </cell>
          <cell r="H65" t="str">
            <v>;;=SUM(F41:G41);</v>
          </cell>
          <cell r="I65" t="str">
            <v>.</v>
          </cell>
        </row>
        <row r="66">
          <cell r="A66">
            <v>792</v>
          </cell>
          <cell r="B66" t="str">
            <v>Turkey</v>
          </cell>
          <cell r="C66">
            <v>1998</v>
          </cell>
          <cell r="D66">
            <v>90</v>
          </cell>
          <cell r="E66">
            <v>2828</v>
          </cell>
          <cell r="F66">
            <v>90</v>
          </cell>
          <cell r="G66">
            <v>1087000</v>
          </cell>
          <cell r="H66" t="str">
            <v>;;=SUM(F42:G42);</v>
          </cell>
          <cell r="I66" t="str">
            <v>.</v>
          </cell>
        </row>
        <row r="67">
          <cell r="A67">
            <v>792</v>
          </cell>
          <cell r="B67" t="str">
            <v>Turkey</v>
          </cell>
          <cell r="C67">
            <v>1998</v>
          </cell>
          <cell r="D67">
            <v>90</v>
          </cell>
          <cell r="E67">
            <v>2929</v>
          </cell>
          <cell r="F67">
            <v>90</v>
          </cell>
          <cell r="G67">
            <v>1050000</v>
          </cell>
          <cell r="H67" t="str">
            <v>;;=SUM(F43:G43);</v>
          </cell>
          <cell r="I67" t="str">
            <v>.</v>
          </cell>
        </row>
        <row r="68">
          <cell r="A68">
            <v>792</v>
          </cell>
          <cell r="B68" t="str">
            <v>Turkey</v>
          </cell>
          <cell r="C68">
            <v>1998</v>
          </cell>
          <cell r="D68">
            <v>90</v>
          </cell>
          <cell r="E68">
            <v>2529</v>
          </cell>
          <cell r="F68">
            <v>90</v>
          </cell>
          <cell r="G68">
            <v>5600000</v>
          </cell>
          <cell r="H68" t="str">
            <v>;;=SUM(F44:G44);</v>
          </cell>
          <cell r="I68" t="str">
            <v>.</v>
          </cell>
        </row>
        <row r="69">
          <cell r="A69">
            <v>792</v>
          </cell>
          <cell r="B69" t="str">
            <v>Turkey</v>
          </cell>
          <cell r="C69">
            <v>1998</v>
          </cell>
          <cell r="D69">
            <v>90</v>
          </cell>
          <cell r="E69">
            <v>3034</v>
          </cell>
          <cell r="F69">
            <v>90</v>
          </cell>
          <cell r="G69">
            <v>5053000</v>
          </cell>
          <cell r="H69" t="str">
            <v>;;=SUM(F45:G45);</v>
          </cell>
          <cell r="I69" t="str">
            <v>.</v>
          </cell>
        </row>
        <row r="70">
          <cell r="A70">
            <v>792</v>
          </cell>
          <cell r="B70" t="str">
            <v>Turkey</v>
          </cell>
          <cell r="C70">
            <v>1998</v>
          </cell>
          <cell r="D70">
            <v>90</v>
          </cell>
          <cell r="E70">
            <v>3539</v>
          </cell>
          <cell r="F70">
            <v>90</v>
          </cell>
          <cell r="G70">
            <v>4490000</v>
          </cell>
          <cell r="H70" t="str">
            <v>;;=SUM(F46:G46);</v>
          </cell>
          <cell r="I70" t="str">
            <v>.</v>
          </cell>
        </row>
        <row r="71">
          <cell r="A71">
            <v>792</v>
          </cell>
          <cell r="B71" t="str">
            <v>Turkey</v>
          </cell>
          <cell r="C71">
            <v>1998</v>
          </cell>
          <cell r="D71">
            <v>90</v>
          </cell>
          <cell r="E71">
            <v>4099</v>
          </cell>
          <cell r="F71">
            <v>90</v>
          </cell>
          <cell r="G71">
            <v>15836000</v>
          </cell>
          <cell r="H71" t="str">
            <v>;;=SUM(F47:G47);</v>
          </cell>
          <cell r="I71" t="str">
            <v>.</v>
          </cell>
        </row>
        <row r="72">
          <cell r="A72">
            <v>792</v>
          </cell>
          <cell r="B72" t="str">
            <v>Turkey</v>
          </cell>
          <cell r="C72">
            <v>1998</v>
          </cell>
          <cell r="D72">
            <v>90</v>
          </cell>
          <cell r="E72">
            <v>990000</v>
          </cell>
          <cell r="F72">
            <v>90</v>
          </cell>
          <cell r="G72">
            <v>0</v>
          </cell>
          <cell r="H72" t="str">
            <v>n;</v>
          </cell>
          <cell r="I72" t="str">
            <v>n</v>
          </cell>
        </row>
        <row r="73">
          <cell r="A73">
            <v>32</v>
          </cell>
          <cell r="B73" t="str">
            <v>Argentina</v>
          </cell>
          <cell r="C73">
            <v>1997</v>
          </cell>
          <cell r="D73">
            <v>90</v>
          </cell>
          <cell r="E73">
            <v>1519</v>
          </cell>
          <cell r="F73">
            <v>90</v>
          </cell>
          <cell r="G73">
            <v>3366504</v>
          </cell>
          <cell r="H73" t="str">
            <v>;;=SUM(F32:G32);</v>
          </cell>
          <cell r="I73" t="str">
            <v>.</v>
          </cell>
        </row>
        <row r="74">
          <cell r="A74">
            <v>32</v>
          </cell>
          <cell r="B74" t="str">
            <v>Argentina</v>
          </cell>
          <cell r="C74">
            <v>1997</v>
          </cell>
          <cell r="D74">
            <v>90</v>
          </cell>
          <cell r="E74">
            <v>2020</v>
          </cell>
          <cell r="F74">
            <v>90</v>
          </cell>
          <cell r="G74">
            <v>643455</v>
          </cell>
          <cell r="H74" t="str">
            <v>;;=SUM(F33:G33);</v>
          </cell>
          <cell r="I74" t="str">
            <v>.</v>
          </cell>
        </row>
        <row r="75">
          <cell r="A75">
            <v>32</v>
          </cell>
          <cell r="B75" t="str">
            <v>Argentina</v>
          </cell>
          <cell r="C75">
            <v>1997</v>
          </cell>
          <cell r="D75">
            <v>90</v>
          </cell>
          <cell r="E75">
            <v>2121</v>
          </cell>
          <cell r="F75">
            <v>90</v>
          </cell>
          <cell r="G75">
            <v>628773</v>
          </cell>
          <cell r="H75" t="str">
            <v>;;=SUM(F34:G34);</v>
          </cell>
          <cell r="I75" t="str">
            <v>.</v>
          </cell>
        </row>
        <row r="76">
          <cell r="A76">
            <v>32</v>
          </cell>
          <cell r="B76" t="str">
            <v>Argentina</v>
          </cell>
          <cell r="C76">
            <v>1997</v>
          </cell>
          <cell r="D76">
            <v>90</v>
          </cell>
          <cell r="E76">
            <v>2222</v>
          </cell>
          <cell r="F76">
            <v>90</v>
          </cell>
          <cell r="G76">
            <v>611793</v>
          </cell>
          <cell r="H76" t="str">
            <v>;;=SUM(F35:G35);</v>
          </cell>
          <cell r="I76" t="str">
            <v>.</v>
          </cell>
        </row>
        <row r="77">
          <cell r="A77">
            <v>32</v>
          </cell>
          <cell r="B77" t="str">
            <v>Argentina</v>
          </cell>
          <cell r="C77">
            <v>1997</v>
          </cell>
          <cell r="D77">
            <v>90</v>
          </cell>
          <cell r="E77">
            <v>2323</v>
          </cell>
          <cell r="F77">
            <v>90</v>
          </cell>
          <cell r="G77">
            <v>592400</v>
          </cell>
          <cell r="H77" t="str">
            <v>;;=SUM(F36:G36);</v>
          </cell>
          <cell r="I77" t="str">
            <v>.</v>
          </cell>
        </row>
        <row r="78">
          <cell r="A78">
            <v>32</v>
          </cell>
          <cell r="B78" t="str">
            <v>Argentina</v>
          </cell>
          <cell r="C78">
            <v>1997</v>
          </cell>
          <cell r="D78">
            <v>90</v>
          </cell>
          <cell r="E78">
            <v>2424</v>
          </cell>
          <cell r="F78">
            <v>90</v>
          </cell>
          <cell r="G78">
            <v>571732</v>
          </cell>
          <cell r="H78" t="str">
            <v>;;=SUM(F37:G37);</v>
          </cell>
          <cell r="I78" t="str">
            <v>.</v>
          </cell>
        </row>
        <row r="79">
          <cell r="A79">
            <v>32</v>
          </cell>
          <cell r="B79" t="str">
            <v>Argentina</v>
          </cell>
          <cell r="C79">
            <v>1997</v>
          </cell>
          <cell r="D79">
            <v>90</v>
          </cell>
          <cell r="E79">
            <v>2024</v>
          </cell>
          <cell r="F79">
            <v>90</v>
          </cell>
          <cell r="G79">
            <v>3048153</v>
          </cell>
          <cell r="H79" t="str">
            <v>;;=SUM(F38:G38);</v>
          </cell>
          <cell r="I79" t="str">
            <v>.</v>
          </cell>
        </row>
        <row r="80">
          <cell r="A80">
            <v>32</v>
          </cell>
          <cell r="B80" t="str">
            <v>Argentina</v>
          </cell>
          <cell r="C80">
            <v>1997</v>
          </cell>
          <cell r="D80">
            <v>90</v>
          </cell>
          <cell r="E80">
            <v>2525</v>
          </cell>
          <cell r="F80">
            <v>90</v>
          </cell>
          <cell r="G80">
            <v>550767</v>
          </cell>
          <cell r="H80" t="str">
            <v>;;=SUM(F39:G39);</v>
          </cell>
          <cell r="I80" t="str">
            <v>.</v>
          </cell>
        </row>
        <row r="81">
          <cell r="A81">
            <v>32</v>
          </cell>
          <cell r="B81" t="str">
            <v>Argentina</v>
          </cell>
          <cell r="C81">
            <v>1997</v>
          </cell>
          <cell r="D81">
            <v>90</v>
          </cell>
          <cell r="E81">
            <v>2626</v>
          </cell>
          <cell r="F81">
            <v>90</v>
          </cell>
          <cell r="G81">
            <v>528983</v>
          </cell>
          <cell r="H81" t="str">
            <v>;;=SUM(F40:G40);</v>
          </cell>
          <cell r="I81" t="str">
            <v>.</v>
          </cell>
        </row>
        <row r="82">
          <cell r="A82">
            <v>32</v>
          </cell>
          <cell r="B82" t="str">
            <v>Argentina</v>
          </cell>
          <cell r="C82">
            <v>1997</v>
          </cell>
          <cell r="D82">
            <v>90</v>
          </cell>
          <cell r="E82">
            <v>2727</v>
          </cell>
          <cell r="F82">
            <v>90</v>
          </cell>
          <cell r="G82">
            <v>511305</v>
          </cell>
          <cell r="H82" t="str">
            <v>;;=SUM(F41:G41);</v>
          </cell>
          <cell r="I82" t="str">
            <v>.</v>
          </cell>
        </row>
        <row r="83">
          <cell r="A83">
            <v>32</v>
          </cell>
          <cell r="B83" t="str">
            <v>Argentina</v>
          </cell>
          <cell r="C83">
            <v>1997</v>
          </cell>
          <cell r="D83">
            <v>90</v>
          </cell>
          <cell r="E83">
            <v>2828</v>
          </cell>
          <cell r="F83">
            <v>90</v>
          </cell>
          <cell r="G83">
            <v>500185</v>
          </cell>
          <cell r="H83" t="str">
            <v>;;=SUM(F42:G42);</v>
          </cell>
          <cell r="I83" t="str">
            <v>.</v>
          </cell>
        </row>
        <row r="84">
          <cell r="A84">
            <v>32</v>
          </cell>
          <cell r="B84" t="str">
            <v>Argentina</v>
          </cell>
          <cell r="C84">
            <v>1997</v>
          </cell>
          <cell r="D84">
            <v>90</v>
          </cell>
          <cell r="E84">
            <v>2929</v>
          </cell>
          <cell r="F84">
            <v>90</v>
          </cell>
          <cell r="G84">
            <v>493534</v>
          </cell>
          <cell r="H84" t="str">
            <v>;;=SUM(F43:G43);</v>
          </cell>
          <cell r="I84" t="str">
            <v>.</v>
          </cell>
        </row>
        <row r="85">
          <cell r="A85">
            <v>32</v>
          </cell>
          <cell r="B85" t="str">
            <v>Argentina</v>
          </cell>
          <cell r="C85">
            <v>1997</v>
          </cell>
          <cell r="D85">
            <v>90</v>
          </cell>
          <cell r="E85">
            <v>2529</v>
          </cell>
          <cell r="F85">
            <v>90</v>
          </cell>
          <cell r="G85">
            <v>2584774</v>
          </cell>
          <cell r="H85" t="str">
            <v>;;=SUM(F44:G44);</v>
          </cell>
          <cell r="I85" t="str">
            <v>.</v>
          </cell>
        </row>
        <row r="86">
          <cell r="A86">
            <v>76</v>
          </cell>
          <cell r="B86" t="str">
            <v>Brazil</v>
          </cell>
          <cell r="C86">
            <v>1997</v>
          </cell>
          <cell r="D86">
            <v>90</v>
          </cell>
          <cell r="E86">
            <v>505</v>
          </cell>
          <cell r="F86">
            <v>90</v>
          </cell>
          <cell r="G86">
            <v>3180339.6666666665</v>
          </cell>
          <cell r="H86" t="str">
            <v>;;=SUM(F15:G15);</v>
          </cell>
          <cell r="I86" t="str">
            <v>.</v>
          </cell>
        </row>
        <row r="87">
          <cell r="A87">
            <v>76</v>
          </cell>
          <cell r="B87" t="str">
            <v>Brazil</v>
          </cell>
          <cell r="C87">
            <v>1997</v>
          </cell>
          <cell r="D87">
            <v>90</v>
          </cell>
          <cell r="E87">
            <v>606</v>
          </cell>
          <cell r="F87">
            <v>90</v>
          </cell>
          <cell r="G87">
            <v>3256195.3333333335</v>
          </cell>
          <cell r="H87" t="str">
            <v>;;=SUM(F16:G16);</v>
          </cell>
          <cell r="I87" t="str">
            <v>.</v>
          </cell>
        </row>
        <row r="88">
          <cell r="A88">
            <v>76</v>
          </cell>
          <cell r="B88" t="str">
            <v>Brazil</v>
          </cell>
          <cell r="C88">
            <v>1997</v>
          </cell>
          <cell r="D88">
            <v>90</v>
          </cell>
          <cell r="E88">
            <v>707</v>
          </cell>
          <cell r="F88">
            <v>90</v>
          </cell>
          <cell r="G88">
            <v>3514483.7046176381</v>
          </cell>
          <cell r="H88" t="str">
            <v>;;=SUM(F17:G17);</v>
          </cell>
          <cell r="I88" t="str">
            <v>.</v>
          </cell>
        </row>
        <row r="89">
          <cell r="A89">
            <v>76</v>
          </cell>
          <cell r="B89" t="str">
            <v>Brazil</v>
          </cell>
          <cell r="C89">
            <v>1997</v>
          </cell>
          <cell r="D89">
            <v>90</v>
          </cell>
          <cell r="E89">
            <v>808</v>
          </cell>
          <cell r="F89">
            <v>90</v>
          </cell>
          <cell r="G89">
            <v>3468532.6638722634</v>
          </cell>
          <cell r="H89" t="str">
            <v>;;=SUM(F18:G18);</v>
          </cell>
          <cell r="I89" t="str">
            <v>.</v>
          </cell>
        </row>
        <row r="90">
          <cell r="A90">
            <v>76</v>
          </cell>
          <cell r="B90" t="str">
            <v>Brazil</v>
          </cell>
          <cell r="C90">
            <v>1997</v>
          </cell>
          <cell r="D90">
            <v>90</v>
          </cell>
          <cell r="E90">
            <v>909</v>
          </cell>
          <cell r="F90">
            <v>90</v>
          </cell>
          <cell r="G90">
            <v>3534410.1834456315</v>
          </cell>
          <cell r="H90" t="str">
            <v>;;=SUM(F19:G19);</v>
          </cell>
          <cell r="I90" t="str">
            <v>.</v>
          </cell>
        </row>
        <row r="91">
          <cell r="A91">
            <v>76</v>
          </cell>
          <cell r="B91" t="str">
            <v>Brazil</v>
          </cell>
          <cell r="C91">
            <v>1997</v>
          </cell>
          <cell r="D91">
            <v>90</v>
          </cell>
          <cell r="E91">
            <v>509</v>
          </cell>
          <cell r="F91">
            <v>90</v>
          </cell>
          <cell r="G91">
            <v>16953961.551935535</v>
          </cell>
          <cell r="H91" t="str">
            <v>;;=SUM(F20:G20);</v>
          </cell>
          <cell r="I91" t="str">
            <v>.</v>
          </cell>
        </row>
        <row r="92">
          <cell r="A92">
            <v>76</v>
          </cell>
          <cell r="B92" t="str">
            <v>Brazil</v>
          </cell>
          <cell r="C92">
            <v>1997</v>
          </cell>
          <cell r="D92">
            <v>90</v>
          </cell>
          <cell r="E92">
            <v>1010</v>
          </cell>
          <cell r="F92">
            <v>90</v>
          </cell>
          <cell r="G92">
            <v>3674441.4951938791</v>
          </cell>
          <cell r="H92" t="str">
            <v>;;=SUM(F21:G21);</v>
          </cell>
          <cell r="I92" t="str">
            <v>.</v>
          </cell>
        </row>
        <row r="93">
          <cell r="A93">
            <v>76</v>
          </cell>
          <cell r="B93" t="str">
            <v>Brazil</v>
          </cell>
          <cell r="C93">
            <v>1997</v>
          </cell>
          <cell r="D93">
            <v>90</v>
          </cell>
          <cell r="E93">
            <v>1111</v>
          </cell>
          <cell r="F93">
            <v>90</v>
          </cell>
          <cell r="G93">
            <v>3611239.7444164506</v>
          </cell>
          <cell r="H93" t="str">
            <v>;;=SUM(F22:G22);</v>
          </cell>
          <cell r="I93" t="str">
            <v>.</v>
          </cell>
        </row>
        <row r="94">
          <cell r="A94">
            <v>76</v>
          </cell>
          <cell r="B94" t="str">
            <v>Brazil</v>
          </cell>
          <cell r="C94">
            <v>1997</v>
          </cell>
          <cell r="D94">
            <v>90</v>
          </cell>
          <cell r="E94">
            <v>1212</v>
          </cell>
          <cell r="F94">
            <v>90</v>
          </cell>
          <cell r="G94">
            <v>3627376.639642857</v>
          </cell>
          <cell r="H94" t="str">
            <v>;;=SUM(F23:G23);</v>
          </cell>
          <cell r="I94" t="str">
            <v>.</v>
          </cell>
        </row>
        <row r="95">
          <cell r="A95">
            <v>554</v>
          </cell>
          <cell r="B95" t="str">
            <v>New Zealand</v>
          </cell>
          <cell r="C95">
            <v>1998</v>
          </cell>
          <cell r="D95">
            <v>90</v>
          </cell>
          <cell r="E95">
            <v>900000</v>
          </cell>
          <cell r="F95">
            <v>90</v>
          </cell>
          <cell r="G95">
            <v>3792010</v>
          </cell>
          <cell r="H95" t="str">
            <v>;;=SUM(F11:G11);</v>
          </cell>
          <cell r="I95" t="str">
            <v>.</v>
          </cell>
        </row>
        <row r="96">
          <cell r="A96">
            <v>554</v>
          </cell>
          <cell r="B96" t="str">
            <v>New Zealand</v>
          </cell>
          <cell r="C96">
            <v>1998</v>
          </cell>
          <cell r="D96">
            <v>90</v>
          </cell>
          <cell r="E96">
            <v>300</v>
          </cell>
          <cell r="F96">
            <v>90</v>
          </cell>
          <cell r="G96">
            <v>171230</v>
          </cell>
          <cell r="H96" t="str">
            <v>;;=SUM(F12:G12);</v>
          </cell>
          <cell r="I96" t="str">
            <v>.</v>
          </cell>
        </row>
        <row r="97">
          <cell r="A97">
            <v>554</v>
          </cell>
          <cell r="B97" t="str">
            <v>New Zealand</v>
          </cell>
          <cell r="C97">
            <v>1998</v>
          </cell>
          <cell r="D97">
            <v>90</v>
          </cell>
          <cell r="E97">
            <v>303</v>
          </cell>
          <cell r="F97">
            <v>90</v>
          </cell>
          <cell r="G97">
            <v>55960</v>
          </cell>
          <cell r="H97" t="str">
            <v>;;=SUM(F13:G13);</v>
          </cell>
          <cell r="I97" t="str">
            <v>.</v>
          </cell>
        </row>
        <row r="98">
          <cell r="A98">
            <v>554</v>
          </cell>
          <cell r="B98" t="str">
            <v>New Zealand</v>
          </cell>
          <cell r="C98">
            <v>1998</v>
          </cell>
          <cell r="D98">
            <v>90</v>
          </cell>
          <cell r="E98">
            <v>404</v>
          </cell>
          <cell r="F98">
            <v>90</v>
          </cell>
          <cell r="G98">
            <v>56400</v>
          </cell>
          <cell r="H98" t="str">
            <v>;;=SUM(F14:G14);</v>
          </cell>
          <cell r="I98" t="str">
            <v>.</v>
          </cell>
        </row>
        <row r="99">
          <cell r="A99">
            <v>554</v>
          </cell>
          <cell r="B99" t="str">
            <v>New Zealand</v>
          </cell>
          <cell r="C99">
            <v>1998</v>
          </cell>
          <cell r="D99">
            <v>90</v>
          </cell>
          <cell r="E99">
            <v>505</v>
          </cell>
          <cell r="F99">
            <v>90</v>
          </cell>
          <cell r="G99">
            <v>58020</v>
          </cell>
          <cell r="H99" t="str">
            <v>;;=SUM(F15:G15);</v>
          </cell>
          <cell r="I99" t="str">
            <v>.</v>
          </cell>
        </row>
        <row r="100">
          <cell r="A100">
            <v>554</v>
          </cell>
          <cell r="B100" t="str">
            <v>New Zealand</v>
          </cell>
          <cell r="C100">
            <v>1998</v>
          </cell>
          <cell r="D100">
            <v>90</v>
          </cell>
          <cell r="E100">
            <v>606</v>
          </cell>
          <cell r="F100">
            <v>90</v>
          </cell>
          <cell r="G100">
            <v>58950</v>
          </cell>
          <cell r="H100" t="str">
            <v>;;=SUM(F16:G16);</v>
          </cell>
          <cell r="I100" t="str">
            <v>.</v>
          </cell>
        </row>
        <row r="101">
          <cell r="A101">
            <v>554</v>
          </cell>
          <cell r="B101" t="str">
            <v>New Zealand</v>
          </cell>
          <cell r="C101">
            <v>1998</v>
          </cell>
          <cell r="D101">
            <v>90</v>
          </cell>
          <cell r="E101">
            <v>707</v>
          </cell>
          <cell r="F101">
            <v>90</v>
          </cell>
          <cell r="G101">
            <v>61990</v>
          </cell>
          <cell r="H101" t="str">
            <v>;;=SUM(F17:G17);</v>
          </cell>
          <cell r="I101" t="str">
            <v>.</v>
          </cell>
        </row>
        <row r="102">
          <cell r="A102">
            <v>554</v>
          </cell>
          <cell r="B102" t="str">
            <v>New Zealand</v>
          </cell>
          <cell r="C102">
            <v>1998</v>
          </cell>
          <cell r="D102">
            <v>90</v>
          </cell>
          <cell r="E102">
            <v>808</v>
          </cell>
          <cell r="F102">
            <v>90</v>
          </cell>
          <cell r="G102">
            <v>61430</v>
          </cell>
          <cell r="H102" t="str">
            <v>;;=SUM(F18:G18);</v>
          </cell>
          <cell r="I102" t="str">
            <v>.</v>
          </cell>
        </row>
        <row r="103">
          <cell r="A103">
            <v>554</v>
          </cell>
          <cell r="B103" t="str">
            <v>New Zealand</v>
          </cell>
          <cell r="C103">
            <v>1998</v>
          </cell>
          <cell r="D103">
            <v>90</v>
          </cell>
          <cell r="E103">
            <v>909</v>
          </cell>
          <cell r="F103">
            <v>90</v>
          </cell>
          <cell r="G103">
            <v>59570</v>
          </cell>
          <cell r="H103" t="str">
            <v>;;=SUM(F19:G19);</v>
          </cell>
          <cell r="I103" t="str">
            <v>.</v>
          </cell>
        </row>
        <row r="104">
          <cell r="A104">
            <v>554</v>
          </cell>
          <cell r="B104" t="str">
            <v>New Zealand</v>
          </cell>
          <cell r="C104">
            <v>1998</v>
          </cell>
          <cell r="D104">
            <v>90</v>
          </cell>
          <cell r="E104">
            <v>509</v>
          </cell>
          <cell r="F104">
            <v>90</v>
          </cell>
          <cell r="G104">
            <v>299960</v>
          </cell>
          <cell r="H104" t="str">
            <v>;;=SUM(F20:G20);</v>
          </cell>
          <cell r="I104" t="str">
            <v>.</v>
          </cell>
        </row>
        <row r="105">
          <cell r="A105">
            <v>554</v>
          </cell>
          <cell r="B105" t="str">
            <v>New Zealand</v>
          </cell>
          <cell r="C105">
            <v>1998</v>
          </cell>
          <cell r="D105">
            <v>90</v>
          </cell>
          <cell r="E105">
            <v>1010</v>
          </cell>
          <cell r="F105">
            <v>90</v>
          </cell>
          <cell r="G105">
            <v>58010</v>
          </cell>
          <cell r="H105" t="str">
            <v>;;=SUM(F21:G21);</v>
          </cell>
          <cell r="I105" t="str">
            <v>.</v>
          </cell>
        </row>
        <row r="106">
          <cell r="A106">
            <v>554</v>
          </cell>
          <cell r="B106" t="str">
            <v>New Zealand</v>
          </cell>
          <cell r="C106">
            <v>1998</v>
          </cell>
          <cell r="D106">
            <v>90</v>
          </cell>
          <cell r="E106">
            <v>1111</v>
          </cell>
          <cell r="F106">
            <v>90</v>
          </cell>
          <cell r="G106">
            <v>55820</v>
          </cell>
          <cell r="H106" t="str">
            <v>;;=SUM(F22:G22);</v>
          </cell>
          <cell r="I106" t="str">
            <v>.</v>
          </cell>
        </row>
        <row r="107">
          <cell r="A107">
            <v>554</v>
          </cell>
          <cell r="B107" t="str">
            <v>New Zealand</v>
          </cell>
          <cell r="C107">
            <v>1998</v>
          </cell>
          <cell r="D107">
            <v>90</v>
          </cell>
          <cell r="E107">
            <v>1212</v>
          </cell>
          <cell r="F107">
            <v>90</v>
          </cell>
          <cell r="G107">
            <v>55430</v>
          </cell>
          <cell r="H107" t="str">
            <v>;;=SUM(F23:G23);</v>
          </cell>
          <cell r="I107" t="str">
            <v>.</v>
          </cell>
        </row>
        <row r="108">
          <cell r="A108">
            <v>554</v>
          </cell>
          <cell r="B108" t="str">
            <v>New Zealand</v>
          </cell>
          <cell r="C108">
            <v>1998</v>
          </cell>
          <cell r="D108">
            <v>90</v>
          </cell>
          <cell r="E108">
            <v>1313</v>
          </cell>
          <cell r="F108">
            <v>90</v>
          </cell>
          <cell r="G108">
            <v>54790</v>
          </cell>
          <cell r="H108" t="str">
            <v>;;=SUM(F24:G24);</v>
          </cell>
          <cell r="I108" t="str">
            <v>.</v>
          </cell>
        </row>
        <row r="109">
          <cell r="A109">
            <v>554</v>
          </cell>
          <cell r="B109" t="str">
            <v>New Zealand</v>
          </cell>
          <cell r="C109">
            <v>1998</v>
          </cell>
          <cell r="D109">
            <v>90</v>
          </cell>
          <cell r="E109">
            <v>1414</v>
          </cell>
          <cell r="F109">
            <v>90</v>
          </cell>
          <cell r="G109">
            <v>54260</v>
          </cell>
          <cell r="H109" t="str">
            <v>;;=SUM(F25:G25);</v>
          </cell>
          <cell r="I109" t="str">
            <v>.</v>
          </cell>
        </row>
        <row r="110">
          <cell r="A110">
            <v>554</v>
          </cell>
          <cell r="B110" t="str">
            <v>New Zealand</v>
          </cell>
          <cell r="C110">
            <v>1998</v>
          </cell>
          <cell r="D110">
            <v>90</v>
          </cell>
          <cell r="E110">
            <v>1014</v>
          </cell>
          <cell r="F110">
            <v>90</v>
          </cell>
          <cell r="G110">
            <v>278310</v>
          </cell>
          <cell r="H110" t="str">
            <v>;;=SUM(F26:G26);</v>
          </cell>
          <cell r="I110" t="str">
            <v>.</v>
          </cell>
        </row>
        <row r="111">
          <cell r="A111">
            <v>554</v>
          </cell>
          <cell r="B111" t="str">
            <v>New Zealand</v>
          </cell>
          <cell r="C111">
            <v>1998</v>
          </cell>
          <cell r="D111">
            <v>90</v>
          </cell>
          <cell r="E111">
            <v>1515</v>
          </cell>
          <cell r="F111">
            <v>90</v>
          </cell>
          <cell r="G111">
            <v>53590</v>
          </cell>
          <cell r="H111" t="str">
            <v>;;=SUM(F27:G27);</v>
          </cell>
          <cell r="I111" t="str">
            <v>.</v>
          </cell>
        </row>
        <row r="112">
          <cell r="A112">
            <v>716</v>
          </cell>
          <cell r="B112" t="str">
            <v>Zimbabwe</v>
          </cell>
          <cell r="C112">
            <v>1997</v>
          </cell>
          <cell r="D112">
            <v>90</v>
          </cell>
          <cell r="E112">
            <v>900000</v>
          </cell>
          <cell r="F112">
            <v>90</v>
          </cell>
          <cell r="G112">
            <v>10870557</v>
          </cell>
          <cell r="H112" t="str">
            <v>;;=SUM(F11:G11);</v>
          </cell>
          <cell r="I112" t="str">
            <v>.</v>
          </cell>
        </row>
        <row r="113">
          <cell r="A113">
            <v>716</v>
          </cell>
          <cell r="B113" t="str">
            <v>Zimbabwe</v>
          </cell>
          <cell r="C113">
            <v>1997</v>
          </cell>
          <cell r="D113">
            <v>90</v>
          </cell>
          <cell r="E113">
            <v>300</v>
          </cell>
          <cell r="F113">
            <v>90</v>
          </cell>
          <cell r="G113">
            <v>974881</v>
          </cell>
          <cell r="H113" t="str">
            <v/>
          </cell>
          <cell r="I113" t="str">
            <v>.</v>
          </cell>
        </row>
        <row r="114">
          <cell r="A114">
            <v>716</v>
          </cell>
          <cell r="B114" t="str">
            <v>Zimbabwe</v>
          </cell>
          <cell r="C114">
            <v>1997</v>
          </cell>
          <cell r="D114">
            <v>90</v>
          </cell>
          <cell r="E114">
            <v>303</v>
          </cell>
          <cell r="F114">
            <v>90</v>
          </cell>
          <cell r="G114">
            <v>330211</v>
          </cell>
          <cell r="H114" t="str">
            <v/>
          </cell>
          <cell r="I114" t="str">
            <v>.</v>
          </cell>
        </row>
        <row r="115">
          <cell r="A115">
            <v>716</v>
          </cell>
          <cell r="B115" t="str">
            <v>Zimbabwe</v>
          </cell>
          <cell r="C115">
            <v>1997</v>
          </cell>
          <cell r="D115">
            <v>90</v>
          </cell>
          <cell r="E115">
            <v>404</v>
          </cell>
          <cell r="F115">
            <v>90</v>
          </cell>
          <cell r="G115">
            <v>306184</v>
          </cell>
          <cell r="H115" t="str">
            <v/>
          </cell>
          <cell r="I115" t="str">
            <v>.</v>
          </cell>
        </row>
        <row r="116">
          <cell r="A116">
            <v>716</v>
          </cell>
          <cell r="B116" t="str">
            <v>Zimbabwe</v>
          </cell>
          <cell r="C116">
            <v>1997</v>
          </cell>
          <cell r="D116">
            <v>90</v>
          </cell>
          <cell r="E116">
            <v>505</v>
          </cell>
          <cell r="F116">
            <v>90</v>
          </cell>
          <cell r="G116">
            <v>328770</v>
          </cell>
          <cell r="H116" t="str">
            <v/>
          </cell>
          <cell r="I116" t="str">
            <v>.</v>
          </cell>
        </row>
        <row r="117">
          <cell r="A117">
            <v>716</v>
          </cell>
          <cell r="B117" t="str">
            <v>Zimbabwe</v>
          </cell>
          <cell r="C117">
            <v>1997</v>
          </cell>
          <cell r="D117">
            <v>90</v>
          </cell>
          <cell r="E117">
            <v>606</v>
          </cell>
          <cell r="F117">
            <v>90</v>
          </cell>
          <cell r="G117">
            <v>327924</v>
          </cell>
          <cell r="H117" t="str">
            <v/>
          </cell>
          <cell r="I117" t="str">
            <v>.</v>
          </cell>
        </row>
        <row r="118">
          <cell r="A118">
            <v>716</v>
          </cell>
          <cell r="B118" t="str">
            <v>Zimbabwe</v>
          </cell>
          <cell r="C118">
            <v>1997</v>
          </cell>
          <cell r="D118">
            <v>90</v>
          </cell>
          <cell r="E118">
            <v>707</v>
          </cell>
          <cell r="F118">
            <v>90</v>
          </cell>
          <cell r="G118">
            <v>316482</v>
          </cell>
          <cell r="H118" t="str">
            <v/>
          </cell>
          <cell r="I118" t="str">
            <v>.</v>
          </cell>
        </row>
        <row r="119">
          <cell r="A119">
            <v>716</v>
          </cell>
          <cell r="B119" t="str">
            <v>Zimbabwe</v>
          </cell>
          <cell r="C119">
            <v>1997</v>
          </cell>
          <cell r="D119">
            <v>90</v>
          </cell>
          <cell r="E119">
            <v>808</v>
          </cell>
          <cell r="F119">
            <v>90</v>
          </cell>
          <cell r="G119">
            <v>332029</v>
          </cell>
          <cell r="H119" t="str">
            <v/>
          </cell>
          <cell r="I119" t="str">
            <v>.</v>
          </cell>
        </row>
        <row r="120">
          <cell r="A120">
            <v>716</v>
          </cell>
          <cell r="B120" t="str">
            <v>Zimbabwe</v>
          </cell>
          <cell r="C120">
            <v>1997</v>
          </cell>
          <cell r="D120">
            <v>90</v>
          </cell>
          <cell r="E120">
            <v>909</v>
          </cell>
          <cell r="F120">
            <v>90</v>
          </cell>
          <cell r="G120">
            <v>340911</v>
          </cell>
          <cell r="H120" t="str">
            <v/>
          </cell>
          <cell r="I120" t="str">
            <v>.</v>
          </cell>
        </row>
        <row r="121">
          <cell r="A121">
            <v>716</v>
          </cell>
          <cell r="B121" t="str">
            <v>Zimbabwe</v>
          </cell>
          <cell r="C121">
            <v>1997</v>
          </cell>
          <cell r="D121">
            <v>90</v>
          </cell>
          <cell r="E121">
            <v>509</v>
          </cell>
          <cell r="F121">
            <v>90</v>
          </cell>
          <cell r="G121">
            <v>1653788</v>
          </cell>
          <cell r="H121" t="str">
            <v>;;=SUM(F20:G20);</v>
          </cell>
          <cell r="I121" t="str">
            <v>.</v>
          </cell>
        </row>
        <row r="122">
          <cell r="A122">
            <v>716</v>
          </cell>
          <cell r="B122" t="str">
            <v>Zimbabwe</v>
          </cell>
          <cell r="C122">
            <v>1997</v>
          </cell>
          <cell r="D122">
            <v>90</v>
          </cell>
          <cell r="E122">
            <v>1010</v>
          </cell>
          <cell r="F122">
            <v>90</v>
          </cell>
          <cell r="G122">
            <v>362477</v>
          </cell>
          <cell r="H122" t="str">
            <v/>
          </cell>
          <cell r="I122" t="str">
            <v>.</v>
          </cell>
        </row>
        <row r="123">
          <cell r="A123">
            <v>716</v>
          </cell>
          <cell r="B123" t="str">
            <v>Zimbabwe</v>
          </cell>
          <cell r="C123">
            <v>1997</v>
          </cell>
          <cell r="D123">
            <v>90</v>
          </cell>
          <cell r="E123">
            <v>1111</v>
          </cell>
          <cell r="F123">
            <v>90</v>
          </cell>
          <cell r="G123">
            <v>331952</v>
          </cell>
          <cell r="H123" t="str">
            <v/>
          </cell>
          <cell r="I123" t="str">
            <v>.</v>
          </cell>
        </row>
        <row r="124">
          <cell r="A124">
            <v>716</v>
          </cell>
          <cell r="B124" t="str">
            <v>Zimbabwe</v>
          </cell>
          <cell r="C124">
            <v>1997</v>
          </cell>
          <cell r="D124">
            <v>90</v>
          </cell>
          <cell r="E124">
            <v>1212</v>
          </cell>
          <cell r="F124">
            <v>90</v>
          </cell>
          <cell r="G124">
            <v>377154</v>
          </cell>
          <cell r="H124" t="str">
            <v/>
          </cell>
          <cell r="I124" t="str">
            <v>.</v>
          </cell>
        </row>
        <row r="125">
          <cell r="A125">
            <v>716</v>
          </cell>
          <cell r="B125" t="str">
            <v>Zimbabwe</v>
          </cell>
          <cell r="C125">
            <v>1997</v>
          </cell>
          <cell r="D125">
            <v>90</v>
          </cell>
          <cell r="E125">
            <v>1313</v>
          </cell>
          <cell r="F125">
            <v>90</v>
          </cell>
          <cell r="G125">
            <v>368322</v>
          </cell>
          <cell r="H125" t="str">
            <v/>
          </cell>
          <cell r="I125" t="str">
            <v>.</v>
          </cell>
        </row>
        <row r="126">
          <cell r="A126">
            <v>716</v>
          </cell>
          <cell r="B126" t="str">
            <v>Zimbabwe</v>
          </cell>
          <cell r="C126">
            <v>1997</v>
          </cell>
          <cell r="D126">
            <v>90</v>
          </cell>
          <cell r="E126">
            <v>1414</v>
          </cell>
          <cell r="F126">
            <v>90</v>
          </cell>
          <cell r="G126">
            <v>363650</v>
          </cell>
          <cell r="H126" t="str">
            <v>;;=SUM(F25:G25);</v>
          </cell>
          <cell r="I126" t="str">
            <v>.</v>
          </cell>
        </row>
        <row r="127">
          <cell r="A127">
            <v>716</v>
          </cell>
          <cell r="B127" t="str">
            <v>Zimbabwe</v>
          </cell>
          <cell r="C127">
            <v>1997</v>
          </cell>
          <cell r="D127">
            <v>90</v>
          </cell>
          <cell r="E127">
            <v>1014</v>
          </cell>
          <cell r="F127">
            <v>90</v>
          </cell>
          <cell r="G127">
            <v>1456751</v>
          </cell>
          <cell r="H127" t="str">
            <v>;;=SUM(F26:G26);</v>
          </cell>
          <cell r="I127" t="str">
            <v>.</v>
          </cell>
        </row>
        <row r="128">
          <cell r="A128">
            <v>716</v>
          </cell>
          <cell r="B128" t="str">
            <v>Zimbabwe</v>
          </cell>
          <cell r="C128">
            <v>1997</v>
          </cell>
          <cell r="D128">
            <v>90</v>
          </cell>
          <cell r="E128">
            <v>1515</v>
          </cell>
          <cell r="F128">
            <v>90</v>
          </cell>
          <cell r="G128">
            <v>349526</v>
          </cell>
          <cell r="H128" t="str">
            <v>;;=SUM(F27:G27);</v>
          </cell>
          <cell r="I128" t="str">
            <v>.</v>
          </cell>
        </row>
        <row r="129">
          <cell r="A129">
            <v>716</v>
          </cell>
          <cell r="B129" t="str">
            <v>Zimbabwe</v>
          </cell>
          <cell r="C129">
            <v>1997</v>
          </cell>
          <cell r="D129">
            <v>90</v>
          </cell>
          <cell r="E129">
            <v>1616</v>
          </cell>
          <cell r="F129">
            <v>90</v>
          </cell>
          <cell r="G129">
            <v>312049</v>
          </cell>
          <cell r="H129" t="str">
            <v>;;=SUM(F28:G28);</v>
          </cell>
          <cell r="I129" t="str">
            <v>.</v>
          </cell>
        </row>
        <row r="130">
          <cell r="A130">
            <v>716</v>
          </cell>
          <cell r="B130" t="str">
            <v>Zimbabwe</v>
          </cell>
          <cell r="C130">
            <v>1997</v>
          </cell>
          <cell r="D130">
            <v>90</v>
          </cell>
          <cell r="E130">
            <v>1717</v>
          </cell>
          <cell r="F130">
            <v>90</v>
          </cell>
          <cell r="G130">
            <v>313879</v>
          </cell>
          <cell r="H130" t="str">
            <v>;;=SUM(F29:G29);</v>
          </cell>
          <cell r="I130" t="str">
            <v>.</v>
          </cell>
        </row>
        <row r="131">
          <cell r="A131">
            <v>716</v>
          </cell>
          <cell r="B131" t="str">
            <v>Zimbabwe</v>
          </cell>
          <cell r="C131">
            <v>1997</v>
          </cell>
          <cell r="D131">
            <v>90</v>
          </cell>
          <cell r="E131">
            <v>1818</v>
          </cell>
          <cell r="F131">
            <v>90</v>
          </cell>
          <cell r="G131">
            <v>274988</v>
          </cell>
          <cell r="H131" t="str">
            <v>;;=SUM(F30:G30);</v>
          </cell>
          <cell r="I131" t="str">
            <v>.</v>
          </cell>
        </row>
        <row r="132">
          <cell r="A132">
            <v>716</v>
          </cell>
          <cell r="B132" t="str">
            <v>Zimbabwe</v>
          </cell>
          <cell r="C132">
            <v>1997</v>
          </cell>
          <cell r="D132">
            <v>90</v>
          </cell>
          <cell r="E132">
            <v>1919</v>
          </cell>
          <cell r="F132">
            <v>90</v>
          </cell>
          <cell r="G132">
            <v>234211</v>
          </cell>
          <cell r="H132" t="str">
            <v>;;=SUM(F31:G31);</v>
          </cell>
          <cell r="I132" t="str">
            <v>.</v>
          </cell>
        </row>
        <row r="133">
          <cell r="A133">
            <v>716</v>
          </cell>
          <cell r="B133" t="str">
            <v>Zimbabwe</v>
          </cell>
          <cell r="C133">
            <v>1997</v>
          </cell>
          <cell r="D133">
            <v>90</v>
          </cell>
          <cell r="E133">
            <v>1519</v>
          </cell>
          <cell r="F133">
            <v>90</v>
          </cell>
          <cell r="G133">
            <v>1239238</v>
          </cell>
          <cell r="H133" t="str">
            <v>;;=SUM(F32:G32);</v>
          </cell>
          <cell r="I133" t="str">
            <v>.</v>
          </cell>
        </row>
        <row r="134">
          <cell r="A134">
            <v>716</v>
          </cell>
          <cell r="B134" t="str">
            <v>Zimbabwe</v>
          </cell>
          <cell r="C134">
            <v>1997</v>
          </cell>
          <cell r="D134">
            <v>90</v>
          </cell>
          <cell r="E134">
            <v>2020</v>
          </cell>
          <cell r="F134">
            <v>90</v>
          </cell>
          <cell r="G134">
            <v>257501</v>
          </cell>
          <cell r="H134" t="str">
            <v>;;=SUM(F33:G33);</v>
          </cell>
          <cell r="I134" t="str">
            <v>.</v>
          </cell>
        </row>
        <row r="135">
          <cell r="A135">
            <v>716</v>
          </cell>
          <cell r="B135" t="str">
            <v>Zimbabwe</v>
          </cell>
          <cell r="C135">
            <v>1997</v>
          </cell>
          <cell r="D135">
            <v>90</v>
          </cell>
          <cell r="E135">
            <v>2121</v>
          </cell>
          <cell r="F135">
            <v>90</v>
          </cell>
          <cell r="G135">
            <v>215568</v>
          </cell>
          <cell r="H135" t="str">
            <v>;;=SUM(F34:G34);</v>
          </cell>
          <cell r="I135" t="str">
            <v>.</v>
          </cell>
        </row>
        <row r="136">
          <cell r="A136">
            <v>716</v>
          </cell>
          <cell r="B136" t="str">
            <v>Zimbabwe</v>
          </cell>
          <cell r="C136">
            <v>1997</v>
          </cell>
          <cell r="D136">
            <v>90</v>
          </cell>
          <cell r="E136">
            <v>2222</v>
          </cell>
          <cell r="F136">
            <v>90</v>
          </cell>
          <cell r="G136">
            <v>235979</v>
          </cell>
          <cell r="H136" t="str">
            <v>;;=SUM(F35:G35);</v>
          </cell>
          <cell r="I136" t="str">
            <v>.</v>
          </cell>
        </row>
        <row r="137">
          <cell r="A137">
            <v>716</v>
          </cell>
          <cell r="B137" t="str">
            <v>Zimbabwe</v>
          </cell>
          <cell r="C137">
            <v>1997</v>
          </cell>
          <cell r="D137">
            <v>90</v>
          </cell>
          <cell r="E137">
            <v>2323</v>
          </cell>
          <cell r="F137">
            <v>90</v>
          </cell>
          <cell r="G137">
            <v>224345</v>
          </cell>
          <cell r="H137" t="str">
            <v>;;=SUM(F36:G36);</v>
          </cell>
          <cell r="I137" t="str">
            <v>.</v>
          </cell>
        </row>
        <row r="138">
          <cell r="A138">
            <v>716</v>
          </cell>
          <cell r="B138" t="str">
            <v>Zimbabwe</v>
          </cell>
          <cell r="C138">
            <v>1997</v>
          </cell>
          <cell r="D138">
            <v>90</v>
          </cell>
          <cell r="E138">
            <v>2424</v>
          </cell>
          <cell r="F138">
            <v>90</v>
          </cell>
          <cell r="G138">
            <v>214478</v>
          </cell>
          <cell r="H138" t="str">
            <v>;;=SUM(F37:G37);</v>
          </cell>
          <cell r="I138" t="str">
            <v>.</v>
          </cell>
        </row>
        <row r="139">
          <cell r="A139">
            <v>716</v>
          </cell>
          <cell r="B139" t="str">
            <v>Zimbabwe</v>
          </cell>
          <cell r="C139">
            <v>1997</v>
          </cell>
          <cell r="D139">
            <v>90</v>
          </cell>
          <cell r="E139">
            <v>2024</v>
          </cell>
          <cell r="F139">
            <v>90</v>
          </cell>
          <cell r="G139">
            <v>989897</v>
          </cell>
          <cell r="H139" t="str">
            <v>;;=SUM(F38:G38);</v>
          </cell>
          <cell r="I139" t="str">
            <v>.</v>
          </cell>
        </row>
        <row r="140">
          <cell r="A140">
            <v>716</v>
          </cell>
          <cell r="B140" t="str">
            <v>Zimbabwe</v>
          </cell>
          <cell r="C140">
            <v>1997</v>
          </cell>
          <cell r="D140">
            <v>90</v>
          </cell>
          <cell r="E140">
            <v>2525</v>
          </cell>
          <cell r="F140">
            <v>90</v>
          </cell>
          <cell r="G140">
            <v>216119</v>
          </cell>
          <cell r="H140" t="str">
            <v>;;=SUM(F39:G39);</v>
          </cell>
          <cell r="I140" t="str">
            <v>.</v>
          </cell>
        </row>
        <row r="141">
          <cell r="A141">
            <v>716</v>
          </cell>
          <cell r="B141" t="str">
            <v>Zimbabwe</v>
          </cell>
          <cell r="C141">
            <v>1997</v>
          </cell>
          <cell r="D141">
            <v>90</v>
          </cell>
          <cell r="E141">
            <v>2626</v>
          </cell>
          <cell r="F141">
            <v>90</v>
          </cell>
          <cell r="G141">
            <v>167249</v>
          </cell>
          <cell r="H141" t="str">
            <v>;;=SUM(F40:G40);</v>
          </cell>
          <cell r="I141" t="str">
            <v>.</v>
          </cell>
        </row>
        <row r="142">
          <cell r="A142">
            <v>716</v>
          </cell>
          <cell r="B142" t="str">
            <v>Zimbabwe</v>
          </cell>
          <cell r="C142">
            <v>1997</v>
          </cell>
          <cell r="D142">
            <v>90</v>
          </cell>
          <cell r="E142">
            <v>2727</v>
          </cell>
          <cell r="F142">
            <v>90</v>
          </cell>
          <cell r="G142">
            <v>187841</v>
          </cell>
          <cell r="H142" t="str">
            <v>;;=SUM(F41:G41);</v>
          </cell>
          <cell r="I142" t="str">
            <v>.</v>
          </cell>
        </row>
        <row r="143">
          <cell r="A143">
            <v>716</v>
          </cell>
          <cell r="B143" t="str">
            <v>Zimbabwe</v>
          </cell>
          <cell r="C143">
            <v>1997</v>
          </cell>
          <cell r="D143">
            <v>90</v>
          </cell>
          <cell r="E143">
            <v>2828</v>
          </cell>
          <cell r="F143">
            <v>90</v>
          </cell>
          <cell r="G143">
            <v>164944</v>
          </cell>
          <cell r="H143" t="str">
            <v>;;=SUM(F42:G42);</v>
          </cell>
          <cell r="I143" t="str">
            <v>.</v>
          </cell>
        </row>
        <row r="144">
          <cell r="A144">
            <v>716</v>
          </cell>
          <cell r="B144" t="str">
            <v>Zimbabwe</v>
          </cell>
          <cell r="C144">
            <v>1997</v>
          </cell>
          <cell r="D144">
            <v>90</v>
          </cell>
          <cell r="E144">
            <v>2929</v>
          </cell>
          <cell r="F144">
            <v>90</v>
          </cell>
          <cell r="G144">
            <v>152448</v>
          </cell>
          <cell r="H144" t="str">
            <v>;;=SUM(F43:G43);</v>
          </cell>
          <cell r="I144" t="str">
            <v>.</v>
          </cell>
        </row>
        <row r="145">
          <cell r="A145">
            <v>716</v>
          </cell>
          <cell r="B145" t="str">
            <v>Zimbabwe</v>
          </cell>
          <cell r="C145">
            <v>1997</v>
          </cell>
          <cell r="D145">
            <v>90</v>
          </cell>
          <cell r="E145">
            <v>2529</v>
          </cell>
          <cell r="F145">
            <v>90</v>
          </cell>
          <cell r="G145">
            <v>712208</v>
          </cell>
          <cell r="H145" t="str">
            <v>;;=SUM(F44:G44);</v>
          </cell>
          <cell r="I145" t="str">
            <v>.</v>
          </cell>
        </row>
        <row r="146">
          <cell r="A146">
            <v>716</v>
          </cell>
          <cell r="B146" t="str">
            <v>Zimbabwe</v>
          </cell>
          <cell r="C146">
            <v>1997</v>
          </cell>
          <cell r="D146">
            <v>90</v>
          </cell>
          <cell r="E146">
            <v>3034</v>
          </cell>
          <cell r="F146">
            <v>90</v>
          </cell>
          <cell r="G146">
            <v>624978</v>
          </cell>
          <cell r="H146" t="str">
            <v>;;=SUM(F45:G45);</v>
          </cell>
          <cell r="I146" t="str">
            <v>.</v>
          </cell>
        </row>
        <row r="147">
          <cell r="A147">
            <v>716</v>
          </cell>
          <cell r="B147" t="str">
            <v>Zimbabwe</v>
          </cell>
          <cell r="C147">
            <v>1997</v>
          </cell>
          <cell r="D147">
            <v>90</v>
          </cell>
          <cell r="E147">
            <v>3539</v>
          </cell>
          <cell r="F147">
            <v>90</v>
          </cell>
          <cell r="G147">
            <v>583723</v>
          </cell>
          <cell r="H147" t="str">
            <v>;;=SUM(F46:G46);</v>
          </cell>
          <cell r="I147" t="str">
            <v>.</v>
          </cell>
        </row>
        <row r="148">
          <cell r="A148">
            <v>716</v>
          </cell>
          <cell r="B148" t="str">
            <v>Zimbabwe</v>
          </cell>
          <cell r="C148">
            <v>1997</v>
          </cell>
          <cell r="D148">
            <v>90</v>
          </cell>
          <cell r="E148">
            <v>4099</v>
          </cell>
          <cell r="F148">
            <v>90</v>
          </cell>
          <cell r="G148">
            <v>1997143</v>
          </cell>
          <cell r="H148" t="str">
            <v>;;=SUM(F47:G47);</v>
          </cell>
          <cell r="I148" t="str">
            <v>.</v>
          </cell>
        </row>
        <row r="149">
          <cell r="A149">
            <v>716</v>
          </cell>
          <cell r="B149" t="str">
            <v>Zimbabwe</v>
          </cell>
          <cell r="C149">
            <v>1997</v>
          </cell>
          <cell r="D149">
            <v>90</v>
          </cell>
          <cell r="E149">
            <v>990000</v>
          </cell>
          <cell r="F149">
            <v>90</v>
          </cell>
          <cell r="G149">
            <v>1555</v>
          </cell>
          <cell r="H149" t="str">
            <v>;;=SUM(F48:G48);</v>
          </cell>
          <cell r="I149" t="str">
            <v>.</v>
          </cell>
        </row>
        <row r="150">
          <cell r="A150">
            <v>32</v>
          </cell>
          <cell r="B150" t="str">
            <v>Argentina</v>
          </cell>
          <cell r="C150">
            <v>1997</v>
          </cell>
          <cell r="D150">
            <v>90</v>
          </cell>
          <cell r="E150">
            <v>3034</v>
          </cell>
          <cell r="F150">
            <v>90</v>
          </cell>
          <cell r="G150">
            <v>2373585</v>
          </cell>
          <cell r="H150" t="str">
            <v>;;=SUM(F45:G45);</v>
          </cell>
          <cell r="I150" t="str">
            <v>.</v>
          </cell>
        </row>
        <row r="151">
          <cell r="A151">
            <v>32</v>
          </cell>
          <cell r="B151" t="str">
            <v>Argentina</v>
          </cell>
          <cell r="C151">
            <v>1997</v>
          </cell>
          <cell r="D151">
            <v>90</v>
          </cell>
          <cell r="E151">
            <v>3539</v>
          </cell>
          <cell r="F151">
            <v>90</v>
          </cell>
          <cell r="G151">
            <v>2244300</v>
          </cell>
          <cell r="H151" t="str">
            <v>;;=SUM(F46:G46);</v>
          </cell>
          <cell r="I151" t="str">
            <v>.</v>
          </cell>
        </row>
        <row r="152">
          <cell r="A152">
            <v>32</v>
          </cell>
          <cell r="B152" t="str">
            <v>Argentina</v>
          </cell>
          <cell r="C152">
            <v>1997</v>
          </cell>
          <cell r="D152">
            <v>90</v>
          </cell>
          <cell r="E152">
            <v>4099</v>
          </cell>
          <cell r="F152">
            <v>90</v>
          </cell>
          <cell r="G152">
            <v>11930040</v>
          </cell>
          <cell r="H152" t="str">
            <v>;;=SUM(F47:G47);</v>
          </cell>
          <cell r="I152" t="str">
            <v>.</v>
          </cell>
        </row>
        <row r="153">
          <cell r="A153">
            <v>32</v>
          </cell>
          <cell r="B153" t="str">
            <v>Argentina</v>
          </cell>
          <cell r="C153">
            <v>1997</v>
          </cell>
          <cell r="D153">
            <v>90</v>
          </cell>
          <cell r="E153">
            <v>990000</v>
          </cell>
          <cell r="F153">
            <v>90</v>
          </cell>
          <cell r="G153">
            <v>0</v>
          </cell>
          <cell r="H153" t="str">
            <v>n;</v>
          </cell>
          <cell r="I153" t="str">
            <v>n</v>
          </cell>
        </row>
        <row r="154">
          <cell r="A154">
            <v>76</v>
          </cell>
          <cell r="B154" t="str">
            <v>Brazil</v>
          </cell>
          <cell r="C154">
            <v>1997</v>
          </cell>
          <cell r="D154">
            <v>90</v>
          </cell>
          <cell r="E154">
            <v>1313</v>
          </cell>
          <cell r="F154">
            <v>90</v>
          </cell>
          <cell r="G154">
            <v>3738993.666965853</v>
          </cell>
          <cell r="H154" t="str">
            <v>;;=SUM(F24:G24);</v>
          </cell>
          <cell r="I154" t="str">
            <v>.</v>
          </cell>
        </row>
        <row r="155">
          <cell r="A155">
            <v>76</v>
          </cell>
          <cell r="B155" t="str">
            <v>Brazil</v>
          </cell>
          <cell r="C155">
            <v>1997</v>
          </cell>
          <cell r="D155">
            <v>90</v>
          </cell>
          <cell r="E155">
            <v>1414</v>
          </cell>
          <cell r="F155">
            <v>90</v>
          </cell>
          <cell r="G155">
            <v>3807658.901845431</v>
          </cell>
          <cell r="H155" t="str">
            <v>;;=SUM(F25:G25);</v>
          </cell>
          <cell r="I155" t="str">
            <v>.</v>
          </cell>
        </row>
        <row r="156">
          <cell r="A156">
            <v>76</v>
          </cell>
          <cell r="B156" t="str">
            <v>Brazil</v>
          </cell>
          <cell r="C156">
            <v>1997</v>
          </cell>
          <cell r="D156">
            <v>90</v>
          </cell>
          <cell r="E156">
            <v>1014</v>
          </cell>
          <cell r="F156">
            <v>90</v>
          </cell>
          <cell r="G156">
            <v>18459710.448064469</v>
          </cell>
          <cell r="H156" t="str">
            <v>;;=SUM(F26:G26);</v>
          </cell>
          <cell r="I156" t="str">
            <v>.</v>
          </cell>
        </row>
        <row r="157">
          <cell r="A157">
            <v>76</v>
          </cell>
          <cell r="B157" t="str">
            <v>Brazil</v>
          </cell>
          <cell r="C157">
            <v>1997</v>
          </cell>
          <cell r="D157">
            <v>90</v>
          </cell>
          <cell r="E157">
            <v>1515</v>
          </cell>
          <cell r="F157">
            <v>90</v>
          </cell>
          <cell r="G157">
            <v>3508555.3333333335</v>
          </cell>
          <cell r="H157" t="str">
            <v>;;=SUM(F27:G27);</v>
          </cell>
          <cell r="I157" t="str">
            <v>.</v>
          </cell>
        </row>
        <row r="158">
          <cell r="A158">
            <v>76</v>
          </cell>
          <cell r="B158" t="str">
            <v>Brazil</v>
          </cell>
          <cell r="C158">
            <v>1997</v>
          </cell>
          <cell r="D158">
            <v>90</v>
          </cell>
          <cell r="E158">
            <v>1616</v>
          </cell>
          <cell r="F158">
            <v>90</v>
          </cell>
          <cell r="G158">
            <v>3500888.333333333</v>
          </cell>
          <cell r="H158" t="str">
            <v>;;=SUM(F28:G28);</v>
          </cell>
          <cell r="I158" t="str">
            <v>.</v>
          </cell>
        </row>
        <row r="159">
          <cell r="A159">
            <v>76</v>
          </cell>
          <cell r="B159" t="str">
            <v>Brazil</v>
          </cell>
          <cell r="C159">
            <v>1997</v>
          </cell>
          <cell r="D159">
            <v>90</v>
          </cell>
          <cell r="E159">
            <v>1717</v>
          </cell>
          <cell r="F159">
            <v>90</v>
          </cell>
          <cell r="G159">
            <v>3365811.3333333335</v>
          </cell>
          <cell r="H159" t="str">
            <v>;;=SUM(F29:G29);</v>
          </cell>
          <cell r="I159" t="str">
            <v>.</v>
          </cell>
        </row>
        <row r="160">
          <cell r="A160">
            <v>76</v>
          </cell>
          <cell r="B160" t="str">
            <v>Brazil</v>
          </cell>
          <cell r="C160">
            <v>1997</v>
          </cell>
          <cell r="D160">
            <v>90</v>
          </cell>
          <cell r="E160">
            <v>1818</v>
          </cell>
          <cell r="F160">
            <v>90</v>
          </cell>
          <cell r="G160">
            <v>3320344.3333333335</v>
          </cell>
          <cell r="H160" t="str">
            <v>;;=SUM(F30:G30);</v>
          </cell>
          <cell r="I160" t="str">
            <v>.</v>
          </cell>
        </row>
        <row r="161">
          <cell r="A161">
            <v>76</v>
          </cell>
          <cell r="B161" t="str">
            <v>Brazil</v>
          </cell>
          <cell r="C161">
            <v>1997</v>
          </cell>
          <cell r="D161">
            <v>90</v>
          </cell>
          <cell r="E161">
            <v>1919</v>
          </cell>
          <cell r="F161">
            <v>90</v>
          </cell>
          <cell r="G161">
            <v>3187707.333333333</v>
          </cell>
          <cell r="H161" t="str">
            <v>;;=SUM(F31:G31);</v>
          </cell>
          <cell r="I161" t="str">
            <v>.</v>
          </cell>
        </row>
        <row r="162">
          <cell r="A162">
            <v>76</v>
          </cell>
          <cell r="B162" t="str">
            <v>Brazil</v>
          </cell>
          <cell r="C162">
            <v>1997</v>
          </cell>
          <cell r="D162">
            <v>90</v>
          </cell>
          <cell r="E162">
            <v>1519</v>
          </cell>
          <cell r="F162">
            <v>90</v>
          </cell>
          <cell r="G162">
            <v>16883306.666666664</v>
          </cell>
          <cell r="H162" t="str">
            <v>;;=SUM(F32:G32);</v>
          </cell>
          <cell r="I162" t="str">
            <v>.</v>
          </cell>
        </row>
        <row r="163">
          <cell r="A163">
            <v>76</v>
          </cell>
          <cell r="B163" t="str">
            <v>Brazil</v>
          </cell>
          <cell r="C163">
            <v>1997</v>
          </cell>
          <cell r="D163">
            <v>90</v>
          </cell>
          <cell r="E163">
            <v>2020</v>
          </cell>
          <cell r="F163">
            <v>90</v>
          </cell>
          <cell r="G163">
            <v>3156296.666666667</v>
          </cell>
          <cell r="H163" t="str">
            <v>;;=SUM(F33:G33);</v>
          </cell>
          <cell r="I163" t="str">
            <v>.</v>
          </cell>
        </row>
        <row r="164">
          <cell r="A164">
            <v>76</v>
          </cell>
          <cell r="B164" t="str">
            <v>Brazil</v>
          </cell>
          <cell r="C164">
            <v>1997</v>
          </cell>
          <cell r="D164">
            <v>90</v>
          </cell>
          <cell r="E164">
            <v>2121</v>
          </cell>
          <cell r="F164">
            <v>90</v>
          </cell>
          <cell r="G164">
            <v>3053307.6666666665</v>
          </cell>
          <cell r="H164" t="str">
            <v>;;=SUM(F34:G34);</v>
          </cell>
          <cell r="I164" t="str">
            <v>.</v>
          </cell>
        </row>
        <row r="165">
          <cell r="A165">
            <v>792</v>
          </cell>
          <cell r="B165" t="str">
            <v>Turkey</v>
          </cell>
          <cell r="C165">
            <v>1998</v>
          </cell>
          <cell r="D165">
            <v>90</v>
          </cell>
          <cell r="E165">
            <v>900000</v>
          </cell>
          <cell r="F165">
            <v>90</v>
          </cell>
          <cell r="G165">
            <v>63973000</v>
          </cell>
          <cell r="H165" t="str">
            <v>;;=SUM(F11:G11);</v>
          </cell>
          <cell r="I165" t="str">
            <v>.</v>
          </cell>
        </row>
        <row r="166">
          <cell r="A166">
            <v>792</v>
          </cell>
          <cell r="B166" t="str">
            <v>Turkey</v>
          </cell>
          <cell r="C166">
            <v>1998</v>
          </cell>
          <cell r="D166">
            <v>90</v>
          </cell>
          <cell r="E166">
            <v>300</v>
          </cell>
          <cell r="F166">
            <v>90</v>
          </cell>
          <cell r="G166">
            <v>4025000</v>
          </cell>
          <cell r="H166" t="str">
            <v>;;=SUM(F12:G12);</v>
          </cell>
          <cell r="I166" t="str">
            <v>.</v>
          </cell>
        </row>
        <row r="167">
          <cell r="A167">
            <v>792</v>
          </cell>
          <cell r="B167" t="str">
            <v>Turkey</v>
          </cell>
          <cell r="C167">
            <v>1998</v>
          </cell>
          <cell r="D167">
            <v>90</v>
          </cell>
          <cell r="E167">
            <v>303</v>
          </cell>
          <cell r="F167">
            <v>90</v>
          </cell>
          <cell r="G167">
            <v>1305000</v>
          </cell>
          <cell r="H167" t="str">
            <v>;;=SUM(F13:G13);</v>
          </cell>
          <cell r="I167" t="str">
            <v>.</v>
          </cell>
        </row>
        <row r="168">
          <cell r="A168">
            <v>792</v>
          </cell>
          <cell r="B168" t="str">
            <v>Turkey</v>
          </cell>
          <cell r="C168">
            <v>1998</v>
          </cell>
          <cell r="D168">
            <v>90</v>
          </cell>
          <cell r="E168">
            <v>404</v>
          </cell>
          <cell r="F168">
            <v>90</v>
          </cell>
          <cell r="G168">
            <v>1305000</v>
          </cell>
          <cell r="H168" t="str">
            <v>;;=SUM(F14:G14);</v>
          </cell>
          <cell r="I168" t="str">
            <v>.</v>
          </cell>
        </row>
        <row r="169">
          <cell r="A169">
            <v>792</v>
          </cell>
          <cell r="B169" t="str">
            <v>Turkey</v>
          </cell>
          <cell r="C169">
            <v>1998</v>
          </cell>
          <cell r="D169">
            <v>90</v>
          </cell>
          <cell r="E169">
            <v>505</v>
          </cell>
          <cell r="F169">
            <v>90</v>
          </cell>
          <cell r="G169">
            <v>1296000</v>
          </cell>
          <cell r="H169" t="str">
            <v>;;=SUM(F15:G15);</v>
          </cell>
          <cell r="I169" t="str">
            <v>.</v>
          </cell>
        </row>
        <row r="170">
          <cell r="A170">
            <v>792</v>
          </cell>
          <cell r="B170" t="str">
            <v>Turkey</v>
          </cell>
          <cell r="C170">
            <v>1998</v>
          </cell>
          <cell r="D170">
            <v>90</v>
          </cell>
          <cell r="E170">
            <v>606</v>
          </cell>
          <cell r="F170">
            <v>90</v>
          </cell>
          <cell r="G170">
            <v>1295000</v>
          </cell>
          <cell r="H170" t="str">
            <v>;;=SUM(F16:G16);</v>
          </cell>
          <cell r="I170" t="str">
            <v>.</v>
          </cell>
        </row>
        <row r="171">
          <cell r="A171">
            <v>792</v>
          </cell>
          <cell r="B171" t="str">
            <v>Turkey</v>
          </cell>
          <cell r="C171">
            <v>1998</v>
          </cell>
          <cell r="D171">
            <v>90</v>
          </cell>
          <cell r="E171">
            <v>707</v>
          </cell>
          <cell r="F171">
            <v>90</v>
          </cell>
          <cell r="G171">
            <v>1301000</v>
          </cell>
          <cell r="H171" t="str">
            <v>;;=SUM(F17:G17);</v>
          </cell>
          <cell r="I171" t="str">
            <v>.</v>
          </cell>
        </row>
        <row r="172">
          <cell r="A172">
            <v>792</v>
          </cell>
          <cell r="B172" t="str">
            <v>Turkey</v>
          </cell>
          <cell r="C172">
            <v>1998</v>
          </cell>
          <cell r="D172">
            <v>90</v>
          </cell>
          <cell r="E172">
            <v>808</v>
          </cell>
          <cell r="F172">
            <v>90</v>
          </cell>
          <cell r="G172">
            <v>1307000</v>
          </cell>
          <cell r="H172" t="str">
            <v>;;=SUM(F18:G18);</v>
          </cell>
          <cell r="I172" t="str">
            <v>.</v>
          </cell>
        </row>
        <row r="173">
          <cell r="A173">
            <v>792</v>
          </cell>
          <cell r="B173" t="str">
            <v>Turkey</v>
          </cell>
          <cell r="C173">
            <v>1998</v>
          </cell>
          <cell r="D173">
            <v>90</v>
          </cell>
          <cell r="E173">
            <v>909</v>
          </cell>
          <cell r="F173">
            <v>90</v>
          </cell>
          <cell r="G173">
            <v>1313000</v>
          </cell>
          <cell r="H173" t="str">
            <v>;;=SUM(F19:G19);</v>
          </cell>
          <cell r="I173" t="str">
            <v>.</v>
          </cell>
        </row>
        <row r="174">
          <cell r="A174">
            <v>792</v>
          </cell>
          <cell r="B174" t="str">
            <v>Turkey</v>
          </cell>
          <cell r="C174">
            <v>1998</v>
          </cell>
          <cell r="D174">
            <v>90</v>
          </cell>
          <cell r="E174">
            <v>509</v>
          </cell>
          <cell r="F174">
            <v>90</v>
          </cell>
          <cell r="G174">
            <v>6512000</v>
          </cell>
          <cell r="H174" t="str">
            <v>;;=SUM(F20:G20);</v>
          </cell>
          <cell r="I174" t="str">
            <v>.</v>
          </cell>
        </row>
        <row r="175">
          <cell r="A175">
            <v>792</v>
          </cell>
          <cell r="B175" t="str">
            <v>Turkey</v>
          </cell>
          <cell r="C175">
            <v>1998</v>
          </cell>
          <cell r="D175">
            <v>90</v>
          </cell>
          <cell r="E175">
            <v>1010</v>
          </cell>
          <cell r="F175">
            <v>90</v>
          </cell>
          <cell r="G175">
            <v>1321000</v>
          </cell>
          <cell r="H175" t="str">
            <v>;;=SUM(F21:G21);</v>
          </cell>
          <cell r="I175" t="str">
            <v>.</v>
          </cell>
        </row>
        <row r="176">
          <cell r="A176">
            <v>792</v>
          </cell>
          <cell r="B176" t="str">
            <v>Turkey</v>
          </cell>
          <cell r="C176">
            <v>1998</v>
          </cell>
          <cell r="D176">
            <v>90</v>
          </cell>
          <cell r="E176">
            <v>1111</v>
          </cell>
          <cell r="F176">
            <v>90</v>
          </cell>
          <cell r="G176">
            <v>1329000</v>
          </cell>
          <cell r="H176" t="str">
            <v>;;=SUM(F22:G22);</v>
          </cell>
          <cell r="I176" t="str">
            <v>.</v>
          </cell>
        </row>
        <row r="177">
          <cell r="A177">
            <v>840</v>
          </cell>
          <cell r="B177" t="str">
            <v>United States</v>
          </cell>
          <cell r="C177">
            <v>1998</v>
          </cell>
          <cell r="D177">
            <v>90</v>
          </cell>
          <cell r="E177">
            <v>900000</v>
          </cell>
          <cell r="F177">
            <v>90</v>
          </cell>
          <cell r="G177">
            <v>269066914</v>
          </cell>
          <cell r="H177" t="str">
            <v>;;=SUM(F11:G11);</v>
          </cell>
          <cell r="I177" t="str">
            <v>.</v>
          </cell>
        </row>
        <row r="178">
          <cell r="A178">
            <v>840</v>
          </cell>
          <cell r="B178" t="str">
            <v>United States</v>
          </cell>
          <cell r="C178">
            <v>1998</v>
          </cell>
          <cell r="D178">
            <v>90</v>
          </cell>
          <cell r="E178">
            <v>300</v>
          </cell>
          <cell r="F178">
            <v>90</v>
          </cell>
          <cell r="G178">
            <v>11296081</v>
          </cell>
          <cell r="H178" t="str">
            <v>;;=SUM(F12:G12);</v>
          </cell>
          <cell r="I178" t="str">
            <v>.</v>
          </cell>
        </row>
        <row r="179">
          <cell r="A179">
            <v>840</v>
          </cell>
          <cell r="B179" t="str">
            <v>United States</v>
          </cell>
          <cell r="C179">
            <v>1998</v>
          </cell>
          <cell r="D179">
            <v>90</v>
          </cell>
          <cell r="E179">
            <v>303</v>
          </cell>
          <cell r="F179">
            <v>90</v>
          </cell>
          <cell r="G179">
            <v>3821326</v>
          </cell>
          <cell r="H179" t="str">
            <v>;;=SUM(F13:G13);</v>
          </cell>
          <cell r="I179" t="str">
            <v>.</v>
          </cell>
        </row>
        <row r="180">
          <cell r="A180">
            <v>840</v>
          </cell>
          <cell r="B180" t="str">
            <v>United States</v>
          </cell>
          <cell r="C180">
            <v>1998</v>
          </cell>
          <cell r="D180">
            <v>90</v>
          </cell>
          <cell r="E180">
            <v>404</v>
          </cell>
          <cell r="F180">
            <v>90</v>
          </cell>
          <cell r="G180">
            <v>3922563</v>
          </cell>
          <cell r="H180" t="str">
            <v>;;=SUM(F14:G14);</v>
          </cell>
          <cell r="I180" t="str">
            <v>.</v>
          </cell>
        </row>
        <row r="181">
          <cell r="A181">
            <v>840</v>
          </cell>
          <cell r="B181" t="str">
            <v>United States</v>
          </cell>
          <cell r="C181">
            <v>1998</v>
          </cell>
          <cell r="D181">
            <v>90</v>
          </cell>
          <cell r="E181">
            <v>505</v>
          </cell>
          <cell r="F181">
            <v>90</v>
          </cell>
          <cell r="G181">
            <v>3986034</v>
          </cell>
          <cell r="H181" t="str">
            <v>;;=SUM(F15:G15);</v>
          </cell>
          <cell r="I181" t="str">
            <v>.</v>
          </cell>
        </row>
        <row r="182">
          <cell r="A182">
            <v>840</v>
          </cell>
          <cell r="B182" t="str">
            <v>United States</v>
          </cell>
          <cell r="C182">
            <v>1998</v>
          </cell>
          <cell r="D182">
            <v>90</v>
          </cell>
          <cell r="E182">
            <v>606</v>
          </cell>
          <cell r="F182">
            <v>90</v>
          </cell>
          <cell r="G182">
            <v>4025274</v>
          </cell>
          <cell r="H182" t="str">
            <v>;;=SUM(F16:G16);</v>
          </cell>
          <cell r="I182" t="str">
            <v>.</v>
          </cell>
        </row>
        <row r="183">
          <cell r="A183">
            <v>840</v>
          </cell>
          <cell r="B183" t="str">
            <v>United States</v>
          </cell>
          <cell r="C183">
            <v>1998</v>
          </cell>
          <cell r="D183">
            <v>90</v>
          </cell>
          <cell r="E183">
            <v>707</v>
          </cell>
          <cell r="F183">
            <v>90</v>
          </cell>
          <cell r="G183">
            <v>4069416</v>
          </cell>
          <cell r="H183" t="str">
            <v>;;=SUM(F17:G17);</v>
          </cell>
          <cell r="I183" t="str">
            <v>.</v>
          </cell>
        </row>
        <row r="184">
          <cell r="A184">
            <v>840</v>
          </cell>
          <cell r="B184" t="str">
            <v>United States</v>
          </cell>
          <cell r="C184">
            <v>1998</v>
          </cell>
          <cell r="D184">
            <v>90</v>
          </cell>
          <cell r="E184">
            <v>808</v>
          </cell>
          <cell r="F184">
            <v>90</v>
          </cell>
          <cell r="G184">
            <v>3805488</v>
          </cell>
          <cell r="H184" t="str">
            <v>;;=SUM(F18:G18);</v>
          </cell>
          <cell r="I184" t="str">
            <v>.</v>
          </cell>
        </row>
        <row r="185">
          <cell r="A185">
            <v>840</v>
          </cell>
          <cell r="B185" t="str">
            <v>United States</v>
          </cell>
          <cell r="C185">
            <v>1998</v>
          </cell>
          <cell r="D185">
            <v>90</v>
          </cell>
          <cell r="E185">
            <v>909</v>
          </cell>
          <cell r="F185">
            <v>90</v>
          </cell>
          <cell r="G185">
            <v>3960882</v>
          </cell>
          <cell r="H185" t="str">
            <v>;;=SUM(F19:G19);</v>
          </cell>
          <cell r="I185" t="str">
            <v>.</v>
          </cell>
        </row>
        <row r="186">
          <cell r="A186">
            <v>840</v>
          </cell>
          <cell r="B186" t="str">
            <v>United States</v>
          </cell>
          <cell r="C186">
            <v>1998</v>
          </cell>
          <cell r="D186">
            <v>90</v>
          </cell>
          <cell r="E186">
            <v>509</v>
          </cell>
          <cell r="F186">
            <v>90</v>
          </cell>
          <cell r="G186">
            <v>19847094</v>
          </cell>
          <cell r="H186" t="str">
            <v>;;=SUM(F20:G20);</v>
          </cell>
          <cell r="I186" t="str">
            <v>.</v>
          </cell>
        </row>
        <row r="187">
          <cell r="A187">
            <v>840</v>
          </cell>
          <cell r="B187" t="str">
            <v>United States</v>
          </cell>
          <cell r="C187">
            <v>1998</v>
          </cell>
          <cell r="D187">
            <v>90</v>
          </cell>
          <cell r="E187">
            <v>1010</v>
          </cell>
          <cell r="F187">
            <v>90</v>
          </cell>
          <cell r="G187">
            <v>3905412</v>
          </cell>
          <cell r="H187" t="str">
            <v>;;=SUM(F21:G21);</v>
          </cell>
          <cell r="I187" t="str">
            <v>.</v>
          </cell>
        </row>
        <row r="188">
          <cell r="A188">
            <v>840</v>
          </cell>
          <cell r="B188" t="str">
            <v>United States</v>
          </cell>
          <cell r="C188">
            <v>1998</v>
          </cell>
          <cell r="D188">
            <v>90</v>
          </cell>
          <cell r="E188">
            <v>1111</v>
          </cell>
          <cell r="F188">
            <v>90</v>
          </cell>
          <cell r="G188">
            <v>3800870</v>
          </cell>
          <cell r="H188" t="str">
            <v>;;=SUM(F22:G22);</v>
          </cell>
          <cell r="I188" t="str">
            <v>.</v>
          </cell>
        </row>
        <row r="189">
          <cell r="A189">
            <v>840</v>
          </cell>
          <cell r="B189" t="str">
            <v>United States</v>
          </cell>
          <cell r="C189">
            <v>1998</v>
          </cell>
          <cell r="D189">
            <v>90</v>
          </cell>
          <cell r="E189">
            <v>1212</v>
          </cell>
          <cell r="F189">
            <v>90</v>
          </cell>
          <cell r="G189">
            <v>3847377</v>
          </cell>
          <cell r="H189" t="str">
            <v>;;=SUM(F23:G23);</v>
          </cell>
          <cell r="I189" t="str">
            <v>.</v>
          </cell>
        </row>
        <row r="190">
          <cell r="A190">
            <v>840</v>
          </cell>
          <cell r="B190" t="str">
            <v>United States</v>
          </cell>
          <cell r="C190">
            <v>1998</v>
          </cell>
          <cell r="D190">
            <v>90</v>
          </cell>
          <cell r="E190">
            <v>1313</v>
          </cell>
          <cell r="F190">
            <v>90</v>
          </cell>
          <cell r="G190">
            <v>3788570</v>
          </cell>
          <cell r="H190" t="str">
            <v>;;=SUM(F24:G24);</v>
          </cell>
          <cell r="I190" t="str">
            <v>.</v>
          </cell>
        </row>
        <row r="191">
          <cell r="A191">
            <v>840</v>
          </cell>
          <cell r="B191" t="str">
            <v>United States</v>
          </cell>
          <cell r="C191">
            <v>1998</v>
          </cell>
          <cell r="D191">
            <v>90</v>
          </cell>
          <cell r="E191">
            <v>1414</v>
          </cell>
          <cell r="F191">
            <v>90</v>
          </cell>
          <cell r="G191">
            <v>3799536</v>
          </cell>
          <cell r="H191" t="str">
            <v>;;=SUM(F25:G25);</v>
          </cell>
          <cell r="I191" t="str">
            <v>.</v>
          </cell>
        </row>
        <row r="192">
          <cell r="A192">
            <v>840</v>
          </cell>
          <cell r="B192" t="str">
            <v>United States</v>
          </cell>
          <cell r="C192">
            <v>1998</v>
          </cell>
          <cell r="D192">
            <v>90</v>
          </cell>
          <cell r="E192">
            <v>1014</v>
          </cell>
          <cell r="F192">
            <v>90</v>
          </cell>
          <cell r="G192">
            <v>19141765</v>
          </cell>
          <cell r="H192" t="str">
            <v>;;=SUM(F26:G26);</v>
          </cell>
          <cell r="I192" t="str">
            <v>.</v>
          </cell>
        </row>
        <row r="193">
          <cell r="A193">
            <v>840</v>
          </cell>
          <cell r="B193" t="str">
            <v>United States</v>
          </cell>
          <cell r="C193">
            <v>1998</v>
          </cell>
          <cell r="D193">
            <v>90</v>
          </cell>
          <cell r="E193">
            <v>1515</v>
          </cell>
          <cell r="F193">
            <v>90</v>
          </cell>
          <cell r="G193">
            <v>3927516</v>
          </cell>
          <cell r="H193" t="str">
            <v>;;=SUM(F27:G27);</v>
          </cell>
          <cell r="I193" t="str">
            <v>.</v>
          </cell>
        </row>
        <row r="194">
          <cell r="A194">
            <v>76</v>
          </cell>
          <cell r="B194" t="str">
            <v>Brazil</v>
          </cell>
          <cell r="C194">
            <v>1997</v>
          </cell>
          <cell r="D194">
            <v>90</v>
          </cell>
          <cell r="E194">
            <v>2222</v>
          </cell>
          <cell r="F194">
            <v>90</v>
          </cell>
          <cell r="G194">
            <v>2996572</v>
          </cell>
          <cell r="H194" t="str">
            <v>;;=SUM(F35:G35);</v>
          </cell>
          <cell r="I194" t="str">
            <v>.</v>
          </cell>
        </row>
        <row r="195">
          <cell r="A195">
            <v>76</v>
          </cell>
          <cell r="B195" t="str">
            <v>Brazil</v>
          </cell>
          <cell r="C195">
            <v>1997</v>
          </cell>
          <cell r="D195">
            <v>90</v>
          </cell>
          <cell r="E195">
            <v>2323</v>
          </cell>
          <cell r="F195">
            <v>90</v>
          </cell>
          <cell r="G195">
            <v>2930005.6666666665</v>
          </cell>
          <cell r="H195" t="str">
            <v>;;=SUM(F36:G36);</v>
          </cell>
          <cell r="I195" t="str">
            <v>.</v>
          </cell>
        </row>
        <row r="196">
          <cell r="A196">
            <v>76</v>
          </cell>
          <cell r="B196" t="str">
            <v>Brazil</v>
          </cell>
          <cell r="C196">
            <v>1997</v>
          </cell>
          <cell r="D196">
            <v>90</v>
          </cell>
          <cell r="E196">
            <v>2424</v>
          </cell>
          <cell r="F196">
            <v>90</v>
          </cell>
          <cell r="G196">
            <v>2832757.666666667</v>
          </cell>
          <cell r="H196" t="str">
            <v>;;=SUM(F37:G37);</v>
          </cell>
          <cell r="I196" t="str">
            <v>.</v>
          </cell>
        </row>
        <row r="197">
          <cell r="A197">
            <v>76</v>
          </cell>
          <cell r="B197" t="str">
            <v>Brazil</v>
          </cell>
          <cell r="C197">
            <v>1997</v>
          </cell>
          <cell r="D197">
            <v>90</v>
          </cell>
          <cell r="E197">
            <v>2024</v>
          </cell>
          <cell r="F197">
            <v>90</v>
          </cell>
          <cell r="G197">
            <v>14968939.666666666</v>
          </cell>
          <cell r="H197" t="str">
            <v>;;=SUM(F38:G38);</v>
          </cell>
          <cell r="I197" t="str">
            <v>.</v>
          </cell>
        </row>
        <row r="198">
          <cell r="A198">
            <v>76</v>
          </cell>
          <cell r="B198" t="str">
            <v>Brazil</v>
          </cell>
          <cell r="C198">
            <v>1997</v>
          </cell>
          <cell r="D198">
            <v>90</v>
          </cell>
          <cell r="E198">
            <v>2525</v>
          </cell>
          <cell r="F198">
            <v>90</v>
          </cell>
          <cell r="G198">
            <v>2776901.666666666</v>
          </cell>
          <cell r="H198" t="str">
            <v>;;=SUM(F39:G39);</v>
          </cell>
          <cell r="I198" t="str">
            <v>.</v>
          </cell>
        </row>
        <row r="199">
          <cell r="A199">
            <v>76</v>
          </cell>
          <cell r="B199" t="str">
            <v>Brazil</v>
          </cell>
          <cell r="C199">
            <v>1997</v>
          </cell>
          <cell r="D199">
            <v>90</v>
          </cell>
          <cell r="E199">
            <v>2626</v>
          </cell>
          <cell r="F199">
            <v>90</v>
          </cell>
          <cell r="G199">
            <v>2760054.3333333335</v>
          </cell>
          <cell r="H199" t="str">
            <v>;;=SUM(F40:G40);</v>
          </cell>
          <cell r="I199" t="str">
            <v>.</v>
          </cell>
        </row>
        <row r="200">
          <cell r="A200">
            <v>76</v>
          </cell>
          <cell r="B200" t="str">
            <v>Brazil</v>
          </cell>
          <cell r="C200">
            <v>1997</v>
          </cell>
          <cell r="D200">
            <v>90</v>
          </cell>
          <cell r="E200">
            <v>2727</v>
          </cell>
          <cell r="F200">
            <v>90</v>
          </cell>
          <cell r="G200">
            <v>2651143.6666666665</v>
          </cell>
          <cell r="H200" t="str">
            <v>;;=SUM(F41:G41);</v>
          </cell>
          <cell r="I200" t="str">
            <v>.</v>
          </cell>
        </row>
        <row r="201">
          <cell r="A201">
            <v>76</v>
          </cell>
          <cell r="B201" t="str">
            <v>Brazil</v>
          </cell>
          <cell r="C201">
            <v>1997</v>
          </cell>
          <cell r="D201">
            <v>90</v>
          </cell>
          <cell r="E201">
            <v>2828</v>
          </cell>
          <cell r="F201">
            <v>90</v>
          </cell>
          <cell r="G201">
            <v>2584853.3333333335</v>
          </cell>
          <cell r="H201" t="str">
            <v>;;=SUM(F42:G42);</v>
          </cell>
          <cell r="I201" t="str">
            <v>.</v>
          </cell>
        </row>
        <row r="202">
          <cell r="A202">
            <v>76</v>
          </cell>
          <cell r="B202" t="str">
            <v>Brazil</v>
          </cell>
          <cell r="C202">
            <v>1997</v>
          </cell>
          <cell r="D202">
            <v>90</v>
          </cell>
          <cell r="E202">
            <v>2929</v>
          </cell>
          <cell r="F202">
            <v>90</v>
          </cell>
          <cell r="G202">
            <v>2543132.3333333335</v>
          </cell>
          <cell r="H202" t="str">
            <v>;;=SUM(F43:G43);</v>
          </cell>
          <cell r="I202" t="str">
            <v>.</v>
          </cell>
        </row>
        <row r="203">
          <cell r="A203">
            <v>76</v>
          </cell>
          <cell r="B203" t="str">
            <v>Brazil</v>
          </cell>
          <cell r="C203">
            <v>1997</v>
          </cell>
          <cell r="D203">
            <v>90</v>
          </cell>
          <cell r="E203">
            <v>2529</v>
          </cell>
          <cell r="F203">
            <v>90</v>
          </cell>
          <cell r="G203">
            <v>13316085.333333334</v>
          </cell>
          <cell r="H203" t="str">
            <v>;;=SUM(F44:G44);</v>
          </cell>
          <cell r="I203" t="str">
            <v>.</v>
          </cell>
        </row>
        <row r="204">
          <cell r="A204">
            <v>76</v>
          </cell>
          <cell r="B204" t="str">
            <v>Brazil</v>
          </cell>
          <cell r="C204">
            <v>1997</v>
          </cell>
          <cell r="D204">
            <v>90</v>
          </cell>
          <cell r="E204">
            <v>3034</v>
          </cell>
          <cell r="F204">
            <v>90</v>
          </cell>
          <cell r="G204">
            <v>12355004</v>
          </cell>
          <cell r="H204" t="str">
            <v>;;=SUM(F45:G45);</v>
          </cell>
          <cell r="I204" t="str">
            <v>.</v>
          </cell>
        </row>
        <row r="205">
          <cell r="A205">
            <v>76</v>
          </cell>
          <cell r="B205" t="str">
            <v>Brazil</v>
          </cell>
          <cell r="C205">
            <v>1997</v>
          </cell>
          <cell r="D205">
            <v>90</v>
          </cell>
          <cell r="E205">
            <v>3539</v>
          </cell>
          <cell r="F205">
            <v>90</v>
          </cell>
          <cell r="G205">
            <v>10872045</v>
          </cell>
          <cell r="H205" t="str">
            <v>;;=SUM(F46:G46);</v>
          </cell>
          <cell r="I205" t="str">
            <v>.</v>
          </cell>
        </row>
        <row r="206">
          <cell r="A206">
            <v>76</v>
          </cell>
          <cell r="B206" t="str">
            <v>Brazil</v>
          </cell>
          <cell r="C206">
            <v>1997</v>
          </cell>
          <cell r="D206">
            <v>90</v>
          </cell>
          <cell r="E206">
            <v>4099</v>
          </cell>
          <cell r="F206">
            <v>90</v>
          </cell>
          <cell r="G206">
            <v>39934710</v>
          </cell>
          <cell r="H206" t="str">
            <v>;;=SUM(F47:G47);</v>
          </cell>
          <cell r="I206" t="str">
            <v>.</v>
          </cell>
        </row>
        <row r="207">
          <cell r="A207">
            <v>76</v>
          </cell>
          <cell r="B207" t="str">
            <v>Brazil</v>
          </cell>
          <cell r="C207">
            <v>1997</v>
          </cell>
          <cell r="D207">
            <v>90</v>
          </cell>
          <cell r="E207">
            <v>990000</v>
          </cell>
          <cell r="F207">
            <v>90</v>
          </cell>
          <cell r="G207">
            <v>274091</v>
          </cell>
          <cell r="H207" t="str">
            <v>;;=SUM(F48:G48);</v>
          </cell>
          <cell r="I207" t="str">
            <v>.</v>
          </cell>
        </row>
        <row r="208">
          <cell r="A208">
            <v>380</v>
          </cell>
          <cell r="B208" t="str">
            <v>Italy</v>
          </cell>
          <cell r="C208">
            <v>1998</v>
          </cell>
          <cell r="D208">
            <v>90</v>
          </cell>
          <cell r="E208">
            <v>1717</v>
          </cell>
          <cell r="F208">
            <v>90</v>
          </cell>
          <cell r="G208">
            <v>639880</v>
          </cell>
          <cell r="H208" t="str">
            <v>;;=SUM(F29:G29);</v>
          </cell>
          <cell r="I208" t="str">
            <v>.</v>
          </cell>
        </row>
        <row r="209">
          <cell r="A209">
            <v>380</v>
          </cell>
          <cell r="B209" t="str">
            <v>Italy</v>
          </cell>
          <cell r="C209">
            <v>1998</v>
          </cell>
          <cell r="D209">
            <v>90</v>
          </cell>
          <cell r="E209">
            <v>1818</v>
          </cell>
          <cell r="F209">
            <v>90</v>
          </cell>
          <cell r="G209">
            <v>663549</v>
          </cell>
          <cell r="H209" t="str">
            <v>;;=SUM(F30:G30);</v>
          </cell>
          <cell r="I209" t="str">
            <v>.</v>
          </cell>
        </row>
        <row r="210">
          <cell r="A210">
            <v>380</v>
          </cell>
          <cell r="B210" t="str">
            <v>Italy</v>
          </cell>
          <cell r="C210">
            <v>1998</v>
          </cell>
          <cell r="D210">
            <v>90</v>
          </cell>
          <cell r="E210">
            <v>1919</v>
          </cell>
          <cell r="F210">
            <v>90</v>
          </cell>
          <cell r="G210">
            <v>709380</v>
          </cell>
          <cell r="H210" t="str">
            <v>;;=SUM(F31:G31);</v>
          </cell>
          <cell r="I210" t="str">
            <v>.</v>
          </cell>
        </row>
        <row r="211">
          <cell r="A211">
            <v>380</v>
          </cell>
          <cell r="B211" t="str">
            <v>Italy</v>
          </cell>
          <cell r="C211">
            <v>1998</v>
          </cell>
          <cell r="D211">
            <v>90</v>
          </cell>
          <cell r="E211">
            <v>1519</v>
          </cell>
          <cell r="F211">
            <v>90</v>
          </cell>
          <cell r="G211">
            <v>3262515</v>
          </cell>
          <cell r="H211" t="str">
            <v>;;=SUM(F32:G32);</v>
          </cell>
          <cell r="I211" t="str">
            <v>.</v>
          </cell>
        </row>
        <row r="212">
          <cell r="A212">
            <v>380</v>
          </cell>
          <cell r="B212" t="str">
            <v>Italy</v>
          </cell>
          <cell r="C212">
            <v>1998</v>
          </cell>
          <cell r="D212">
            <v>90</v>
          </cell>
          <cell r="E212">
            <v>2020</v>
          </cell>
          <cell r="F212">
            <v>90</v>
          </cell>
          <cell r="G212">
            <v>740847</v>
          </cell>
          <cell r="H212" t="str">
            <v>;;=SUM(F33:G33);</v>
          </cell>
          <cell r="I212" t="str">
            <v>.</v>
          </cell>
        </row>
        <row r="213">
          <cell r="A213">
            <v>380</v>
          </cell>
          <cell r="B213" t="str">
            <v>Italy</v>
          </cell>
          <cell r="C213">
            <v>1998</v>
          </cell>
          <cell r="D213">
            <v>90</v>
          </cell>
          <cell r="E213">
            <v>2121</v>
          </cell>
          <cell r="F213">
            <v>90</v>
          </cell>
          <cell r="G213">
            <v>785685</v>
          </cell>
          <cell r="H213" t="str">
            <v>;;=SUM(F34:G34);</v>
          </cell>
          <cell r="I213" t="str">
            <v>.</v>
          </cell>
        </row>
        <row r="214">
          <cell r="A214">
            <v>380</v>
          </cell>
          <cell r="B214" t="str">
            <v>Italy</v>
          </cell>
          <cell r="C214">
            <v>1998</v>
          </cell>
          <cell r="D214">
            <v>90</v>
          </cell>
          <cell r="E214">
            <v>2222</v>
          </cell>
          <cell r="F214">
            <v>90</v>
          </cell>
          <cell r="G214">
            <v>836476</v>
          </cell>
          <cell r="H214" t="str">
            <v>;;=SUM(F35:G35);</v>
          </cell>
          <cell r="I214" t="str">
            <v>.</v>
          </cell>
        </row>
        <row r="215">
          <cell r="A215">
            <v>380</v>
          </cell>
          <cell r="B215" t="str">
            <v>Italy</v>
          </cell>
          <cell r="C215">
            <v>1998</v>
          </cell>
          <cell r="D215">
            <v>90</v>
          </cell>
          <cell r="E215">
            <v>2323</v>
          </cell>
          <cell r="F215">
            <v>90</v>
          </cell>
          <cell r="G215">
            <v>880103</v>
          </cell>
          <cell r="H215" t="str">
            <v>;;=SUM(F36:G36);</v>
          </cell>
          <cell r="I215" t="str">
            <v>.</v>
          </cell>
        </row>
        <row r="216">
          <cell r="A216">
            <v>380</v>
          </cell>
          <cell r="B216" t="str">
            <v>Italy</v>
          </cell>
          <cell r="C216">
            <v>1998</v>
          </cell>
          <cell r="D216">
            <v>90</v>
          </cell>
          <cell r="E216">
            <v>2424</v>
          </cell>
          <cell r="F216">
            <v>90</v>
          </cell>
          <cell r="G216">
            <v>888166</v>
          </cell>
          <cell r="H216" t="str">
            <v>;;=SUM(F37:G37);</v>
          </cell>
          <cell r="I216" t="str">
            <v>.</v>
          </cell>
        </row>
        <row r="217">
          <cell r="A217">
            <v>380</v>
          </cell>
          <cell r="B217" t="str">
            <v>Italy</v>
          </cell>
          <cell r="C217">
            <v>1998</v>
          </cell>
          <cell r="D217">
            <v>90</v>
          </cell>
          <cell r="E217">
            <v>2024</v>
          </cell>
          <cell r="F217">
            <v>90</v>
          </cell>
          <cell r="G217">
            <v>4131277</v>
          </cell>
          <cell r="H217" t="str">
            <v>;;=SUM(F38:G38);</v>
          </cell>
          <cell r="I217" t="str">
            <v>.</v>
          </cell>
        </row>
        <row r="218">
          <cell r="A218">
            <v>380</v>
          </cell>
          <cell r="B218" t="str">
            <v>Italy</v>
          </cell>
          <cell r="C218">
            <v>1998</v>
          </cell>
          <cell r="D218">
            <v>90</v>
          </cell>
          <cell r="E218">
            <v>2525</v>
          </cell>
          <cell r="F218">
            <v>90</v>
          </cell>
          <cell r="G218">
            <v>904401</v>
          </cell>
          <cell r="H218" t="str">
            <v>;;=SUM(F39:G39);</v>
          </cell>
          <cell r="I218" t="str">
            <v>.</v>
          </cell>
        </row>
        <row r="219">
          <cell r="A219">
            <v>380</v>
          </cell>
          <cell r="B219" t="str">
            <v>Italy</v>
          </cell>
          <cell r="C219">
            <v>1998</v>
          </cell>
          <cell r="D219">
            <v>90</v>
          </cell>
          <cell r="E219">
            <v>2626</v>
          </cell>
          <cell r="F219">
            <v>90</v>
          </cell>
          <cell r="G219">
            <v>928033</v>
          </cell>
          <cell r="H219" t="str">
            <v>;;=SUM(F40:G40);</v>
          </cell>
          <cell r="I219" t="str">
            <v>.</v>
          </cell>
        </row>
        <row r="220">
          <cell r="A220">
            <v>380</v>
          </cell>
          <cell r="B220" t="str">
            <v>Italy</v>
          </cell>
          <cell r="C220">
            <v>1998</v>
          </cell>
          <cell r="D220">
            <v>90</v>
          </cell>
          <cell r="E220">
            <v>2727</v>
          </cell>
          <cell r="F220">
            <v>90</v>
          </cell>
          <cell r="G220">
            <v>915235</v>
          </cell>
          <cell r="H220" t="str">
            <v>;;=SUM(F41:G41);</v>
          </cell>
          <cell r="I220" t="str">
            <v>.</v>
          </cell>
        </row>
        <row r="221">
          <cell r="A221">
            <v>380</v>
          </cell>
          <cell r="B221" t="str">
            <v>Italy</v>
          </cell>
          <cell r="C221">
            <v>1998</v>
          </cell>
          <cell r="D221">
            <v>90</v>
          </cell>
          <cell r="E221">
            <v>2828</v>
          </cell>
          <cell r="F221">
            <v>90</v>
          </cell>
          <cell r="G221">
            <v>942056</v>
          </cell>
          <cell r="H221" t="str">
            <v>;;=SUM(F42:G42);</v>
          </cell>
          <cell r="I221" t="str">
            <v>.</v>
          </cell>
        </row>
        <row r="222">
          <cell r="A222">
            <v>380</v>
          </cell>
          <cell r="B222" t="str">
            <v>Italy</v>
          </cell>
          <cell r="C222">
            <v>1998</v>
          </cell>
          <cell r="D222">
            <v>90</v>
          </cell>
          <cell r="E222">
            <v>2929</v>
          </cell>
          <cell r="F222">
            <v>90</v>
          </cell>
          <cell r="G222">
            <v>931229</v>
          </cell>
          <cell r="H222" t="str">
            <v>;;=SUM(F43:G43);</v>
          </cell>
          <cell r="I222" t="str">
            <v>.</v>
          </cell>
        </row>
        <row r="223">
          <cell r="A223">
            <v>380</v>
          </cell>
          <cell r="B223" t="str">
            <v>Italy</v>
          </cell>
          <cell r="C223">
            <v>1998</v>
          </cell>
          <cell r="D223">
            <v>90</v>
          </cell>
          <cell r="E223">
            <v>2529</v>
          </cell>
          <cell r="F223">
            <v>90</v>
          </cell>
          <cell r="G223">
            <v>4620954</v>
          </cell>
          <cell r="H223" t="str">
            <v>;;=SUM(F44:G44);</v>
          </cell>
          <cell r="I223" t="str">
            <v>.</v>
          </cell>
        </row>
        <row r="224">
          <cell r="A224">
            <v>380</v>
          </cell>
          <cell r="B224" t="str">
            <v>Italy</v>
          </cell>
          <cell r="C224">
            <v>1998</v>
          </cell>
          <cell r="D224">
            <v>90</v>
          </cell>
          <cell r="E224">
            <v>3034</v>
          </cell>
          <cell r="F224">
            <v>90</v>
          </cell>
          <cell r="G224">
            <v>4771322</v>
          </cell>
          <cell r="H224" t="str">
            <v>;;=SUM(F45:G45);</v>
          </cell>
          <cell r="I224" t="str">
            <v>.</v>
          </cell>
        </row>
        <row r="225">
          <cell r="A225">
            <v>380</v>
          </cell>
          <cell r="B225" t="str">
            <v>Italy</v>
          </cell>
          <cell r="C225">
            <v>1998</v>
          </cell>
          <cell r="D225">
            <v>90</v>
          </cell>
          <cell r="E225">
            <v>3539</v>
          </cell>
          <cell r="F225">
            <v>90</v>
          </cell>
          <cell r="G225">
            <v>4245882</v>
          </cell>
          <cell r="H225" t="str">
            <v>;;=SUM(F46:G46);</v>
          </cell>
          <cell r="I225" t="str">
            <v>.</v>
          </cell>
        </row>
        <row r="226">
          <cell r="A226">
            <v>380</v>
          </cell>
          <cell r="B226" t="str">
            <v>Italy</v>
          </cell>
          <cell r="C226">
            <v>1998</v>
          </cell>
          <cell r="D226">
            <v>90</v>
          </cell>
          <cell r="E226">
            <v>4099</v>
          </cell>
          <cell r="F226">
            <v>90</v>
          </cell>
          <cell r="G226">
            <v>28148897</v>
          </cell>
          <cell r="H226" t="str">
            <v>;;=SUM(F47:G47);</v>
          </cell>
          <cell r="I226" t="str">
            <v>.</v>
          </cell>
        </row>
        <row r="227">
          <cell r="A227">
            <v>380</v>
          </cell>
          <cell r="B227" t="str">
            <v>Italy</v>
          </cell>
          <cell r="C227">
            <v>1998</v>
          </cell>
          <cell r="D227">
            <v>90</v>
          </cell>
          <cell r="E227">
            <v>990000</v>
          </cell>
          <cell r="F227">
            <v>90</v>
          </cell>
          <cell r="G227">
            <v>0</v>
          </cell>
          <cell r="H227" t="str">
            <v>n;</v>
          </cell>
          <cell r="I227" t="str">
            <v>n</v>
          </cell>
        </row>
        <row r="228">
          <cell r="A228">
            <v>840</v>
          </cell>
          <cell r="B228" t="str">
            <v>United States</v>
          </cell>
          <cell r="C228">
            <v>1998</v>
          </cell>
          <cell r="D228">
            <v>90</v>
          </cell>
          <cell r="E228">
            <v>1616</v>
          </cell>
          <cell r="F228">
            <v>90</v>
          </cell>
          <cell r="G228">
            <v>3770336</v>
          </cell>
          <cell r="H228" t="str">
            <v>;;=SUM(F28:G28);</v>
          </cell>
          <cell r="I228" t="str">
            <v>.</v>
          </cell>
        </row>
        <row r="229">
          <cell r="A229">
            <v>840</v>
          </cell>
          <cell r="B229" t="str">
            <v>United States</v>
          </cell>
          <cell r="C229">
            <v>1998</v>
          </cell>
          <cell r="D229">
            <v>90</v>
          </cell>
          <cell r="E229">
            <v>1717</v>
          </cell>
          <cell r="F229">
            <v>90</v>
          </cell>
          <cell r="G229">
            <v>4044731</v>
          </cell>
          <cell r="H229" t="str">
            <v>;;=SUM(F29:G29);</v>
          </cell>
          <cell r="I229" t="str">
            <v>.</v>
          </cell>
        </row>
        <row r="230">
          <cell r="A230">
            <v>840</v>
          </cell>
          <cell r="B230" t="str">
            <v>United States</v>
          </cell>
          <cell r="C230">
            <v>1998</v>
          </cell>
          <cell r="D230">
            <v>90</v>
          </cell>
          <cell r="E230">
            <v>1818</v>
          </cell>
          <cell r="F230">
            <v>90</v>
          </cell>
          <cell r="G230">
            <v>3766060</v>
          </cell>
          <cell r="H230" t="str">
            <v>;;=SUM(F30:G30);</v>
          </cell>
          <cell r="I230" t="str">
            <v>.</v>
          </cell>
        </row>
        <row r="231">
          <cell r="A231">
            <v>840</v>
          </cell>
          <cell r="B231" t="str">
            <v>United States</v>
          </cell>
          <cell r="C231">
            <v>1998</v>
          </cell>
          <cell r="D231">
            <v>90</v>
          </cell>
          <cell r="E231">
            <v>1919</v>
          </cell>
          <cell r="F231">
            <v>90</v>
          </cell>
          <cell r="G231">
            <v>3826631</v>
          </cell>
          <cell r="H231" t="str">
            <v>;;=SUM(F31:G31);</v>
          </cell>
          <cell r="I231" t="str">
            <v>.</v>
          </cell>
        </row>
        <row r="232">
          <cell r="A232">
            <v>840</v>
          </cell>
          <cell r="B232" t="str">
            <v>United States</v>
          </cell>
          <cell r="C232">
            <v>1998</v>
          </cell>
          <cell r="D232">
            <v>90</v>
          </cell>
          <cell r="E232">
            <v>1519</v>
          </cell>
          <cell r="F232">
            <v>90</v>
          </cell>
          <cell r="G232">
            <v>19335274</v>
          </cell>
          <cell r="H232" t="str">
            <v>;;=SUM(F32:G32);</v>
          </cell>
          <cell r="I232" t="str">
            <v>.</v>
          </cell>
        </row>
        <row r="233">
          <cell r="A233">
            <v>840</v>
          </cell>
          <cell r="B233" t="str">
            <v>United States</v>
          </cell>
          <cell r="C233">
            <v>1998</v>
          </cell>
          <cell r="D233">
            <v>90</v>
          </cell>
          <cell r="E233">
            <v>2020</v>
          </cell>
          <cell r="F233">
            <v>90</v>
          </cell>
          <cell r="G233">
            <v>3798808</v>
          </cell>
          <cell r="H233" t="str">
            <v>;;=SUM(F33:G33);</v>
          </cell>
          <cell r="I233" t="str">
            <v>.</v>
          </cell>
        </row>
        <row r="234">
          <cell r="A234">
            <v>840</v>
          </cell>
          <cell r="B234" t="str">
            <v>United States</v>
          </cell>
          <cell r="C234">
            <v>1998</v>
          </cell>
          <cell r="D234">
            <v>90</v>
          </cell>
          <cell r="E234">
            <v>2121</v>
          </cell>
          <cell r="F234">
            <v>90</v>
          </cell>
          <cell r="G234">
            <v>3562049</v>
          </cell>
          <cell r="H234" t="str">
            <v>;;=SUM(F34:G34);</v>
          </cell>
          <cell r="I234" t="str">
            <v>.</v>
          </cell>
        </row>
        <row r="235">
          <cell r="A235">
            <v>840</v>
          </cell>
          <cell r="B235" t="str">
            <v>United States</v>
          </cell>
          <cell r="C235">
            <v>1998</v>
          </cell>
          <cell r="D235">
            <v>90</v>
          </cell>
          <cell r="E235">
            <v>2222</v>
          </cell>
          <cell r="F235">
            <v>90</v>
          </cell>
          <cell r="G235">
            <v>3416001</v>
          </cell>
          <cell r="H235" t="str">
            <v>;;=SUM(F35:G35);</v>
          </cell>
          <cell r="I235" t="str">
            <v>.</v>
          </cell>
        </row>
        <row r="236">
          <cell r="A236">
            <v>840</v>
          </cell>
          <cell r="B236" t="str">
            <v>United States</v>
          </cell>
          <cell r="C236">
            <v>1998</v>
          </cell>
          <cell r="D236">
            <v>90</v>
          </cell>
          <cell r="E236">
            <v>2323</v>
          </cell>
          <cell r="F236">
            <v>90</v>
          </cell>
          <cell r="G236">
            <v>3382439</v>
          </cell>
          <cell r="H236" t="str">
            <v>;;=SUM(F36:G36);</v>
          </cell>
          <cell r="I236" t="str">
            <v>.</v>
          </cell>
        </row>
        <row r="237">
          <cell r="A237">
            <v>840</v>
          </cell>
          <cell r="B237" t="str">
            <v>United States</v>
          </cell>
          <cell r="C237">
            <v>1998</v>
          </cell>
          <cell r="D237">
            <v>90</v>
          </cell>
          <cell r="E237">
            <v>2424</v>
          </cell>
          <cell r="F237">
            <v>90</v>
          </cell>
          <cell r="G237">
            <v>3407549</v>
          </cell>
          <cell r="H237" t="str">
            <v>;;=SUM(F37:G37);</v>
          </cell>
          <cell r="I237" t="str">
            <v>.</v>
          </cell>
        </row>
        <row r="238">
          <cell r="A238">
            <v>840</v>
          </cell>
          <cell r="B238" t="str">
            <v>United States</v>
          </cell>
          <cell r="C238">
            <v>1998</v>
          </cell>
          <cell r="D238">
            <v>90</v>
          </cell>
          <cell r="E238">
            <v>2024</v>
          </cell>
          <cell r="F238">
            <v>90</v>
          </cell>
          <cell r="G238">
            <v>17566846</v>
          </cell>
          <cell r="H238" t="str">
            <v>;;=SUM(F38:G38);</v>
          </cell>
          <cell r="I238" t="str">
            <v>.</v>
          </cell>
        </row>
        <row r="239">
          <cell r="A239">
            <v>840</v>
          </cell>
          <cell r="B239" t="str">
            <v>United States</v>
          </cell>
          <cell r="C239">
            <v>1998</v>
          </cell>
          <cell r="D239">
            <v>90</v>
          </cell>
          <cell r="E239">
            <v>2525</v>
          </cell>
          <cell r="F239">
            <v>90</v>
          </cell>
          <cell r="G239">
            <v>3521710</v>
          </cell>
          <cell r="H239" t="str">
            <v>;;=SUM(F39:G39);</v>
          </cell>
          <cell r="I239" t="str">
            <v>.</v>
          </cell>
        </row>
        <row r="240">
          <cell r="A240">
            <v>840</v>
          </cell>
          <cell r="B240" t="str">
            <v>United States</v>
          </cell>
          <cell r="C240">
            <v>1998</v>
          </cell>
          <cell r="D240">
            <v>90</v>
          </cell>
          <cell r="E240">
            <v>2626</v>
          </cell>
          <cell r="F240">
            <v>90</v>
          </cell>
          <cell r="G240">
            <v>3682201</v>
          </cell>
          <cell r="H240" t="str">
            <v>;;=SUM(F40:G40);</v>
          </cell>
          <cell r="I240" t="str">
            <v>.</v>
          </cell>
        </row>
        <row r="241">
          <cell r="A241">
            <v>840</v>
          </cell>
          <cell r="B241" t="str">
            <v>United States</v>
          </cell>
          <cell r="C241">
            <v>1998</v>
          </cell>
          <cell r="D241">
            <v>90</v>
          </cell>
          <cell r="E241">
            <v>2727</v>
          </cell>
          <cell r="F241">
            <v>90</v>
          </cell>
          <cell r="G241">
            <v>3994958</v>
          </cell>
          <cell r="H241" t="str">
            <v>;;=SUM(F41:G41);</v>
          </cell>
          <cell r="I241" t="str">
            <v>.</v>
          </cell>
        </row>
        <row r="242">
          <cell r="A242">
            <v>840</v>
          </cell>
          <cell r="B242" t="str">
            <v>United States</v>
          </cell>
          <cell r="C242">
            <v>1998</v>
          </cell>
          <cell r="D242">
            <v>90</v>
          </cell>
          <cell r="E242">
            <v>2828</v>
          </cell>
          <cell r="F242">
            <v>90</v>
          </cell>
          <cell r="G242">
            <v>3609223</v>
          </cell>
          <cell r="H242" t="str">
            <v>;;=SUM(F42:G42);</v>
          </cell>
          <cell r="I242" t="str">
            <v>.</v>
          </cell>
        </row>
        <row r="243">
          <cell r="A243">
            <v>840</v>
          </cell>
          <cell r="B243" t="str">
            <v>United States</v>
          </cell>
          <cell r="C243">
            <v>1998</v>
          </cell>
          <cell r="D243">
            <v>90</v>
          </cell>
          <cell r="E243">
            <v>2929</v>
          </cell>
          <cell r="F243">
            <v>90</v>
          </cell>
          <cell r="G243">
            <v>3906127</v>
          </cell>
          <cell r="H243" t="str">
            <v>;;=SUM(F43:G43);</v>
          </cell>
          <cell r="I243" t="str">
            <v>.</v>
          </cell>
        </row>
        <row r="244">
          <cell r="A244">
            <v>840</v>
          </cell>
          <cell r="B244" t="str">
            <v>United States</v>
          </cell>
          <cell r="C244">
            <v>1998</v>
          </cell>
          <cell r="D244">
            <v>90</v>
          </cell>
          <cell r="E244">
            <v>2529</v>
          </cell>
          <cell r="F244">
            <v>90</v>
          </cell>
          <cell r="G244">
            <v>18714219</v>
          </cell>
          <cell r="H244" t="str">
            <v>;;=SUM(F44:G44);</v>
          </cell>
          <cell r="I244" t="str">
            <v>.</v>
          </cell>
        </row>
        <row r="245">
          <cell r="A245">
            <v>840</v>
          </cell>
          <cell r="B245" t="str">
            <v>United States</v>
          </cell>
          <cell r="C245">
            <v>1998</v>
          </cell>
          <cell r="D245">
            <v>90</v>
          </cell>
          <cell r="E245">
            <v>3034</v>
          </cell>
          <cell r="F245">
            <v>90</v>
          </cell>
          <cell r="G245">
            <v>20409689</v>
          </cell>
          <cell r="H245" t="str">
            <v>;;=SUM(F45:G45);</v>
          </cell>
          <cell r="I245" t="str">
            <v>.</v>
          </cell>
        </row>
        <row r="246">
          <cell r="A246">
            <v>840</v>
          </cell>
          <cell r="B246" t="str">
            <v>United States</v>
          </cell>
          <cell r="C246">
            <v>1998</v>
          </cell>
          <cell r="D246">
            <v>90</v>
          </cell>
          <cell r="E246">
            <v>3539</v>
          </cell>
          <cell r="F246">
            <v>90</v>
          </cell>
          <cell r="G246">
            <v>22621558</v>
          </cell>
          <cell r="H246" t="str">
            <v>;;=SUM(F46:G46);</v>
          </cell>
          <cell r="I246" t="str">
            <v>.</v>
          </cell>
        </row>
        <row r="247">
          <cell r="A247">
            <v>840</v>
          </cell>
          <cell r="B247" t="str">
            <v>United States</v>
          </cell>
          <cell r="C247">
            <v>1998</v>
          </cell>
          <cell r="D247">
            <v>90</v>
          </cell>
          <cell r="E247">
            <v>4099</v>
          </cell>
          <cell r="F247">
            <v>90</v>
          </cell>
          <cell r="G247">
            <v>112390499</v>
          </cell>
          <cell r="H247" t="str">
            <v>;;=SUM(F47:G47);</v>
          </cell>
          <cell r="I247" t="str">
            <v>.</v>
          </cell>
        </row>
        <row r="248">
          <cell r="A248">
            <v>840</v>
          </cell>
          <cell r="B248" t="str">
            <v>United States</v>
          </cell>
          <cell r="C248">
            <v>1998</v>
          </cell>
          <cell r="D248">
            <v>90</v>
          </cell>
          <cell r="E248">
            <v>990000</v>
          </cell>
          <cell r="F248">
            <v>90</v>
          </cell>
          <cell r="G248">
            <v>0</v>
          </cell>
          <cell r="H248" t="str">
            <v>n;</v>
          </cell>
          <cell r="I248" t="str">
            <v>n</v>
          </cell>
        </row>
        <row r="249">
          <cell r="A249">
            <v>376</v>
          </cell>
          <cell r="B249" t="str">
            <v>Israel</v>
          </cell>
          <cell r="C249">
            <v>1998</v>
          </cell>
          <cell r="D249">
            <v>90</v>
          </cell>
          <cell r="E249">
            <v>900000</v>
          </cell>
          <cell r="F249">
            <v>90</v>
          </cell>
          <cell r="G249">
            <v>5899952</v>
          </cell>
          <cell r="H249" t="str">
            <v/>
          </cell>
          <cell r="I249" t="str">
            <v>.</v>
          </cell>
        </row>
        <row r="250">
          <cell r="A250">
            <v>376</v>
          </cell>
          <cell r="B250" t="str">
            <v>Israel</v>
          </cell>
          <cell r="C250">
            <v>1998</v>
          </cell>
          <cell r="D250">
            <v>90</v>
          </cell>
          <cell r="E250">
            <v>300</v>
          </cell>
          <cell r="F250">
            <v>90</v>
          </cell>
          <cell r="G250">
            <v>367540</v>
          </cell>
          <cell r="H250" t="str">
            <v/>
          </cell>
          <cell r="I250" t="str">
            <v>.</v>
          </cell>
        </row>
        <row r="251">
          <cell r="A251">
            <v>376</v>
          </cell>
          <cell r="B251" t="str">
            <v>Israel</v>
          </cell>
          <cell r="C251">
            <v>1998</v>
          </cell>
          <cell r="D251">
            <v>90</v>
          </cell>
          <cell r="E251">
            <v>303</v>
          </cell>
          <cell r="F251">
            <v>90</v>
          </cell>
          <cell r="G251">
            <v>117687</v>
          </cell>
          <cell r="H251" t="str">
            <v/>
          </cell>
          <cell r="I251" t="str">
            <v>.</v>
          </cell>
        </row>
        <row r="252">
          <cell r="A252">
            <v>376</v>
          </cell>
          <cell r="B252" t="str">
            <v>Israel</v>
          </cell>
          <cell r="C252">
            <v>1998</v>
          </cell>
          <cell r="D252">
            <v>90</v>
          </cell>
          <cell r="E252">
            <v>404</v>
          </cell>
          <cell r="F252">
            <v>90</v>
          </cell>
          <cell r="G252">
            <v>116812</v>
          </cell>
          <cell r="H252" t="str">
            <v/>
          </cell>
          <cell r="I252" t="str">
            <v>.</v>
          </cell>
        </row>
        <row r="253">
          <cell r="A253">
            <v>376</v>
          </cell>
          <cell r="B253" t="str">
            <v>Israel</v>
          </cell>
          <cell r="C253">
            <v>1998</v>
          </cell>
          <cell r="D253">
            <v>90</v>
          </cell>
          <cell r="E253">
            <v>505</v>
          </cell>
          <cell r="F253">
            <v>90</v>
          </cell>
          <cell r="G253">
            <v>115671</v>
          </cell>
          <cell r="H253" t="str">
            <v/>
          </cell>
          <cell r="I253" t="str">
            <v>.</v>
          </cell>
        </row>
        <row r="254">
          <cell r="A254">
            <v>376</v>
          </cell>
          <cell r="B254" t="str">
            <v>Israel</v>
          </cell>
          <cell r="C254">
            <v>1998</v>
          </cell>
          <cell r="D254">
            <v>90</v>
          </cell>
          <cell r="E254">
            <v>606</v>
          </cell>
          <cell r="F254">
            <v>90</v>
          </cell>
          <cell r="G254">
            <v>112264</v>
          </cell>
          <cell r="H254" t="str">
            <v/>
          </cell>
          <cell r="I254" t="str">
            <v>.</v>
          </cell>
        </row>
        <row r="255">
          <cell r="A255">
            <v>376</v>
          </cell>
          <cell r="B255" t="str">
            <v>Israel</v>
          </cell>
          <cell r="C255">
            <v>1998</v>
          </cell>
          <cell r="D255">
            <v>90</v>
          </cell>
          <cell r="E255">
            <v>707</v>
          </cell>
          <cell r="F255">
            <v>90</v>
          </cell>
          <cell r="G255">
            <v>112064</v>
          </cell>
          <cell r="H255" t="str">
            <v/>
          </cell>
          <cell r="I255" t="str">
            <v>.</v>
          </cell>
        </row>
        <row r="256">
          <cell r="A256">
            <v>376</v>
          </cell>
          <cell r="B256" t="str">
            <v>Israel</v>
          </cell>
          <cell r="C256">
            <v>1998</v>
          </cell>
          <cell r="D256">
            <v>90</v>
          </cell>
          <cell r="E256">
            <v>808</v>
          </cell>
          <cell r="F256">
            <v>90</v>
          </cell>
          <cell r="G256">
            <v>110825</v>
          </cell>
          <cell r="H256" t="str">
            <v/>
          </cell>
          <cell r="I256" t="str">
            <v>.</v>
          </cell>
        </row>
        <row r="257">
          <cell r="A257">
            <v>376</v>
          </cell>
          <cell r="B257" t="str">
            <v>Israel</v>
          </cell>
          <cell r="C257">
            <v>1998</v>
          </cell>
          <cell r="D257">
            <v>90</v>
          </cell>
          <cell r="E257">
            <v>909</v>
          </cell>
          <cell r="F257">
            <v>90</v>
          </cell>
          <cell r="G257">
            <v>110475</v>
          </cell>
          <cell r="H257" t="str">
            <v/>
          </cell>
          <cell r="I257" t="str">
            <v>.</v>
          </cell>
        </row>
        <row r="258">
          <cell r="A258">
            <v>40</v>
          </cell>
          <cell r="B258" t="str">
            <v>Austria</v>
          </cell>
          <cell r="C258">
            <v>1998</v>
          </cell>
          <cell r="D258">
            <v>90</v>
          </cell>
          <cell r="E258">
            <v>1919</v>
          </cell>
          <cell r="F258">
            <v>90</v>
          </cell>
          <cell r="G258">
            <v>90244</v>
          </cell>
          <cell r="H258" t="str">
            <v>;;=SUM(F31:G31);</v>
          </cell>
          <cell r="I258" t="str">
            <v>.</v>
          </cell>
        </row>
        <row r="259">
          <cell r="A259">
            <v>40</v>
          </cell>
          <cell r="B259" t="str">
            <v>Austria</v>
          </cell>
          <cell r="C259">
            <v>1998</v>
          </cell>
          <cell r="D259">
            <v>90</v>
          </cell>
          <cell r="E259">
            <v>1519</v>
          </cell>
          <cell r="F259">
            <v>90</v>
          </cell>
          <cell r="G259">
            <v>475637</v>
          </cell>
          <cell r="H259" t="str">
            <v>;;=SUM(F32:G32);</v>
          </cell>
          <cell r="I259" t="str">
            <v>.</v>
          </cell>
        </row>
        <row r="260">
          <cell r="A260">
            <v>40</v>
          </cell>
          <cell r="B260" t="str">
            <v>Austria</v>
          </cell>
          <cell r="C260">
            <v>1998</v>
          </cell>
          <cell r="D260">
            <v>90</v>
          </cell>
          <cell r="E260">
            <v>2020</v>
          </cell>
          <cell r="F260">
            <v>90</v>
          </cell>
          <cell r="G260">
            <v>90970</v>
          </cell>
          <cell r="H260" t="str">
            <v>;;=SUM(F33:G33);</v>
          </cell>
          <cell r="I260" t="str">
            <v>.</v>
          </cell>
        </row>
        <row r="261">
          <cell r="A261">
            <v>40</v>
          </cell>
          <cell r="B261" t="str">
            <v>Austria</v>
          </cell>
          <cell r="C261">
            <v>1998</v>
          </cell>
          <cell r="D261">
            <v>90</v>
          </cell>
          <cell r="E261">
            <v>2121</v>
          </cell>
          <cell r="F261">
            <v>90</v>
          </cell>
          <cell r="G261">
            <v>93409</v>
          </cell>
          <cell r="H261" t="str">
            <v>;;=SUM(F34:G34);</v>
          </cell>
          <cell r="I261" t="str">
            <v>.</v>
          </cell>
        </row>
        <row r="262">
          <cell r="A262">
            <v>40</v>
          </cell>
          <cell r="B262" t="str">
            <v>Austria</v>
          </cell>
          <cell r="C262">
            <v>1998</v>
          </cell>
          <cell r="D262">
            <v>90</v>
          </cell>
          <cell r="E262">
            <v>2222</v>
          </cell>
          <cell r="F262">
            <v>90</v>
          </cell>
          <cell r="G262">
            <v>99457</v>
          </cell>
          <cell r="H262" t="str">
            <v>;;=SUM(F35:G35);</v>
          </cell>
          <cell r="I262" t="str">
            <v>.</v>
          </cell>
        </row>
        <row r="263">
          <cell r="A263">
            <v>40</v>
          </cell>
          <cell r="B263" t="str">
            <v>Austria</v>
          </cell>
          <cell r="C263">
            <v>1998</v>
          </cell>
          <cell r="D263">
            <v>90</v>
          </cell>
          <cell r="E263">
            <v>2323</v>
          </cell>
          <cell r="F263">
            <v>90</v>
          </cell>
          <cell r="G263">
            <v>104098</v>
          </cell>
          <cell r="H263" t="str">
            <v>;;=SUM(F36:G36);</v>
          </cell>
          <cell r="I263" t="str">
            <v>.</v>
          </cell>
        </row>
        <row r="264">
          <cell r="A264">
            <v>40</v>
          </cell>
          <cell r="B264" t="str">
            <v>Austria</v>
          </cell>
          <cell r="C264">
            <v>1998</v>
          </cell>
          <cell r="D264">
            <v>90</v>
          </cell>
          <cell r="E264">
            <v>2424</v>
          </cell>
          <cell r="F264">
            <v>90</v>
          </cell>
          <cell r="G264">
            <v>107423</v>
          </cell>
          <cell r="H264" t="str">
            <v>;;=SUM(F37:G37);</v>
          </cell>
          <cell r="I264" t="str">
            <v>.</v>
          </cell>
        </row>
        <row r="265">
          <cell r="A265">
            <v>40</v>
          </cell>
          <cell r="B265" t="str">
            <v>Austria</v>
          </cell>
          <cell r="C265">
            <v>1998</v>
          </cell>
          <cell r="D265">
            <v>90</v>
          </cell>
          <cell r="E265">
            <v>2024</v>
          </cell>
          <cell r="F265">
            <v>90</v>
          </cell>
          <cell r="G265">
            <v>495357</v>
          </cell>
          <cell r="H265" t="str">
            <v>;;=SUM(F38:G38);</v>
          </cell>
          <cell r="I265" t="str">
            <v>.</v>
          </cell>
        </row>
        <row r="266">
          <cell r="A266">
            <v>40</v>
          </cell>
          <cell r="B266" t="str">
            <v>Austria</v>
          </cell>
          <cell r="C266">
            <v>1998</v>
          </cell>
          <cell r="D266">
            <v>90</v>
          </cell>
          <cell r="E266">
            <v>2525</v>
          </cell>
          <cell r="F266">
            <v>90</v>
          </cell>
          <cell r="G266">
            <v>116820</v>
          </cell>
          <cell r="H266" t="str">
            <v>;;=SUM(F39:G39);</v>
          </cell>
          <cell r="I266" t="str">
            <v>.</v>
          </cell>
        </row>
        <row r="267">
          <cell r="A267">
            <v>40</v>
          </cell>
          <cell r="B267" t="str">
            <v>Austria</v>
          </cell>
          <cell r="C267">
            <v>1998</v>
          </cell>
          <cell r="D267">
            <v>90</v>
          </cell>
          <cell r="E267">
            <v>2626</v>
          </cell>
          <cell r="F267">
            <v>90</v>
          </cell>
          <cell r="G267">
            <v>124548</v>
          </cell>
          <cell r="H267" t="str">
            <v>;;=SUM(F40:G40);</v>
          </cell>
          <cell r="I267" t="str">
            <v>.</v>
          </cell>
        </row>
        <row r="268">
          <cell r="A268">
            <v>40</v>
          </cell>
          <cell r="B268" t="str">
            <v>Austria</v>
          </cell>
          <cell r="C268">
            <v>1998</v>
          </cell>
          <cell r="D268">
            <v>90</v>
          </cell>
          <cell r="E268">
            <v>2727</v>
          </cell>
          <cell r="F268">
            <v>90</v>
          </cell>
          <cell r="G268">
            <v>128645</v>
          </cell>
          <cell r="H268" t="str">
            <v>;;=SUM(F41:G41);</v>
          </cell>
          <cell r="I268" t="str">
            <v>.</v>
          </cell>
        </row>
        <row r="269">
          <cell r="A269">
            <v>40</v>
          </cell>
          <cell r="B269" t="str">
            <v>Austria</v>
          </cell>
          <cell r="C269">
            <v>1998</v>
          </cell>
          <cell r="D269">
            <v>90</v>
          </cell>
          <cell r="E269">
            <v>2828</v>
          </cell>
          <cell r="F269">
            <v>90</v>
          </cell>
          <cell r="G269">
            <v>136301</v>
          </cell>
          <cell r="H269" t="str">
            <v>;;=SUM(F42:G42);</v>
          </cell>
          <cell r="I269" t="str">
            <v>.</v>
          </cell>
        </row>
        <row r="270">
          <cell r="A270">
            <v>40</v>
          </cell>
          <cell r="B270" t="str">
            <v>Austria</v>
          </cell>
          <cell r="C270">
            <v>1998</v>
          </cell>
          <cell r="D270">
            <v>90</v>
          </cell>
          <cell r="E270">
            <v>2929</v>
          </cell>
          <cell r="F270">
            <v>90</v>
          </cell>
          <cell r="G270">
            <v>142838</v>
          </cell>
          <cell r="H270" t="str">
            <v>;;=SUM(F43:G43);</v>
          </cell>
          <cell r="I270" t="str">
            <v>.</v>
          </cell>
        </row>
        <row r="271">
          <cell r="A271">
            <v>40</v>
          </cell>
          <cell r="B271" t="str">
            <v>Austria</v>
          </cell>
          <cell r="C271">
            <v>1998</v>
          </cell>
          <cell r="D271">
            <v>90</v>
          </cell>
          <cell r="E271">
            <v>2529</v>
          </cell>
          <cell r="F271">
            <v>90</v>
          </cell>
          <cell r="G271">
            <v>649152</v>
          </cell>
          <cell r="H271" t="str">
            <v>;;=SUM(F44:G44);</v>
          </cell>
          <cell r="I271" t="str">
            <v>.</v>
          </cell>
        </row>
        <row r="272">
          <cell r="A272">
            <v>40</v>
          </cell>
          <cell r="B272" t="str">
            <v>Austria</v>
          </cell>
          <cell r="C272">
            <v>1998</v>
          </cell>
          <cell r="D272">
            <v>90</v>
          </cell>
          <cell r="E272">
            <v>3034</v>
          </cell>
          <cell r="F272">
            <v>90</v>
          </cell>
          <cell r="G272">
            <v>722221</v>
          </cell>
          <cell r="H272" t="str">
            <v>;;=SUM(F45:G45);</v>
          </cell>
          <cell r="I272" t="str">
            <v>.</v>
          </cell>
        </row>
        <row r="273">
          <cell r="A273">
            <v>40</v>
          </cell>
          <cell r="B273" t="str">
            <v>Austria</v>
          </cell>
          <cell r="C273">
            <v>1998</v>
          </cell>
          <cell r="D273">
            <v>90</v>
          </cell>
          <cell r="E273">
            <v>3539</v>
          </cell>
          <cell r="F273">
            <v>90</v>
          </cell>
          <cell r="G273">
            <v>670651</v>
          </cell>
          <cell r="H273" t="str">
            <v>;;=SUM(F46:G46);</v>
          </cell>
          <cell r="I273" t="str">
            <v>.</v>
          </cell>
        </row>
        <row r="274">
          <cell r="A274">
            <v>40</v>
          </cell>
          <cell r="B274" t="str">
            <v>Austria</v>
          </cell>
          <cell r="C274">
            <v>1998</v>
          </cell>
          <cell r="D274">
            <v>90</v>
          </cell>
          <cell r="E274">
            <v>4099</v>
          </cell>
          <cell r="F274">
            <v>90</v>
          </cell>
          <cell r="G274">
            <v>3675804</v>
          </cell>
          <cell r="H274" t="str">
            <v>;;=SUM(F47:G47);</v>
          </cell>
          <cell r="I274" t="str">
            <v>.</v>
          </cell>
        </row>
        <row r="275">
          <cell r="A275">
            <v>40</v>
          </cell>
          <cell r="B275" t="str">
            <v>Austria</v>
          </cell>
          <cell r="C275">
            <v>1998</v>
          </cell>
          <cell r="D275">
            <v>90</v>
          </cell>
          <cell r="E275">
            <v>990000</v>
          </cell>
          <cell r="F275">
            <v>90</v>
          </cell>
          <cell r="G275">
            <v>0</v>
          </cell>
          <cell r="H275" t="str">
            <v>;;=SUM(F48:G48);</v>
          </cell>
          <cell r="I275" t="str">
            <v>.</v>
          </cell>
        </row>
        <row r="276">
          <cell r="A276">
            <v>57</v>
          </cell>
          <cell r="B276" t="str">
            <v>Belgium (Fl)</v>
          </cell>
          <cell r="C276">
            <v>1998</v>
          </cell>
          <cell r="D276">
            <v>90</v>
          </cell>
          <cell r="E276">
            <v>900000</v>
          </cell>
          <cell r="F276">
            <v>90</v>
          </cell>
          <cell r="G276">
            <v>6103018</v>
          </cell>
          <cell r="H276" t="str">
            <v>;;=SUM(F11:G11);</v>
          </cell>
          <cell r="I276" t="str">
            <v>.</v>
          </cell>
        </row>
        <row r="277">
          <cell r="A277">
            <v>57</v>
          </cell>
          <cell r="B277" t="str">
            <v>Belgium (Fl)</v>
          </cell>
          <cell r="C277">
            <v>1998</v>
          </cell>
          <cell r="D277">
            <v>90</v>
          </cell>
          <cell r="E277">
            <v>300</v>
          </cell>
          <cell r="F277">
            <v>90</v>
          </cell>
          <cell r="G277">
            <v>201486</v>
          </cell>
          <cell r="H277" t="str">
            <v>;;=SUM(F12:G12);</v>
          </cell>
          <cell r="I277" t="str">
            <v>.</v>
          </cell>
        </row>
        <row r="278">
          <cell r="A278">
            <v>57</v>
          </cell>
          <cell r="B278" t="str">
            <v>Belgium (Fl)</v>
          </cell>
          <cell r="C278">
            <v>1998</v>
          </cell>
          <cell r="D278">
            <v>90</v>
          </cell>
          <cell r="E278">
            <v>303</v>
          </cell>
          <cell r="F278">
            <v>90</v>
          </cell>
          <cell r="G278">
            <v>68178</v>
          </cell>
          <cell r="H278" t="str">
            <v>;;=SUM(F13:G13);</v>
          </cell>
          <cell r="I278" t="str">
            <v>.</v>
          </cell>
        </row>
        <row r="279">
          <cell r="A279">
            <v>57</v>
          </cell>
          <cell r="B279" t="str">
            <v>Belgium (Fl)</v>
          </cell>
          <cell r="C279">
            <v>1998</v>
          </cell>
          <cell r="D279">
            <v>90</v>
          </cell>
          <cell r="E279">
            <v>404</v>
          </cell>
          <cell r="F279">
            <v>90</v>
          </cell>
          <cell r="G279">
            <v>71417</v>
          </cell>
          <cell r="H279" t="str">
            <v>;;=SUM(F14:G14);</v>
          </cell>
          <cell r="I279" t="str">
            <v>.</v>
          </cell>
        </row>
        <row r="280">
          <cell r="A280">
            <v>57</v>
          </cell>
          <cell r="B280" t="str">
            <v>Belgium (Fl)</v>
          </cell>
          <cell r="C280">
            <v>1998</v>
          </cell>
          <cell r="D280">
            <v>90</v>
          </cell>
          <cell r="E280">
            <v>505</v>
          </cell>
          <cell r="F280">
            <v>90</v>
          </cell>
          <cell r="G280">
            <v>73693</v>
          </cell>
          <cell r="H280" t="str">
            <v>;;=SUM(F15:G15);</v>
          </cell>
          <cell r="I280" t="str">
            <v>.</v>
          </cell>
        </row>
        <row r="281">
          <cell r="A281">
            <v>57</v>
          </cell>
          <cell r="B281" t="str">
            <v>Belgium (Fl)</v>
          </cell>
          <cell r="C281">
            <v>1998</v>
          </cell>
          <cell r="D281">
            <v>90</v>
          </cell>
          <cell r="E281">
            <v>606</v>
          </cell>
          <cell r="F281">
            <v>90</v>
          </cell>
          <cell r="G281">
            <v>74410</v>
          </cell>
          <cell r="H281" t="str">
            <v>;;=SUM(F16:G16);</v>
          </cell>
          <cell r="I281" t="str">
            <v>.</v>
          </cell>
        </row>
        <row r="282">
          <cell r="A282">
            <v>57</v>
          </cell>
          <cell r="B282" t="str">
            <v>Belgium (Fl)</v>
          </cell>
          <cell r="C282">
            <v>1998</v>
          </cell>
          <cell r="D282">
            <v>90</v>
          </cell>
          <cell r="E282">
            <v>707</v>
          </cell>
          <cell r="F282">
            <v>90</v>
          </cell>
          <cell r="G282">
            <v>73733</v>
          </cell>
          <cell r="H282" t="str">
            <v>;;=SUM(F17:G17);</v>
          </cell>
          <cell r="I282" t="str">
            <v>.</v>
          </cell>
        </row>
        <row r="283">
          <cell r="A283">
            <v>57</v>
          </cell>
          <cell r="B283" t="str">
            <v>Belgium (Fl)</v>
          </cell>
          <cell r="C283">
            <v>1998</v>
          </cell>
          <cell r="D283">
            <v>90</v>
          </cell>
          <cell r="E283">
            <v>808</v>
          </cell>
          <cell r="F283">
            <v>90</v>
          </cell>
          <cell r="G283">
            <v>71353</v>
          </cell>
          <cell r="H283" t="str">
            <v>;;=SUM(F18:G18);</v>
          </cell>
          <cell r="I283" t="str">
            <v>.</v>
          </cell>
        </row>
        <row r="284">
          <cell r="A284">
            <v>57</v>
          </cell>
          <cell r="B284" t="str">
            <v>Belgium (Fl)</v>
          </cell>
          <cell r="C284">
            <v>1998</v>
          </cell>
          <cell r="D284">
            <v>90</v>
          </cell>
          <cell r="E284">
            <v>909</v>
          </cell>
          <cell r="F284">
            <v>90</v>
          </cell>
          <cell r="G284">
            <v>70700</v>
          </cell>
          <cell r="H284" t="str">
            <v>;;=SUM(F19:G19);</v>
          </cell>
          <cell r="I284" t="str">
            <v>.</v>
          </cell>
        </row>
        <row r="285">
          <cell r="A285">
            <v>57</v>
          </cell>
          <cell r="B285" t="str">
            <v>Belgium (Fl)</v>
          </cell>
          <cell r="C285">
            <v>1998</v>
          </cell>
          <cell r="D285">
            <v>90</v>
          </cell>
          <cell r="E285">
            <v>509</v>
          </cell>
          <cell r="F285">
            <v>90</v>
          </cell>
          <cell r="G285">
            <v>363889</v>
          </cell>
          <cell r="H285" t="str">
            <v>;;=SUM(F20:G20);</v>
          </cell>
          <cell r="I285" t="str">
            <v>.</v>
          </cell>
        </row>
        <row r="286">
          <cell r="A286">
            <v>57</v>
          </cell>
          <cell r="B286" t="str">
            <v>Belgium (Fl)</v>
          </cell>
          <cell r="C286">
            <v>1998</v>
          </cell>
          <cell r="D286">
            <v>90</v>
          </cell>
          <cell r="E286">
            <v>1010</v>
          </cell>
          <cell r="F286">
            <v>90</v>
          </cell>
          <cell r="G286">
            <v>69691</v>
          </cell>
          <cell r="H286" t="str">
            <v>;;=SUM(F21:G21);</v>
          </cell>
          <cell r="I286" t="str">
            <v>.</v>
          </cell>
        </row>
        <row r="287">
          <cell r="A287">
            <v>124</v>
          </cell>
          <cell r="B287" t="str">
            <v>Canada</v>
          </cell>
          <cell r="C287">
            <v>1998</v>
          </cell>
          <cell r="D287">
            <v>90</v>
          </cell>
          <cell r="E287">
            <v>2020</v>
          </cell>
          <cell r="F287">
            <v>90</v>
          </cell>
          <cell r="G287">
            <v>404688</v>
          </cell>
          <cell r="H287" t="str">
            <v>;;=SUM(F33:G33);</v>
          </cell>
          <cell r="I287" t="str">
            <v>.</v>
          </cell>
        </row>
        <row r="288">
          <cell r="A288">
            <v>124</v>
          </cell>
          <cell r="B288" t="str">
            <v>Canada</v>
          </cell>
          <cell r="C288">
            <v>1998</v>
          </cell>
          <cell r="D288">
            <v>90</v>
          </cell>
          <cell r="E288">
            <v>2121</v>
          </cell>
          <cell r="F288">
            <v>90</v>
          </cell>
          <cell r="G288">
            <v>408569</v>
          </cell>
          <cell r="H288" t="str">
            <v>;;=SUM(F34:G34);</v>
          </cell>
          <cell r="I288" t="str">
            <v>.</v>
          </cell>
        </row>
        <row r="289">
          <cell r="A289">
            <v>124</v>
          </cell>
          <cell r="B289" t="str">
            <v>Canada</v>
          </cell>
          <cell r="C289">
            <v>1998</v>
          </cell>
          <cell r="D289">
            <v>90</v>
          </cell>
          <cell r="E289">
            <v>2222</v>
          </cell>
          <cell r="F289">
            <v>90</v>
          </cell>
          <cell r="G289">
            <v>410043</v>
          </cell>
          <cell r="H289" t="str">
            <v>;;=SUM(F35:G35);</v>
          </cell>
          <cell r="I289" t="str">
            <v>.</v>
          </cell>
        </row>
        <row r="290">
          <cell r="A290">
            <v>124</v>
          </cell>
          <cell r="B290" t="str">
            <v>Canada</v>
          </cell>
          <cell r="C290">
            <v>1998</v>
          </cell>
          <cell r="D290">
            <v>90</v>
          </cell>
          <cell r="E290">
            <v>2323</v>
          </cell>
          <cell r="F290">
            <v>90</v>
          </cell>
          <cell r="G290">
            <v>405526</v>
          </cell>
          <cell r="H290" t="str">
            <v>;;=SUM(F36:G36);</v>
          </cell>
          <cell r="I290" t="str">
            <v>.</v>
          </cell>
        </row>
        <row r="291">
          <cell r="A291">
            <v>124</v>
          </cell>
          <cell r="B291" t="str">
            <v>Canada</v>
          </cell>
          <cell r="C291">
            <v>1998</v>
          </cell>
          <cell r="D291">
            <v>90</v>
          </cell>
          <cell r="E291">
            <v>2424</v>
          </cell>
          <cell r="F291">
            <v>90</v>
          </cell>
          <cell r="G291">
            <v>402934</v>
          </cell>
          <cell r="H291" t="str">
            <v>;;=SUM(F37:G37);</v>
          </cell>
          <cell r="I291" t="str">
            <v>.</v>
          </cell>
        </row>
        <row r="292">
          <cell r="A292">
            <v>124</v>
          </cell>
          <cell r="B292" t="str">
            <v>Canada</v>
          </cell>
          <cell r="C292">
            <v>1998</v>
          </cell>
          <cell r="D292">
            <v>90</v>
          </cell>
          <cell r="E292">
            <v>2024</v>
          </cell>
          <cell r="F292">
            <v>90</v>
          </cell>
          <cell r="G292">
            <v>2031760</v>
          </cell>
          <cell r="H292" t="str">
            <v>;;=SUM(F38:G38);</v>
          </cell>
          <cell r="I292" t="str">
            <v>.</v>
          </cell>
        </row>
        <row r="293">
          <cell r="A293">
            <v>124</v>
          </cell>
          <cell r="B293" t="str">
            <v>Canada</v>
          </cell>
          <cell r="C293">
            <v>1998</v>
          </cell>
          <cell r="D293">
            <v>90</v>
          </cell>
          <cell r="E293">
            <v>2525</v>
          </cell>
          <cell r="F293">
            <v>90</v>
          </cell>
          <cell r="G293">
            <v>409107</v>
          </cell>
          <cell r="H293" t="str">
            <v>;;=SUM(F39:G39);</v>
          </cell>
          <cell r="I293" t="str">
            <v>.</v>
          </cell>
        </row>
        <row r="294">
          <cell r="A294">
            <v>124</v>
          </cell>
          <cell r="B294" t="str">
            <v>Canada</v>
          </cell>
          <cell r="C294">
            <v>1998</v>
          </cell>
          <cell r="D294">
            <v>90</v>
          </cell>
          <cell r="E294">
            <v>2626</v>
          </cell>
          <cell r="F294">
            <v>90</v>
          </cell>
          <cell r="G294">
            <v>423144</v>
          </cell>
          <cell r="H294" t="str">
            <v>;;=SUM(F40:G40);</v>
          </cell>
          <cell r="I294" t="str">
            <v>.</v>
          </cell>
        </row>
        <row r="295">
          <cell r="A295">
            <v>124</v>
          </cell>
          <cell r="B295" t="str">
            <v>Canada</v>
          </cell>
          <cell r="C295">
            <v>1998</v>
          </cell>
          <cell r="D295">
            <v>90</v>
          </cell>
          <cell r="E295">
            <v>2727</v>
          </cell>
          <cell r="F295">
            <v>90</v>
          </cell>
          <cell r="G295">
            <v>434803</v>
          </cell>
          <cell r="H295" t="str">
            <v>;;=SUM(F41:G41);</v>
          </cell>
          <cell r="I295" t="str">
            <v>.</v>
          </cell>
        </row>
        <row r="296">
          <cell r="A296">
            <v>124</v>
          </cell>
          <cell r="B296" t="str">
            <v>Canada</v>
          </cell>
          <cell r="C296">
            <v>1998</v>
          </cell>
          <cell r="D296">
            <v>90</v>
          </cell>
          <cell r="E296">
            <v>2828</v>
          </cell>
          <cell r="F296">
            <v>90</v>
          </cell>
          <cell r="G296">
            <v>435756</v>
          </cell>
          <cell r="H296" t="str">
            <v>;;=SUM(F42:G42);</v>
          </cell>
          <cell r="I296" t="str">
            <v>.</v>
          </cell>
        </row>
        <row r="297">
          <cell r="A297">
            <v>124</v>
          </cell>
          <cell r="B297" t="str">
            <v>Canada</v>
          </cell>
          <cell r="C297">
            <v>1998</v>
          </cell>
          <cell r="D297">
            <v>90</v>
          </cell>
          <cell r="E297">
            <v>2929</v>
          </cell>
          <cell r="F297">
            <v>90</v>
          </cell>
          <cell r="G297">
            <v>436201</v>
          </cell>
          <cell r="H297" t="str">
            <v>;;=SUM(F43:G43);</v>
          </cell>
          <cell r="I297" t="str">
            <v>.</v>
          </cell>
        </row>
        <row r="298">
          <cell r="A298">
            <v>124</v>
          </cell>
          <cell r="B298" t="str">
            <v>Canada</v>
          </cell>
          <cell r="C298">
            <v>1998</v>
          </cell>
          <cell r="D298">
            <v>90</v>
          </cell>
          <cell r="E298">
            <v>2529</v>
          </cell>
          <cell r="F298">
            <v>90</v>
          </cell>
          <cell r="G298">
            <v>2139011</v>
          </cell>
          <cell r="H298" t="str">
            <v>;;=SUM(F44:G44);</v>
          </cell>
          <cell r="I298" t="str">
            <v>.</v>
          </cell>
        </row>
        <row r="299">
          <cell r="A299">
            <v>124</v>
          </cell>
          <cell r="B299" t="str">
            <v>Canada</v>
          </cell>
          <cell r="C299">
            <v>1998</v>
          </cell>
          <cell r="D299">
            <v>90</v>
          </cell>
          <cell r="E299">
            <v>3034</v>
          </cell>
          <cell r="F299">
            <v>90</v>
          </cell>
          <cell r="G299">
            <v>2473563</v>
          </cell>
          <cell r="H299" t="str">
            <v>;;=SUM(F45:G45);</v>
          </cell>
          <cell r="I299" t="str">
            <v>.</v>
          </cell>
        </row>
        <row r="300">
          <cell r="A300">
            <v>124</v>
          </cell>
          <cell r="B300" t="str">
            <v>Canada</v>
          </cell>
          <cell r="C300">
            <v>1998</v>
          </cell>
          <cell r="D300">
            <v>90</v>
          </cell>
          <cell r="E300">
            <v>3539</v>
          </cell>
          <cell r="F300">
            <v>90</v>
          </cell>
          <cell r="G300">
            <v>2677975</v>
          </cell>
          <cell r="H300" t="str">
            <v>;;=SUM(F46:G46);</v>
          </cell>
          <cell r="I300" t="str">
            <v>.</v>
          </cell>
        </row>
        <row r="301">
          <cell r="A301">
            <v>124</v>
          </cell>
          <cell r="B301" t="str">
            <v>Canada</v>
          </cell>
          <cell r="C301">
            <v>1998</v>
          </cell>
          <cell r="D301">
            <v>90</v>
          </cell>
          <cell r="E301">
            <v>4099</v>
          </cell>
          <cell r="F301">
            <v>90</v>
          </cell>
          <cell r="G301">
            <v>12812927</v>
          </cell>
          <cell r="H301" t="str">
            <v>;;=SUM(F47:G47);</v>
          </cell>
          <cell r="I301" t="str">
            <v>.</v>
          </cell>
        </row>
        <row r="302">
          <cell r="A302">
            <v>124</v>
          </cell>
          <cell r="B302" t="str">
            <v>Canada</v>
          </cell>
          <cell r="C302">
            <v>1998</v>
          </cell>
          <cell r="D302">
            <v>90</v>
          </cell>
          <cell r="E302">
            <v>990000</v>
          </cell>
          <cell r="F302">
            <v>90</v>
          </cell>
          <cell r="G302">
            <v>0</v>
          </cell>
          <cell r="H302" t="str">
            <v>n;</v>
          </cell>
          <cell r="I302" t="str">
            <v>n</v>
          </cell>
        </row>
        <row r="303">
          <cell r="A303">
            <v>203</v>
          </cell>
          <cell r="B303" t="str">
            <v>Czech Republic</v>
          </cell>
          <cell r="C303">
            <v>1998</v>
          </cell>
          <cell r="D303">
            <v>90</v>
          </cell>
          <cell r="E303">
            <v>900000</v>
          </cell>
          <cell r="F303">
            <v>90</v>
          </cell>
          <cell r="G303">
            <v>10299125</v>
          </cell>
          <cell r="H303" t="str">
            <v>;;=SUM(F11:G11);</v>
          </cell>
          <cell r="I303" t="str">
            <v>.</v>
          </cell>
        </row>
        <row r="304">
          <cell r="A304">
            <v>203</v>
          </cell>
          <cell r="B304" t="str">
            <v>Czech Republic</v>
          </cell>
          <cell r="C304">
            <v>1998</v>
          </cell>
          <cell r="D304">
            <v>90</v>
          </cell>
          <cell r="E304">
            <v>300</v>
          </cell>
          <cell r="F304">
            <v>90</v>
          </cell>
          <cell r="G304">
            <v>275584</v>
          </cell>
          <cell r="H304" t="str">
            <v>;;=SUM(F12:G12);</v>
          </cell>
          <cell r="I304" t="str">
            <v>.</v>
          </cell>
        </row>
        <row r="305">
          <cell r="A305">
            <v>203</v>
          </cell>
          <cell r="B305" t="str">
            <v>Czech Republic</v>
          </cell>
          <cell r="C305">
            <v>1998</v>
          </cell>
          <cell r="D305">
            <v>90</v>
          </cell>
          <cell r="E305">
            <v>303</v>
          </cell>
          <cell r="F305">
            <v>90</v>
          </cell>
          <cell r="G305">
            <v>105842</v>
          </cell>
          <cell r="H305" t="str">
            <v>;;=SUM(F13:G13);</v>
          </cell>
          <cell r="I305" t="str">
            <v>.</v>
          </cell>
        </row>
        <row r="306">
          <cell r="A306">
            <v>203</v>
          </cell>
          <cell r="B306" t="str">
            <v>Czech Republic</v>
          </cell>
          <cell r="C306">
            <v>1998</v>
          </cell>
          <cell r="D306">
            <v>90</v>
          </cell>
          <cell r="E306">
            <v>404</v>
          </cell>
          <cell r="F306">
            <v>90</v>
          </cell>
          <cell r="G306">
            <v>120084</v>
          </cell>
          <cell r="H306" t="str">
            <v>;;=SUM(F14:G14);</v>
          </cell>
          <cell r="I306" t="str">
            <v>.</v>
          </cell>
        </row>
        <row r="307">
          <cell r="A307">
            <v>203</v>
          </cell>
          <cell r="B307" t="str">
            <v>Czech Republic</v>
          </cell>
          <cell r="C307">
            <v>1998</v>
          </cell>
          <cell r="D307">
            <v>90</v>
          </cell>
          <cell r="E307">
            <v>505</v>
          </cell>
          <cell r="F307">
            <v>90</v>
          </cell>
          <cell r="G307">
            <v>120755</v>
          </cell>
          <cell r="H307" t="str">
            <v>;;=SUM(F15:G15);</v>
          </cell>
          <cell r="I307" t="str">
            <v>.</v>
          </cell>
        </row>
        <row r="308">
          <cell r="A308">
            <v>203</v>
          </cell>
          <cell r="B308" t="str">
            <v>Czech Republic</v>
          </cell>
          <cell r="C308">
            <v>1998</v>
          </cell>
          <cell r="D308">
            <v>90</v>
          </cell>
          <cell r="E308">
            <v>606</v>
          </cell>
          <cell r="F308">
            <v>90</v>
          </cell>
          <cell r="G308">
            <v>128492</v>
          </cell>
          <cell r="H308" t="str">
            <v>;;=SUM(F16:G16);</v>
          </cell>
          <cell r="I308" t="str">
            <v>.</v>
          </cell>
        </row>
        <row r="309">
          <cell r="A309">
            <v>203</v>
          </cell>
          <cell r="B309" t="str">
            <v>Czech Republic</v>
          </cell>
          <cell r="C309">
            <v>1998</v>
          </cell>
          <cell r="D309">
            <v>90</v>
          </cell>
          <cell r="E309">
            <v>707</v>
          </cell>
          <cell r="F309">
            <v>90</v>
          </cell>
          <cell r="G309">
            <v>127748</v>
          </cell>
          <cell r="H309" t="str">
            <v>;;=SUM(F17:G17);</v>
          </cell>
          <cell r="I309" t="str">
            <v>.</v>
          </cell>
        </row>
        <row r="310">
          <cell r="A310">
            <v>203</v>
          </cell>
          <cell r="B310" t="str">
            <v>Czech Republic</v>
          </cell>
          <cell r="C310">
            <v>1998</v>
          </cell>
          <cell r="D310">
            <v>90</v>
          </cell>
          <cell r="E310">
            <v>808</v>
          </cell>
          <cell r="F310">
            <v>90</v>
          </cell>
          <cell r="G310">
            <v>125933</v>
          </cell>
          <cell r="H310" t="str">
            <v>;;=SUM(F18:G18);</v>
          </cell>
          <cell r="I310" t="str">
            <v>.</v>
          </cell>
        </row>
        <row r="311">
          <cell r="A311">
            <v>203</v>
          </cell>
          <cell r="B311" t="str">
            <v>Czech Republic</v>
          </cell>
          <cell r="C311">
            <v>1998</v>
          </cell>
          <cell r="D311">
            <v>90</v>
          </cell>
          <cell r="E311">
            <v>909</v>
          </cell>
          <cell r="F311">
            <v>90</v>
          </cell>
          <cell r="G311">
            <v>129845</v>
          </cell>
          <cell r="H311" t="str">
            <v>;;=SUM(F19:G19);</v>
          </cell>
          <cell r="I311" t="str">
            <v>.</v>
          </cell>
        </row>
        <row r="312">
          <cell r="A312">
            <v>203</v>
          </cell>
          <cell r="B312" t="str">
            <v>Czech Republic</v>
          </cell>
          <cell r="C312">
            <v>1998</v>
          </cell>
          <cell r="D312">
            <v>90</v>
          </cell>
          <cell r="E312">
            <v>509</v>
          </cell>
          <cell r="F312">
            <v>90</v>
          </cell>
          <cell r="G312">
            <v>632773</v>
          </cell>
          <cell r="H312" t="str">
            <v>;;=SUM(F20:G20);</v>
          </cell>
          <cell r="I312" t="str">
            <v>.</v>
          </cell>
        </row>
        <row r="313">
          <cell r="A313">
            <v>203</v>
          </cell>
          <cell r="B313" t="str">
            <v>Czech Republic</v>
          </cell>
          <cell r="C313">
            <v>1998</v>
          </cell>
          <cell r="D313">
            <v>90</v>
          </cell>
          <cell r="E313">
            <v>1010</v>
          </cell>
          <cell r="F313">
            <v>90</v>
          </cell>
          <cell r="G313">
            <v>128204</v>
          </cell>
          <cell r="H313" t="str">
            <v>;;=SUM(F21:G21);</v>
          </cell>
          <cell r="I313" t="str">
            <v>.</v>
          </cell>
        </row>
        <row r="314">
          <cell r="A314">
            <v>203</v>
          </cell>
          <cell r="B314" t="str">
            <v>Czech Republic</v>
          </cell>
          <cell r="C314">
            <v>1998</v>
          </cell>
          <cell r="D314">
            <v>90</v>
          </cell>
          <cell r="E314">
            <v>1111</v>
          </cell>
          <cell r="F314">
            <v>90</v>
          </cell>
          <cell r="G314">
            <v>130574</v>
          </cell>
          <cell r="H314" t="str">
            <v>;;=SUM(F22:G22);</v>
          </cell>
          <cell r="I314" t="str">
            <v>.</v>
          </cell>
        </row>
        <row r="315">
          <cell r="A315">
            <v>57</v>
          </cell>
          <cell r="B315" t="str">
            <v>Belgium (Fl)</v>
          </cell>
          <cell r="C315">
            <v>1998</v>
          </cell>
          <cell r="D315">
            <v>90</v>
          </cell>
          <cell r="E315">
            <v>1111</v>
          </cell>
          <cell r="F315">
            <v>90</v>
          </cell>
          <cell r="G315">
            <v>69682</v>
          </cell>
          <cell r="H315" t="str">
            <v>;;=SUM(F22:G22);</v>
          </cell>
          <cell r="I315" t="str">
            <v>.</v>
          </cell>
        </row>
        <row r="316">
          <cell r="A316">
            <v>57</v>
          </cell>
          <cell r="B316" t="str">
            <v>Belgium (Fl)</v>
          </cell>
          <cell r="C316">
            <v>1998</v>
          </cell>
          <cell r="D316">
            <v>90</v>
          </cell>
          <cell r="E316">
            <v>1212</v>
          </cell>
          <cell r="F316">
            <v>90</v>
          </cell>
          <cell r="G316">
            <v>68139</v>
          </cell>
          <cell r="H316" t="str">
            <v>;;=SUM(F23:G23);</v>
          </cell>
          <cell r="I316" t="str">
            <v>.</v>
          </cell>
        </row>
        <row r="317">
          <cell r="A317">
            <v>57</v>
          </cell>
          <cell r="B317" t="str">
            <v>Belgium (Fl)</v>
          </cell>
          <cell r="C317">
            <v>1998</v>
          </cell>
          <cell r="D317">
            <v>90</v>
          </cell>
          <cell r="E317">
            <v>1313</v>
          </cell>
          <cell r="F317">
            <v>90</v>
          </cell>
          <cell r="G317">
            <v>69675</v>
          </cell>
          <cell r="H317" t="str">
            <v>;;=SUM(F24:G24);</v>
          </cell>
          <cell r="I317" t="str">
            <v>.</v>
          </cell>
        </row>
        <row r="318">
          <cell r="A318">
            <v>57</v>
          </cell>
          <cell r="B318" t="str">
            <v>Belgium (Fl)</v>
          </cell>
          <cell r="C318">
            <v>1998</v>
          </cell>
          <cell r="D318">
            <v>90</v>
          </cell>
          <cell r="E318">
            <v>1414</v>
          </cell>
          <cell r="F318">
            <v>90</v>
          </cell>
          <cell r="G318">
            <v>71692</v>
          </cell>
          <cell r="H318" t="str">
            <v>;;=SUM(F25:G25);</v>
          </cell>
          <cell r="I318" t="str">
            <v>.</v>
          </cell>
        </row>
        <row r="319">
          <cell r="A319">
            <v>57</v>
          </cell>
          <cell r="B319" t="str">
            <v>Belgium (Fl)</v>
          </cell>
          <cell r="C319">
            <v>1998</v>
          </cell>
          <cell r="D319">
            <v>90</v>
          </cell>
          <cell r="E319">
            <v>1014</v>
          </cell>
          <cell r="F319">
            <v>90</v>
          </cell>
          <cell r="G319">
            <v>348879</v>
          </cell>
          <cell r="H319" t="str">
            <v>;;=SUM(F26:G26);</v>
          </cell>
          <cell r="I319" t="str">
            <v>.</v>
          </cell>
        </row>
        <row r="320">
          <cell r="A320">
            <v>57</v>
          </cell>
          <cell r="B320" t="str">
            <v>Belgium (Fl)</v>
          </cell>
          <cell r="C320">
            <v>1998</v>
          </cell>
          <cell r="D320">
            <v>90</v>
          </cell>
          <cell r="E320">
            <v>1515</v>
          </cell>
          <cell r="F320">
            <v>90</v>
          </cell>
          <cell r="G320">
            <v>73141</v>
          </cell>
          <cell r="H320" t="str">
            <v>;;=SUM(F27:G27);</v>
          </cell>
          <cell r="I320" t="str">
            <v>.</v>
          </cell>
        </row>
        <row r="321">
          <cell r="A321">
            <v>57</v>
          </cell>
          <cell r="B321" t="str">
            <v>Belgium (Fl)</v>
          </cell>
          <cell r="C321">
            <v>1998</v>
          </cell>
          <cell r="D321">
            <v>90</v>
          </cell>
          <cell r="E321">
            <v>1616</v>
          </cell>
          <cell r="F321">
            <v>90</v>
          </cell>
          <cell r="G321">
            <v>75422</v>
          </cell>
          <cell r="H321" t="str">
            <v>;;=SUM(F28:G28);</v>
          </cell>
          <cell r="I321" t="str">
            <v>.</v>
          </cell>
        </row>
        <row r="322">
          <cell r="A322">
            <v>57</v>
          </cell>
          <cell r="B322" t="str">
            <v>Belgium (Fl)</v>
          </cell>
          <cell r="C322">
            <v>1998</v>
          </cell>
          <cell r="D322">
            <v>90</v>
          </cell>
          <cell r="E322">
            <v>1717</v>
          </cell>
          <cell r="F322">
            <v>90</v>
          </cell>
          <cell r="G322">
            <v>75607</v>
          </cell>
          <cell r="H322" t="str">
            <v>;;=SUM(F29:G29);</v>
          </cell>
          <cell r="I322" t="str">
            <v>.</v>
          </cell>
        </row>
        <row r="323">
          <cell r="A323">
            <v>57</v>
          </cell>
          <cell r="B323" t="str">
            <v>Belgium (Fl)</v>
          </cell>
          <cell r="C323">
            <v>1998</v>
          </cell>
          <cell r="D323">
            <v>90</v>
          </cell>
          <cell r="E323">
            <v>1818</v>
          </cell>
          <cell r="F323">
            <v>90</v>
          </cell>
          <cell r="G323">
            <v>75863</v>
          </cell>
          <cell r="H323" t="str">
            <v>;;=SUM(F30:G30);</v>
          </cell>
          <cell r="I323" t="str">
            <v>.</v>
          </cell>
        </row>
        <row r="324">
          <cell r="A324">
            <v>57</v>
          </cell>
          <cell r="B324" t="str">
            <v>Belgium (Fl)</v>
          </cell>
          <cell r="C324">
            <v>1998</v>
          </cell>
          <cell r="D324">
            <v>90</v>
          </cell>
          <cell r="E324">
            <v>1919</v>
          </cell>
          <cell r="F324">
            <v>90</v>
          </cell>
          <cell r="G324">
            <v>75020</v>
          </cell>
          <cell r="H324" t="str">
            <v>;;=SUM(F31:G31);</v>
          </cell>
          <cell r="I324" t="str">
            <v>.</v>
          </cell>
        </row>
        <row r="325">
          <cell r="A325">
            <v>57</v>
          </cell>
          <cell r="B325" t="str">
            <v>Belgium (Fl)</v>
          </cell>
          <cell r="C325">
            <v>1998</v>
          </cell>
          <cell r="D325">
            <v>90</v>
          </cell>
          <cell r="E325">
            <v>1519</v>
          </cell>
          <cell r="F325">
            <v>90</v>
          </cell>
          <cell r="G325">
            <v>375053</v>
          </cell>
          <cell r="H325" t="str">
            <v>;;=SUM(F32:G32);</v>
          </cell>
          <cell r="I325" t="str">
            <v>.</v>
          </cell>
        </row>
        <row r="326">
          <cell r="A326">
            <v>57</v>
          </cell>
          <cell r="B326" t="str">
            <v>Belgium (Fl)</v>
          </cell>
          <cell r="C326">
            <v>1998</v>
          </cell>
          <cell r="D326">
            <v>90</v>
          </cell>
          <cell r="E326">
            <v>2020</v>
          </cell>
          <cell r="F326">
            <v>90</v>
          </cell>
          <cell r="G326">
            <v>74076</v>
          </cell>
          <cell r="H326" t="str">
            <v>;;=SUM(F33:G33);</v>
          </cell>
          <cell r="I326" t="str">
            <v>.</v>
          </cell>
        </row>
        <row r="327">
          <cell r="A327">
            <v>57</v>
          </cell>
          <cell r="B327" t="str">
            <v>Belgium (Fl)</v>
          </cell>
          <cell r="C327">
            <v>1998</v>
          </cell>
          <cell r="D327">
            <v>90</v>
          </cell>
          <cell r="E327">
            <v>2121</v>
          </cell>
          <cell r="F327">
            <v>90</v>
          </cell>
          <cell r="G327">
            <v>72707</v>
          </cell>
          <cell r="H327" t="str">
            <v>;;=SUM(F34:G34);</v>
          </cell>
          <cell r="I327" t="str">
            <v>.</v>
          </cell>
        </row>
        <row r="328">
          <cell r="A328">
            <v>57</v>
          </cell>
          <cell r="B328" t="str">
            <v>Belgium (Fl)</v>
          </cell>
          <cell r="C328">
            <v>1998</v>
          </cell>
          <cell r="D328">
            <v>90</v>
          </cell>
          <cell r="E328">
            <v>2222</v>
          </cell>
          <cell r="F328">
            <v>90</v>
          </cell>
          <cell r="G328">
            <v>71191</v>
          </cell>
          <cell r="H328" t="str">
            <v>;;=SUM(F35:G35);</v>
          </cell>
          <cell r="I328" t="str">
            <v>.</v>
          </cell>
        </row>
        <row r="329">
          <cell r="A329">
            <v>57</v>
          </cell>
          <cell r="B329" t="str">
            <v>Belgium (Fl)</v>
          </cell>
          <cell r="C329">
            <v>1998</v>
          </cell>
          <cell r="D329">
            <v>90</v>
          </cell>
          <cell r="E329">
            <v>2323</v>
          </cell>
          <cell r="F329">
            <v>90</v>
          </cell>
          <cell r="G329">
            <v>74512</v>
          </cell>
          <cell r="H329" t="str">
            <v>;;=SUM(F36:G36);</v>
          </cell>
          <cell r="I329" t="str">
            <v>.</v>
          </cell>
        </row>
        <row r="330">
          <cell r="A330">
            <v>57</v>
          </cell>
          <cell r="B330" t="str">
            <v>Belgium (Fl)</v>
          </cell>
          <cell r="C330">
            <v>1998</v>
          </cell>
          <cell r="D330">
            <v>90</v>
          </cell>
          <cell r="E330">
            <v>2424</v>
          </cell>
          <cell r="F330">
            <v>90</v>
          </cell>
          <cell r="G330">
            <v>77586</v>
          </cell>
          <cell r="H330" t="str">
            <v>;;=SUM(F37:G37);</v>
          </cell>
          <cell r="I330" t="str">
            <v>.</v>
          </cell>
        </row>
        <row r="331">
          <cell r="A331">
            <v>57</v>
          </cell>
          <cell r="B331" t="str">
            <v>Belgium (Fl)</v>
          </cell>
          <cell r="C331">
            <v>1998</v>
          </cell>
          <cell r="D331">
            <v>90</v>
          </cell>
          <cell r="E331">
            <v>2024</v>
          </cell>
          <cell r="F331">
            <v>90</v>
          </cell>
          <cell r="G331">
            <v>370072</v>
          </cell>
          <cell r="H331" t="str">
            <v>;;=SUM(F38:G38);</v>
          </cell>
          <cell r="I331" t="str">
            <v>.</v>
          </cell>
        </row>
        <row r="332">
          <cell r="A332">
            <v>57</v>
          </cell>
          <cell r="B332" t="str">
            <v>Belgium (Fl)</v>
          </cell>
          <cell r="C332">
            <v>1998</v>
          </cell>
          <cell r="D332">
            <v>90</v>
          </cell>
          <cell r="E332">
            <v>2525</v>
          </cell>
          <cell r="F332">
            <v>90</v>
          </cell>
          <cell r="G332">
            <v>81333</v>
          </cell>
          <cell r="H332" t="str">
            <v>;;=SUM(F39:G39);</v>
          </cell>
          <cell r="I332" t="str">
            <v>.</v>
          </cell>
        </row>
        <row r="333">
          <cell r="A333">
            <v>57</v>
          </cell>
          <cell r="B333" t="str">
            <v>Belgium (Fl)</v>
          </cell>
          <cell r="C333">
            <v>1998</v>
          </cell>
          <cell r="D333">
            <v>90</v>
          </cell>
          <cell r="E333">
            <v>2626</v>
          </cell>
          <cell r="F333">
            <v>90</v>
          </cell>
          <cell r="G333">
            <v>85145</v>
          </cell>
          <cell r="H333" t="str">
            <v>;;=SUM(F40:G40);</v>
          </cell>
          <cell r="I333" t="str">
            <v>.</v>
          </cell>
        </row>
        <row r="334">
          <cell r="A334">
            <v>57</v>
          </cell>
          <cell r="B334" t="str">
            <v>Belgium (Fl)</v>
          </cell>
          <cell r="C334">
            <v>1998</v>
          </cell>
          <cell r="D334">
            <v>90</v>
          </cell>
          <cell r="E334">
            <v>2727</v>
          </cell>
          <cell r="F334">
            <v>90</v>
          </cell>
          <cell r="G334">
            <v>87340</v>
          </cell>
          <cell r="H334" t="str">
            <v>;;=SUM(F41:G41);</v>
          </cell>
          <cell r="I334" t="str">
            <v>.</v>
          </cell>
        </row>
        <row r="335">
          <cell r="A335">
            <v>57</v>
          </cell>
          <cell r="B335" t="str">
            <v>Belgium (Fl)</v>
          </cell>
          <cell r="C335">
            <v>1998</v>
          </cell>
          <cell r="D335">
            <v>90</v>
          </cell>
          <cell r="E335">
            <v>2828</v>
          </cell>
          <cell r="F335">
            <v>90</v>
          </cell>
          <cell r="G335">
            <v>87321</v>
          </cell>
          <cell r="H335" t="str">
            <v>;;=SUM(F42:G42);</v>
          </cell>
          <cell r="I335" t="str">
            <v>.</v>
          </cell>
        </row>
        <row r="336">
          <cell r="A336">
            <v>57</v>
          </cell>
          <cell r="B336" t="str">
            <v>Belgium (Fl)</v>
          </cell>
          <cell r="C336">
            <v>1998</v>
          </cell>
          <cell r="D336">
            <v>90</v>
          </cell>
          <cell r="E336">
            <v>2929</v>
          </cell>
          <cell r="F336">
            <v>90</v>
          </cell>
          <cell r="G336">
            <v>88336</v>
          </cell>
          <cell r="H336" t="str">
            <v>;;=SUM(F43:G43);</v>
          </cell>
          <cell r="I336" t="str">
            <v>.</v>
          </cell>
        </row>
        <row r="337">
          <cell r="A337">
            <v>57</v>
          </cell>
          <cell r="B337" t="str">
            <v>Belgium (Fl)</v>
          </cell>
          <cell r="C337">
            <v>1998</v>
          </cell>
          <cell r="D337">
            <v>90</v>
          </cell>
          <cell r="E337">
            <v>2529</v>
          </cell>
          <cell r="F337">
            <v>90</v>
          </cell>
          <cell r="G337">
            <v>429475</v>
          </cell>
          <cell r="H337" t="str">
            <v>;;=SUM(F44:G44);</v>
          </cell>
          <cell r="I337" t="str">
            <v>.</v>
          </cell>
        </row>
        <row r="338">
          <cell r="A338">
            <v>57</v>
          </cell>
          <cell r="B338" t="str">
            <v>Belgium (Fl)</v>
          </cell>
          <cell r="C338">
            <v>1998</v>
          </cell>
          <cell r="D338">
            <v>90</v>
          </cell>
          <cell r="E338">
            <v>3034</v>
          </cell>
          <cell r="F338">
            <v>90</v>
          </cell>
          <cell r="G338">
            <v>484150</v>
          </cell>
          <cell r="H338" t="str">
            <v>;;=SUM(F45:G45);</v>
          </cell>
          <cell r="I338" t="str">
            <v>.</v>
          </cell>
        </row>
        <row r="339">
          <cell r="A339">
            <v>57</v>
          </cell>
          <cell r="B339" t="str">
            <v>Belgium (Fl)</v>
          </cell>
          <cell r="C339">
            <v>1998</v>
          </cell>
          <cell r="D339">
            <v>90</v>
          </cell>
          <cell r="E339">
            <v>3539</v>
          </cell>
          <cell r="F339">
            <v>90</v>
          </cell>
          <cell r="G339">
            <v>489023</v>
          </cell>
          <cell r="H339" t="str">
            <v>;;=SUM(F46:G46);</v>
          </cell>
          <cell r="I339" t="str">
            <v>.</v>
          </cell>
        </row>
        <row r="340">
          <cell r="A340">
            <v>57</v>
          </cell>
          <cell r="B340" t="str">
            <v>Belgium (Fl)</v>
          </cell>
          <cell r="C340">
            <v>1998</v>
          </cell>
          <cell r="D340">
            <v>90</v>
          </cell>
          <cell r="E340">
            <v>4099</v>
          </cell>
          <cell r="F340">
            <v>90</v>
          </cell>
          <cell r="G340">
            <v>2901396</v>
          </cell>
          <cell r="H340" t="str">
            <v>;;=SUM(F47:G47);</v>
          </cell>
          <cell r="I340" t="str">
            <v>.</v>
          </cell>
        </row>
        <row r="341">
          <cell r="A341">
            <v>57</v>
          </cell>
          <cell r="B341" t="str">
            <v>Belgium (Fl)</v>
          </cell>
          <cell r="C341">
            <v>1998</v>
          </cell>
          <cell r="D341">
            <v>90</v>
          </cell>
          <cell r="E341">
            <v>990000</v>
          </cell>
          <cell r="F341">
            <v>90</v>
          </cell>
          <cell r="G341">
            <v>0</v>
          </cell>
          <cell r="H341" t="str">
            <v>n;</v>
          </cell>
          <cell r="I341" t="str">
            <v>n</v>
          </cell>
        </row>
        <row r="342">
          <cell r="A342">
            <v>124</v>
          </cell>
          <cell r="B342" t="str">
            <v>Canada</v>
          </cell>
          <cell r="C342">
            <v>1998</v>
          </cell>
          <cell r="D342">
            <v>90</v>
          </cell>
          <cell r="E342">
            <v>900000</v>
          </cell>
          <cell r="F342">
            <v>90</v>
          </cell>
          <cell r="G342">
            <v>30155333</v>
          </cell>
          <cell r="H342" t="str">
            <v>;;=SUM(F11:G11);</v>
          </cell>
          <cell r="I342" t="str">
            <v>.</v>
          </cell>
        </row>
        <row r="343">
          <cell r="A343">
            <v>124</v>
          </cell>
          <cell r="B343" t="str">
            <v>Canada</v>
          </cell>
          <cell r="C343">
            <v>1998</v>
          </cell>
          <cell r="D343">
            <v>90</v>
          </cell>
          <cell r="E343">
            <v>300</v>
          </cell>
          <cell r="F343">
            <v>90</v>
          </cell>
          <cell r="G343">
            <v>1108128</v>
          </cell>
          <cell r="H343" t="str">
            <v>;;=SUM(F12:G12);</v>
          </cell>
          <cell r="I343" t="str">
            <v>.</v>
          </cell>
        </row>
        <row r="344">
          <cell r="A344">
            <v>124</v>
          </cell>
          <cell r="B344" t="str">
            <v>Canada</v>
          </cell>
          <cell r="C344">
            <v>1998</v>
          </cell>
          <cell r="D344">
            <v>90</v>
          </cell>
          <cell r="E344">
            <v>303</v>
          </cell>
          <cell r="F344">
            <v>90</v>
          </cell>
          <cell r="G344">
            <v>392683</v>
          </cell>
          <cell r="H344" t="str">
            <v>;;=SUM(F13:G13);</v>
          </cell>
          <cell r="I344" t="str">
            <v>.</v>
          </cell>
        </row>
        <row r="345">
          <cell r="A345">
            <v>124</v>
          </cell>
          <cell r="B345" t="str">
            <v>Canada</v>
          </cell>
          <cell r="C345">
            <v>1998</v>
          </cell>
          <cell r="D345">
            <v>90</v>
          </cell>
          <cell r="E345">
            <v>404</v>
          </cell>
          <cell r="F345">
            <v>90</v>
          </cell>
          <cell r="G345">
            <v>398669</v>
          </cell>
          <cell r="H345" t="str">
            <v>;;=SUM(F14:G14);</v>
          </cell>
          <cell r="I345" t="str">
            <v>.</v>
          </cell>
        </row>
        <row r="346">
          <cell r="A346">
            <v>124</v>
          </cell>
          <cell r="B346" t="str">
            <v>Canada</v>
          </cell>
          <cell r="C346">
            <v>1998</v>
          </cell>
          <cell r="D346">
            <v>90</v>
          </cell>
          <cell r="E346">
            <v>505</v>
          </cell>
          <cell r="F346">
            <v>90</v>
          </cell>
          <cell r="G346">
            <v>408537</v>
          </cell>
          <cell r="H346" t="str">
            <v>;;=SUM(F15:G15);</v>
          </cell>
          <cell r="I346" t="str">
            <v>.</v>
          </cell>
        </row>
        <row r="347">
          <cell r="A347">
            <v>124</v>
          </cell>
          <cell r="B347" t="str">
            <v>Canada</v>
          </cell>
          <cell r="C347">
            <v>1998</v>
          </cell>
          <cell r="D347">
            <v>90</v>
          </cell>
          <cell r="E347">
            <v>606</v>
          </cell>
          <cell r="F347">
            <v>90</v>
          </cell>
          <cell r="G347">
            <v>416802</v>
          </cell>
          <cell r="H347" t="str">
            <v>;;=SUM(F16:G16);</v>
          </cell>
          <cell r="I347" t="str">
            <v>.</v>
          </cell>
        </row>
        <row r="348">
          <cell r="A348">
            <v>124</v>
          </cell>
          <cell r="B348" t="str">
            <v>Canada</v>
          </cell>
          <cell r="C348">
            <v>1998</v>
          </cell>
          <cell r="D348">
            <v>90</v>
          </cell>
          <cell r="E348">
            <v>707</v>
          </cell>
          <cell r="F348">
            <v>90</v>
          </cell>
          <cell r="G348">
            <v>419892</v>
          </cell>
          <cell r="H348" t="str">
            <v>;;=SUM(F17:G17);</v>
          </cell>
          <cell r="I348" t="str">
            <v>.</v>
          </cell>
        </row>
        <row r="349">
          <cell r="A349">
            <v>124</v>
          </cell>
          <cell r="B349" t="str">
            <v>Canada</v>
          </cell>
          <cell r="C349">
            <v>1998</v>
          </cell>
          <cell r="D349">
            <v>90</v>
          </cell>
          <cell r="E349">
            <v>808</v>
          </cell>
          <cell r="F349">
            <v>90</v>
          </cell>
          <cell r="G349">
            <v>413529</v>
          </cell>
          <cell r="H349" t="str">
            <v>;;=SUM(F18:G18);</v>
          </cell>
          <cell r="I349" t="str">
            <v>.</v>
          </cell>
        </row>
        <row r="350">
          <cell r="A350">
            <v>124</v>
          </cell>
          <cell r="B350" t="str">
            <v>Canada</v>
          </cell>
          <cell r="C350">
            <v>1998</v>
          </cell>
          <cell r="D350">
            <v>90</v>
          </cell>
          <cell r="E350">
            <v>909</v>
          </cell>
          <cell r="F350">
            <v>90</v>
          </cell>
          <cell r="G350">
            <v>400944</v>
          </cell>
          <cell r="H350" t="str">
            <v>;;=SUM(F19:G19);</v>
          </cell>
          <cell r="I350" t="str">
            <v>.</v>
          </cell>
        </row>
        <row r="351">
          <cell r="A351">
            <v>124</v>
          </cell>
          <cell r="B351" t="str">
            <v>Canada</v>
          </cell>
          <cell r="C351">
            <v>1998</v>
          </cell>
          <cell r="D351">
            <v>90</v>
          </cell>
          <cell r="E351">
            <v>509</v>
          </cell>
          <cell r="F351">
            <v>90</v>
          </cell>
          <cell r="G351">
            <v>2059704</v>
          </cell>
          <cell r="H351" t="str">
            <v>;;=SUM(F20:G20);</v>
          </cell>
          <cell r="I351" t="str">
            <v>.</v>
          </cell>
        </row>
        <row r="352">
          <cell r="A352">
            <v>124</v>
          </cell>
          <cell r="B352" t="str">
            <v>Canada</v>
          </cell>
          <cell r="C352">
            <v>1998</v>
          </cell>
          <cell r="D352">
            <v>90</v>
          </cell>
          <cell r="E352">
            <v>1010</v>
          </cell>
          <cell r="F352">
            <v>90</v>
          </cell>
          <cell r="G352">
            <v>397456</v>
          </cell>
          <cell r="H352" t="str">
            <v>;;=SUM(F21:G21);</v>
          </cell>
          <cell r="I352" t="str">
            <v>.</v>
          </cell>
        </row>
        <row r="353">
          <cell r="A353">
            <v>124</v>
          </cell>
          <cell r="B353" t="str">
            <v>Canada</v>
          </cell>
          <cell r="C353">
            <v>1998</v>
          </cell>
          <cell r="D353">
            <v>90</v>
          </cell>
          <cell r="E353">
            <v>1111</v>
          </cell>
          <cell r="F353">
            <v>90</v>
          </cell>
          <cell r="G353">
            <v>402576</v>
          </cell>
          <cell r="H353" t="str">
            <v>;;=SUM(F22:G22);</v>
          </cell>
          <cell r="I353" t="str">
            <v>.</v>
          </cell>
        </row>
        <row r="354">
          <cell r="A354">
            <v>124</v>
          </cell>
          <cell r="B354" t="str">
            <v>Canada</v>
          </cell>
          <cell r="C354">
            <v>1998</v>
          </cell>
          <cell r="D354">
            <v>90</v>
          </cell>
          <cell r="E354">
            <v>1212</v>
          </cell>
          <cell r="F354">
            <v>90</v>
          </cell>
          <cell r="G354">
            <v>407322</v>
          </cell>
          <cell r="H354" t="str">
            <v>;;=SUM(F23:G23);</v>
          </cell>
          <cell r="I354" t="str">
            <v>.</v>
          </cell>
        </row>
        <row r="355">
          <cell r="A355">
            <v>124</v>
          </cell>
          <cell r="B355" t="str">
            <v>Canada</v>
          </cell>
          <cell r="C355">
            <v>1998</v>
          </cell>
          <cell r="D355">
            <v>90</v>
          </cell>
          <cell r="E355">
            <v>1313</v>
          </cell>
          <cell r="F355">
            <v>90</v>
          </cell>
          <cell r="G355">
            <v>407552</v>
          </cell>
          <cell r="H355" t="str">
            <v>;;=SUM(F24:G24);</v>
          </cell>
          <cell r="I355" t="str">
            <v>.</v>
          </cell>
        </row>
        <row r="356">
          <cell r="A356">
            <v>124</v>
          </cell>
          <cell r="B356" t="str">
            <v>Canada</v>
          </cell>
          <cell r="C356">
            <v>1998</v>
          </cell>
          <cell r="D356">
            <v>90</v>
          </cell>
          <cell r="E356">
            <v>1414</v>
          </cell>
          <cell r="F356">
            <v>90</v>
          </cell>
          <cell r="G356">
            <v>406248</v>
          </cell>
          <cell r="H356" t="str">
            <v>;;=SUM(F25:G25);</v>
          </cell>
          <cell r="I356" t="str">
            <v>.</v>
          </cell>
        </row>
        <row r="357">
          <cell r="A357">
            <v>124</v>
          </cell>
          <cell r="B357" t="str">
            <v>Canada</v>
          </cell>
          <cell r="C357">
            <v>1998</v>
          </cell>
          <cell r="D357">
            <v>90</v>
          </cell>
          <cell r="E357">
            <v>1014</v>
          </cell>
          <cell r="F357">
            <v>90</v>
          </cell>
          <cell r="G357">
            <v>2021154</v>
          </cell>
          <cell r="H357" t="str">
            <v>;;=SUM(F26:G26);</v>
          </cell>
          <cell r="I357" t="str">
            <v>.</v>
          </cell>
        </row>
        <row r="358">
          <cell r="A358">
            <v>124</v>
          </cell>
          <cell r="B358" t="str">
            <v>Canada</v>
          </cell>
          <cell r="C358">
            <v>1998</v>
          </cell>
          <cell r="D358">
            <v>90</v>
          </cell>
          <cell r="E358">
            <v>1515</v>
          </cell>
          <cell r="F358">
            <v>90</v>
          </cell>
          <cell r="G358">
            <v>405505</v>
          </cell>
          <cell r="H358" t="str">
            <v>;;=SUM(F27:G27);</v>
          </cell>
          <cell r="I358" t="str">
            <v>.</v>
          </cell>
        </row>
        <row r="359">
          <cell r="A359">
            <v>124</v>
          </cell>
          <cell r="B359" t="str">
            <v>Canada</v>
          </cell>
          <cell r="C359">
            <v>1998</v>
          </cell>
          <cell r="D359">
            <v>90</v>
          </cell>
          <cell r="E359">
            <v>1616</v>
          </cell>
          <cell r="F359">
            <v>90</v>
          </cell>
          <cell r="G359">
            <v>408523</v>
          </cell>
          <cell r="H359" t="str">
            <v>;;=SUM(F28:G28);</v>
          </cell>
          <cell r="I359" t="str">
            <v>.</v>
          </cell>
        </row>
        <row r="360">
          <cell r="A360">
            <v>124</v>
          </cell>
          <cell r="B360" t="str">
            <v>Canada</v>
          </cell>
          <cell r="C360">
            <v>1998</v>
          </cell>
          <cell r="D360">
            <v>90</v>
          </cell>
          <cell r="E360">
            <v>1717</v>
          </cell>
          <cell r="F360">
            <v>90</v>
          </cell>
          <cell r="G360">
            <v>411683</v>
          </cell>
          <cell r="H360" t="str">
            <v>;;=SUM(F29:G29);</v>
          </cell>
          <cell r="I360" t="str">
            <v>.</v>
          </cell>
        </row>
        <row r="361">
          <cell r="A361">
            <v>124</v>
          </cell>
          <cell r="B361" t="str">
            <v>Canada</v>
          </cell>
          <cell r="C361">
            <v>1998</v>
          </cell>
          <cell r="D361">
            <v>90</v>
          </cell>
          <cell r="E361">
            <v>1818</v>
          </cell>
          <cell r="F361">
            <v>90</v>
          </cell>
          <cell r="G361">
            <v>409078</v>
          </cell>
          <cell r="H361" t="str">
            <v>;;=SUM(F30:G30);</v>
          </cell>
          <cell r="I361" t="str">
            <v>.</v>
          </cell>
        </row>
        <row r="362">
          <cell r="A362">
            <v>124</v>
          </cell>
          <cell r="B362" t="str">
            <v>Canada</v>
          </cell>
          <cell r="C362">
            <v>1998</v>
          </cell>
          <cell r="D362">
            <v>90</v>
          </cell>
          <cell r="E362">
            <v>1919</v>
          </cell>
          <cell r="F362">
            <v>90</v>
          </cell>
          <cell r="G362">
            <v>404970</v>
          </cell>
          <cell r="H362" t="str">
            <v>;;=SUM(F31:G31);</v>
          </cell>
          <cell r="I362" t="str">
            <v>.</v>
          </cell>
        </row>
        <row r="363">
          <cell r="A363">
            <v>124</v>
          </cell>
          <cell r="B363" t="str">
            <v>Canada</v>
          </cell>
          <cell r="C363">
            <v>1998</v>
          </cell>
          <cell r="D363">
            <v>90</v>
          </cell>
          <cell r="E363">
            <v>1519</v>
          </cell>
          <cell r="F363">
            <v>90</v>
          </cell>
          <cell r="G363">
            <v>2039759</v>
          </cell>
          <cell r="H363" t="str">
            <v>;;=SUM(F32:G32);</v>
          </cell>
          <cell r="I363" t="str">
            <v>.</v>
          </cell>
        </row>
        <row r="364">
          <cell r="A364">
            <v>203</v>
          </cell>
          <cell r="B364" t="str">
            <v>Czech Republic</v>
          </cell>
          <cell r="C364">
            <v>1998</v>
          </cell>
          <cell r="D364">
            <v>90</v>
          </cell>
          <cell r="E364">
            <v>1212</v>
          </cell>
          <cell r="F364">
            <v>90</v>
          </cell>
          <cell r="G364">
            <v>133424</v>
          </cell>
          <cell r="H364" t="str">
            <v>;;=SUM(F23:G23);</v>
          </cell>
          <cell r="I364" t="str">
            <v>.</v>
          </cell>
        </row>
        <row r="365">
          <cell r="A365">
            <v>203</v>
          </cell>
          <cell r="B365" t="str">
            <v>Czech Republic</v>
          </cell>
          <cell r="C365">
            <v>1998</v>
          </cell>
          <cell r="D365">
            <v>90</v>
          </cell>
          <cell r="E365">
            <v>1313</v>
          </cell>
          <cell r="F365">
            <v>90</v>
          </cell>
          <cell r="G365">
            <v>134015</v>
          </cell>
          <cell r="H365" t="str">
            <v>;;=SUM(F24:G24);</v>
          </cell>
          <cell r="I365" t="str">
            <v>.</v>
          </cell>
        </row>
        <row r="366">
          <cell r="A366">
            <v>203</v>
          </cell>
          <cell r="B366" t="str">
            <v>Czech Republic</v>
          </cell>
          <cell r="C366">
            <v>1998</v>
          </cell>
          <cell r="D366">
            <v>90</v>
          </cell>
          <cell r="E366">
            <v>1414</v>
          </cell>
          <cell r="F366">
            <v>90</v>
          </cell>
          <cell r="G366">
            <v>134532</v>
          </cell>
          <cell r="H366" t="str">
            <v>;;=SUM(F25:G25);</v>
          </cell>
          <cell r="I366" t="str">
            <v>.</v>
          </cell>
        </row>
        <row r="367">
          <cell r="A367">
            <v>203</v>
          </cell>
          <cell r="B367" t="str">
            <v>Czech Republic</v>
          </cell>
          <cell r="C367">
            <v>1998</v>
          </cell>
          <cell r="D367">
            <v>90</v>
          </cell>
          <cell r="E367">
            <v>1014</v>
          </cell>
          <cell r="F367">
            <v>90</v>
          </cell>
          <cell r="G367">
            <v>660749</v>
          </cell>
          <cell r="H367" t="str">
            <v>;;=SUM(F26:G26);</v>
          </cell>
          <cell r="I367" t="str">
            <v>.</v>
          </cell>
        </row>
        <row r="368">
          <cell r="A368">
            <v>203</v>
          </cell>
          <cell r="B368" t="str">
            <v>Czech Republic</v>
          </cell>
          <cell r="C368">
            <v>1998</v>
          </cell>
          <cell r="D368">
            <v>90</v>
          </cell>
          <cell r="E368">
            <v>1515</v>
          </cell>
          <cell r="F368">
            <v>90</v>
          </cell>
          <cell r="G368">
            <v>138674</v>
          </cell>
          <cell r="H368" t="str">
            <v>;;=SUM(F27:G27);</v>
          </cell>
          <cell r="I368" t="str">
            <v>.</v>
          </cell>
        </row>
        <row r="369">
          <cell r="A369">
            <v>203</v>
          </cell>
          <cell r="B369" t="str">
            <v>Czech Republic</v>
          </cell>
          <cell r="C369">
            <v>1998</v>
          </cell>
          <cell r="D369">
            <v>90</v>
          </cell>
          <cell r="E369">
            <v>1616</v>
          </cell>
          <cell r="F369">
            <v>90</v>
          </cell>
          <cell r="G369">
            <v>141231</v>
          </cell>
          <cell r="H369" t="str">
            <v>;;=SUM(F28:G28);</v>
          </cell>
          <cell r="I369" t="str">
            <v>.</v>
          </cell>
        </row>
        <row r="370">
          <cell r="A370">
            <v>203</v>
          </cell>
          <cell r="B370" t="str">
            <v>Czech Republic</v>
          </cell>
          <cell r="C370">
            <v>1998</v>
          </cell>
          <cell r="D370">
            <v>90</v>
          </cell>
          <cell r="E370">
            <v>1717</v>
          </cell>
          <cell r="F370">
            <v>90</v>
          </cell>
          <cell r="G370">
            <v>150618</v>
          </cell>
          <cell r="H370" t="str">
            <v>;;=SUM(F29:G29);</v>
          </cell>
          <cell r="I370" t="str">
            <v>.</v>
          </cell>
        </row>
        <row r="371">
          <cell r="A371">
            <v>203</v>
          </cell>
          <cell r="B371" t="str">
            <v>Czech Republic</v>
          </cell>
          <cell r="C371">
            <v>1998</v>
          </cell>
          <cell r="D371">
            <v>90</v>
          </cell>
          <cell r="E371">
            <v>1818</v>
          </cell>
          <cell r="F371">
            <v>90</v>
          </cell>
          <cell r="G371">
            <v>167957</v>
          </cell>
          <cell r="H371" t="str">
            <v>;;=SUM(F30:G30);</v>
          </cell>
          <cell r="I371" t="str">
            <v>.</v>
          </cell>
        </row>
        <row r="372">
          <cell r="A372">
            <v>203</v>
          </cell>
          <cell r="B372" t="str">
            <v>Czech Republic</v>
          </cell>
          <cell r="C372">
            <v>1998</v>
          </cell>
          <cell r="D372">
            <v>90</v>
          </cell>
          <cell r="E372">
            <v>1919</v>
          </cell>
          <cell r="F372">
            <v>90</v>
          </cell>
          <cell r="G372">
            <v>174017</v>
          </cell>
          <cell r="H372" t="str">
            <v>;;=SUM(F31:G31);</v>
          </cell>
          <cell r="I372" t="str">
            <v>.</v>
          </cell>
        </row>
        <row r="373">
          <cell r="A373">
            <v>203</v>
          </cell>
          <cell r="B373" t="str">
            <v>Czech Republic</v>
          </cell>
          <cell r="C373">
            <v>1998</v>
          </cell>
          <cell r="D373">
            <v>90</v>
          </cell>
          <cell r="E373">
            <v>1519</v>
          </cell>
          <cell r="F373">
            <v>90</v>
          </cell>
          <cell r="G373">
            <v>772497</v>
          </cell>
          <cell r="H373" t="str">
            <v>;;=SUM(F32:G32);</v>
          </cell>
          <cell r="I373" t="str">
            <v>.</v>
          </cell>
        </row>
        <row r="374">
          <cell r="A374">
            <v>203</v>
          </cell>
          <cell r="B374" t="str">
            <v>Czech Republic</v>
          </cell>
          <cell r="C374">
            <v>1998</v>
          </cell>
          <cell r="D374">
            <v>90</v>
          </cell>
          <cell r="E374">
            <v>2020</v>
          </cell>
          <cell r="F374">
            <v>90</v>
          </cell>
          <cell r="G374">
            <v>177269</v>
          </cell>
          <cell r="H374" t="str">
            <v>;;=SUM(F33:G33);</v>
          </cell>
          <cell r="I374" t="str">
            <v>.</v>
          </cell>
        </row>
        <row r="375">
          <cell r="A375">
            <v>203</v>
          </cell>
          <cell r="B375" t="str">
            <v>Czech Republic</v>
          </cell>
          <cell r="C375">
            <v>1998</v>
          </cell>
          <cell r="D375">
            <v>90</v>
          </cell>
          <cell r="E375">
            <v>2121</v>
          </cell>
          <cell r="F375">
            <v>90</v>
          </cell>
          <cell r="G375">
            <v>182210</v>
          </cell>
          <cell r="H375" t="str">
            <v>;;=SUM(F34:G34);</v>
          </cell>
          <cell r="I375" t="str">
            <v>.</v>
          </cell>
        </row>
        <row r="376">
          <cell r="A376">
            <v>203</v>
          </cell>
          <cell r="B376" t="str">
            <v>Czech Republic</v>
          </cell>
          <cell r="C376">
            <v>1998</v>
          </cell>
          <cell r="D376">
            <v>90</v>
          </cell>
          <cell r="E376">
            <v>2222</v>
          </cell>
          <cell r="F376">
            <v>90</v>
          </cell>
          <cell r="G376">
            <v>187172</v>
          </cell>
          <cell r="H376" t="str">
            <v>;;=SUM(F35:G35);</v>
          </cell>
          <cell r="I376" t="str">
            <v>.</v>
          </cell>
        </row>
        <row r="377">
          <cell r="A377">
            <v>203</v>
          </cell>
          <cell r="B377" t="str">
            <v>Czech Republic</v>
          </cell>
          <cell r="C377">
            <v>1998</v>
          </cell>
          <cell r="D377">
            <v>90</v>
          </cell>
          <cell r="E377">
            <v>2323</v>
          </cell>
          <cell r="F377">
            <v>90</v>
          </cell>
          <cell r="G377">
            <v>188870</v>
          </cell>
          <cell r="H377" t="str">
            <v>;;=SUM(F36:G36);</v>
          </cell>
          <cell r="I377" t="str">
            <v>.</v>
          </cell>
        </row>
        <row r="378">
          <cell r="A378">
            <v>203</v>
          </cell>
          <cell r="B378" t="str">
            <v>Czech Republic</v>
          </cell>
          <cell r="C378">
            <v>1998</v>
          </cell>
          <cell r="D378">
            <v>90</v>
          </cell>
          <cell r="E378">
            <v>2424</v>
          </cell>
          <cell r="F378">
            <v>90</v>
          </cell>
          <cell r="G378">
            <v>176236</v>
          </cell>
          <cell r="H378" t="str">
            <v>;;=SUM(F37:G37);</v>
          </cell>
          <cell r="I378" t="str">
            <v>.</v>
          </cell>
        </row>
        <row r="379">
          <cell r="A379">
            <v>203</v>
          </cell>
          <cell r="B379" t="str">
            <v>Czech Republic</v>
          </cell>
          <cell r="C379">
            <v>1998</v>
          </cell>
          <cell r="D379">
            <v>90</v>
          </cell>
          <cell r="E379">
            <v>2024</v>
          </cell>
          <cell r="F379">
            <v>90</v>
          </cell>
          <cell r="G379">
            <v>911757</v>
          </cell>
          <cell r="H379" t="str">
            <v>;;=SUM(F38:G38);</v>
          </cell>
          <cell r="I379" t="str">
            <v>.</v>
          </cell>
        </row>
        <row r="380">
          <cell r="A380">
            <v>203</v>
          </cell>
          <cell r="B380" t="str">
            <v>Czech Republic</v>
          </cell>
          <cell r="C380">
            <v>1998</v>
          </cell>
          <cell r="D380">
            <v>90</v>
          </cell>
          <cell r="E380">
            <v>2525</v>
          </cell>
          <cell r="F380">
            <v>90</v>
          </cell>
          <cell r="G380">
            <v>160786</v>
          </cell>
          <cell r="H380" t="str">
            <v>;;=SUM(F39:G39);</v>
          </cell>
          <cell r="I380" t="str">
            <v>.</v>
          </cell>
        </row>
        <row r="381">
          <cell r="A381">
            <v>203</v>
          </cell>
          <cell r="B381" t="str">
            <v>Czech Republic</v>
          </cell>
          <cell r="C381">
            <v>1998</v>
          </cell>
          <cell r="D381">
            <v>90</v>
          </cell>
          <cell r="E381">
            <v>2626</v>
          </cell>
          <cell r="F381">
            <v>90</v>
          </cell>
          <cell r="G381">
            <v>151740</v>
          </cell>
          <cell r="H381" t="str">
            <v>;;=SUM(F40:G40);</v>
          </cell>
          <cell r="I381" t="str">
            <v>.</v>
          </cell>
        </row>
        <row r="382">
          <cell r="A382">
            <v>203</v>
          </cell>
          <cell r="B382" t="str">
            <v>Czech Republic</v>
          </cell>
          <cell r="C382">
            <v>1998</v>
          </cell>
          <cell r="D382">
            <v>90</v>
          </cell>
          <cell r="E382">
            <v>2727</v>
          </cell>
          <cell r="F382">
            <v>90</v>
          </cell>
          <cell r="G382">
            <v>145911</v>
          </cell>
          <cell r="H382" t="str">
            <v>;;=SUM(F41:G41);</v>
          </cell>
          <cell r="I382" t="str">
            <v>.</v>
          </cell>
        </row>
        <row r="383">
          <cell r="A383">
            <v>203</v>
          </cell>
          <cell r="B383" t="str">
            <v>Czech Republic</v>
          </cell>
          <cell r="C383">
            <v>1998</v>
          </cell>
          <cell r="D383">
            <v>90</v>
          </cell>
          <cell r="E383">
            <v>2828</v>
          </cell>
          <cell r="F383">
            <v>90</v>
          </cell>
          <cell r="G383">
            <v>139570</v>
          </cell>
          <cell r="H383" t="str">
            <v>;;=SUM(F42:G42);</v>
          </cell>
          <cell r="I383" t="str">
            <v>.</v>
          </cell>
        </row>
        <row r="384">
          <cell r="A384">
            <v>203</v>
          </cell>
          <cell r="B384" t="str">
            <v>Czech Republic</v>
          </cell>
          <cell r="C384">
            <v>1998</v>
          </cell>
          <cell r="D384">
            <v>90</v>
          </cell>
          <cell r="E384">
            <v>2929</v>
          </cell>
          <cell r="F384">
            <v>90</v>
          </cell>
          <cell r="G384">
            <v>133401</v>
          </cell>
          <cell r="H384" t="str">
            <v>;;=SUM(F43:G43);</v>
          </cell>
          <cell r="I384" t="str">
            <v>.</v>
          </cell>
        </row>
        <row r="385">
          <cell r="A385">
            <v>203</v>
          </cell>
          <cell r="B385" t="str">
            <v>Czech Republic</v>
          </cell>
          <cell r="C385">
            <v>1998</v>
          </cell>
          <cell r="D385">
            <v>90</v>
          </cell>
          <cell r="E385">
            <v>2529</v>
          </cell>
          <cell r="F385">
            <v>90</v>
          </cell>
          <cell r="G385">
            <v>731408</v>
          </cell>
          <cell r="H385" t="str">
            <v>;;=SUM(F44:G44);</v>
          </cell>
          <cell r="I385" t="str">
            <v>.</v>
          </cell>
        </row>
        <row r="386">
          <cell r="A386">
            <v>203</v>
          </cell>
          <cell r="B386" t="str">
            <v>Czech Republic</v>
          </cell>
          <cell r="C386">
            <v>1998</v>
          </cell>
          <cell r="D386">
            <v>90</v>
          </cell>
          <cell r="E386">
            <v>3034</v>
          </cell>
          <cell r="F386">
            <v>90</v>
          </cell>
          <cell r="G386">
            <v>704227</v>
          </cell>
          <cell r="H386" t="str">
            <v>;;=SUM(F45:G45);</v>
          </cell>
          <cell r="I386" t="str">
            <v>.</v>
          </cell>
        </row>
        <row r="387">
          <cell r="A387">
            <v>203</v>
          </cell>
          <cell r="B387" t="str">
            <v>Czech Republic</v>
          </cell>
          <cell r="C387">
            <v>1998</v>
          </cell>
          <cell r="D387">
            <v>90</v>
          </cell>
          <cell r="E387">
            <v>3539</v>
          </cell>
          <cell r="F387">
            <v>90</v>
          </cell>
          <cell r="G387">
            <v>639223</v>
          </cell>
          <cell r="H387" t="str">
            <v>;;=SUM(F46:G46);</v>
          </cell>
          <cell r="I387" t="str">
            <v>.</v>
          </cell>
        </row>
        <row r="388">
          <cell r="A388">
            <v>203</v>
          </cell>
          <cell r="B388" t="str">
            <v>Czech Republic</v>
          </cell>
          <cell r="C388">
            <v>1998</v>
          </cell>
          <cell r="D388">
            <v>90</v>
          </cell>
          <cell r="E388">
            <v>4099</v>
          </cell>
          <cell r="F388">
            <v>90</v>
          </cell>
          <cell r="G388">
            <v>4744981</v>
          </cell>
          <cell r="H388" t="str">
            <v>;;=SUM(F47:G47);</v>
          </cell>
          <cell r="I388" t="str">
            <v>.</v>
          </cell>
        </row>
        <row r="389">
          <cell r="A389">
            <v>203</v>
          </cell>
          <cell r="B389" t="str">
            <v>Czech Republic</v>
          </cell>
          <cell r="C389">
            <v>1998</v>
          </cell>
          <cell r="D389">
            <v>90</v>
          </cell>
          <cell r="E389">
            <v>990000</v>
          </cell>
          <cell r="F389">
            <v>90</v>
          </cell>
          <cell r="G389">
            <v>0</v>
          </cell>
          <cell r="H389" t="str">
            <v>n;</v>
          </cell>
          <cell r="I389" t="str">
            <v>n</v>
          </cell>
        </row>
        <row r="390">
          <cell r="A390">
            <v>246</v>
          </cell>
          <cell r="B390" t="str">
            <v>Finland</v>
          </cell>
          <cell r="C390">
            <v>1998</v>
          </cell>
          <cell r="D390">
            <v>90</v>
          </cell>
          <cell r="E390">
            <v>900000</v>
          </cell>
          <cell r="F390">
            <v>90</v>
          </cell>
          <cell r="G390">
            <v>5147349</v>
          </cell>
          <cell r="H390" t="str">
            <v>;;=F11+G11;</v>
          </cell>
          <cell r="I390" t="str">
            <v>.</v>
          </cell>
        </row>
        <row r="391">
          <cell r="A391">
            <v>246</v>
          </cell>
          <cell r="B391" t="str">
            <v>Finland</v>
          </cell>
          <cell r="C391">
            <v>1998</v>
          </cell>
          <cell r="D391">
            <v>90</v>
          </cell>
          <cell r="E391">
            <v>300</v>
          </cell>
          <cell r="F391">
            <v>90</v>
          </cell>
          <cell r="G391">
            <v>182772</v>
          </cell>
          <cell r="H391" t="str">
            <v/>
          </cell>
          <cell r="I391" t="str">
            <v>.</v>
          </cell>
        </row>
        <row r="392">
          <cell r="A392">
            <v>246</v>
          </cell>
          <cell r="B392" t="str">
            <v>Finland</v>
          </cell>
          <cell r="C392">
            <v>1998</v>
          </cell>
          <cell r="D392">
            <v>90</v>
          </cell>
          <cell r="E392">
            <v>303</v>
          </cell>
          <cell r="F392">
            <v>90</v>
          </cell>
          <cell r="G392">
            <v>65083</v>
          </cell>
          <cell r="H392" t="str">
            <v/>
          </cell>
          <cell r="I392" t="str">
            <v>.</v>
          </cell>
        </row>
        <row r="393">
          <cell r="A393">
            <v>276</v>
          </cell>
          <cell r="B393" t="str">
            <v>Germany</v>
          </cell>
          <cell r="C393">
            <v>1998</v>
          </cell>
          <cell r="D393">
            <v>90</v>
          </cell>
          <cell r="E393">
            <v>2020</v>
          </cell>
          <cell r="F393">
            <v>90</v>
          </cell>
          <cell r="G393">
            <v>887878</v>
          </cell>
          <cell r="H393" t="str">
            <v>;;=SUM(F33:G33);</v>
          </cell>
          <cell r="I393" t="str">
            <v>.</v>
          </cell>
        </row>
        <row r="394">
          <cell r="A394">
            <v>276</v>
          </cell>
          <cell r="B394" t="str">
            <v>Germany</v>
          </cell>
          <cell r="C394">
            <v>1998</v>
          </cell>
          <cell r="D394">
            <v>90</v>
          </cell>
          <cell r="E394">
            <v>2121</v>
          </cell>
          <cell r="F394">
            <v>90</v>
          </cell>
          <cell r="G394">
            <v>885163</v>
          </cell>
          <cell r="H394" t="str">
            <v>;;=SUM(F34:G34);</v>
          </cell>
          <cell r="I394" t="str">
            <v>.</v>
          </cell>
        </row>
        <row r="395">
          <cell r="A395">
            <v>276</v>
          </cell>
          <cell r="B395" t="str">
            <v>Germany</v>
          </cell>
          <cell r="C395">
            <v>1998</v>
          </cell>
          <cell r="D395">
            <v>90</v>
          </cell>
          <cell r="E395">
            <v>2222</v>
          </cell>
          <cell r="F395">
            <v>90</v>
          </cell>
          <cell r="G395">
            <v>871889</v>
          </cell>
          <cell r="H395" t="str">
            <v>;;=SUM(F35:G35);</v>
          </cell>
          <cell r="I395" t="str">
            <v>.</v>
          </cell>
        </row>
        <row r="396">
          <cell r="A396">
            <v>276</v>
          </cell>
          <cell r="B396" t="str">
            <v>Germany</v>
          </cell>
          <cell r="C396">
            <v>1998</v>
          </cell>
          <cell r="D396">
            <v>90</v>
          </cell>
          <cell r="E396">
            <v>2323</v>
          </cell>
          <cell r="F396">
            <v>90</v>
          </cell>
          <cell r="G396">
            <v>897168</v>
          </cell>
          <cell r="H396" t="str">
            <v>;;=SUM(F36:G36);</v>
          </cell>
          <cell r="I396" t="str">
            <v>.</v>
          </cell>
        </row>
        <row r="397">
          <cell r="A397">
            <v>276</v>
          </cell>
          <cell r="B397" t="str">
            <v>Germany</v>
          </cell>
          <cell r="C397">
            <v>1998</v>
          </cell>
          <cell r="D397">
            <v>90</v>
          </cell>
          <cell r="E397">
            <v>2424</v>
          </cell>
          <cell r="F397">
            <v>90</v>
          </cell>
          <cell r="G397">
            <v>920419</v>
          </cell>
          <cell r="H397" t="str">
            <v>;;=SUM(F37:G37);</v>
          </cell>
          <cell r="I397" t="str">
            <v>.</v>
          </cell>
        </row>
        <row r="398">
          <cell r="A398">
            <v>276</v>
          </cell>
          <cell r="B398" t="str">
            <v>Germany</v>
          </cell>
          <cell r="C398">
            <v>1998</v>
          </cell>
          <cell r="D398">
            <v>90</v>
          </cell>
          <cell r="E398">
            <v>2024</v>
          </cell>
          <cell r="F398">
            <v>90</v>
          </cell>
          <cell r="G398">
            <v>4462517</v>
          </cell>
          <cell r="H398" t="str">
            <v>;;=SUM(F38:G38);</v>
          </cell>
          <cell r="I398" t="str">
            <v>.</v>
          </cell>
        </row>
        <row r="399">
          <cell r="A399">
            <v>276</v>
          </cell>
          <cell r="B399" t="str">
            <v>Germany</v>
          </cell>
          <cell r="C399">
            <v>1998</v>
          </cell>
          <cell r="D399">
            <v>90</v>
          </cell>
          <cell r="E399">
            <v>2525</v>
          </cell>
          <cell r="F399">
            <v>90</v>
          </cell>
          <cell r="G399">
            <v>1022838</v>
          </cell>
          <cell r="H399" t="str">
            <v>;;=SUM(F39:G39);</v>
          </cell>
          <cell r="I399" t="str">
            <v>.</v>
          </cell>
        </row>
        <row r="400">
          <cell r="A400">
            <v>276</v>
          </cell>
          <cell r="B400" t="str">
            <v>Germany</v>
          </cell>
          <cell r="C400">
            <v>1998</v>
          </cell>
          <cell r="D400">
            <v>90</v>
          </cell>
          <cell r="E400">
            <v>2626</v>
          </cell>
          <cell r="F400">
            <v>90</v>
          </cell>
          <cell r="G400">
            <v>1140812</v>
          </cell>
          <cell r="H400" t="str">
            <v>;;=SUM(F40:G40);</v>
          </cell>
          <cell r="I400" t="str">
            <v>.</v>
          </cell>
        </row>
        <row r="401">
          <cell r="A401">
            <v>276</v>
          </cell>
          <cell r="B401" t="str">
            <v>Germany</v>
          </cell>
          <cell r="C401">
            <v>1998</v>
          </cell>
          <cell r="D401">
            <v>90</v>
          </cell>
          <cell r="E401">
            <v>2727</v>
          </cell>
          <cell r="F401">
            <v>90</v>
          </cell>
          <cell r="G401">
            <v>1200702</v>
          </cell>
          <cell r="H401" t="str">
            <v>;;=SUM(F41:G41);</v>
          </cell>
          <cell r="I401" t="str">
            <v>.</v>
          </cell>
        </row>
        <row r="402">
          <cell r="A402">
            <v>276</v>
          </cell>
          <cell r="B402" t="str">
            <v>Germany</v>
          </cell>
          <cell r="C402">
            <v>1998</v>
          </cell>
          <cell r="D402">
            <v>90</v>
          </cell>
          <cell r="E402">
            <v>2828</v>
          </cell>
          <cell r="F402">
            <v>90</v>
          </cell>
          <cell r="G402">
            <v>1297283</v>
          </cell>
          <cell r="H402" t="str">
            <v>;;=SUM(F42:G42);</v>
          </cell>
          <cell r="I402" t="str">
            <v>.</v>
          </cell>
        </row>
        <row r="403">
          <cell r="A403">
            <v>276</v>
          </cell>
          <cell r="B403" t="str">
            <v>Germany</v>
          </cell>
          <cell r="C403">
            <v>1998</v>
          </cell>
          <cell r="D403">
            <v>90</v>
          </cell>
          <cell r="E403">
            <v>2929</v>
          </cell>
          <cell r="F403">
            <v>90</v>
          </cell>
          <cell r="G403">
            <v>1364371</v>
          </cell>
          <cell r="H403" t="str">
            <v>;;=SUM(F43:G43);</v>
          </cell>
          <cell r="I403" t="str">
            <v>.</v>
          </cell>
        </row>
        <row r="404">
          <cell r="A404">
            <v>276</v>
          </cell>
          <cell r="B404" t="str">
            <v>Germany</v>
          </cell>
          <cell r="C404">
            <v>1998</v>
          </cell>
          <cell r="D404">
            <v>90</v>
          </cell>
          <cell r="E404">
            <v>2529</v>
          </cell>
          <cell r="F404">
            <v>90</v>
          </cell>
          <cell r="G404">
            <v>6026006</v>
          </cell>
          <cell r="H404" t="str">
            <v>;;=SUM(F44:G44);</v>
          </cell>
          <cell r="I404" t="str">
            <v>.</v>
          </cell>
        </row>
        <row r="405">
          <cell r="A405">
            <v>276</v>
          </cell>
          <cell r="B405" t="str">
            <v>Germany</v>
          </cell>
          <cell r="C405">
            <v>1998</v>
          </cell>
          <cell r="D405">
            <v>90</v>
          </cell>
          <cell r="E405">
            <v>3034</v>
          </cell>
          <cell r="F405">
            <v>90</v>
          </cell>
          <cell r="G405">
            <v>7260168</v>
          </cell>
          <cell r="H405" t="str">
            <v>;;=SUM(F45:G45);</v>
          </cell>
          <cell r="I405" t="str">
            <v>.</v>
          </cell>
        </row>
        <row r="406">
          <cell r="A406">
            <v>276</v>
          </cell>
          <cell r="B406" t="str">
            <v>Germany</v>
          </cell>
          <cell r="C406">
            <v>1998</v>
          </cell>
          <cell r="D406">
            <v>90</v>
          </cell>
          <cell r="E406">
            <v>3539</v>
          </cell>
          <cell r="F406">
            <v>90</v>
          </cell>
          <cell r="G406">
            <v>6804607</v>
          </cell>
          <cell r="H406" t="str">
            <v>;;=SUM(F46:G46);</v>
          </cell>
          <cell r="I406" t="str">
            <v>.</v>
          </cell>
        </row>
        <row r="407">
          <cell r="A407">
            <v>276</v>
          </cell>
          <cell r="B407" t="str">
            <v>Germany</v>
          </cell>
          <cell r="C407">
            <v>1998</v>
          </cell>
          <cell r="D407">
            <v>90</v>
          </cell>
          <cell r="E407">
            <v>4099</v>
          </cell>
          <cell r="F407">
            <v>90</v>
          </cell>
          <cell r="G407">
            <v>39842664</v>
          </cell>
          <cell r="H407" t="str">
            <v>;;=SUM(F47:G47);</v>
          </cell>
          <cell r="I407" t="str">
            <v>.</v>
          </cell>
        </row>
        <row r="408">
          <cell r="A408">
            <v>276</v>
          </cell>
          <cell r="B408" t="str">
            <v>Germany</v>
          </cell>
          <cell r="C408">
            <v>1998</v>
          </cell>
          <cell r="D408">
            <v>90</v>
          </cell>
          <cell r="E408">
            <v>990000</v>
          </cell>
          <cell r="F408">
            <v>90</v>
          </cell>
          <cell r="G408">
            <v>0</v>
          </cell>
          <cell r="H408" t="str">
            <v>n;</v>
          </cell>
          <cell r="I408" t="str">
            <v>n</v>
          </cell>
        </row>
        <row r="409">
          <cell r="A409">
            <v>348</v>
          </cell>
          <cell r="B409" t="str">
            <v>Hungary</v>
          </cell>
          <cell r="C409">
            <v>1998</v>
          </cell>
          <cell r="D409">
            <v>90</v>
          </cell>
          <cell r="E409">
            <v>900000</v>
          </cell>
          <cell r="F409">
            <v>90</v>
          </cell>
          <cell r="G409">
            <v>10135358</v>
          </cell>
          <cell r="H409" t="str">
            <v>;;=SUM(F11:G11);</v>
          </cell>
          <cell r="I409" t="str">
            <v>.</v>
          </cell>
        </row>
        <row r="410">
          <cell r="A410">
            <v>348</v>
          </cell>
          <cell r="B410" t="str">
            <v>Hungary</v>
          </cell>
          <cell r="C410">
            <v>1998</v>
          </cell>
          <cell r="D410">
            <v>90</v>
          </cell>
          <cell r="E410">
            <v>300</v>
          </cell>
          <cell r="F410">
            <v>90</v>
          </cell>
          <cell r="G410">
            <v>314344</v>
          </cell>
          <cell r="H410" t="str">
            <v>;;=SUM(F12:G12);</v>
          </cell>
          <cell r="I410" t="str">
            <v>.</v>
          </cell>
        </row>
        <row r="411">
          <cell r="A411">
            <v>348</v>
          </cell>
          <cell r="B411" t="str">
            <v>Hungary</v>
          </cell>
          <cell r="C411">
            <v>1998</v>
          </cell>
          <cell r="D411">
            <v>90</v>
          </cell>
          <cell r="E411">
            <v>303</v>
          </cell>
          <cell r="F411">
            <v>90</v>
          </cell>
          <cell r="G411">
            <v>114125</v>
          </cell>
          <cell r="H411" t="str">
            <v>;;=SUM(F13:G13);</v>
          </cell>
          <cell r="I411" t="str">
            <v>.</v>
          </cell>
        </row>
        <row r="412">
          <cell r="A412">
            <v>348</v>
          </cell>
          <cell r="B412" t="str">
            <v>Hungary</v>
          </cell>
          <cell r="C412">
            <v>1998</v>
          </cell>
          <cell r="D412">
            <v>90</v>
          </cell>
          <cell r="E412">
            <v>404</v>
          </cell>
          <cell r="F412">
            <v>90</v>
          </cell>
          <cell r="G412">
            <v>115434</v>
          </cell>
          <cell r="H412" t="str">
            <v>;;=SUM(F14:G14);</v>
          </cell>
          <cell r="I412" t="str">
            <v>.</v>
          </cell>
        </row>
        <row r="413">
          <cell r="A413">
            <v>348</v>
          </cell>
          <cell r="B413" t="str">
            <v>Hungary</v>
          </cell>
          <cell r="C413">
            <v>1998</v>
          </cell>
          <cell r="D413">
            <v>90</v>
          </cell>
          <cell r="E413">
            <v>505</v>
          </cell>
          <cell r="F413">
            <v>90</v>
          </cell>
          <cell r="G413">
            <v>119758</v>
          </cell>
          <cell r="H413" t="str">
            <v>;;=SUM(F15:G15);</v>
          </cell>
          <cell r="I413" t="str">
            <v>.</v>
          </cell>
        </row>
        <row r="414">
          <cell r="A414">
            <v>348</v>
          </cell>
          <cell r="B414" t="str">
            <v>Hungary</v>
          </cell>
          <cell r="C414">
            <v>1998</v>
          </cell>
          <cell r="D414">
            <v>90</v>
          </cell>
          <cell r="E414">
            <v>606</v>
          </cell>
          <cell r="F414">
            <v>90</v>
          </cell>
          <cell r="G414">
            <v>124995</v>
          </cell>
          <cell r="H414" t="str">
            <v>;;=SUM(F16:G16);</v>
          </cell>
          <cell r="I414" t="str">
            <v>.</v>
          </cell>
        </row>
        <row r="415">
          <cell r="A415">
            <v>348</v>
          </cell>
          <cell r="B415" t="str">
            <v>Hungary</v>
          </cell>
          <cell r="C415">
            <v>1998</v>
          </cell>
          <cell r="D415">
            <v>90</v>
          </cell>
          <cell r="E415">
            <v>707</v>
          </cell>
          <cell r="F415">
            <v>90</v>
          </cell>
          <cell r="G415">
            <v>123478</v>
          </cell>
          <cell r="H415" t="str">
            <v>;;=SUM(F17:G17);</v>
          </cell>
          <cell r="I415" t="str">
            <v>.</v>
          </cell>
        </row>
        <row r="416">
          <cell r="A416">
            <v>348</v>
          </cell>
          <cell r="B416" t="str">
            <v>Hungary</v>
          </cell>
          <cell r="C416">
            <v>1998</v>
          </cell>
          <cell r="D416">
            <v>90</v>
          </cell>
          <cell r="E416">
            <v>808</v>
          </cell>
          <cell r="F416">
            <v>90</v>
          </cell>
          <cell r="G416">
            <v>120811</v>
          </cell>
          <cell r="H416" t="str">
            <v>;;=SUM(F18:G18);</v>
          </cell>
          <cell r="I416" t="str">
            <v>.</v>
          </cell>
        </row>
        <row r="417">
          <cell r="A417">
            <v>348</v>
          </cell>
          <cell r="B417" t="str">
            <v>Hungary</v>
          </cell>
          <cell r="C417">
            <v>1998</v>
          </cell>
          <cell r="D417">
            <v>90</v>
          </cell>
          <cell r="E417">
            <v>909</v>
          </cell>
          <cell r="F417">
            <v>90</v>
          </cell>
          <cell r="G417">
            <v>121544</v>
          </cell>
          <cell r="H417" t="str">
            <v>;;=SUM(F19:G19);</v>
          </cell>
          <cell r="I417" t="str">
            <v>.</v>
          </cell>
        </row>
        <row r="418">
          <cell r="A418">
            <v>348</v>
          </cell>
          <cell r="B418" t="str">
            <v>Hungary</v>
          </cell>
          <cell r="C418">
            <v>1998</v>
          </cell>
          <cell r="D418">
            <v>90</v>
          </cell>
          <cell r="E418">
            <v>509</v>
          </cell>
          <cell r="F418">
            <v>90</v>
          </cell>
          <cell r="G418">
            <v>610586</v>
          </cell>
          <cell r="H418" t="str">
            <v>;;=SUM(F20:G20);</v>
          </cell>
          <cell r="I418" t="str">
            <v>.</v>
          </cell>
        </row>
        <row r="419">
          <cell r="A419">
            <v>348</v>
          </cell>
          <cell r="B419" t="str">
            <v>Hungary</v>
          </cell>
          <cell r="C419">
            <v>1998</v>
          </cell>
          <cell r="D419">
            <v>90</v>
          </cell>
          <cell r="E419">
            <v>1010</v>
          </cell>
          <cell r="F419">
            <v>90</v>
          </cell>
          <cell r="G419">
            <v>122953</v>
          </cell>
          <cell r="H419" t="str">
            <v>;;=SUM(F21:G21);</v>
          </cell>
          <cell r="I419" t="str">
            <v>.</v>
          </cell>
        </row>
        <row r="420">
          <cell r="A420">
            <v>348</v>
          </cell>
          <cell r="B420" t="str">
            <v>Hungary</v>
          </cell>
          <cell r="C420">
            <v>1998</v>
          </cell>
          <cell r="D420">
            <v>90</v>
          </cell>
          <cell r="E420">
            <v>1111</v>
          </cell>
          <cell r="F420">
            <v>90</v>
          </cell>
          <cell r="G420">
            <v>124246</v>
          </cell>
          <cell r="H420" t="str">
            <v>;;=SUM(F22:G22);</v>
          </cell>
          <cell r="I420" t="str">
            <v>.</v>
          </cell>
        </row>
        <row r="421">
          <cell r="A421">
            <v>352</v>
          </cell>
          <cell r="B421" t="str">
            <v>Iceland</v>
          </cell>
          <cell r="C421">
            <v>1998</v>
          </cell>
          <cell r="D421">
            <v>90</v>
          </cell>
          <cell r="E421">
            <v>900000</v>
          </cell>
          <cell r="F421">
            <v>90</v>
          </cell>
          <cell r="G421">
            <v>272381</v>
          </cell>
          <cell r="H421" t="str">
            <v>;;=SUM(F11:G11);</v>
          </cell>
          <cell r="I421" t="str">
            <v>.</v>
          </cell>
        </row>
        <row r="422">
          <cell r="A422">
            <v>352</v>
          </cell>
          <cell r="B422" t="str">
            <v>Iceland</v>
          </cell>
          <cell r="C422">
            <v>1998</v>
          </cell>
          <cell r="D422">
            <v>90</v>
          </cell>
          <cell r="E422">
            <v>300</v>
          </cell>
          <cell r="F422">
            <v>90</v>
          </cell>
          <cell r="G422">
            <v>12781</v>
          </cell>
          <cell r="H422" t="str">
            <v>;;=SUM(F12:G12);</v>
          </cell>
          <cell r="I422" t="str">
            <v>.</v>
          </cell>
        </row>
        <row r="423">
          <cell r="A423">
            <v>620</v>
          </cell>
          <cell r="B423" t="str">
            <v>Portugal</v>
          </cell>
          <cell r="C423">
            <v>1998</v>
          </cell>
          <cell r="D423">
            <v>90</v>
          </cell>
          <cell r="E423">
            <v>1414</v>
          </cell>
          <cell r="F423">
            <v>90</v>
          </cell>
          <cell r="G423">
            <v>128950</v>
          </cell>
          <cell r="H423" t="str">
            <v>;;=SUM(F25:H25);</v>
          </cell>
          <cell r="I423" t="str">
            <v>.</v>
          </cell>
        </row>
        <row r="424">
          <cell r="A424">
            <v>620</v>
          </cell>
          <cell r="B424" t="str">
            <v>Portugal</v>
          </cell>
          <cell r="C424">
            <v>1998</v>
          </cell>
          <cell r="D424">
            <v>90</v>
          </cell>
          <cell r="E424">
            <v>1014</v>
          </cell>
          <cell r="F424">
            <v>90</v>
          </cell>
          <cell r="G424">
            <v>592600</v>
          </cell>
          <cell r="H424" t="str">
            <v>;;=SUM(F26:H26);</v>
          </cell>
          <cell r="I424" t="str">
            <v>.</v>
          </cell>
        </row>
        <row r="425">
          <cell r="A425">
            <v>620</v>
          </cell>
          <cell r="B425" t="str">
            <v>Portugal</v>
          </cell>
          <cell r="C425">
            <v>1998</v>
          </cell>
          <cell r="D425">
            <v>90</v>
          </cell>
          <cell r="E425">
            <v>1515</v>
          </cell>
          <cell r="F425">
            <v>90</v>
          </cell>
          <cell r="G425">
            <v>135640</v>
          </cell>
          <cell r="H425" t="str">
            <v>;;=SUM(F27:H27);</v>
          </cell>
          <cell r="I425" t="str">
            <v>.</v>
          </cell>
        </row>
        <row r="426">
          <cell r="A426">
            <v>620</v>
          </cell>
          <cell r="B426" t="str">
            <v>Portugal</v>
          </cell>
          <cell r="C426">
            <v>1998</v>
          </cell>
          <cell r="D426">
            <v>90</v>
          </cell>
          <cell r="E426">
            <v>1616</v>
          </cell>
          <cell r="F426">
            <v>90</v>
          </cell>
          <cell r="G426">
            <v>138720</v>
          </cell>
          <cell r="H426" t="str">
            <v>;;=SUM(F28:H28);</v>
          </cell>
          <cell r="I426" t="str">
            <v>.</v>
          </cell>
        </row>
        <row r="427">
          <cell r="A427">
            <v>620</v>
          </cell>
          <cell r="B427" t="str">
            <v>Portugal</v>
          </cell>
          <cell r="C427">
            <v>1998</v>
          </cell>
          <cell r="D427">
            <v>90</v>
          </cell>
          <cell r="E427">
            <v>1717</v>
          </cell>
          <cell r="F427">
            <v>90</v>
          </cell>
          <cell r="G427">
            <v>145630</v>
          </cell>
          <cell r="H427" t="str">
            <v>;;=SUM(F29:H29);</v>
          </cell>
          <cell r="I427" t="str">
            <v>.</v>
          </cell>
        </row>
        <row r="428">
          <cell r="A428">
            <v>620</v>
          </cell>
          <cell r="B428" t="str">
            <v>Portugal</v>
          </cell>
          <cell r="C428">
            <v>1998</v>
          </cell>
          <cell r="D428">
            <v>90</v>
          </cell>
          <cell r="E428">
            <v>1818</v>
          </cell>
          <cell r="F428">
            <v>90</v>
          </cell>
          <cell r="G428">
            <v>149370</v>
          </cell>
          <cell r="H428" t="str">
            <v>;;=SUM(F30:H30);</v>
          </cell>
          <cell r="I428" t="str">
            <v>.</v>
          </cell>
        </row>
        <row r="429">
          <cell r="A429">
            <v>620</v>
          </cell>
          <cell r="B429" t="str">
            <v>Portugal</v>
          </cell>
          <cell r="C429">
            <v>1998</v>
          </cell>
          <cell r="D429">
            <v>90</v>
          </cell>
          <cell r="E429">
            <v>1919</v>
          </cell>
          <cell r="F429">
            <v>90</v>
          </cell>
          <cell r="G429">
            <v>152070</v>
          </cell>
          <cell r="H429" t="str">
            <v>;;=SUM(F31:H31);</v>
          </cell>
          <cell r="I429" t="str">
            <v>.</v>
          </cell>
        </row>
        <row r="430">
          <cell r="A430">
            <v>620</v>
          </cell>
          <cell r="B430" t="str">
            <v>Portugal</v>
          </cell>
          <cell r="C430">
            <v>1998</v>
          </cell>
          <cell r="D430">
            <v>90</v>
          </cell>
          <cell r="E430">
            <v>1519</v>
          </cell>
          <cell r="F430">
            <v>90</v>
          </cell>
          <cell r="G430">
            <v>721430</v>
          </cell>
          <cell r="H430" t="str">
            <v>;;=SUM(F32:H32);</v>
          </cell>
          <cell r="I430" t="str">
            <v>.</v>
          </cell>
        </row>
        <row r="431">
          <cell r="A431">
            <v>620</v>
          </cell>
          <cell r="B431" t="str">
            <v>Portugal</v>
          </cell>
          <cell r="C431">
            <v>1998</v>
          </cell>
          <cell r="D431">
            <v>90</v>
          </cell>
          <cell r="E431">
            <v>2020</v>
          </cell>
          <cell r="F431">
            <v>90</v>
          </cell>
          <cell r="G431">
            <v>161910</v>
          </cell>
          <cell r="H431" t="str">
            <v>;;=SUM(F33:H33);</v>
          </cell>
          <cell r="I431" t="str">
            <v>.</v>
          </cell>
        </row>
        <row r="432">
          <cell r="A432">
            <v>620</v>
          </cell>
          <cell r="B432" t="str">
            <v>Portugal</v>
          </cell>
          <cell r="C432">
            <v>1998</v>
          </cell>
          <cell r="D432">
            <v>90</v>
          </cell>
          <cell r="E432">
            <v>2121</v>
          </cell>
          <cell r="F432">
            <v>90</v>
          </cell>
          <cell r="G432">
            <v>170130</v>
          </cell>
          <cell r="H432" t="str">
            <v>;;=SUM(F34:H34);</v>
          </cell>
          <cell r="I432" t="str">
            <v>.</v>
          </cell>
        </row>
        <row r="433">
          <cell r="A433">
            <v>620</v>
          </cell>
          <cell r="B433" t="str">
            <v>Portugal</v>
          </cell>
          <cell r="C433">
            <v>1998</v>
          </cell>
          <cell r="D433">
            <v>90</v>
          </cell>
          <cell r="E433">
            <v>2222</v>
          </cell>
          <cell r="F433">
            <v>90</v>
          </cell>
          <cell r="G433">
            <v>173700</v>
          </cell>
          <cell r="H433" t="str">
            <v>;;=SUM(F35:H35);</v>
          </cell>
          <cell r="I433" t="str">
            <v>.</v>
          </cell>
        </row>
        <row r="434">
          <cell r="A434">
            <v>620</v>
          </cell>
          <cell r="B434" t="str">
            <v>Portugal</v>
          </cell>
          <cell r="C434">
            <v>1998</v>
          </cell>
          <cell r="D434">
            <v>90</v>
          </cell>
          <cell r="E434">
            <v>2323</v>
          </cell>
          <cell r="F434">
            <v>90</v>
          </cell>
          <cell r="G434">
            <v>170660</v>
          </cell>
          <cell r="H434" t="str">
            <v>;;=SUM(F36:H36);</v>
          </cell>
          <cell r="I434" t="str">
            <v>.</v>
          </cell>
        </row>
        <row r="435">
          <cell r="A435">
            <v>620</v>
          </cell>
          <cell r="B435" t="str">
            <v>Portugal</v>
          </cell>
          <cell r="C435">
            <v>1998</v>
          </cell>
          <cell r="D435">
            <v>90</v>
          </cell>
          <cell r="E435">
            <v>2424</v>
          </cell>
          <cell r="F435">
            <v>90</v>
          </cell>
          <cell r="G435">
            <v>166690</v>
          </cell>
          <cell r="H435" t="str">
            <v>;;=SUM(F37:H37);</v>
          </cell>
          <cell r="I435" t="str">
            <v>.</v>
          </cell>
        </row>
        <row r="436">
          <cell r="A436">
            <v>620</v>
          </cell>
          <cell r="B436" t="str">
            <v>Portugal</v>
          </cell>
          <cell r="C436">
            <v>1998</v>
          </cell>
          <cell r="D436">
            <v>90</v>
          </cell>
          <cell r="E436">
            <v>2024</v>
          </cell>
          <cell r="F436">
            <v>90</v>
          </cell>
          <cell r="G436">
            <v>843090</v>
          </cell>
          <cell r="H436" t="str">
            <v>;;=SUM(F38:H38);</v>
          </cell>
          <cell r="I436" t="str">
            <v>.</v>
          </cell>
        </row>
        <row r="437">
          <cell r="A437">
            <v>620</v>
          </cell>
          <cell r="B437" t="str">
            <v>Portugal</v>
          </cell>
          <cell r="C437">
            <v>1998</v>
          </cell>
          <cell r="D437">
            <v>90</v>
          </cell>
          <cell r="E437">
            <v>2525</v>
          </cell>
          <cell r="F437">
            <v>90</v>
          </cell>
          <cell r="G437">
            <v>167790</v>
          </cell>
          <cell r="H437" t="str">
            <v>;;=SUM(F39:H39);</v>
          </cell>
          <cell r="I437" t="str">
            <v>.</v>
          </cell>
        </row>
        <row r="438">
          <cell r="A438">
            <v>620</v>
          </cell>
          <cell r="B438" t="str">
            <v>Portugal</v>
          </cell>
          <cell r="C438">
            <v>1998</v>
          </cell>
          <cell r="D438">
            <v>90</v>
          </cell>
          <cell r="E438">
            <v>2626</v>
          </cell>
          <cell r="F438">
            <v>90</v>
          </cell>
          <cell r="G438">
            <v>163400</v>
          </cell>
          <cell r="H438" t="str">
            <v>;;=SUM(F40:H40);</v>
          </cell>
          <cell r="I438" t="str">
            <v>.</v>
          </cell>
        </row>
        <row r="439">
          <cell r="A439">
            <v>620</v>
          </cell>
          <cell r="B439" t="str">
            <v>Portugal</v>
          </cell>
          <cell r="C439">
            <v>1998</v>
          </cell>
          <cell r="D439">
            <v>90</v>
          </cell>
          <cell r="E439">
            <v>2727</v>
          </cell>
          <cell r="F439">
            <v>90</v>
          </cell>
          <cell r="G439">
            <v>160140</v>
          </cell>
          <cell r="H439" t="str">
            <v>;;=SUM(F41:H41);</v>
          </cell>
          <cell r="I439" t="str">
            <v>.</v>
          </cell>
        </row>
        <row r="440">
          <cell r="A440">
            <v>620</v>
          </cell>
          <cell r="B440" t="str">
            <v>Portugal</v>
          </cell>
          <cell r="C440">
            <v>1998</v>
          </cell>
          <cell r="D440">
            <v>90</v>
          </cell>
          <cell r="E440">
            <v>2828</v>
          </cell>
          <cell r="F440">
            <v>90</v>
          </cell>
          <cell r="G440">
            <v>154350</v>
          </cell>
          <cell r="H440" t="str">
            <v>;;=SUM(F42:H42);</v>
          </cell>
          <cell r="I440" t="str">
            <v>.</v>
          </cell>
        </row>
        <row r="441">
          <cell r="A441">
            <v>620</v>
          </cell>
          <cell r="B441" t="str">
            <v>Portugal</v>
          </cell>
          <cell r="C441">
            <v>1998</v>
          </cell>
          <cell r="D441">
            <v>90</v>
          </cell>
          <cell r="E441">
            <v>2929</v>
          </cell>
          <cell r="F441">
            <v>90</v>
          </cell>
          <cell r="G441">
            <v>152110</v>
          </cell>
          <cell r="H441" t="str">
            <v>;;=SUM(F43:H43);</v>
          </cell>
          <cell r="I441" t="str">
            <v>.</v>
          </cell>
        </row>
        <row r="442">
          <cell r="A442">
            <v>620</v>
          </cell>
          <cell r="B442" t="str">
            <v>Portugal</v>
          </cell>
          <cell r="C442">
            <v>1998</v>
          </cell>
          <cell r="D442">
            <v>90</v>
          </cell>
          <cell r="E442">
            <v>2529</v>
          </cell>
          <cell r="F442">
            <v>90</v>
          </cell>
          <cell r="G442">
            <v>797790</v>
          </cell>
          <cell r="H442" t="str">
            <v>;;=SUM(F44:H44);</v>
          </cell>
          <cell r="I442" t="str">
            <v>.</v>
          </cell>
        </row>
        <row r="443">
          <cell r="A443">
            <v>620</v>
          </cell>
          <cell r="B443" t="str">
            <v>Portugal</v>
          </cell>
          <cell r="C443">
            <v>1998</v>
          </cell>
          <cell r="D443">
            <v>90</v>
          </cell>
          <cell r="E443">
            <v>3034</v>
          </cell>
          <cell r="F443">
            <v>90</v>
          </cell>
          <cell r="G443">
            <v>738330</v>
          </cell>
          <cell r="H443" t="str">
            <v>;;=SUM(F45:H45);</v>
          </cell>
          <cell r="I443" t="str">
            <v>.</v>
          </cell>
        </row>
        <row r="444">
          <cell r="A444">
            <v>620</v>
          </cell>
          <cell r="B444" t="str">
            <v>Portugal</v>
          </cell>
          <cell r="C444">
            <v>1998</v>
          </cell>
          <cell r="D444">
            <v>90</v>
          </cell>
          <cell r="E444">
            <v>3539</v>
          </cell>
          <cell r="F444">
            <v>90</v>
          </cell>
          <cell r="G444">
            <v>705480</v>
          </cell>
          <cell r="H444" t="str">
            <v>;;=SUM(F46:H46);</v>
          </cell>
          <cell r="I444" t="str">
            <v>.</v>
          </cell>
        </row>
        <row r="445">
          <cell r="A445">
            <v>620</v>
          </cell>
          <cell r="B445" t="str">
            <v>Portugal</v>
          </cell>
          <cell r="C445">
            <v>1998</v>
          </cell>
          <cell r="D445">
            <v>90</v>
          </cell>
          <cell r="E445">
            <v>4099</v>
          </cell>
          <cell r="F445">
            <v>90</v>
          </cell>
          <cell r="G445">
            <v>4455520</v>
          </cell>
          <cell r="H445" t="str">
            <v>;;=SUM(F47:H47);</v>
          </cell>
          <cell r="I445" t="str">
            <v>.</v>
          </cell>
        </row>
        <row r="446">
          <cell r="A446">
            <v>620</v>
          </cell>
          <cell r="B446" t="str">
            <v>Portugal</v>
          </cell>
          <cell r="C446">
            <v>1998</v>
          </cell>
          <cell r="D446">
            <v>90</v>
          </cell>
          <cell r="E446">
            <v>990000</v>
          </cell>
          <cell r="F446">
            <v>90</v>
          </cell>
          <cell r="G446">
            <v>0</v>
          </cell>
          <cell r="H446" t="str">
            <v>n;</v>
          </cell>
          <cell r="I446" t="str">
            <v>n</v>
          </cell>
        </row>
        <row r="447">
          <cell r="A447">
            <v>246</v>
          </cell>
          <cell r="B447" t="str">
            <v>Finland</v>
          </cell>
          <cell r="C447">
            <v>1998</v>
          </cell>
          <cell r="D447">
            <v>90</v>
          </cell>
          <cell r="E447">
            <v>404</v>
          </cell>
          <cell r="F447">
            <v>90</v>
          </cell>
          <cell r="G447">
            <v>64878</v>
          </cell>
          <cell r="H447" t="str">
            <v/>
          </cell>
          <cell r="I447" t="str">
            <v>.</v>
          </cell>
        </row>
        <row r="448">
          <cell r="A448">
            <v>246</v>
          </cell>
          <cell r="B448" t="str">
            <v>Finland</v>
          </cell>
          <cell r="C448">
            <v>1998</v>
          </cell>
          <cell r="D448">
            <v>90</v>
          </cell>
          <cell r="E448">
            <v>505</v>
          </cell>
          <cell r="F448">
            <v>90</v>
          </cell>
          <cell r="G448">
            <v>66894</v>
          </cell>
          <cell r="H448" t="str">
            <v/>
          </cell>
          <cell r="I448" t="str">
            <v>.</v>
          </cell>
        </row>
        <row r="449">
          <cell r="A449">
            <v>246</v>
          </cell>
          <cell r="B449" t="str">
            <v>Finland</v>
          </cell>
          <cell r="C449">
            <v>1998</v>
          </cell>
          <cell r="D449">
            <v>90</v>
          </cell>
          <cell r="E449">
            <v>606</v>
          </cell>
          <cell r="F449">
            <v>90</v>
          </cell>
          <cell r="G449">
            <v>65701</v>
          </cell>
          <cell r="H449" t="str">
            <v/>
          </cell>
          <cell r="I449" t="str">
            <v>.</v>
          </cell>
        </row>
        <row r="450">
          <cell r="A450">
            <v>246</v>
          </cell>
          <cell r="B450" t="str">
            <v>Finland</v>
          </cell>
          <cell r="C450">
            <v>1998</v>
          </cell>
          <cell r="D450">
            <v>90</v>
          </cell>
          <cell r="E450">
            <v>707</v>
          </cell>
          <cell r="F450">
            <v>90</v>
          </cell>
          <cell r="G450">
            <v>66225</v>
          </cell>
          <cell r="H450" t="str">
            <v/>
          </cell>
          <cell r="I450" t="str">
            <v>.</v>
          </cell>
        </row>
        <row r="451">
          <cell r="A451">
            <v>246</v>
          </cell>
          <cell r="B451" t="str">
            <v>Finland</v>
          </cell>
          <cell r="C451">
            <v>1998</v>
          </cell>
          <cell r="D451">
            <v>90</v>
          </cell>
          <cell r="E451">
            <v>808</v>
          </cell>
          <cell r="F451">
            <v>90</v>
          </cell>
          <cell r="G451">
            <v>64231</v>
          </cell>
          <cell r="H451" t="str">
            <v/>
          </cell>
          <cell r="I451" t="str">
            <v>.</v>
          </cell>
        </row>
        <row r="452">
          <cell r="A452">
            <v>246</v>
          </cell>
          <cell r="B452" t="str">
            <v>Finland</v>
          </cell>
          <cell r="C452">
            <v>1998</v>
          </cell>
          <cell r="D452">
            <v>90</v>
          </cell>
          <cell r="E452">
            <v>909</v>
          </cell>
          <cell r="F452">
            <v>90</v>
          </cell>
          <cell r="G452">
            <v>64302</v>
          </cell>
          <cell r="H452" t="str">
            <v/>
          </cell>
          <cell r="I452" t="str">
            <v>.</v>
          </cell>
        </row>
        <row r="453">
          <cell r="A453">
            <v>246</v>
          </cell>
          <cell r="B453" t="str">
            <v>Finland</v>
          </cell>
          <cell r="C453">
            <v>1998</v>
          </cell>
          <cell r="D453">
            <v>90</v>
          </cell>
          <cell r="E453">
            <v>509</v>
          </cell>
          <cell r="F453">
            <v>90</v>
          </cell>
          <cell r="G453">
            <v>327353</v>
          </cell>
          <cell r="H453" t="str">
            <v>;;=SUM(F20:G20);</v>
          </cell>
          <cell r="I453" t="str">
            <v>.</v>
          </cell>
        </row>
        <row r="454">
          <cell r="A454">
            <v>246</v>
          </cell>
          <cell r="B454" t="str">
            <v>Finland</v>
          </cell>
          <cell r="C454">
            <v>1998</v>
          </cell>
          <cell r="D454">
            <v>90</v>
          </cell>
          <cell r="E454">
            <v>1010</v>
          </cell>
          <cell r="F454">
            <v>90</v>
          </cell>
          <cell r="G454">
            <v>60926</v>
          </cell>
          <cell r="H454" t="str">
            <v/>
          </cell>
          <cell r="I454" t="str">
            <v>.</v>
          </cell>
        </row>
        <row r="455">
          <cell r="A455">
            <v>246</v>
          </cell>
          <cell r="B455" t="str">
            <v>Finland</v>
          </cell>
          <cell r="C455">
            <v>1998</v>
          </cell>
          <cell r="D455">
            <v>90</v>
          </cell>
          <cell r="E455">
            <v>1111</v>
          </cell>
          <cell r="F455">
            <v>90</v>
          </cell>
          <cell r="G455">
            <v>61890</v>
          </cell>
          <cell r="H455" t="str">
            <v/>
          </cell>
          <cell r="I455" t="str">
            <v>.</v>
          </cell>
        </row>
        <row r="456">
          <cell r="A456">
            <v>246</v>
          </cell>
          <cell r="B456" t="str">
            <v>Finland</v>
          </cell>
          <cell r="C456">
            <v>1998</v>
          </cell>
          <cell r="D456">
            <v>90</v>
          </cell>
          <cell r="E456">
            <v>1212</v>
          </cell>
          <cell r="F456">
            <v>90</v>
          </cell>
          <cell r="G456">
            <v>63955</v>
          </cell>
          <cell r="H456" t="str">
            <v/>
          </cell>
          <cell r="I456" t="str">
            <v>.</v>
          </cell>
        </row>
        <row r="457">
          <cell r="A457">
            <v>246</v>
          </cell>
          <cell r="B457" t="str">
            <v>Finland</v>
          </cell>
          <cell r="C457">
            <v>1998</v>
          </cell>
          <cell r="D457">
            <v>90</v>
          </cell>
          <cell r="E457">
            <v>1313</v>
          </cell>
          <cell r="F457">
            <v>90</v>
          </cell>
          <cell r="G457">
            <v>66382</v>
          </cell>
          <cell r="H457" t="str">
            <v/>
          </cell>
          <cell r="I457" t="str">
            <v>.</v>
          </cell>
        </row>
        <row r="458">
          <cell r="A458">
            <v>246</v>
          </cell>
          <cell r="B458" t="str">
            <v>Finland</v>
          </cell>
          <cell r="C458">
            <v>1998</v>
          </cell>
          <cell r="D458">
            <v>90</v>
          </cell>
          <cell r="E458">
            <v>1414</v>
          </cell>
          <cell r="F458">
            <v>90</v>
          </cell>
          <cell r="G458">
            <v>68111</v>
          </cell>
          <cell r="H458" t="str">
            <v/>
          </cell>
          <cell r="I458" t="str">
            <v>.</v>
          </cell>
        </row>
        <row r="459">
          <cell r="A459">
            <v>246</v>
          </cell>
          <cell r="B459" t="str">
            <v>Finland</v>
          </cell>
          <cell r="C459">
            <v>1998</v>
          </cell>
          <cell r="D459">
            <v>90</v>
          </cell>
          <cell r="E459">
            <v>1014</v>
          </cell>
          <cell r="F459">
            <v>90</v>
          </cell>
          <cell r="G459">
            <v>321264</v>
          </cell>
          <cell r="H459" t="str">
            <v>;;=SUM(F26:G26);</v>
          </cell>
          <cell r="I459" t="str">
            <v>.</v>
          </cell>
        </row>
        <row r="460">
          <cell r="A460">
            <v>246</v>
          </cell>
          <cell r="B460" t="str">
            <v>Finland</v>
          </cell>
          <cell r="C460">
            <v>1998</v>
          </cell>
          <cell r="D460">
            <v>90</v>
          </cell>
          <cell r="E460">
            <v>1515</v>
          </cell>
          <cell r="F460">
            <v>90</v>
          </cell>
          <cell r="G460">
            <v>67560</v>
          </cell>
          <cell r="H460" t="str">
            <v/>
          </cell>
          <cell r="I460" t="str">
            <v>.</v>
          </cell>
        </row>
        <row r="461">
          <cell r="A461">
            <v>246</v>
          </cell>
          <cell r="B461" t="str">
            <v>Finland</v>
          </cell>
          <cell r="C461">
            <v>1998</v>
          </cell>
          <cell r="D461">
            <v>90</v>
          </cell>
          <cell r="E461">
            <v>1616</v>
          </cell>
          <cell r="F461">
            <v>90</v>
          </cell>
          <cell r="G461">
            <v>65031</v>
          </cell>
          <cell r="H461" t="str">
            <v/>
          </cell>
          <cell r="I461" t="str">
            <v>.</v>
          </cell>
        </row>
        <row r="462">
          <cell r="A462">
            <v>246</v>
          </cell>
          <cell r="B462" t="str">
            <v>Finland</v>
          </cell>
          <cell r="C462">
            <v>1998</v>
          </cell>
          <cell r="D462">
            <v>90</v>
          </cell>
          <cell r="E462">
            <v>1717</v>
          </cell>
          <cell r="F462">
            <v>90</v>
          </cell>
          <cell r="G462">
            <v>64635</v>
          </cell>
          <cell r="H462" t="str">
            <v/>
          </cell>
          <cell r="I462" t="str">
            <v>.</v>
          </cell>
        </row>
        <row r="463">
          <cell r="A463">
            <v>246</v>
          </cell>
          <cell r="B463" t="str">
            <v>Finland</v>
          </cell>
          <cell r="C463">
            <v>1998</v>
          </cell>
          <cell r="D463">
            <v>90</v>
          </cell>
          <cell r="E463">
            <v>1818</v>
          </cell>
          <cell r="F463">
            <v>90</v>
          </cell>
          <cell r="G463">
            <v>64701</v>
          </cell>
          <cell r="H463" t="str">
            <v/>
          </cell>
          <cell r="I463" t="str">
            <v>.</v>
          </cell>
        </row>
        <row r="464">
          <cell r="A464">
            <v>246</v>
          </cell>
          <cell r="B464" t="str">
            <v>Finland</v>
          </cell>
          <cell r="C464">
            <v>1998</v>
          </cell>
          <cell r="D464">
            <v>90</v>
          </cell>
          <cell r="E464">
            <v>1919</v>
          </cell>
          <cell r="F464">
            <v>90</v>
          </cell>
          <cell r="G464">
            <v>65005</v>
          </cell>
          <cell r="H464" t="str">
            <v/>
          </cell>
          <cell r="I464" t="str">
            <v>.</v>
          </cell>
        </row>
        <row r="465">
          <cell r="A465">
            <v>246</v>
          </cell>
          <cell r="B465" t="str">
            <v>Finland</v>
          </cell>
          <cell r="C465">
            <v>1998</v>
          </cell>
          <cell r="D465">
            <v>90</v>
          </cell>
          <cell r="E465">
            <v>1519</v>
          </cell>
          <cell r="F465">
            <v>90</v>
          </cell>
          <cell r="G465">
            <v>326932</v>
          </cell>
          <cell r="H465" t="str">
            <v>;;=SUM(F32:G32);</v>
          </cell>
          <cell r="I465" t="str">
            <v>.</v>
          </cell>
        </row>
        <row r="466">
          <cell r="A466">
            <v>246</v>
          </cell>
          <cell r="B466" t="str">
            <v>Finland</v>
          </cell>
          <cell r="C466">
            <v>1998</v>
          </cell>
          <cell r="D466">
            <v>90</v>
          </cell>
          <cell r="E466">
            <v>2020</v>
          </cell>
          <cell r="F466">
            <v>90</v>
          </cell>
          <cell r="G466">
            <v>66153</v>
          </cell>
          <cell r="H466" t="str">
            <v/>
          </cell>
          <cell r="I466" t="str">
            <v>.</v>
          </cell>
        </row>
        <row r="467">
          <cell r="A467">
            <v>246</v>
          </cell>
          <cell r="B467" t="str">
            <v>Finland</v>
          </cell>
          <cell r="C467">
            <v>1998</v>
          </cell>
          <cell r="D467">
            <v>90</v>
          </cell>
          <cell r="E467">
            <v>2121</v>
          </cell>
          <cell r="F467">
            <v>90</v>
          </cell>
          <cell r="G467">
            <v>66828</v>
          </cell>
          <cell r="H467" t="str">
            <v/>
          </cell>
          <cell r="I467" t="str">
            <v>.</v>
          </cell>
        </row>
        <row r="468">
          <cell r="A468">
            <v>246</v>
          </cell>
          <cell r="B468" t="str">
            <v>Finland</v>
          </cell>
          <cell r="C468">
            <v>1998</v>
          </cell>
          <cell r="D468">
            <v>90</v>
          </cell>
          <cell r="E468">
            <v>2222</v>
          </cell>
          <cell r="F468">
            <v>90</v>
          </cell>
          <cell r="G468">
            <v>65454</v>
          </cell>
          <cell r="H468" t="str">
            <v/>
          </cell>
          <cell r="I468" t="str">
            <v>.</v>
          </cell>
        </row>
        <row r="469">
          <cell r="A469">
            <v>246</v>
          </cell>
          <cell r="B469" t="str">
            <v>Finland</v>
          </cell>
          <cell r="C469">
            <v>1998</v>
          </cell>
          <cell r="D469">
            <v>90</v>
          </cell>
          <cell r="E469">
            <v>2323</v>
          </cell>
          <cell r="F469">
            <v>90</v>
          </cell>
          <cell r="G469">
            <v>62428</v>
          </cell>
          <cell r="H469" t="str">
            <v/>
          </cell>
          <cell r="I469" t="str">
            <v>.</v>
          </cell>
        </row>
        <row r="470">
          <cell r="A470">
            <v>246</v>
          </cell>
          <cell r="B470" t="str">
            <v>Finland</v>
          </cell>
          <cell r="C470">
            <v>1998</v>
          </cell>
          <cell r="D470">
            <v>90</v>
          </cell>
          <cell r="E470">
            <v>2424</v>
          </cell>
          <cell r="F470">
            <v>90</v>
          </cell>
          <cell r="G470">
            <v>57007</v>
          </cell>
          <cell r="H470" t="str">
            <v/>
          </cell>
          <cell r="I470" t="str">
            <v>.</v>
          </cell>
        </row>
        <row r="471">
          <cell r="A471">
            <v>246</v>
          </cell>
          <cell r="B471" t="str">
            <v>Finland</v>
          </cell>
          <cell r="C471">
            <v>1998</v>
          </cell>
          <cell r="D471">
            <v>90</v>
          </cell>
          <cell r="E471">
            <v>2024</v>
          </cell>
          <cell r="F471">
            <v>90</v>
          </cell>
          <cell r="G471">
            <v>317870</v>
          </cell>
          <cell r="H471" t="str">
            <v>;;=SUM(F38:G38);</v>
          </cell>
          <cell r="I471" t="str">
            <v>.</v>
          </cell>
        </row>
        <row r="472">
          <cell r="A472">
            <v>246</v>
          </cell>
          <cell r="B472" t="str">
            <v>Finland</v>
          </cell>
          <cell r="C472">
            <v>1998</v>
          </cell>
          <cell r="D472">
            <v>90</v>
          </cell>
          <cell r="E472">
            <v>2525</v>
          </cell>
          <cell r="F472">
            <v>90</v>
          </cell>
          <cell r="G472">
            <v>59175</v>
          </cell>
          <cell r="H472" t="str">
            <v/>
          </cell>
          <cell r="I472" t="str">
            <v>.</v>
          </cell>
        </row>
        <row r="473">
          <cell r="A473">
            <v>246</v>
          </cell>
          <cell r="B473" t="str">
            <v>Finland</v>
          </cell>
          <cell r="C473">
            <v>1998</v>
          </cell>
          <cell r="D473">
            <v>90</v>
          </cell>
          <cell r="E473">
            <v>2626</v>
          </cell>
          <cell r="F473">
            <v>90</v>
          </cell>
          <cell r="G473">
            <v>61488</v>
          </cell>
          <cell r="H473" t="str">
            <v/>
          </cell>
          <cell r="I473" t="str">
            <v>.</v>
          </cell>
        </row>
        <row r="474">
          <cell r="A474">
            <v>246</v>
          </cell>
          <cell r="B474" t="str">
            <v>Finland</v>
          </cell>
          <cell r="C474">
            <v>1998</v>
          </cell>
          <cell r="D474">
            <v>90</v>
          </cell>
          <cell r="E474">
            <v>2727</v>
          </cell>
          <cell r="F474">
            <v>90</v>
          </cell>
          <cell r="G474">
            <v>63848</v>
          </cell>
          <cell r="H474" t="str">
            <v/>
          </cell>
          <cell r="I474" t="str">
            <v>.</v>
          </cell>
        </row>
        <row r="475">
          <cell r="A475">
            <v>246</v>
          </cell>
          <cell r="B475" t="str">
            <v>Finland</v>
          </cell>
          <cell r="C475">
            <v>1998</v>
          </cell>
          <cell r="D475">
            <v>90</v>
          </cell>
          <cell r="E475">
            <v>2828</v>
          </cell>
          <cell r="F475">
            <v>90</v>
          </cell>
          <cell r="G475">
            <v>65604</v>
          </cell>
          <cell r="H475" t="str">
            <v/>
          </cell>
          <cell r="I475" t="str">
            <v>.</v>
          </cell>
        </row>
        <row r="476">
          <cell r="A476">
            <v>246</v>
          </cell>
          <cell r="B476" t="str">
            <v>Finland</v>
          </cell>
          <cell r="C476">
            <v>1998</v>
          </cell>
          <cell r="D476">
            <v>90</v>
          </cell>
          <cell r="E476">
            <v>2929</v>
          </cell>
          <cell r="F476">
            <v>90</v>
          </cell>
          <cell r="G476">
            <v>70701</v>
          </cell>
          <cell r="H476" t="str">
            <v/>
          </cell>
          <cell r="I476" t="str">
            <v>.</v>
          </cell>
        </row>
        <row r="477">
          <cell r="A477">
            <v>246</v>
          </cell>
          <cell r="B477" t="str">
            <v>Finland</v>
          </cell>
          <cell r="C477">
            <v>1998</v>
          </cell>
          <cell r="D477">
            <v>90</v>
          </cell>
          <cell r="E477">
            <v>2529</v>
          </cell>
          <cell r="F477">
            <v>90</v>
          </cell>
          <cell r="G477">
            <v>320816</v>
          </cell>
          <cell r="H477" t="str">
            <v>;;=SUM(F44:G44);</v>
          </cell>
          <cell r="I477" t="str">
            <v>.</v>
          </cell>
        </row>
        <row r="478">
          <cell r="A478">
            <v>246</v>
          </cell>
          <cell r="B478" t="str">
            <v>Finland</v>
          </cell>
          <cell r="C478">
            <v>1998</v>
          </cell>
          <cell r="D478">
            <v>90</v>
          </cell>
          <cell r="E478">
            <v>3034</v>
          </cell>
          <cell r="F478">
            <v>90</v>
          </cell>
          <cell r="G478">
            <v>374399</v>
          </cell>
          <cell r="H478" t="str">
            <v/>
          </cell>
          <cell r="I478" t="str">
            <v>.</v>
          </cell>
        </row>
        <row r="479">
          <cell r="A479">
            <v>246</v>
          </cell>
          <cell r="B479" t="str">
            <v>Finland</v>
          </cell>
          <cell r="C479">
            <v>1998</v>
          </cell>
          <cell r="D479">
            <v>90</v>
          </cell>
          <cell r="E479">
            <v>3539</v>
          </cell>
          <cell r="F479">
            <v>90</v>
          </cell>
          <cell r="G479">
            <v>378530</v>
          </cell>
          <cell r="H479" t="str">
            <v/>
          </cell>
          <cell r="I479" t="str">
            <v>.</v>
          </cell>
        </row>
        <row r="480">
          <cell r="A480">
            <v>246</v>
          </cell>
          <cell r="B480" t="str">
            <v>Finland</v>
          </cell>
          <cell r="C480">
            <v>1998</v>
          </cell>
          <cell r="D480">
            <v>90</v>
          </cell>
          <cell r="E480">
            <v>4099</v>
          </cell>
          <cell r="F480">
            <v>90</v>
          </cell>
          <cell r="G480">
            <v>2467452</v>
          </cell>
          <cell r="H480" t="str">
            <v/>
          </cell>
          <cell r="I480" t="str">
            <v>.</v>
          </cell>
        </row>
        <row r="481">
          <cell r="A481">
            <v>246</v>
          </cell>
          <cell r="B481" t="str">
            <v>Finland</v>
          </cell>
          <cell r="C481">
            <v>1998</v>
          </cell>
          <cell r="D481">
            <v>90</v>
          </cell>
          <cell r="E481">
            <v>990000</v>
          </cell>
          <cell r="F481">
            <v>90</v>
          </cell>
          <cell r="G481">
            <v>0</v>
          </cell>
          <cell r="H481" t="str">
            <v>n;</v>
          </cell>
          <cell r="I481" t="str">
            <v>n</v>
          </cell>
        </row>
        <row r="482">
          <cell r="A482">
            <v>276</v>
          </cell>
          <cell r="B482" t="str">
            <v>Germany</v>
          </cell>
          <cell r="C482">
            <v>1998</v>
          </cell>
          <cell r="D482">
            <v>90</v>
          </cell>
          <cell r="E482">
            <v>900000</v>
          </cell>
          <cell r="F482">
            <v>90</v>
          </cell>
          <cell r="G482">
            <v>82057379</v>
          </cell>
          <cell r="H482" t="str">
            <v>;;=SUM(F11:G11);</v>
          </cell>
          <cell r="I482" t="str">
            <v>.</v>
          </cell>
        </row>
        <row r="483">
          <cell r="A483">
            <v>276</v>
          </cell>
          <cell r="B483" t="str">
            <v>Germany</v>
          </cell>
          <cell r="C483">
            <v>1998</v>
          </cell>
          <cell r="D483">
            <v>90</v>
          </cell>
          <cell r="E483">
            <v>300</v>
          </cell>
          <cell r="F483">
            <v>90</v>
          </cell>
          <cell r="G483">
            <v>2380755</v>
          </cell>
          <cell r="H483" t="str">
            <v>;;=SUM(F12:G12);</v>
          </cell>
          <cell r="I483" t="str">
            <v>.</v>
          </cell>
        </row>
        <row r="484">
          <cell r="A484">
            <v>276</v>
          </cell>
          <cell r="B484" t="str">
            <v>Germany</v>
          </cell>
          <cell r="C484">
            <v>1998</v>
          </cell>
          <cell r="D484">
            <v>90</v>
          </cell>
          <cell r="E484">
            <v>303</v>
          </cell>
          <cell r="F484">
            <v>90</v>
          </cell>
          <cell r="G484">
            <v>780340</v>
          </cell>
          <cell r="H484" t="str">
            <v>;;=SUM(F13:G13);</v>
          </cell>
          <cell r="I484" t="str">
            <v>.</v>
          </cell>
        </row>
        <row r="485">
          <cell r="A485">
            <v>276</v>
          </cell>
          <cell r="B485" t="str">
            <v>Germany</v>
          </cell>
          <cell r="C485">
            <v>1998</v>
          </cell>
          <cell r="D485">
            <v>90</v>
          </cell>
          <cell r="E485">
            <v>404</v>
          </cell>
          <cell r="F485">
            <v>90</v>
          </cell>
          <cell r="G485">
            <v>812818</v>
          </cell>
          <cell r="H485" t="str">
            <v>;;=SUM(F14:G14);</v>
          </cell>
          <cell r="I485" t="str">
            <v>.</v>
          </cell>
        </row>
        <row r="486">
          <cell r="A486">
            <v>276</v>
          </cell>
          <cell r="B486" t="str">
            <v>Germany</v>
          </cell>
          <cell r="C486">
            <v>1998</v>
          </cell>
          <cell r="D486">
            <v>90</v>
          </cell>
          <cell r="E486">
            <v>505</v>
          </cell>
          <cell r="F486">
            <v>90</v>
          </cell>
          <cell r="G486">
            <v>833050</v>
          </cell>
          <cell r="H486" t="str">
            <v>;;=SUM(F15:G15);</v>
          </cell>
          <cell r="I486" t="str">
            <v>.</v>
          </cell>
        </row>
        <row r="487">
          <cell r="A487">
            <v>276</v>
          </cell>
          <cell r="B487" t="str">
            <v>Germany</v>
          </cell>
          <cell r="C487">
            <v>1998</v>
          </cell>
          <cell r="D487">
            <v>90</v>
          </cell>
          <cell r="E487">
            <v>606</v>
          </cell>
          <cell r="F487">
            <v>90</v>
          </cell>
          <cell r="G487">
            <v>865009</v>
          </cell>
          <cell r="H487" t="str">
            <v>;;=SUM(F16:G16);</v>
          </cell>
          <cell r="I487" t="str">
            <v>.</v>
          </cell>
        </row>
        <row r="488">
          <cell r="A488">
            <v>276</v>
          </cell>
          <cell r="B488" t="str">
            <v>Germany</v>
          </cell>
          <cell r="C488">
            <v>1998</v>
          </cell>
          <cell r="D488">
            <v>90</v>
          </cell>
          <cell r="E488">
            <v>707</v>
          </cell>
          <cell r="F488">
            <v>90</v>
          </cell>
          <cell r="G488">
            <v>951270</v>
          </cell>
          <cell r="H488" t="str">
            <v>;;=SUM(F17:G17);</v>
          </cell>
          <cell r="I488" t="str">
            <v>.</v>
          </cell>
        </row>
        <row r="489">
          <cell r="A489">
            <v>276</v>
          </cell>
          <cell r="B489" t="str">
            <v>Germany</v>
          </cell>
          <cell r="C489">
            <v>1998</v>
          </cell>
          <cell r="D489">
            <v>90</v>
          </cell>
          <cell r="E489">
            <v>808</v>
          </cell>
          <cell r="F489">
            <v>90</v>
          </cell>
          <cell r="G489">
            <v>940107</v>
          </cell>
          <cell r="H489" t="str">
            <v>;;=SUM(F18:G18);</v>
          </cell>
          <cell r="I489" t="str">
            <v>.</v>
          </cell>
        </row>
        <row r="490">
          <cell r="A490">
            <v>276</v>
          </cell>
          <cell r="B490" t="str">
            <v>Germany</v>
          </cell>
          <cell r="C490">
            <v>1998</v>
          </cell>
          <cell r="D490">
            <v>90</v>
          </cell>
          <cell r="E490">
            <v>909</v>
          </cell>
          <cell r="F490">
            <v>90</v>
          </cell>
          <cell r="G490">
            <v>966880</v>
          </cell>
          <cell r="H490" t="str">
            <v>;;=SUM(F19:G19);</v>
          </cell>
          <cell r="I490" t="str">
            <v>.</v>
          </cell>
        </row>
        <row r="491">
          <cell r="A491">
            <v>276</v>
          </cell>
          <cell r="B491" t="str">
            <v>Germany</v>
          </cell>
          <cell r="C491">
            <v>1998</v>
          </cell>
          <cell r="D491">
            <v>90</v>
          </cell>
          <cell r="E491">
            <v>509</v>
          </cell>
          <cell r="F491">
            <v>90</v>
          </cell>
          <cell r="G491">
            <v>4556316</v>
          </cell>
          <cell r="H491" t="str">
            <v>;;=SUM(F20:G20);</v>
          </cell>
          <cell r="I491" t="str">
            <v>.</v>
          </cell>
        </row>
        <row r="492">
          <cell r="A492">
            <v>276</v>
          </cell>
          <cell r="B492" t="str">
            <v>Germany</v>
          </cell>
          <cell r="C492">
            <v>1998</v>
          </cell>
          <cell r="D492">
            <v>90</v>
          </cell>
          <cell r="E492">
            <v>1010</v>
          </cell>
          <cell r="F492">
            <v>90</v>
          </cell>
          <cell r="G492">
            <v>945649</v>
          </cell>
          <cell r="H492" t="str">
            <v>;;=SUM(F21:G21);</v>
          </cell>
          <cell r="I492" t="str">
            <v>.</v>
          </cell>
        </row>
        <row r="493">
          <cell r="A493">
            <v>276</v>
          </cell>
          <cell r="B493" t="str">
            <v>Germany</v>
          </cell>
          <cell r="C493">
            <v>1998</v>
          </cell>
          <cell r="D493">
            <v>90</v>
          </cell>
          <cell r="E493">
            <v>1111</v>
          </cell>
          <cell r="F493">
            <v>90</v>
          </cell>
          <cell r="G493">
            <v>928920</v>
          </cell>
          <cell r="H493" t="str">
            <v>;;=SUM(F22:G22);</v>
          </cell>
          <cell r="I493" t="str">
            <v>.</v>
          </cell>
        </row>
        <row r="494">
          <cell r="A494">
            <v>276</v>
          </cell>
          <cell r="B494" t="str">
            <v>Germany</v>
          </cell>
          <cell r="C494">
            <v>1998</v>
          </cell>
          <cell r="D494">
            <v>90</v>
          </cell>
          <cell r="E494">
            <v>1212</v>
          </cell>
          <cell r="F494">
            <v>90</v>
          </cell>
          <cell r="G494">
            <v>897188</v>
          </cell>
          <cell r="H494" t="str">
            <v>;;=SUM(F23:G23);</v>
          </cell>
          <cell r="I494" t="str">
            <v>.</v>
          </cell>
        </row>
        <row r="495">
          <cell r="A495">
            <v>276</v>
          </cell>
          <cell r="B495" t="str">
            <v>Germany</v>
          </cell>
          <cell r="C495">
            <v>1998</v>
          </cell>
          <cell r="D495">
            <v>90</v>
          </cell>
          <cell r="E495">
            <v>1313</v>
          </cell>
          <cell r="F495">
            <v>90</v>
          </cell>
          <cell r="G495">
            <v>894547</v>
          </cell>
          <cell r="H495" t="str">
            <v>;;=SUM(F24:G24);</v>
          </cell>
          <cell r="I495" t="str">
            <v>.</v>
          </cell>
        </row>
        <row r="496">
          <cell r="A496">
            <v>276</v>
          </cell>
          <cell r="B496" t="str">
            <v>Germany</v>
          </cell>
          <cell r="C496">
            <v>1998</v>
          </cell>
          <cell r="D496">
            <v>90</v>
          </cell>
          <cell r="E496">
            <v>1414</v>
          </cell>
          <cell r="F496">
            <v>90</v>
          </cell>
          <cell r="G496">
            <v>901878</v>
          </cell>
          <cell r="H496" t="str">
            <v>;;=SUM(F25:G25);</v>
          </cell>
          <cell r="I496" t="str">
            <v>.</v>
          </cell>
        </row>
        <row r="497">
          <cell r="A497">
            <v>276</v>
          </cell>
          <cell r="B497" t="str">
            <v>Germany</v>
          </cell>
          <cell r="C497">
            <v>1998</v>
          </cell>
          <cell r="D497">
            <v>90</v>
          </cell>
          <cell r="E497">
            <v>1014</v>
          </cell>
          <cell r="F497">
            <v>90</v>
          </cell>
          <cell r="G497">
            <v>4568182</v>
          </cell>
          <cell r="H497" t="str">
            <v>;;=SUM(F26:G26);</v>
          </cell>
          <cell r="I497" t="str">
            <v>.</v>
          </cell>
        </row>
        <row r="498">
          <cell r="A498">
            <v>276</v>
          </cell>
          <cell r="B498" t="str">
            <v>Germany</v>
          </cell>
          <cell r="C498">
            <v>1998</v>
          </cell>
          <cell r="D498">
            <v>90</v>
          </cell>
          <cell r="E498">
            <v>1515</v>
          </cell>
          <cell r="F498">
            <v>90</v>
          </cell>
          <cell r="G498">
            <v>927456</v>
          </cell>
          <cell r="H498" t="str">
            <v>;;=SUM(F27:G27);</v>
          </cell>
          <cell r="I498" t="str">
            <v>.</v>
          </cell>
        </row>
        <row r="499">
          <cell r="A499">
            <v>276</v>
          </cell>
          <cell r="B499" t="str">
            <v>Germany</v>
          </cell>
          <cell r="C499">
            <v>1998</v>
          </cell>
          <cell r="D499">
            <v>90</v>
          </cell>
          <cell r="E499">
            <v>1616</v>
          </cell>
          <cell r="F499">
            <v>90</v>
          </cell>
          <cell r="G499">
            <v>926668</v>
          </cell>
          <cell r="H499" t="str">
            <v>;;=SUM(F28:G28);</v>
          </cell>
          <cell r="I499" t="str">
            <v>.</v>
          </cell>
        </row>
        <row r="500">
          <cell r="A500">
            <v>276</v>
          </cell>
          <cell r="B500" t="str">
            <v>Germany</v>
          </cell>
          <cell r="C500">
            <v>1998</v>
          </cell>
          <cell r="D500">
            <v>90</v>
          </cell>
          <cell r="E500">
            <v>1717</v>
          </cell>
          <cell r="F500">
            <v>90</v>
          </cell>
          <cell r="G500">
            <v>934259</v>
          </cell>
          <cell r="H500" t="str">
            <v>;;=SUM(F29:G29);</v>
          </cell>
          <cell r="I500" t="str">
            <v>.</v>
          </cell>
        </row>
        <row r="501">
          <cell r="A501">
            <v>276</v>
          </cell>
          <cell r="B501" t="str">
            <v>Germany</v>
          </cell>
          <cell r="C501">
            <v>1998</v>
          </cell>
          <cell r="D501">
            <v>90</v>
          </cell>
          <cell r="E501">
            <v>1818</v>
          </cell>
          <cell r="F501">
            <v>90</v>
          </cell>
          <cell r="G501">
            <v>889501</v>
          </cell>
          <cell r="H501" t="str">
            <v>;;=SUM(F30:G30);</v>
          </cell>
          <cell r="I501" t="str">
            <v>.</v>
          </cell>
        </row>
        <row r="502">
          <cell r="A502">
            <v>276</v>
          </cell>
          <cell r="B502" t="str">
            <v>Germany</v>
          </cell>
          <cell r="C502">
            <v>1998</v>
          </cell>
          <cell r="D502">
            <v>90</v>
          </cell>
          <cell r="E502">
            <v>1919</v>
          </cell>
          <cell r="F502">
            <v>90</v>
          </cell>
          <cell r="G502">
            <v>885122</v>
          </cell>
          <cell r="H502" t="str">
            <v>;;=SUM(F31:G31);</v>
          </cell>
          <cell r="I502" t="str">
            <v>.</v>
          </cell>
        </row>
        <row r="503">
          <cell r="A503">
            <v>276</v>
          </cell>
          <cell r="B503" t="str">
            <v>Germany</v>
          </cell>
          <cell r="C503">
            <v>1998</v>
          </cell>
          <cell r="D503">
            <v>90</v>
          </cell>
          <cell r="E503">
            <v>1519</v>
          </cell>
          <cell r="F503">
            <v>90</v>
          </cell>
          <cell r="G503">
            <v>4563006</v>
          </cell>
          <cell r="H503" t="str">
            <v>;;=SUM(F32:G32);</v>
          </cell>
          <cell r="I503" t="str">
            <v>.</v>
          </cell>
        </row>
        <row r="504">
          <cell r="A504">
            <v>348</v>
          </cell>
          <cell r="B504" t="str">
            <v>Hungary</v>
          </cell>
          <cell r="C504">
            <v>1998</v>
          </cell>
          <cell r="D504">
            <v>90</v>
          </cell>
          <cell r="E504">
            <v>1212</v>
          </cell>
          <cell r="F504">
            <v>90</v>
          </cell>
          <cell r="G504">
            <v>126162</v>
          </cell>
          <cell r="H504" t="str">
            <v>;;=SUM(F23:G23);</v>
          </cell>
          <cell r="I504" t="str">
            <v>.</v>
          </cell>
        </row>
        <row r="505">
          <cell r="A505">
            <v>348</v>
          </cell>
          <cell r="B505" t="str">
            <v>Hungary</v>
          </cell>
          <cell r="C505">
            <v>1998</v>
          </cell>
          <cell r="D505">
            <v>90</v>
          </cell>
          <cell r="E505">
            <v>1313</v>
          </cell>
          <cell r="F505">
            <v>90</v>
          </cell>
          <cell r="G505">
            <v>120859</v>
          </cell>
          <cell r="H505" t="str">
            <v>;;=SUM(F24:G24);</v>
          </cell>
          <cell r="I505" t="str">
            <v>.</v>
          </cell>
        </row>
        <row r="506">
          <cell r="A506">
            <v>348</v>
          </cell>
          <cell r="B506" t="str">
            <v>Hungary</v>
          </cell>
          <cell r="C506">
            <v>1998</v>
          </cell>
          <cell r="D506">
            <v>90</v>
          </cell>
          <cell r="E506">
            <v>1414</v>
          </cell>
          <cell r="F506">
            <v>90</v>
          </cell>
          <cell r="G506">
            <v>123016</v>
          </cell>
          <cell r="H506" t="str">
            <v>;;=SUM(F25:G25);</v>
          </cell>
          <cell r="I506" t="str">
            <v>.</v>
          </cell>
        </row>
        <row r="507">
          <cell r="A507">
            <v>348</v>
          </cell>
          <cell r="B507" t="str">
            <v>Hungary</v>
          </cell>
          <cell r="C507">
            <v>1998</v>
          </cell>
          <cell r="D507">
            <v>90</v>
          </cell>
          <cell r="E507">
            <v>1014</v>
          </cell>
          <cell r="F507">
            <v>90</v>
          </cell>
          <cell r="G507">
            <v>617236</v>
          </cell>
          <cell r="H507" t="str">
            <v>;;=SUM(F26:G26);</v>
          </cell>
          <cell r="I507" t="str">
            <v>.</v>
          </cell>
        </row>
        <row r="508">
          <cell r="A508">
            <v>348</v>
          </cell>
          <cell r="B508" t="str">
            <v>Hungary</v>
          </cell>
          <cell r="C508">
            <v>1998</v>
          </cell>
          <cell r="D508">
            <v>90</v>
          </cell>
          <cell r="E508">
            <v>1515</v>
          </cell>
          <cell r="F508">
            <v>90</v>
          </cell>
          <cell r="G508">
            <v>129240</v>
          </cell>
          <cell r="H508" t="str">
            <v>;;=SUM(F27:G27);</v>
          </cell>
          <cell r="I508" t="str">
            <v>.</v>
          </cell>
        </row>
        <row r="509">
          <cell r="A509">
            <v>348</v>
          </cell>
          <cell r="B509" t="str">
            <v>Hungary</v>
          </cell>
          <cell r="C509">
            <v>1998</v>
          </cell>
          <cell r="D509">
            <v>90</v>
          </cell>
          <cell r="E509">
            <v>1616</v>
          </cell>
          <cell r="F509">
            <v>90</v>
          </cell>
          <cell r="G509">
            <v>138007</v>
          </cell>
          <cell r="H509" t="str">
            <v>;;=SUM(F28:G28);</v>
          </cell>
          <cell r="I509" t="str">
            <v>.</v>
          </cell>
        </row>
        <row r="510">
          <cell r="A510">
            <v>348</v>
          </cell>
          <cell r="B510" t="str">
            <v>Hungary</v>
          </cell>
          <cell r="C510">
            <v>1998</v>
          </cell>
          <cell r="D510">
            <v>90</v>
          </cell>
          <cell r="E510">
            <v>1717</v>
          </cell>
          <cell r="F510">
            <v>90</v>
          </cell>
          <cell r="G510">
            <v>143661</v>
          </cell>
          <cell r="H510" t="str">
            <v>;;=SUM(F29:G29);</v>
          </cell>
          <cell r="I510" t="str">
            <v>.</v>
          </cell>
        </row>
        <row r="511">
          <cell r="A511">
            <v>348</v>
          </cell>
          <cell r="B511" t="str">
            <v>Hungary</v>
          </cell>
          <cell r="C511">
            <v>1998</v>
          </cell>
          <cell r="D511">
            <v>90</v>
          </cell>
          <cell r="E511">
            <v>1818</v>
          </cell>
          <cell r="F511">
            <v>90</v>
          </cell>
          <cell r="G511">
            <v>154463</v>
          </cell>
          <cell r="H511" t="str">
            <v>;;=SUM(F30:G30);</v>
          </cell>
          <cell r="I511" t="str">
            <v>.</v>
          </cell>
        </row>
        <row r="512">
          <cell r="A512">
            <v>348</v>
          </cell>
          <cell r="B512" t="str">
            <v>Hungary</v>
          </cell>
          <cell r="C512">
            <v>1998</v>
          </cell>
          <cell r="D512">
            <v>90</v>
          </cell>
          <cell r="E512">
            <v>1919</v>
          </cell>
          <cell r="F512">
            <v>90</v>
          </cell>
          <cell r="G512">
            <v>161843</v>
          </cell>
          <cell r="H512" t="str">
            <v>;;=SUM(F31:G31);</v>
          </cell>
          <cell r="I512" t="str">
            <v>.</v>
          </cell>
        </row>
        <row r="513">
          <cell r="A513">
            <v>348</v>
          </cell>
          <cell r="B513" t="str">
            <v>Hungary</v>
          </cell>
          <cell r="C513">
            <v>1998</v>
          </cell>
          <cell r="D513">
            <v>90</v>
          </cell>
          <cell r="E513">
            <v>1519</v>
          </cell>
          <cell r="F513">
            <v>90</v>
          </cell>
          <cell r="G513">
            <v>727214</v>
          </cell>
          <cell r="H513" t="str">
            <v>;;=SUM(F32:G32);</v>
          </cell>
          <cell r="I513" t="str">
            <v>.</v>
          </cell>
        </row>
        <row r="514">
          <cell r="A514">
            <v>348</v>
          </cell>
          <cell r="B514" t="str">
            <v>Hungary</v>
          </cell>
          <cell r="C514">
            <v>1998</v>
          </cell>
          <cell r="D514">
            <v>90</v>
          </cell>
          <cell r="E514">
            <v>2020</v>
          </cell>
          <cell r="F514">
            <v>90</v>
          </cell>
          <cell r="G514">
            <v>170707</v>
          </cell>
          <cell r="H514" t="str">
            <v>;;=SUM(F33:G33);</v>
          </cell>
          <cell r="I514" t="str">
            <v>.</v>
          </cell>
        </row>
        <row r="515">
          <cell r="A515">
            <v>348</v>
          </cell>
          <cell r="B515" t="str">
            <v>Hungary</v>
          </cell>
          <cell r="C515">
            <v>1998</v>
          </cell>
          <cell r="D515">
            <v>90</v>
          </cell>
          <cell r="E515">
            <v>2121</v>
          </cell>
          <cell r="F515">
            <v>90</v>
          </cell>
          <cell r="G515">
            <v>177857</v>
          </cell>
          <cell r="H515" t="str">
            <v>;;=SUM(F34:G34);</v>
          </cell>
          <cell r="I515" t="str">
            <v>.</v>
          </cell>
        </row>
        <row r="516">
          <cell r="A516">
            <v>348</v>
          </cell>
          <cell r="B516" t="str">
            <v>Hungary</v>
          </cell>
          <cell r="C516">
            <v>1998</v>
          </cell>
          <cell r="D516">
            <v>90</v>
          </cell>
          <cell r="E516">
            <v>2222</v>
          </cell>
          <cell r="F516">
            <v>90</v>
          </cell>
          <cell r="G516">
            <v>189208</v>
          </cell>
          <cell r="H516" t="str">
            <v>;;=SUM(F35:G35);</v>
          </cell>
          <cell r="I516" t="str">
            <v>.</v>
          </cell>
        </row>
        <row r="517">
          <cell r="A517">
            <v>348</v>
          </cell>
          <cell r="B517" t="str">
            <v>Hungary</v>
          </cell>
          <cell r="C517">
            <v>1998</v>
          </cell>
          <cell r="D517">
            <v>90</v>
          </cell>
          <cell r="E517">
            <v>2323</v>
          </cell>
          <cell r="F517">
            <v>90</v>
          </cell>
          <cell r="G517">
            <v>180953</v>
          </cell>
          <cell r="H517" t="str">
            <v>;;=SUM(F36:G36);</v>
          </cell>
          <cell r="I517" t="str">
            <v>.</v>
          </cell>
        </row>
        <row r="518">
          <cell r="A518">
            <v>348</v>
          </cell>
          <cell r="B518" t="str">
            <v>Hungary</v>
          </cell>
          <cell r="C518">
            <v>1998</v>
          </cell>
          <cell r="D518">
            <v>90</v>
          </cell>
          <cell r="E518">
            <v>2424</v>
          </cell>
          <cell r="F518">
            <v>90</v>
          </cell>
          <cell r="G518">
            <v>150572</v>
          </cell>
          <cell r="H518" t="str">
            <v>;;=SUM(F37:G37);</v>
          </cell>
          <cell r="I518" t="str">
            <v>.</v>
          </cell>
        </row>
        <row r="519">
          <cell r="A519">
            <v>348</v>
          </cell>
          <cell r="B519" t="str">
            <v>Hungary</v>
          </cell>
          <cell r="C519">
            <v>1998</v>
          </cell>
          <cell r="D519">
            <v>90</v>
          </cell>
          <cell r="E519">
            <v>2024</v>
          </cell>
          <cell r="F519">
            <v>90</v>
          </cell>
          <cell r="G519">
            <v>869297</v>
          </cell>
          <cell r="H519" t="str">
            <v>;;=SUM(F38:G38);</v>
          </cell>
          <cell r="I519" t="str">
            <v>.</v>
          </cell>
        </row>
        <row r="520">
          <cell r="A520">
            <v>348</v>
          </cell>
          <cell r="B520" t="str">
            <v>Hungary</v>
          </cell>
          <cell r="C520">
            <v>1998</v>
          </cell>
          <cell r="D520">
            <v>90</v>
          </cell>
          <cell r="E520">
            <v>2525</v>
          </cell>
          <cell r="F520">
            <v>90</v>
          </cell>
          <cell r="G520">
            <v>146198</v>
          </cell>
          <cell r="H520" t="str">
            <v>;;=SUM(F39:G39);</v>
          </cell>
          <cell r="I520" t="str">
            <v>.</v>
          </cell>
        </row>
        <row r="521">
          <cell r="A521">
            <v>348</v>
          </cell>
          <cell r="B521" t="str">
            <v>Hungary</v>
          </cell>
          <cell r="C521">
            <v>1998</v>
          </cell>
          <cell r="D521">
            <v>90</v>
          </cell>
          <cell r="E521">
            <v>2626</v>
          </cell>
          <cell r="F521">
            <v>90</v>
          </cell>
          <cell r="G521">
            <v>141524</v>
          </cell>
          <cell r="H521" t="str">
            <v>;;=SUM(F40:G40);</v>
          </cell>
          <cell r="I521" t="str">
            <v>.</v>
          </cell>
        </row>
        <row r="522">
          <cell r="A522">
            <v>348</v>
          </cell>
          <cell r="B522" t="str">
            <v>Hungary</v>
          </cell>
          <cell r="C522">
            <v>1998</v>
          </cell>
          <cell r="D522">
            <v>90</v>
          </cell>
          <cell r="E522">
            <v>2727</v>
          </cell>
          <cell r="F522">
            <v>90</v>
          </cell>
          <cell r="G522">
            <v>142785</v>
          </cell>
          <cell r="H522" t="str">
            <v>;;=SUM(F41:G41);</v>
          </cell>
          <cell r="I522" t="str">
            <v>.</v>
          </cell>
        </row>
        <row r="523">
          <cell r="A523">
            <v>348</v>
          </cell>
          <cell r="B523" t="str">
            <v>Hungary</v>
          </cell>
          <cell r="C523">
            <v>1998</v>
          </cell>
          <cell r="D523">
            <v>90</v>
          </cell>
          <cell r="E523">
            <v>2828</v>
          </cell>
          <cell r="F523">
            <v>90</v>
          </cell>
          <cell r="G523">
            <v>143285</v>
          </cell>
          <cell r="H523" t="str">
            <v>;;=SUM(F42:G42);</v>
          </cell>
          <cell r="I523" t="str">
            <v>.</v>
          </cell>
        </row>
        <row r="524">
          <cell r="A524">
            <v>348</v>
          </cell>
          <cell r="B524" t="str">
            <v>Hungary</v>
          </cell>
          <cell r="C524">
            <v>1998</v>
          </cell>
          <cell r="D524">
            <v>90</v>
          </cell>
          <cell r="E524">
            <v>2929</v>
          </cell>
          <cell r="F524">
            <v>90</v>
          </cell>
          <cell r="G524">
            <v>143679</v>
          </cell>
          <cell r="H524" t="str">
            <v>;;=SUM(F43:G43);</v>
          </cell>
          <cell r="I524" t="str">
            <v>.</v>
          </cell>
        </row>
        <row r="525">
          <cell r="A525">
            <v>348</v>
          </cell>
          <cell r="B525" t="str">
            <v>Hungary</v>
          </cell>
          <cell r="C525">
            <v>1998</v>
          </cell>
          <cell r="D525">
            <v>90</v>
          </cell>
          <cell r="E525">
            <v>2529</v>
          </cell>
          <cell r="F525">
            <v>90</v>
          </cell>
          <cell r="G525">
            <v>717471</v>
          </cell>
          <cell r="H525" t="str">
            <v>;;=SUM(F44:G44);</v>
          </cell>
          <cell r="I525" t="str">
            <v>.</v>
          </cell>
        </row>
        <row r="526">
          <cell r="A526">
            <v>348</v>
          </cell>
          <cell r="B526" t="str">
            <v>Hungary</v>
          </cell>
          <cell r="C526">
            <v>1998</v>
          </cell>
          <cell r="D526">
            <v>90</v>
          </cell>
          <cell r="E526">
            <v>3034</v>
          </cell>
          <cell r="F526">
            <v>90</v>
          </cell>
          <cell r="G526">
            <v>624687</v>
          </cell>
          <cell r="H526" t="str">
            <v>;;=SUM(F45:G45);</v>
          </cell>
          <cell r="I526" t="str">
            <v>.</v>
          </cell>
        </row>
        <row r="527">
          <cell r="A527">
            <v>348</v>
          </cell>
          <cell r="B527" t="str">
            <v>Hungary</v>
          </cell>
          <cell r="C527">
            <v>1998</v>
          </cell>
          <cell r="D527">
            <v>90</v>
          </cell>
          <cell r="E527">
            <v>3539</v>
          </cell>
          <cell r="F527">
            <v>90</v>
          </cell>
          <cell r="G527">
            <v>642424</v>
          </cell>
          <cell r="H527" t="str">
            <v>;;=SUM(F46:G46);</v>
          </cell>
          <cell r="I527" t="str">
            <v>.</v>
          </cell>
        </row>
        <row r="528">
          <cell r="A528">
            <v>348</v>
          </cell>
          <cell r="B528" t="str">
            <v>Hungary</v>
          </cell>
          <cell r="C528">
            <v>1998</v>
          </cell>
          <cell r="D528">
            <v>90</v>
          </cell>
          <cell r="E528">
            <v>4099</v>
          </cell>
          <cell r="F528">
            <v>90</v>
          </cell>
          <cell r="G528">
            <v>4782540</v>
          </cell>
          <cell r="H528" t="str">
            <v>;;=SUM(F47:G47);</v>
          </cell>
          <cell r="I528" t="str">
            <v>.</v>
          </cell>
        </row>
        <row r="529">
          <cell r="A529">
            <v>348</v>
          </cell>
          <cell r="B529" t="str">
            <v>Hungary</v>
          </cell>
          <cell r="C529">
            <v>1998</v>
          </cell>
          <cell r="D529">
            <v>90</v>
          </cell>
          <cell r="E529">
            <v>990000</v>
          </cell>
          <cell r="F529">
            <v>90</v>
          </cell>
          <cell r="G529">
            <v>0</v>
          </cell>
          <cell r="H529" t="str">
            <v>;;=SUM(F48:G48);</v>
          </cell>
          <cell r="I529" t="str">
            <v>.</v>
          </cell>
        </row>
        <row r="530">
          <cell r="A530">
            <v>352</v>
          </cell>
          <cell r="B530" t="str">
            <v>Iceland</v>
          </cell>
          <cell r="C530">
            <v>1998</v>
          </cell>
          <cell r="D530">
            <v>90</v>
          </cell>
          <cell r="E530">
            <v>303</v>
          </cell>
          <cell r="F530">
            <v>90</v>
          </cell>
          <cell r="G530">
            <v>4436</v>
          </cell>
          <cell r="H530" t="str">
            <v>;;=SUM(F13:G13);</v>
          </cell>
          <cell r="I530" t="str">
            <v>.</v>
          </cell>
        </row>
        <row r="531">
          <cell r="A531">
            <v>352</v>
          </cell>
          <cell r="B531" t="str">
            <v>Iceland</v>
          </cell>
          <cell r="C531">
            <v>1998</v>
          </cell>
          <cell r="D531">
            <v>90</v>
          </cell>
          <cell r="E531">
            <v>404</v>
          </cell>
          <cell r="F531">
            <v>90</v>
          </cell>
          <cell r="G531">
            <v>4541</v>
          </cell>
          <cell r="H531" t="str">
            <v>;;=SUM(F14:G14);</v>
          </cell>
          <cell r="I531" t="str">
            <v>.</v>
          </cell>
        </row>
        <row r="532">
          <cell r="A532">
            <v>352</v>
          </cell>
          <cell r="B532" t="str">
            <v>Iceland</v>
          </cell>
          <cell r="C532">
            <v>1998</v>
          </cell>
          <cell r="D532">
            <v>90</v>
          </cell>
          <cell r="E532">
            <v>505</v>
          </cell>
          <cell r="F532">
            <v>90</v>
          </cell>
          <cell r="G532">
            <v>4520</v>
          </cell>
          <cell r="H532" t="str">
            <v>;;=SUM(F15:G15);</v>
          </cell>
          <cell r="I532" t="str">
            <v>.</v>
          </cell>
        </row>
        <row r="533">
          <cell r="A533">
            <v>352</v>
          </cell>
          <cell r="B533" t="str">
            <v>Iceland</v>
          </cell>
          <cell r="C533">
            <v>1998</v>
          </cell>
          <cell r="D533">
            <v>90</v>
          </cell>
          <cell r="E533">
            <v>606</v>
          </cell>
          <cell r="F533">
            <v>90</v>
          </cell>
          <cell r="G533">
            <v>4482</v>
          </cell>
          <cell r="H533" t="str">
            <v>;;=SUM(F16:G16);</v>
          </cell>
          <cell r="I533" t="str">
            <v>.</v>
          </cell>
        </row>
        <row r="534">
          <cell r="A534">
            <v>352</v>
          </cell>
          <cell r="B534" t="str">
            <v>Iceland</v>
          </cell>
          <cell r="C534">
            <v>1998</v>
          </cell>
          <cell r="D534">
            <v>90</v>
          </cell>
          <cell r="E534">
            <v>707</v>
          </cell>
          <cell r="F534">
            <v>90</v>
          </cell>
          <cell r="G534">
            <v>4705</v>
          </cell>
          <cell r="H534" t="str">
            <v>;;=SUM(F17:G17);</v>
          </cell>
          <cell r="I534" t="str">
            <v>.</v>
          </cell>
        </row>
        <row r="535">
          <cell r="A535">
            <v>352</v>
          </cell>
          <cell r="B535" t="str">
            <v>Iceland</v>
          </cell>
          <cell r="C535">
            <v>1998</v>
          </cell>
          <cell r="D535">
            <v>90</v>
          </cell>
          <cell r="E535">
            <v>808</v>
          </cell>
          <cell r="F535">
            <v>90</v>
          </cell>
          <cell r="G535">
            <v>4451</v>
          </cell>
          <cell r="H535" t="str">
            <v>;;=SUM(F18:G18);</v>
          </cell>
          <cell r="I535" t="str">
            <v>.</v>
          </cell>
        </row>
        <row r="536">
          <cell r="A536">
            <v>352</v>
          </cell>
          <cell r="B536" t="str">
            <v>Iceland</v>
          </cell>
          <cell r="C536">
            <v>1998</v>
          </cell>
          <cell r="D536">
            <v>90</v>
          </cell>
          <cell r="E536">
            <v>909</v>
          </cell>
          <cell r="F536">
            <v>90</v>
          </cell>
          <cell r="G536">
            <v>4552</v>
          </cell>
          <cell r="H536" t="str">
            <v>;;=SUM(F19:G19);</v>
          </cell>
          <cell r="I536" t="str">
            <v>.</v>
          </cell>
        </row>
        <row r="537">
          <cell r="A537">
            <v>352</v>
          </cell>
          <cell r="B537" t="str">
            <v>Iceland</v>
          </cell>
          <cell r="C537">
            <v>1998</v>
          </cell>
          <cell r="D537">
            <v>90</v>
          </cell>
          <cell r="E537">
            <v>509</v>
          </cell>
          <cell r="F537">
            <v>90</v>
          </cell>
          <cell r="G537">
            <v>22710</v>
          </cell>
          <cell r="H537" t="str">
            <v>;;=SUM(F20:G20);</v>
          </cell>
          <cell r="I537" t="str">
            <v>.</v>
          </cell>
        </row>
        <row r="538">
          <cell r="A538">
            <v>352</v>
          </cell>
          <cell r="B538" t="str">
            <v>Iceland</v>
          </cell>
          <cell r="C538">
            <v>1998</v>
          </cell>
          <cell r="D538">
            <v>90</v>
          </cell>
          <cell r="E538">
            <v>1010</v>
          </cell>
          <cell r="F538">
            <v>90</v>
          </cell>
          <cell r="G538">
            <v>4120</v>
          </cell>
          <cell r="H538" t="str">
            <v>;;=SUM(F21:G21);</v>
          </cell>
          <cell r="I538" t="str">
            <v>.</v>
          </cell>
        </row>
        <row r="539">
          <cell r="A539">
            <v>352</v>
          </cell>
          <cell r="B539" t="str">
            <v>Iceland</v>
          </cell>
          <cell r="C539">
            <v>1998</v>
          </cell>
          <cell r="D539">
            <v>90</v>
          </cell>
          <cell r="E539">
            <v>1111</v>
          </cell>
          <cell r="F539">
            <v>90</v>
          </cell>
          <cell r="G539">
            <v>3845</v>
          </cell>
          <cell r="H539" t="str">
            <v>;;=SUM(F22:G22);</v>
          </cell>
          <cell r="I539" t="str">
            <v>.</v>
          </cell>
        </row>
        <row r="540">
          <cell r="A540">
            <v>352</v>
          </cell>
          <cell r="B540" t="str">
            <v>Iceland</v>
          </cell>
          <cell r="C540">
            <v>1998</v>
          </cell>
          <cell r="D540">
            <v>90</v>
          </cell>
          <cell r="E540">
            <v>1212</v>
          </cell>
          <cell r="F540">
            <v>90</v>
          </cell>
          <cell r="G540">
            <v>3847</v>
          </cell>
          <cell r="H540" t="str">
            <v>;;=SUM(F23:G23);</v>
          </cell>
          <cell r="I540" t="str">
            <v>.</v>
          </cell>
        </row>
        <row r="541">
          <cell r="A541">
            <v>352</v>
          </cell>
          <cell r="B541" t="str">
            <v>Iceland</v>
          </cell>
          <cell r="C541">
            <v>1998</v>
          </cell>
          <cell r="D541">
            <v>90</v>
          </cell>
          <cell r="E541">
            <v>1313</v>
          </cell>
          <cell r="F541">
            <v>90</v>
          </cell>
          <cell r="G541">
            <v>4052</v>
          </cell>
          <cell r="H541" t="str">
            <v>;;=SUM(F24:G24);</v>
          </cell>
          <cell r="I541" t="str">
            <v>.</v>
          </cell>
        </row>
        <row r="542">
          <cell r="A542">
            <v>352</v>
          </cell>
          <cell r="B542" t="str">
            <v>Iceland</v>
          </cell>
          <cell r="C542">
            <v>1998</v>
          </cell>
          <cell r="D542">
            <v>90</v>
          </cell>
          <cell r="E542">
            <v>1414</v>
          </cell>
          <cell r="F542">
            <v>90</v>
          </cell>
          <cell r="G542">
            <v>4249</v>
          </cell>
          <cell r="H542" t="str">
            <v>;;=SUM(F25:G25);</v>
          </cell>
          <cell r="I542" t="str">
            <v>.</v>
          </cell>
        </row>
        <row r="543">
          <cell r="A543">
            <v>352</v>
          </cell>
          <cell r="B543" t="str">
            <v>Iceland</v>
          </cell>
          <cell r="C543">
            <v>1998</v>
          </cell>
          <cell r="D543">
            <v>90</v>
          </cell>
          <cell r="E543">
            <v>1014</v>
          </cell>
          <cell r="F543">
            <v>90</v>
          </cell>
          <cell r="G543">
            <v>20113</v>
          </cell>
          <cell r="H543" t="str">
            <v>;;=SUM(F26:G26);</v>
          </cell>
          <cell r="I543" t="str">
            <v>.</v>
          </cell>
        </row>
        <row r="544">
          <cell r="A544">
            <v>352</v>
          </cell>
          <cell r="B544" t="str">
            <v>Iceland</v>
          </cell>
          <cell r="C544">
            <v>1998</v>
          </cell>
          <cell r="D544">
            <v>90</v>
          </cell>
          <cell r="E544">
            <v>1515</v>
          </cell>
          <cell r="F544">
            <v>90</v>
          </cell>
          <cell r="G544">
            <v>4352</v>
          </cell>
          <cell r="H544" t="str">
            <v>;;=SUM(F27:G27);</v>
          </cell>
          <cell r="I544" t="str">
            <v>.</v>
          </cell>
        </row>
        <row r="545">
          <cell r="A545">
            <v>352</v>
          </cell>
          <cell r="B545" t="str">
            <v>Iceland</v>
          </cell>
          <cell r="C545">
            <v>1998</v>
          </cell>
          <cell r="D545">
            <v>90</v>
          </cell>
          <cell r="E545">
            <v>1616</v>
          </cell>
          <cell r="F545">
            <v>90</v>
          </cell>
          <cell r="G545">
            <v>4340</v>
          </cell>
          <cell r="H545" t="str">
            <v>;;=SUM(F28:G28);</v>
          </cell>
          <cell r="I545" t="str">
            <v>.</v>
          </cell>
        </row>
        <row r="546">
          <cell r="A546">
            <v>352</v>
          </cell>
          <cell r="B546" t="str">
            <v>Iceland</v>
          </cell>
          <cell r="C546">
            <v>1998</v>
          </cell>
          <cell r="D546">
            <v>90</v>
          </cell>
          <cell r="E546">
            <v>1717</v>
          </cell>
          <cell r="F546">
            <v>90</v>
          </cell>
          <cell r="G546">
            <v>4539</v>
          </cell>
          <cell r="H546" t="str">
            <v>;;=SUM(F29:G29);</v>
          </cell>
          <cell r="I546" t="str">
            <v>.</v>
          </cell>
        </row>
        <row r="547">
          <cell r="A547">
            <v>352</v>
          </cell>
          <cell r="B547" t="str">
            <v>Iceland</v>
          </cell>
          <cell r="C547">
            <v>1998</v>
          </cell>
          <cell r="D547">
            <v>90</v>
          </cell>
          <cell r="E547">
            <v>1818</v>
          </cell>
          <cell r="F547">
            <v>90</v>
          </cell>
          <cell r="G547">
            <v>4497</v>
          </cell>
          <cell r="H547" t="str">
            <v>;;=SUM(F30:G30);</v>
          </cell>
          <cell r="I547" t="str">
            <v>.</v>
          </cell>
        </row>
        <row r="548">
          <cell r="A548">
            <v>352</v>
          </cell>
          <cell r="B548" t="str">
            <v>Iceland</v>
          </cell>
          <cell r="C548">
            <v>1998</v>
          </cell>
          <cell r="D548">
            <v>90</v>
          </cell>
          <cell r="E548">
            <v>1919</v>
          </cell>
          <cell r="F548">
            <v>90</v>
          </cell>
          <cell r="G548">
            <v>4092</v>
          </cell>
          <cell r="H548" t="str">
            <v>;;=SUM(F31:G31);</v>
          </cell>
          <cell r="I548" t="str">
            <v>.</v>
          </cell>
        </row>
        <row r="549">
          <cell r="A549">
            <v>352</v>
          </cell>
          <cell r="B549" t="str">
            <v>Iceland</v>
          </cell>
          <cell r="C549">
            <v>1998</v>
          </cell>
          <cell r="D549">
            <v>90</v>
          </cell>
          <cell r="E549">
            <v>1519</v>
          </cell>
          <cell r="F549">
            <v>90</v>
          </cell>
          <cell r="G549">
            <v>21820</v>
          </cell>
          <cell r="H549" t="str">
            <v>;;=SUM(F32:G32);</v>
          </cell>
          <cell r="I549" t="str">
            <v>.</v>
          </cell>
        </row>
        <row r="550">
          <cell r="A550">
            <v>352</v>
          </cell>
          <cell r="B550" t="str">
            <v>Iceland</v>
          </cell>
          <cell r="C550">
            <v>1998</v>
          </cell>
          <cell r="D550">
            <v>90</v>
          </cell>
          <cell r="E550">
            <v>2020</v>
          </cell>
          <cell r="F550">
            <v>90</v>
          </cell>
          <cell r="G550">
            <v>3940</v>
          </cell>
          <cell r="H550" t="str">
            <v>;;=SUM(F33:G33);</v>
          </cell>
          <cell r="I550" t="str">
            <v>.</v>
          </cell>
        </row>
        <row r="551">
          <cell r="A551">
            <v>352</v>
          </cell>
          <cell r="B551" t="str">
            <v>Iceland</v>
          </cell>
          <cell r="C551">
            <v>1998</v>
          </cell>
          <cell r="D551">
            <v>90</v>
          </cell>
          <cell r="E551">
            <v>2121</v>
          </cell>
          <cell r="F551">
            <v>90</v>
          </cell>
          <cell r="G551">
            <v>4178</v>
          </cell>
          <cell r="H551" t="str">
            <v>;;=SUM(F34:G34);</v>
          </cell>
          <cell r="I551" t="str">
            <v>.</v>
          </cell>
        </row>
        <row r="552">
          <cell r="A552">
            <v>352</v>
          </cell>
          <cell r="B552" t="str">
            <v>Iceland</v>
          </cell>
          <cell r="C552">
            <v>1998</v>
          </cell>
          <cell r="D552">
            <v>90</v>
          </cell>
          <cell r="E552">
            <v>2222</v>
          </cell>
          <cell r="F552">
            <v>90</v>
          </cell>
          <cell r="G552">
            <v>4168</v>
          </cell>
          <cell r="H552" t="str">
            <v>;;=SUM(F35:G35);</v>
          </cell>
          <cell r="I552" t="str">
            <v>.</v>
          </cell>
        </row>
        <row r="553">
          <cell r="A553">
            <v>352</v>
          </cell>
          <cell r="B553" t="str">
            <v>Iceland</v>
          </cell>
          <cell r="C553">
            <v>1998</v>
          </cell>
          <cell r="D553">
            <v>90</v>
          </cell>
          <cell r="E553">
            <v>2323</v>
          </cell>
          <cell r="F553">
            <v>90</v>
          </cell>
          <cell r="G553">
            <v>3997</v>
          </cell>
          <cell r="H553" t="str">
            <v>;;=SUM(F36:G36);</v>
          </cell>
          <cell r="I553" t="str">
            <v>.</v>
          </cell>
        </row>
        <row r="554">
          <cell r="A554">
            <v>352</v>
          </cell>
          <cell r="B554" t="str">
            <v>Iceland</v>
          </cell>
          <cell r="C554">
            <v>1998</v>
          </cell>
          <cell r="D554">
            <v>90</v>
          </cell>
          <cell r="E554">
            <v>2424</v>
          </cell>
          <cell r="F554">
            <v>90</v>
          </cell>
          <cell r="G554">
            <v>4360</v>
          </cell>
          <cell r="H554" t="str">
            <v>;;=SUM(F37:G37);</v>
          </cell>
          <cell r="I554" t="str">
            <v>.</v>
          </cell>
        </row>
        <row r="555">
          <cell r="A555">
            <v>352</v>
          </cell>
          <cell r="B555" t="str">
            <v>Iceland</v>
          </cell>
          <cell r="C555">
            <v>1998</v>
          </cell>
          <cell r="D555">
            <v>90</v>
          </cell>
          <cell r="E555">
            <v>2024</v>
          </cell>
          <cell r="F555">
            <v>90</v>
          </cell>
          <cell r="G555">
            <v>20643</v>
          </cell>
          <cell r="H555" t="str">
            <v>;;=SUM(F38:G38);</v>
          </cell>
          <cell r="I555" t="str">
            <v>.</v>
          </cell>
        </row>
        <row r="556">
          <cell r="A556">
            <v>352</v>
          </cell>
          <cell r="B556" t="str">
            <v>Iceland</v>
          </cell>
          <cell r="C556">
            <v>1998</v>
          </cell>
          <cell r="D556">
            <v>90</v>
          </cell>
          <cell r="E556">
            <v>2525</v>
          </cell>
          <cell r="F556">
            <v>90</v>
          </cell>
          <cell r="G556">
            <v>4377</v>
          </cell>
          <cell r="H556" t="str">
            <v>;;=SUM(F39:G39);</v>
          </cell>
          <cell r="I556" t="str">
            <v>.</v>
          </cell>
        </row>
        <row r="557">
          <cell r="A557">
            <v>352</v>
          </cell>
          <cell r="B557" t="str">
            <v>Iceland</v>
          </cell>
          <cell r="C557">
            <v>1998</v>
          </cell>
          <cell r="D557">
            <v>90</v>
          </cell>
          <cell r="E557">
            <v>2626</v>
          </cell>
          <cell r="F557">
            <v>90</v>
          </cell>
          <cell r="G557">
            <v>3944</v>
          </cell>
          <cell r="H557" t="str">
            <v>;;=SUM(F40:G40);</v>
          </cell>
          <cell r="I557" t="str">
            <v>.</v>
          </cell>
        </row>
        <row r="558">
          <cell r="A558">
            <v>352</v>
          </cell>
          <cell r="B558" t="str">
            <v>Iceland</v>
          </cell>
          <cell r="C558">
            <v>1998</v>
          </cell>
          <cell r="D558">
            <v>90</v>
          </cell>
          <cell r="E558">
            <v>2727</v>
          </cell>
          <cell r="F558">
            <v>90</v>
          </cell>
          <cell r="G558">
            <v>3711</v>
          </cell>
          <cell r="H558" t="str">
            <v>;;=SUM(F41:G41);</v>
          </cell>
          <cell r="I558" t="str">
            <v>.</v>
          </cell>
        </row>
        <row r="559">
          <cell r="A559">
            <v>352</v>
          </cell>
          <cell r="B559" t="str">
            <v>Iceland</v>
          </cell>
          <cell r="C559">
            <v>1998</v>
          </cell>
          <cell r="D559">
            <v>90</v>
          </cell>
          <cell r="E559">
            <v>2828</v>
          </cell>
          <cell r="F559">
            <v>90</v>
          </cell>
          <cell r="G559">
            <v>3898</v>
          </cell>
          <cell r="H559" t="str">
            <v>;;=SUM(F42:G42);</v>
          </cell>
          <cell r="I559" t="str">
            <v>.</v>
          </cell>
        </row>
        <row r="560">
          <cell r="A560">
            <v>352</v>
          </cell>
          <cell r="B560" t="str">
            <v>Iceland</v>
          </cell>
          <cell r="C560">
            <v>1998</v>
          </cell>
          <cell r="D560">
            <v>90</v>
          </cell>
          <cell r="E560">
            <v>2929</v>
          </cell>
          <cell r="F560">
            <v>90</v>
          </cell>
          <cell r="G560">
            <v>3816</v>
          </cell>
          <cell r="H560" t="str">
            <v>;;=SUM(F43:G43);</v>
          </cell>
          <cell r="I560" t="str">
            <v>.</v>
          </cell>
        </row>
        <row r="561">
          <cell r="A561">
            <v>352</v>
          </cell>
          <cell r="B561" t="str">
            <v>Iceland</v>
          </cell>
          <cell r="C561">
            <v>1998</v>
          </cell>
          <cell r="D561">
            <v>90</v>
          </cell>
          <cell r="E561">
            <v>2529</v>
          </cell>
          <cell r="F561">
            <v>90</v>
          </cell>
          <cell r="G561">
            <v>19746</v>
          </cell>
          <cell r="H561" t="str">
            <v>;;=SUM(F44:G44);</v>
          </cell>
          <cell r="I561" t="str">
            <v>.</v>
          </cell>
        </row>
        <row r="562">
          <cell r="A562">
            <v>352</v>
          </cell>
          <cell r="B562" t="str">
            <v>Iceland</v>
          </cell>
          <cell r="C562">
            <v>1998</v>
          </cell>
          <cell r="D562">
            <v>90</v>
          </cell>
          <cell r="E562">
            <v>3034</v>
          </cell>
          <cell r="F562">
            <v>90</v>
          </cell>
          <cell r="G562">
            <v>21009</v>
          </cell>
          <cell r="H562" t="str">
            <v>;;=SUM(F45:G45);</v>
          </cell>
          <cell r="I562" t="str">
            <v>.</v>
          </cell>
        </row>
        <row r="563">
          <cell r="A563">
            <v>352</v>
          </cell>
          <cell r="B563" t="str">
            <v>Iceland</v>
          </cell>
          <cell r="C563">
            <v>1998</v>
          </cell>
          <cell r="D563">
            <v>90</v>
          </cell>
          <cell r="E563">
            <v>3539</v>
          </cell>
          <cell r="F563">
            <v>90</v>
          </cell>
          <cell r="G563">
            <v>21046</v>
          </cell>
          <cell r="H563" t="str">
            <v>;;=SUM(F46:G46);</v>
          </cell>
          <cell r="I563" t="str">
            <v>.</v>
          </cell>
        </row>
        <row r="564">
          <cell r="A564">
            <v>352</v>
          </cell>
          <cell r="B564" t="str">
            <v>Iceland</v>
          </cell>
          <cell r="C564">
            <v>1998</v>
          </cell>
          <cell r="D564">
            <v>90</v>
          </cell>
          <cell r="E564">
            <v>4099</v>
          </cell>
          <cell r="F564">
            <v>90</v>
          </cell>
          <cell r="G564">
            <v>103536</v>
          </cell>
          <cell r="H564" t="str">
            <v>;;=SUM(F47:G47);</v>
          </cell>
          <cell r="I564" t="str">
            <v>.</v>
          </cell>
        </row>
        <row r="565">
          <cell r="A565">
            <v>352</v>
          </cell>
          <cell r="B565" t="str">
            <v>Iceland</v>
          </cell>
          <cell r="C565">
            <v>1998</v>
          </cell>
          <cell r="D565">
            <v>90</v>
          </cell>
          <cell r="E565">
            <v>990000</v>
          </cell>
          <cell r="F565">
            <v>90</v>
          </cell>
          <cell r="G565">
            <v>0</v>
          </cell>
          <cell r="H565" t="str">
            <v>n;</v>
          </cell>
          <cell r="I565" t="str">
            <v>n</v>
          </cell>
        </row>
        <row r="566">
          <cell r="A566">
            <v>372</v>
          </cell>
          <cell r="B566" t="str">
            <v>Ireland</v>
          </cell>
          <cell r="C566">
            <v>1998</v>
          </cell>
          <cell r="D566">
            <v>90</v>
          </cell>
          <cell r="E566">
            <v>900000</v>
          </cell>
          <cell r="F566">
            <v>90</v>
          </cell>
          <cell r="G566">
            <v>3694080</v>
          </cell>
          <cell r="H566" t="str">
            <v>;;=SUM(F11:G11);</v>
          </cell>
          <cell r="I566" t="str">
            <v>.</v>
          </cell>
        </row>
        <row r="567">
          <cell r="A567">
            <v>372</v>
          </cell>
          <cell r="B567" t="str">
            <v>Ireland</v>
          </cell>
          <cell r="C567">
            <v>1998</v>
          </cell>
          <cell r="D567">
            <v>90</v>
          </cell>
          <cell r="E567">
            <v>300</v>
          </cell>
          <cell r="F567">
            <v>90</v>
          </cell>
          <cell r="G567">
            <v>152660</v>
          </cell>
          <cell r="H567" t="str">
            <v>;;=SUM(F12:G12);</v>
          </cell>
          <cell r="I567" t="str">
            <v>.</v>
          </cell>
        </row>
        <row r="568">
          <cell r="A568">
            <v>372</v>
          </cell>
          <cell r="B568" t="str">
            <v>Ireland</v>
          </cell>
          <cell r="C568">
            <v>1998</v>
          </cell>
          <cell r="D568">
            <v>90</v>
          </cell>
          <cell r="E568">
            <v>303</v>
          </cell>
          <cell r="F568">
            <v>90</v>
          </cell>
          <cell r="G568">
            <v>49500</v>
          </cell>
          <cell r="H568" t="str">
            <v>;;=SUM(F13:G13);</v>
          </cell>
          <cell r="I568" t="str">
            <v>.</v>
          </cell>
        </row>
        <row r="569">
          <cell r="A569">
            <v>372</v>
          </cell>
          <cell r="B569" t="str">
            <v>Ireland</v>
          </cell>
          <cell r="C569">
            <v>1998</v>
          </cell>
          <cell r="D569">
            <v>90</v>
          </cell>
          <cell r="E569">
            <v>404</v>
          </cell>
          <cell r="F569">
            <v>90</v>
          </cell>
          <cell r="G569">
            <v>50600</v>
          </cell>
          <cell r="H569" t="str">
            <v>;;=SUM(F14:G14);</v>
          </cell>
          <cell r="I569" t="str">
            <v>.</v>
          </cell>
        </row>
        <row r="570">
          <cell r="A570">
            <v>372</v>
          </cell>
          <cell r="B570" t="str">
            <v>Ireland</v>
          </cell>
          <cell r="C570">
            <v>1998</v>
          </cell>
          <cell r="D570">
            <v>90</v>
          </cell>
          <cell r="E570">
            <v>505</v>
          </cell>
          <cell r="F570">
            <v>90</v>
          </cell>
          <cell r="G570">
            <v>52240</v>
          </cell>
          <cell r="H570" t="str">
            <v>;;=SUM(F15:G15);</v>
          </cell>
          <cell r="I570" t="str">
            <v>.</v>
          </cell>
        </row>
        <row r="571">
          <cell r="A571">
            <v>372</v>
          </cell>
          <cell r="B571" t="str">
            <v>Ireland</v>
          </cell>
          <cell r="C571">
            <v>1998</v>
          </cell>
          <cell r="D571">
            <v>90</v>
          </cell>
          <cell r="E571">
            <v>606</v>
          </cell>
          <cell r="F571">
            <v>90</v>
          </cell>
          <cell r="G571">
            <v>54600</v>
          </cell>
          <cell r="H571" t="str">
            <v>;;=SUM(F16:G16);</v>
          </cell>
          <cell r="I571" t="str">
            <v>.</v>
          </cell>
        </row>
        <row r="572">
          <cell r="A572">
            <v>372</v>
          </cell>
          <cell r="B572" t="str">
            <v>Ireland</v>
          </cell>
          <cell r="C572">
            <v>1998</v>
          </cell>
          <cell r="D572">
            <v>90</v>
          </cell>
          <cell r="E572">
            <v>707</v>
          </cell>
          <cell r="F572">
            <v>90</v>
          </cell>
          <cell r="G572">
            <v>55800</v>
          </cell>
          <cell r="H572" t="str">
            <v>;;=SUM(F17:G17);</v>
          </cell>
          <cell r="I572" t="str">
            <v>.</v>
          </cell>
        </row>
        <row r="573">
          <cell r="A573">
            <v>372</v>
          </cell>
          <cell r="B573" t="str">
            <v>Ireland</v>
          </cell>
          <cell r="C573">
            <v>1998</v>
          </cell>
          <cell r="D573">
            <v>90</v>
          </cell>
          <cell r="E573">
            <v>808</v>
          </cell>
          <cell r="F573">
            <v>90</v>
          </cell>
          <cell r="G573">
            <v>55800</v>
          </cell>
          <cell r="H573" t="str">
            <v>;;=SUM(F18:G18);</v>
          </cell>
          <cell r="I573" t="str">
            <v>.</v>
          </cell>
        </row>
        <row r="574">
          <cell r="A574">
            <v>372</v>
          </cell>
          <cell r="B574" t="str">
            <v>Ireland</v>
          </cell>
          <cell r="C574">
            <v>1998</v>
          </cell>
          <cell r="D574">
            <v>90</v>
          </cell>
          <cell r="E574">
            <v>909</v>
          </cell>
          <cell r="F574">
            <v>90</v>
          </cell>
          <cell r="G574">
            <v>56200</v>
          </cell>
          <cell r="H574" t="str">
            <v>;;=SUM(F19:G19);</v>
          </cell>
          <cell r="I574" t="str">
            <v>.</v>
          </cell>
        </row>
        <row r="575">
          <cell r="A575">
            <v>372</v>
          </cell>
          <cell r="B575" t="str">
            <v>Ireland</v>
          </cell>
          <cell r="C575">
            <v>1998</v>
          </cell>
          <cell r="D575">
            <v>90</v>
          </cell>
          <cell r="E575">
            <v>509</v>
          </cell>
          <cell r="F575">
            <v>90</v>
          </cell>
          <cell r="G575">
            <v>274640</v>
          </cell>
          <cell r="H575" t="str">
            <v>;;=SUM(F20:G20);</v>
          </cell>
          <cell r="I575" t="str">
            <v>.</v>
          </cell>
        </row>
        <row r="576">
          <cell r="A576">
            <v>372</v>
          </cell>
          <cell r="B576" t="str">
            <v>Ireland</v>
          </cell>
          <cell r="C576">
            <v>1998</v>
          </cell>
          <cell r="D576">
            <v>90</v>
          </cell>
          <cell r="E576">
            <v>1010</v>
          </cell>
          <cell r="F576">
            <v>90</v>
          </cell>
          <cell r="G576">
            <v>58430</v>
          </cell>
          <cell r="H576" t="str">
            <v>;;=SUM(F21:G21);</v>
          </cell>
          <cell r="I576" t="str">
            <v>.</v>
          </cell>
        </row>
        <row r="577">
          <cell r="A577">
            <v>372</v>
          </cell>
          <cell r="B577" t="str">
            <v>Ireland</v>
          </cell>
          <cell r="C577">
            <v>1998</v>
          </cell>
          <cell r="D577">
            <v>90</v>
          </cell>
          <cell r="E577">
            <v>1111</v>
          </cell>
          <cell r="F577">
            <v>90</v>
          </cell>
          <cell r="G577">
            <v>61100</v>
          </cell>
          <cell r="H577" t="str">
            <v>;;=SUM(F22:G22);</v>
          </cell>
          <cell r="I577" t="str">
            <v>.</v>
          </cell>
        </row>
        <row r="578">
          <cell r="A578">
            <v>372</v>
          </cell>
          <cell r="B578" t="str">
            <v>Ireland</v>
          </cell>
          <cell r="C578">
            <v>1998</v>
          </cell>
          <cell r="D578">
            <v>90</v>
          </cell>
          <cell r="E578">
            <v>1212</v>
          </cell>
          <cell r="F578">
            <v>90</v>
          </cell>
          <cell r="G578">
            <v>62060</v>
          </cell>
          <cell r="H578" t="str">
            <v>;;=SUM(F23:G23);</v>
          </cell>
          <cell r="I578" t="str">
            <v>.</v>
          </cell>
        </row>
        <row r="579">
          <cell r="A579">
            <v>372</v>
          </cell>
          <cell r="B579" t="str">
            <v>Ireland</v>
          </cell>
          <cell r="C579">
            <v>1998</v>
          </cell>
          <cell r="D579">
            <v>90</v>
          </cell>
          <cell r="E579">
            <v>1313</v>
          </cell>
          <cell r="F579">
            <v>90</v>
          </cell>
          <cell r="G579">
            <v>63200</v>
          </cell>
          <cell r="H579" t="str">
            <v>;;=SUM(F24:G24);</v>
          </cell>
          <cell r="I579" t="str">
            <v>.</v>
          </cell>
        </row>
        <row r="580">
          <cell r="A580">
            <v>372</v>
          </cell>
          <cell r="B580" t="str">
            <v>Ireland</v>
          </cell>
          <cell r="C580">
            <v>1998</v>
          </cell>
          <cell r="D580">
            <v>90</v>
          </cell>
          <cell r="E580">
            <v>1414</v>
          </cell>
          <cell r="F580">
            <v>90</v>
          </cell>
          <cell r="G580">
            <v>65770</v>
          </cell>
          <cell r="H580" t="str">
            <v>;;=SUM(F25:G25);</v>
          </cell>
          <cell r="I580" t="str">
            <v>.</v>
          </cell>
        </row>
        <row r="581">
          <cell r="A581">
            <v>407</v>
          </cell>
          <cell r="B581" t="str">
            <v>Korea, Republic of</v>
          </cell>
          <cell r="C581">
            <v>1998</v>
          </cell>
          <cell r="D581">
            <v>90</v>
          </cell>
          <cell r="E581">
            <v>900000</v>
          </cell>
          <cell r="F581">
            <v>90</v>
          </cell>
          <cell r="G581">
            <v>46429817</v>
          </cell>
          <cell r="H581" t="str">
            <v>;;=SUM(F11:G11);</v>
          </cell>
          <cell r="I581" t="str">
            <v>.</v>
          </cell>
        </row>
        <row r="582">
          <cell r="A582">
            <v>407</v>
          </cell>
          <cell r="B582" t="str">
            <v>Korea, Republic of</v>
          </cell>
          <cell r="C582">
            <v>1998</v>
          </cell>
          <cell r="D582">
            <v>90</v>
          </cell>
          <cell r="E582">
            <v>300</v>
          </cell>
          <cell r="F582">
            <v>90</v>
          </cell>
          <cell r="G582">
            <v>2152037</v>
          </cell>
          <cell r="H582" t="str">
            <v>;;=SUM(F12:G12);</v>
          </cell>
          <cell r="I582" t="str">
            <v>.</v>
          </cell>
        </row>
        <row r="583">
          <cell r="A583">
            <v>407</v>
          </cell>
          <cell r="B583" t="str">
            <v>Korea, Republic of</v>
          </cell>
          <cell r="C583">
            <v>1998</v>
          </cell>
          <cell r="D583">
            <v>90</v>
          </cell>
          <cell r="E583">
            <v>303</v>
          </cell>
          <cell r="F583">
            <v>90</v>
          </cell>
          <cell r="G583">
            <v>716260</v>
          </cell>
          <cell r="H583" t="str">
            <v>;;=SUM(F13:G13);</v>
          </cell>
          <cell r="I583" t="str">
            <v>.</v>
          </cell>
        </row>
        <row r="584">
          <cell r="A584">
            <v>407</v>
          </cell>
          <cell r="B584" t="str">
            <v>Korea, Republic of</v>
          </cell>
          <cell r="C584">
            <v>1998</v>
          </cell>
          <cell r="D584">
            <v>90</v>
          </cell>
          <cell r="E584">
            <v>404</v>
          </cell>
          <cell r="F584">
            <v>90</v>
          </cell>
          <cell r="G584">
            <v>717936</v>
          </cell>
          <cell r="H584" t="str">
            <v>;;=SUM(F14:G14);</v>
          </cell>
          <cell r="I584" t="str">
            <v>.</v>
          </cell>
        </row>
        <row r="585">
          <cell r="A585">
            <v>407</v>
          </cell>
          <cell r="B585" t="str">
            <v>Korea, Republic of</v>
          </cell>
          <cell r="C585">
            <v>1998</v>
          </cell>
          <cell r="D585">
            <v>90</v>
          </cell>
          <cell r="E585">
            <v>505</v>
          </cell>
          <cell r="F585">
            <v>90</v>
          </cell>
          <cell r="G585">
            <v>716861</v>
          </cell>
          <cell r="H585" t="str">
            <v>;;=SUM(F15:G15);</v>
          </cell>
          <cell r="I585" t="str">
            <v>.</v>
          </cell>
        </row>
        <row r="586">
          <cell r="A586">
            <v>407</v>
          </cell>
          <cell r="B586" t="str">
            <v>Korea, Republic of</v>
          </cell>
          <cell r="C586">
            <v>1998</v>
          </cell>
          <cell r="D586">
            <v>90</v>
          </cell>
          <cell r="E586">
            <v>606</v>
          </cell>
          <cell r="F586">
            <v>90</v>
          </cell>
          <cell r="G586">
            <v>704896</v>
          </cell>
          <cell r="H586" t="str">
            <v>;;=SUM(F16:G16);</v>
          </cell>
          <cell r="I586" t="str">
            <v>.</v>
          </cell>
        </row>
        <row r="587">
          <cell r="A587">
            <v>250</v>
          </cell>
          <cell r="B587" t="str">
            <v>France</v>
          </cell>
          <cell r="C587">
            <v>1998</v>
          </cell>
          <cell r="D587">
            <v>90</v>
          </cell>
          <cell r="E587">
            <v>404</v>
          </cell>
          <cell r="F587">
            <v>90</v>
          </cell>
          <cell r="G587">
            <v>703013</v>
          </cell>
          <cell r="H587" t="str">
            <v>;;=SUM(F14:G14);</v>
          </cell>
          <cell r="I587" t="str">
            <v>.</v>
          </cell>
        </row>
        <row r="588">
          <cell r="A588">
            <v>250</v>
          </cell>
          <cell r="B588" t="str">
            <v>France</v>
          </cell>
          <cell r="C588">
            <v>1998</v>
          </cell>
          <cell r="D588">
            <v>90</v>
          </cell>
          <cell r="E588">
            <v>505</v>
          </cell>
          <cell r="F588">
            <v>90</v>
          </cell>
          <cell r="G588">
            <v>737549</v>
          </cell>
          <cell r="H588" t="str">
            <v>;;=SUM(F15:G15);</v>
          </cell>
          <cell r="I588" t="str">
            <v>.</v>
          </cell>
        </row>
        <row r="589">
          <cell r="A589">
            <v>250</v>
          </cell>
          <cell r="B589" t="str">
            <v>France</v>
          </cell>
          <cell r="C589">
            <v>1998</v>
          </cell>
          <cell r="D589">
            <v>90</v>
          </cell>
          <cell r="E589">
            <v>606</v>
          </cell>
          <cell r="F589">
            <v>90</v>
          </cell>
          <cell r="G589">
            <v>754313</v>
          </cell>
          <cell r="H589" t="str">
            <v>;;=SUM(F16:G16);</v>
          </cell>
          <cell r="I589" t="str">
            <v>.</v>
          </cell>
        </row>
        <row r="590">
          <cell r="A590">
            <v>250</v>
          </cell>
          <cell r="B590" t="str">
            <v>France</v>
          </cell>
          <cell r="C590">
            <v>1998</v>
          </cell>
          <cell r="D590">
            <v>90</v>
          </cell>
          <cell r="E590">
            <v>707</v>
          </cell>
          <cell r="F590">
            <v>90</v>
          </cell>
          <cell r="G590">
            <v>758859</v>
          </cell>
          <cell r="H590" t="str">
            <v>;;=SUM(F17:G17);</v>
          </cell>
          <cell r="I590" t="str">
            <v>.</v>
          </cell>
        </row>
        <row r="591">
          <cell r="A591">
            <v>250</v>
          </cell>
          <cell r="B591" t="str">
            <v>France</v>
          </cell>
          <cell r="C591">
            <v>1998</v>
          </cell>
          <cell r="D591">
            <v>90</v>
          </cell>
          <cell r="E591">
            <v>808</v>
          </cell>
          <cell r="F591">
            <v>90</v>
          </cell>
          <cell r="G591">
            <v>763577</v>
          </cell>
          <cell r="H591" t="str">
            <v>;;=SUM(F18:G18);</v>
          </cell>
          <cell r="I591" t="str">
            <v>.</v>
          </cell>
        </row>
        <row r="592">
          <cell r="A592">
            <v>250</v>
          </cell>
          <cell r="B592" t="str">
            <v>France</v>
          </cell>
          <cell r="C592">
            <v>1998</v>
          </cell>
          <cell r="D592">
            <v>90</v>
          </cell>
          <cell r="E592">
            <v>909</v>
          </cell>
          <cell r="F592">
            <v>90</v>
          </cell>
          <cell r="G592">
            <v>771252</v>
          </cell>
          <cell r="H592" t="str">
            <v>;;=SUM(F19:G19);</v>
          </cell>
          <cell r="I592" t="str">
            <v>.</v>
          </cell>
        </row>
        <row r="593">
          <cell r="A593">
            <v>250</v>
          </cell>
          <cell r="B593" t="str">
            <v>France</v>
          </cell>
          <cell r="C593">
            <v>1998</v>
          </cell>
          <cell r="D593">
            <v>90</v>
          </cell>
          <cell r="E593">
            <v>509</v>
          </cell>
          <cell r="F593">
            <v>90</v>
          </cell>
          <cell r="G593">
            <v>3785550</v>
          </cell>
          <cell r="H593" t="str">
            <v>;;=SUM(F20:G20);</v>
          </cell>
          <cell r="I593" t="str">
            <v>.</v>
          </cell>
        </row>
        <row r="594">
          <cell r="A594">
            <v>250</v>
          </cell>
          <cell r="B594" t="str">
            <v>France</v>
          </cell>
          <cell r="C594">
            <v>1998</v>
          </cell>
          <cell r="D594">
            <v>90</v>
          </cell>
          <cell r="E594">
            <v>1010</v>
          </cell>
          <cell r="F594">
            <v>90</v>
          </cell>
          <cell r="G594">
            <v>770887</v>
          </cell>
          <cell r="H594" t="str">
            <v>;;=SUM(F21:G21);</v>
          </cell>
          <cell r="I594" t="str">
            <v>.</v>
          </cell>
        </row>
        <row r="595">
          <cell r="A595">
            <v>250</v>
          </cell>
          <cell r="B595" t="str">
            <v>France</v>
          </cell>
          <cell r="C595">
            <v>1998</v>
          </cell>
          <cell r="D595">
            <v>90</v>
          </cell>
          <cell r="E595">
            <v>1111</v>
          </cell>
          <cell r="F595">
            <v>90</v>
          </cell>
          <cell r="G595">
            <v>781247</v>
          </cell>
          <cell r="H595" t="str">
            <v>;;=SUM(F22:G22);</v>
          </cell>
          <cell r="I595" t="str">
            <v>.</v>
          </cell>
        </row>
        <row r="596">
          <cell r="A596">
            <v>250</v>
          </cell>
          <cell r="B596" t="str">
            <v>France</v>
          </cell>
          <cell r="C596">
            <v>1998</v>
          </cell>
          <cell r="D596">
            <v>90</v>
          </cell>
          <cell r="E596">
            <v>1212</v>
          </cell>
          <cell r="F596">
            <v>90</v>
          </cell>
          <cell r="G596">
            <v>772467</v>
          </cell>
          <cell r="H596" t="str">
            <v>;;=SUM(F23:G23);</v>
          </cell>
          <cell r="I596" t="str">
            <v>.</v>
          </cell>
        </row>
        <row r="597">
          <cell r="A597">
            <v>250</v>
          </cell>
          <cell r="B597" t="str">
            <v>France</v>
          </cell>
          <cell r="C597">
            <v>1998</v>
          </cell>
          <cell r="D597">
            <v>90</v>
          </cell>
          <cell r="E597">
            <v>1313</v>
          </cell>
          <cell r="F597">
            <v>90</v>
          </cell>
          <cell r="G597">
            <v>761432</v>
          </cell>
          <cell r="H597" t="str">
            <v>;;=SUM(F24:G24);</v>
          </cell>
          <cell r="I597" t="str">
            <v>.</v>
          </cell>
        </row>
        <row r="598">
          <cell r="A598">
            <v>250</v>
          </cell>
          <cell r="B598" t="str">
            <v>France</v>
          </cell>
          <cell r="C598">
            <v>1998</v>
          </cell>
          <cell r="D598">
            <v>90</v>
          </cell>
          <cell r="E598">
            <v>1414</v>
          </cell>
          <cell r="F598">
            <v>90</v>
          </cell>
          <cell r="G598">
            <v>750893</v>
          </cell>
          <cell r="H598" t="str">
            <v>;;=SUM(F25:G25);</v>
          </cell>
          <cell r="I598" t="str">
            <v>.</v>
          </cell>
        </row>
        <row r="599">
          <cell r="A599">
            <v>250</v>
          </cell>
          <cell r="B599" t="str">
            <v>France</v>
          </cell>
          <cell r="C599">
            <v>1998</v>
          </cell>
          <cell r="D599">
            <v>90</v>
          </cell>
          <cell r="E599">
            <v>1014</v>
          </cell>
          <cell r="F599">
            <v>90</v>
          </cell>
          <cell r="G599">
            <v>3836926</v>
          </cell>
          <cell r="H599" t="str">
            <v>;;=SUM(F26:G26);</v>
          </cell>
          <cell r="I599" t="str">
            <v>.</v>
          </cell>
        </row>
        <row r="600">
          <cell r="A600">
            <v>250</v>
          </cell>
          <cell r="B600" t="str">
            <v>France</v>
          </cell>
          <cell r="C600">
            <v>1998</v>
          </cell>
          <cell r="D600">
            <v>90</v>
          </cell>
          <cell r="E600">
            <v>1515</v>
          </cell>
          <cell r="F600">
            <v>90</v>
          </cell>
          <cell r="G600">
            <v>804220</v>
          </cell>
          <cell r="H600" t="str">
            <v>;;=SUM(F27:G27);</v>
          </cell>
          <cell r="I600" t="str">
            <v>.</v>
          </cell>
        </row>
        <row r="601">
          <cell r="A601">
            <v>250</v>
          </cell>
          <cell r="B601" t="str">
            <v>France</v>
          </cell>
          <cell r="C601">
            <v>1998</v>
          </cell>
          <cell r="D601">
            <v>90</v>
          </cell>
          <cell r="E601">
            <v>1616</v>
          </cell>
          <cell r="F601">
            <v>90</v>
          </cell>
          <cell r="G601">
            <v>813740</v>
          </cell>
          <cell r="H601" t="str">
            <v>;;=SUM(F28:G28);</v>
          </cell>
          <cell r="I601" t="str">
            <v>.</v>
          </cell>
        </row>
        <row r="602">
          <cell r="A602">
            <v>250</v>
          </cell>
          <cell r="B602" t="str">
            <v>France</v>
          </cell>
          <cell r="C602">
            <v>1998</v>
          </cell>
          <cell r="D602">
            <v>90</v>
          </cell>
          <cell r="E602">
            <v>1717</v>
          </cell>
          <cell r="F602">
            <v>90</v>
          </cell>
          <cell r="G602">
            <v>817853</v>
          </cell>
          <cell r="H602" t="str">
            <v>;;=SUM(F29:G29);</v>
          </cell>
          <cell r="I602" t="str">
            <v>.</v>
          </cell>
        </row>
        <row r="603">
          <cell r="A603">
            <v>250</v>
          </cell>
          <cell r="B603" t="str">
            <v>France</v>
          </cell>
          <cell r="C603">
            <v>1998</v>
          </cell>
          <cell r="D603">
            <v>90</v>
          </cell>
          <cell r="E603">
            <v>1818</v>
          </cell>
          <cell r="F603">
            <v>90</v>
          </cell>
          <cell r="G603">
            <v>773371</v>
          </cell>
          <cell r="H603" t="str">
            <v>;;=SUM(F30:G30);</v>
          </cell>
          <cell r="I603" t="str">
            <v>.</v>
          </cell>
        </row>
        <row r="604">
          <cell r="A604">
            <v>250</v>
          </cell>
          <cell r="B604" t="str">
            <v>France</v>
          </cell>
          <cell r="C604">
            <v>1998</v>
          </cell>
          <cell r="D604">
            <v>90</v>
          </cell>
          <cell r="E604">
            <v>1919</v>
          </cell>
          <cell r="F604">
            <v>90</v>
          </cell>
          <cell r="G604">
            <v>753232</v>
          </cell>
          <cell r="H604" t="str">
            <v>;;=SUM(F31:G31);</v>
          </cell>
          <cell r="I604" t="str">
            <v>.</v>
          </cell>
        </row>
        <row r="605">
          <cell r="A605">
            <v>250</v>
          </cell>
          <cell r="B605" t="str">
            <v>France</v>
          </cell>
          <cell r="C605">
            <v>1998</v>
          </cell>
          <cell r="D605">
            <v>90</v>
          </cell>
          <cell r="E605">
            <v>1519</v>
          </cell>
          <cell r="F605">
            <v>90</v>
          </cell>
          <cell r="G605">
            <v>3962416</v>
          </cell>
          <cell r="H605" t="str">
            <v>;;=SUM(F32:G32);</v>
          </cell>
          <cell r="I605" t="str">
            <v>.</v>
          </cell>
        </row>
        <row r="606">
          <cell r="A606">
            <v>250</v>
          </cell>
          <cell r="B606" t="str">
            <v>France</v>
          </cell>
          <cell r="C606">
            <v>1998</v>
          </cell>
          <cell r="D606">
            <v>90</v>
          </cell>
          <cell r="E606">
            <v>2020</v>
          </cell>
          <cell r="F606">
            <v>90</v>
          </cell>
          <cell r="G606">
            <v>756127</v>
          </cell>
          <cell r="H606" t="str">
            <v>;;=SUM(F33:G33);</v>
          </cell>
          <cell r="I606" t="str">
            <v>.</v>
          </cell>
        </row>
        <row r="607">
          <cell r="A607">
            <v>250</v>
          </cell>
          <cell r="B607" t="str">
            <v>France</v>
          </cell>
          <cell r="C607">
            <v>1998</v>
          </cell>
          <cell r="D607">
            <v>90</v>
          </cell>
          <cell r="E607">
            <v>2121</v>
          </cell>
          <cell r="F607">
            <v>90</v>
          </cell>
          <cell r="G607">
            <v>731138</v>
          </cell>
          <cell r="H607" t="str">
            <v>;;=SUM(F34:G34);</v>
          </cell>
          <cell r="I607" t="str">
            <v>.</v>
          </cell>
        </row>
        <row r="608">
          <cell r="A608">
            <v>250</v>
          </cell>
          <cell r="B608" t="str">
            <v>France</v>
          </cell>
          <cell r="C608">
            <v>1998</v>
          </cell>
          <cell r="D608">
            <v>90</v>
          </cell>
          <cell r="E608">
            <v>2222</v>
          </cell>
          <cell r="F608">
            <v>90</v>
          </cell>
          <cell r="G608">
            <v>753310</v>
          </cell>
          <cell r="H608" t="str">
            <v>;;=SUM(F35:G35);</v>
          </cell>
          <cell r="I608" t="str">
            <v>.</v>
          </cell>
        </row>
        <row r="609">
          <cell r="A609">
            <v>250</v>
          </cell>
          <cell r="B609" t="str">
            <v>France</v>
          </cell>
          <cell r="C609">
            <v>1998</v>
          </cell>
          <cell r="D609">
            <v>90</v>
          </cell>
          <cell r="E609">
            <v>2323</v>
          </cell>
          <cell r="F609">
            <v>90</v>
          </cell>
          <cell r="G609">
            <v>800454</v>
          </cell>
          <cell r="H609" t="str">
            <v>;;=SUM(F36:G36);</v>
          </cell>
          <cell r="I609" t="str">
            <v>.</v>
          </cell>
        </row>
        <row r="610">
          <cell r="A610">
            <v>407</v>
          </cell>
          <cell r="B610" t="str">
            <v>Korea, Republic of</v>
          </cell>
          <cell r="C610">
            <v>1998</v>
          </cell>
          <cell r="D610">
            <v>90</v>
          </cell>
          <cell r="E610">
            <v>707</v>
          </cell>
          <cell r="F610">
            <v>90</v>
          </cell>
          <cell r="G610">
            <v>675788</v>
          </cell>
          <cell r="H610" t="str">
            <v>;;=SUM(F17:G17);</v>
          </cell>
          <cell r="I610" t="str">
            <v>.</v>
          </cell>
        </row>
        <row r="611">
          <cell r="A611">
            <v>407</v>
          </cell>
          <cell r="B611" t="str">
            <v>Korea, Republic of</v>
          </cell>
          <cell r="C611">
            <v>1998</v>
          </cell>
          <cell r="D611">
            <v>90</v>
          </cell>
          <cell r="E611">
            <v>808</v>
          </cell>
          <cell r="F611">
            <v>90</v>
          </cell>
          <cell r="G611">
            <v>645175</v>
          </cell>
          <cell r="H611" t="str">
            <v>;;=SUM(F18:G18);</v>
          </cell>
          <cell r="I611" t="str">
            <v>.</v>
          </cell>
        </row>
        <row r="612">
          <cell r="A612">
            <v>407</v>
          </cell>
          <cell r="B612" t="str">
            <v>Korea, Republic of</v>
          </cell>
          <cell r="C612">
            <v>1998</v>
          </cell>
          <cell r="D612">
            <v>90</v>
          </cell>
          <cell r="E612">
            <v>909</v>
          </cell>
          <cell r="F612">
            <v>90</v>
          </cell>
          <cell r="G612">
            <v>628856</v>
          </cell>
          <cell r="H612" t="str">
            <v>;;=SUM(F19:G19);</v>
          </cell>
          <cell r="I612" t="str">
            <v>.</v>
          </cell>
        </row>
        <row r="613">
          <cell r="A613">
            <v>407</v>
          </cell>
          <cell r="B613" t="str">
            <v>Korea, Republic of</v>
          </cell>
          <cell r="C613">
            <v>1998</v>
          </cell>
          <cell r="D613">
            <v>90</v>
          </cell>
          <cell r="E613">
            <v>509</v>
          </cell>
          <cell r="F613">
            <v>90</v>
          </cell>
          <cell r="G613">
            <v>3371576</v>
          </cell>
          <cell r="H613" t="str">
            <v>;;=SUM(F20:G20);</v>
          </cell>
          <cell r="I613" t="str">
            <v>.</v>
          </cell>
        </row>
        <row r="614">
          <cell r="A614">
            <v>407</v>
          </cell>
          <cell r="B614" t="str">
            <v>Korea, Republic of</v>
          </cell>
          <cell r="C614">
            <v>1998</v>
          </cell>
          <cell r="D614">
            <v>90</v>
          </cell>
          <cell r="E614">
            <v>1010</v>
          </cell>
          <cell r="F614">
            <v>90</v>
          </cell>
          <cell r="G614">
            <v>622333</v>
          </cell>
          <cell r="H614" t="str">
            <v>;;=SUM(F21:G21);</v>
          </cell>
          <cell r="I614" t="str">
            <v>.</v>
          </cell>
        </row>
        <row r="615">
          <cell r="A615">
            <v>407</v>
          </cell>
          <cell r="B615" t="str">
            <v>Korea, Republic of</v>
          </cell>
          <cell r="C615">
            <v>1998</v>
          </cell>
          <cell r="D615">
            <v>90</v>
          </cell>
          <cell r="E615">
            <v>1111</v>
          </cell>
          <cell r="F615">
            <v>90</v>
          </cell>
          <cell r="G615">
            <v>623617</v>
          </cell>
          <cell r="H615" t="str">
            <v>;;=SUM(F22:G22);</v>
          </cell>
          <cell r="I615" t="str">
            <v>.</v>
          </cell>
        </row>
        <row r="616">
          <cell r="A616">
            <v>407</v>
          </cell>
          <cell r="B616" t="str">
            <v>Korea, Republic of</v>
          </cell>
          <cell r="C616">
            <v>1998</v>
          </cell>
          <cell r="D616">
            <v>90</v>
          </cell>
          <cell r="E616">
            <v>1212</v>
          </cell>
          <cell r="F616">
            <v>90</v>
          </cell>
          <cell r="G616">
            <v>636064</v>
          </cell>
          <cell r="H616" t="str">
            <v>;;=SUM(F23:G23);</v>
          </cell>
          <cell r="I616" t="str">
            <v>.</v>
          </cell>
        </row>
        <row r="617">
          <cell r="A617">
            <v>407</v>
          </cell>
          <cell r="B617" t="str">
            <v>Korea, Republic of</v>
          </cell>
          <cell r="C617">
            <v>1998</v>
          </cell>
          <cell r="D617">
            <v>90</v>
          </cell>
          <cell r="E617">
            <v>1313</v>
          </cell>
          <cell r="F617">
            <v>90</v>
          </cell>
          <cell r="G617">
            <v>663201</v>
          </cell>
          <cell r="H617" t="str">
            <v>;;=SUM(F24:G24);</v>
          </cell>
          <cell r="I617" t="str">
            <v>.</v>
          </cell>
        </row>
        <row r="618">
          <cell r="A618">
            <v>407</v>
          </cell>
          <cell r="B618" t="str">
            <v>Korea, Republic of</v>
          </cell>
          <cell r="C618">
            <v>1998</v>
          </cell>
          <cell r="D618">
            <v>90</v>
          </cell>
          <cell r="E618">
            <v>1414</v>
          </cell>
          <cell r="F618">
            <v>90</v>
          </cell>
          <cell r="G618">
            <v>713700</v>
          </cell>
          <cell r="H618" t="str">
            <v>;;=SUM(F25:G25);</v>
          </cell>
          <cell r="I618" t="str">
            <v>.</v>
          </cell>
        </row>
        <row r="619">
          <cell r="A619">
            <v>407</v>
          </cell>
          <cell r="B619" t="str">
            <v>Korea, Republic of</v>
          </cell>
          <cell r="C619">
            <v>1998</v>
          </cell>
          <cell r="D619">
            <v>90</v>
          </cell>
          <cell r="E619">
            <v>1014</v>
          </cell>
          <cell r="F619">
            <v>90</v>
          </cell>
          <cell r="G619">
            <v>3258915</v>
          </cell>
          <cell r="H619" t="str">
            <v>;;=SUM(F26:G26);</v>
          </cell>
          <cell r="I619" t="str">
            <v>.</v>
          </cell>
        </row>
        <row r="620">
          <cell r="A620">
            <v>407</v>
          </cell>
          <cell r="B620" t="str">
            <v>Korea, Republic of</v>
          </cell>
          <cell r="C620">
            <v>1998</v>
          </cell>
          <cell r="D620">
            <v>90</v>
          </cell>
          <cell r="E620">
            <v>1515</v>
          </cell>
          <cell r="F620">
            <v>90</v>
          </cell>
          <cell r="G620">
            <v>778441</v>
          </cell>
          <cell r="H620" t="str">
            <v>;;=SUM(F27:G27);</v>
          </cell>
          <cell r="I620" t="str">
            <v>.</v>
          </cell>
        </row>
        <row r="621">
          <cell r="A621">
            <v>407</v>
          </cell>
          <cell r="B621" t="str">
            <v>Korea, Republic of</v>
          </cell>
          <cell r="C621">
            <v>1998</v>
          </cell>
          <cell r="D621">
            <v>90</v>
          </cell>
          <cell r="E621">
            <v>1616</v>
          </cell>
          <cell r="F621">
            <v>90</v>
          </cell>
          <cell r="G621">
            <v>823583</v>
          </cell>
          <cell r="H621" t="str">
            <v>;;=SUM(F28:G28);</v>
          </cell>
          <cell r="I621" t="str">
            <v>.</v>
          </cell>
        </row>
        <row r="622">
          <cell r="A622">
            <v>407</v>
          </cell>
          <cell r="B622" t="str">
            <v>Korea, Republic of</v>
          </cell>
          <cell r="C622">
            <v>1998</v>
          </cell>
          <cell r="D622">
            <v>90</v>
          </cell>
          <cell r="E622">
            <v>1717</v>
          </cell>
          <cell r="F622">
            <v>90</v>
          </cell>
          <cell r="G622">
            <v>831922</v>
          </cell>
          <cell r="H622" t="str">
            <v>;;=SUM(F29:G29);</v>
          </cell>
          <cell r="I622" t="str">
            <v>.</v>
          </cell>
        </row>
        <row r="623">
          <cell r="A623">
            <v>407</v>
          </cell>
          <cell r="B623" t="str">
            <v>Korea, Republic of</v>
          </cell>
          <cell r="C623">
            <v>1998</v>
          </cell>
          <cell r="D623">
            <v>90</v>
          </cell>
          <cell r="E623">
            <v>1818</v>
          </cell>
          <cell r="F623">
            <v>90</v>
          </cell>
          <cell r="G623">
            <v>810380</v>
          </cell>
          <cell r="H623" t="str">
            <v>;;=SUM(F30:G30);</v>
          </cell>
          <cell r="I623" t="str">
            <v>.</v>
          </cell>
        </row>
        <row r="624">
          <cell r="A624">
            <v>407</v>
          </cell>
          <cell r="B624" t="str">
            <v>Korea, Republic of</v>
          </cell>
          <cell r="C624">
            <v>1998</v>
          </cell>
          <cell r="D624">
            <v>90</v>
          </cell>
          <cell r="E624">
            <v>1919</v>
          </cell>
          <cell r="F624">
            <v>90</v>
          </cell>
          <cell r="G624">
            <v>775195</v>
          </cell>
          <cell r="H624" t="str">
            <v>;;=SUM(F31:G31);</v>
          </cell>
          <cell r="I624" t="str">
            <v>.</v>
          </cell>
        </row>
        <row r="625">
          <cell r="A625">
            <v>407</v>
          </cell>
          <cell r="B625" t="str">
            <v>Korea, Republic of</v>
          </cell>
          <cell r="C625">
            <v>1998</v>
          </cell>
          <cell r="D625">
            <v>90</v>
          </cell>
          <cell r="E625">
            <v>1519</v>
          </cell>
          <cell r="F625">
            <v>90</v>
          </cell>
          <cell r="G625">
            <v>4019521</v>
          </cell>
          <cell r="H625" t="str">
            <v>;;=SUM(F32:G32);</v>
          </cell>
          <cell r="I625" t="str">
            <v>.</v>
          </cell>
        </row>
        <row r="626">
          <cell r="A626">
            <v>407</v>
          </cell>
          <cell r="B626" t="str">
            <v>Korea, Republic of</v>
          </cell>
          <cell r="C626">
            <v>1998</v>
          </cell>
          <cell r="D626">
            <v>90</v>
          </cell>
          <cell r="E626">
            <v>2020</v>
          </cell>
          <cell r="F626">
            <v>90</v>
          </cell>
          <cell r="G626">
            <v>753531</v>
          </cell>
          <cell r="H626" t="str">
            <v>;;=SUM(F33:G33);</v>
          </cell>
          <cell r="I626" t="str">
            <v>.</v>
          </cell>
        </row>
        <row r="627">
          <cell r="A627">
            <v>407</v>
          </cell>
          <cell r="B627" t="str">
            <v>Korea, Republic of</v>
          </cell>
          <cell r="C627">
            <v>1998</v>
          </cell>
          <cell r="D627">
            <v>90</v>
          </cell>
          <cell r="E627">
            <v>2121</v>
          </cell>
          <cell r="F627">
            <v>90</v>
          </cell>
          <cell r="G627">
            <v>758132</v>
          </cell>
          <cell r="H627" t="str">
            <v>;;=SUM(F34:G34);</v>
          </cell>
          <cell r="I627" t="str">
            <v>.</v>
          </cell>
        </row>
        <row r="628">
          <cell r="A628">
            <v>407</v>
          </cell>
          <cell r="B628" t="str">
            <v>Korea, Republic of</v>
          </cell>
          <cell r="C628">
            <v>1998</v>
          </cell>
          <cell r="D628">
            <v>90</v>
          </cell>
          <cell r="E628">
            <v>2222</v>
          </cell>
          <cell r="F628">
            <v>90</v>
          </cell>
          <cell r="G628">
            <v>779734</v>
          </cell>
          <cell r="H628" t="str">
            <v>;;=SUM(F35:G35);</v>
          </cell>
          <cell r="I628" t="str">
            <v>.</v>
          </cell>
        </row>
        <row r="629">
          <cell r="A629">
            <v>407</v>
          </cell>
          <cell r="B629" t="str">
            <v>Korea, Republic of</v>
          </cell>
          <cell r="C629">
            <v>1998</v>
          </cell>
          <cell r="D629">
            <v>90</v>
          </cell>
          <cell r="E629">
            <v>2323</v>
          </cell>
          <cell r="F629">
            <v>90</v>
          </cell>
          <cell r="G629">
            <v>814250</v>
          </cell>
          <cell r="H629" t="str">
            <v>;;=SUM(F36:G36);</v>
          </cell>
          <cell r="I629" t="str">
            <v>.</v>
          </cell>
        </row>
        <row r="630">
          <cell r="A630">
            <v>407</v>
          </cell>
          <cell r="B630" t="str">
            <v>Korea, Republic of</v>
          </cell>
          <cell r="C630">
            <v>1998</v>
          </cell>
          <cell r="D630">
            <v>90</v>
          </cell>
          <cell r="E630">
            <v>2424</v>
          </cell>
          <cell r="F630">
            <v>90</v>
          </cell>
          <cell r="G630">
            <v>851976</v>
          </cell>
          <cell r="H630" t="str">
            <v>;;=SUM(F37:G37);</v>
          </cell>
          <cell r="I630" t="str">
            <v>.</v>
          </cell>
        </row>
        <row r="631">
          <cell r="A631">
            <v>407</v>
          </cell>
          <cell r="B631" t="str">
            <v>Korea, Republic of</v>
          </cell>
          <cell r="C631">
            <v>1998</v>
          </cell>
          <cell r="D631">
            <v>90</v>
          </cell>
          <cell r="E631">
            <v>2024</v>
          </cell>
          <cell r="F631">
            <v>90</v>
          </cell>
          <cell r="G631">
            <v>3957623</v>
          </cell>
          <cell r="H631" t="str">
            <v>;;=SUM(F38:G38);</v>
          </cell>
          <cell r="I631" t="str">
            <v>.</v>
          </cell>
        </row>
        <row r="632">
          <cell r="A632">
            <v>407</v>
          </cell>
          <cell r="B632" t="str">
            <v>Korea, Republic of</v>
          </cell>
          <cell r="C632">
            <v>1998</v>
          </cell>
          <cell r="D632">
            <v>90</v>
          </cell>
          <cell r="E632">
            <v>2525</v>
          </cell>
          <cell r="F632">
            <v>90</v>
          </cell>
          <cell r="G632">
            <v>882872</v>
          </cell>
          <cell r="H632" t="str">
            <v>;;=SUM(F39:G39);</v>
          </cell>
          <cell r="I632" t="str">
            <v>.</v>
          </cell>
        </row>
        <row r="633">
          <cell r="A633">
            <v>407</v>
          </cell>
          <cell r="B633" t="str">
            <v>Korea, Republic of</v>
          </cell>
          <cell r="C633">
            <v>1998</v>
          </cell>
          <cell r="D633">
            <v>90</v>
          </cell>
          <cell r="E633">
            <v>2626</v>
          </cell>
          <cell r="F633">
            <v>90</v>
          </cell>
          <cell r="G633">
            <v>904068</v>
          </cell>
          <cell r="H633" t="str">
            <v>;;=SUM(F40:G40);</v>
          </cell>
          <cell r="I633" t="str">
            <v>.</v>
          </cell>
        </row>
        <row r="634">
          <cell r="A634">
            <v>407</v>
          </cell>
          <cell r="B634" t="str">
            <v>Korea, Republic of</v>
          </cell>
          <cell r="C634">
            <v>1998</v>
          </cell>
          <cell r="D634">
            <v>90</v>
          </cell>
          <cell r="E634">
            <v>2727</v>
          </cell>
          <cell r="F634">
            <v>90</v>
          </cell>
          <cell r="G634">
            <v>909808</v>
          </cell>
          <cell r="H634" t="str">
            <v>;;=SUM(F41:G41);</v>
          </cell>
          <cell r="I634" t="str">
            <v>.</v>
          </cell>
        </row>
        <row r="635">
          <cell r="A635">
            <v>407</v>
          </cell>
          <cell r="B635" t="str">
            <v>Korea, Republic of</v>
          </cell>
          <cell r="C635">
            <v>1998</v>
          </cell>
          <cell r="D635">
            <v>90</v>
          </cell>
          <cell r="E635">
            <v>2828</v>
          </cell>
          <cell r="F635">
            <v>90</v>
          </cell>
          <cell r="G635">
            <v>901125</v>
          </cell>
          <cell r="H635" t="str">
            <v>;;=SUM(F42:G42);</v>
          </cell>
          <cell r="I635" t="str">
            <v>.</v>
          </cell>
        </row>
        <row r="636">
          <cell r="A636">
            <v>407</v>
          </cell>
          <cell r="B636" t="str">
            <v>Korea, Republic of</v>
          </cell>
          <cell r="C636">
            <v>1998</v>
          </cell>
          <cell r="D636">
            <v>90</v>
          </cell>
          <cell r="E636">
            <v>2929</v>
          </cell>
          <cell r="F636">
            <v>90</v>
          </cell>
          <cell r="G636">
            <v>878507</v>
          </cell>
          <cell r="H636" t="str">
            <v>;;=SUM(F43:G43);</v>
          </cell>
          <cell r="I636" t="str">
            <v>.</v>
          </cell>
        </row>
        <row r="637">
          <cell r="A637">
            <v>407</v>
          </cell>
          <cell r="B637" t="str">
            <v>Korea, Republic of</v>
          </cell>
          <cell r="C637">
            <v>1998</v>
          </cell>
          <cell r="D637">
            <v>90</v>
          </cell>
          <cell r="E637">
            <v>2529</v>
          </cell>
          <cell r="F637">
            <v>90</v>
          </cell>
          <cell r="G637">
            <v>4476380</v>
          </cell>
          <cell r="H637" t="str">
            <v>;;=SUM(F44:G44);</v>
          </cell>
          <cell r="I637" t="str">
            <v>.</v>
          </cell>
        </row>
        <row r="638">
          <cell r="A638">
            <v>407</v>
          </cell>
          <cell r="B638" t="str">
            <v>Korea, Republic of</v>
          </cell>
          <cell r="C638">
            <v>1998</v>
          </cell>
          <cell r="D638">
            <v>90</v>
          </cell>
          <cell r="E638">
            <v>3034</v>
          </cell>
          <cell r="F638">
            <v>90</v>
          </cell>
          <cell r="G638">
            <v>4166438</v>
          </cell>
          <cell r="H638" t="str">
            <v>;;=SUM(F45:G45);</v>
          </cell>
          <cell r="I638" t="str">
            <v>.</v>
          </cell>
        </row>
        <row r="639">
          <cell r="A639">
            <v>407</v>
          </cell>
          <cell r="B639" t="str">
            <v>Korea, Republic of</v>
          </cell>
          <cell r="C639">
            <v>1998</v>
          </cell>
          <cell r="D639">
            <v>90</v>
          </cell>
          <cell r="E639">
            <v>3539</v>
          </cell>
          <cell r="F639">
            <v>90</v>
          </cell>
          <cell r="G639">
            <v>4327616</v>
          </cell>
          <cell r="H639" t="str">
            <v>;;=SUM(F46:G46);</v>
          </cell>
          <cell r="I639" t="str">
            <v>.</v>
          </cell>
        </row>
        <row r="640">
          <cell r="A640">
            <v>407</v>
          </cell>
          <cell r="B640" t="str">
            <v>Korea, Republic of</v>
          </cell>
          <cell r="C640">
            <v>1998</v>
          </cell>
          <cell r="D640">
            <v>90</v>
          </cell>
          <cell r="E640">
            <v>4099</v>
          </cell>
          <cell r="F640">
            <v>90</v>
          </cell>
          <cell r="G640">
            <v>15265515</v>
          </cell>
          <cell r="H640" t="str">
            <v>;;=SUM(F47:G47);</v>
          </cell>
          <cell r="I640" t="str">
            <v>.</v>
          </cell>
        </row>
        <row r="641">
          <cell r="A641">
            <v>407</v>
          </cell>
          <cell r="B641" t="str">
            <v>Korea, Republic of</v>
          </cell>
          <cell r="C641">
            <v>1998</v>
          </cell>
          <cell r="D641">
            <v>90</v>
          </cell>
          <cell r="E641">
            <v>990000</v>
          </cell>
          <cell r="F641">
            <v>90</v>
          </cell>
          <cell r="G641">
            <v>0</v>
          </cell>
          <cell r="H641" t="str">
            <v>n;</v>
          </cell>
          <cell r="I641" t="str">
            <v>n</v>
          </cell>
        </row>
        <row r="642">
          <cell r="A642">
            <v>554</v>
          </cell>
          <cell r="B642" t="str">
            <v>New Zealand</v>
          </cell>
          <cell r="C642">
            <v>1998</v>
          </cell>
          <cell r="D642">
            <v>90</v>
          </cell>
          <cell r="E642">
            <v>1616</v>
          </cell>
          <cell r="F642">
            <v>90</v>
          </cell>
          <cell r="G642">
            <v>53930</v>
          </cell>
          <cell r="H642" t="str">
            <v>;;=SUM(F28:G28);</v>
          </cell>
          <cell r="I642" t="str">
            <v>.</v>
          </cell>
        </row>
        <row r="643">
          <cell r="A643">
            <v>554</v>
          </cell>
          <cell r="B643" t="str">
            <v>New Zealand</v>
          </cell>
          <cell r="C643">
            <v>1998</v>
          </cell>
          <cell r="D643">
            <v>90</v>
          </cell>
          <cell r="E643">
            <v>1717</v>
          </cell>
          <cell r="F643">
            <v>90</v>
          </cell>
          <cell r="G643">
            <v>55460</v>
          </cell>
          <cell r="H643" t="str">
            <v>;;=SUM(F29:G29);</v>
          </cell>
          <cell r="I643" t="str">
            <v>.</v>
          </cell>
        </row>
        <row r="644">
          <cell r="A644">
            <v>554</v>
          </cell>
          <cell r="B644" t="str">
            <v>New Zealand</v>
          </cell>
          <cell r="C644">
            <v>1998</v>
          </cell>
          <cell r="D644">
            <v>90</v>
          </cell>
          <cell r="E644">
            <v>1818</v>
          </cell>
          <cell r="F644">
            <v>90</v>
          </cell>
          <cell r="G644">
            <v>54520</v>
          </cell>
          <cell r="H644" t="str">
            <v>;;=SUM(F30:G30);</v>
          </cell>
          <cell r="I644" t="str">
            <v>.</v>
          </cell>
        </row>
        <row r="645">
          <cell r="A645">
            <v>554</v>
          </cell>
          <cell r="B645" t="str">
            <v>New Zealand</v>
          </cell>
          <cell r="C645">
            <v>1998</v>
          </cell>
          <cell r="D645">
            <v>90</v>
          </cell>
          <cell r="E645">
            <v>1919</v>
          </cell>
          <cell r="F645">
            <v>90</v>
          </cell>
          <cell r="G645">
            <v>54150</v>
          </cell>
          <cell r="H645" t="str">
            <v>;;=SUM(F31:G31);</v>
          </cell>
          <cell r="I645" t="str">
            <v>.</v>
          </cell>
        </row>
        <row r="646">
          <cell r="A646">
            <v>554</v>
          </cell>
          <cell r="B646" t="str">
            <v>New Zealand</v>
          </cell>
          <cell r="C646">
            <v>1998</v>
          </cell>
          <cell r="D646">
            <v>90</v>
          </cell>
          <cell r="E646">
            <v>1519</v>
          </cell>
          <cell r="F646">
            <v>90</v>
          </cell>
          <cell r="G646">
            <v>271650</v>
          </cell>
          <cell r="H646" t="str">
            <v>;;=SUM(F32:G32);</v>
          </cell>
          <cell r="I646" t="str">
            <v>.</v>
          </cell>
        </row>
        <row r="647">
          <cell r="A647">
            <v>554</v>
          </cell>
          <cell r="B647" t="str">
            <v>New Zealand</v>
          </cell>
          <cell r="C647">
            <v>1998</v>
          </cell>
          <cell r="D647">
            <v>90</v>
          </cell>
          <cell r="E647">
            <v>2020</v>
          </cell>
          <cell r="F647">
            <v>90</v>
          </cell>
          <cell r="G647">
            <v>52570</v>
          </cell>
          <cell r="H647" t="str">
            <v>;;=SUM(F33:G33);</v>
          </cell>
          <cell r="I647" t="str">
            <v>.</v>
          </cell>
        </row>
        <row r="648">
          <cell r="A648">
            <v>554</v>
          </cell>
          <cell r="B648" t="str">
            <v>New Zealand</v>
          </cell>
          <cell r="C648">
            <v>1998</v>
          </cell>
          <cell r="D648">
            <v>90</v>
          </cell>
          <cell r="E648">
            <v>2121</v>
          </cell>
          <cell r="F648">
            <v>90</v>
          </cell>
          <cell r="G648">
            <v>54000</v>
          </cell>
          <cell r="H648" t="str">
            <v>;;=SUM(F34:G34);</v>
          </cell>
          <cell r="I648" t="str">
            <v>.</v>
          </cell>
        </row>
        <row r="649">
          <cell r="A649">
            <v>554</v>
          </cell>
          <cell r="B649" t="str">
            <v>New Zealand</v>
          </cell>
          <cell r="C649">
            <v>1998</v>
          </cell>
          <cell r="D649">
            <v>90</v>
          </cell>
          <cell r="E649">
            <v>2222</v>
          </cell>
          <cell r="F649">
            <v>90</v>
          </cell>
          <cell r="G649">
            <v>52750</v>
          </cell>
          <cell r="H649" t="str">
            <v>;;=SUM(F35:G35);</v>
          </cell>
          <cell r="I649" t="str">
            <v>.</v>
          </cell>
        </row>
        <row r="650">
          <cell r="A650">
            <v>554</v>
          </cell>
          <cell r="B650" t="str">
            <v>New Zealand</v>
          </cell>
          <cell r="C650">
            <v>1998</v>
          </cell>
          <cell r="D650">
            <v>90</v>
          </cell>
          <cell r="E650">
            <v>2323</v>
          </cell>
          <cell r="F650">
            <v>90</v>
          </cell>
          <cell r="G650">
            <v>52970</v>
          </cell>
          <cell r="H650" t="str">
            <v>;;=SUM(F36:G36);</v>
          </cell>
          <cell r="I650" t="str">
            <v>.</v>
          </cell>
        </row>
        <row r="651">
          <cell r="A651">
            <v>554</v>
          </cell>
          <cell r="B651" t="str">
            <v>New Zealand</v>
          </cell>
          <cell r="C651">
            <v>1998</v>
          </cell>
          <cell r="D651">
            <v>90</v>
          </cell>
          <cell r="E651">
            <v>2424</v>
          </cell>
          <cell r="F651">
            <v>90</v>
          </cell>
          <cell r="G651">
            <v>53740</v>
          </cell>
          <cell r="H651" t="str">
            <v>;;=SUM(F37:G37);</v>
          </cell>
          <cell r="I651" t="str">
            <v>.</v>
          </cell>
        </row>
        <row r="652">
          <cell r="A652">
            <v>554</v>
          </cell>
          <cell r="B652" t="str">
            <v>New Zealand</v>
          </cell>
          <cell r="C652">
            <v>1998</v>
          </cell>
          <cell r="D652">
            <v>90</v>
          </cell>
          <cell r="E652">
            <v>2024</v>
          </cell>
          <cell r="F652">
            <v>90</v>
          </cell>
          <cell r="G652">
            <v>266030</v>
          </cell>
          <cell r="H652" t="str">
            <v>;;=SUM(F38:G38);</v>
          </cell>
          <cell r="I652" t="str">
            <v>.</v>
          </cell>
        </row>
        <row r="653">
          <cell r="A653">
            <v>554</v>
          </cell>
          <cell r="B653" t="str">
            <v>New Zealand</v>
          </cell>
          <cell r="C653">
            <v>1998</v>
          </cell>
          <cell r="D653">
            <v>90</v>
          </cell>
          <cell r="E653">
            <v>2525</v>
          </cell>
          <cell r="F653">
            <v>90</v>
          </cell>
          <cell r="G653">
            <v>53790</v>
          </cell>
          <cell r="H653" t="str">
            <v>;;=SUM(F39:G39);</v>
          </cell>
          <cell r="I653" t="str">
            <v>.</v>
          </cell>
        </row>
        <row r="654">
          <cell r="A654">
            <v>554</v>
          </cell>
          <cell r="B654" t="str">
            <v>New Zealand</v>
          </cell>
          <cell r="C654">
            <v>1998</v>
          </cell>
          <cell r="D654">
            <v>90</v>
          </cell>
          <cell r="E654">
            <v>2626</v>
          </cell>
          <cell r="F654">
            <v>90</v>
          </cell>
          <cell r="G654">
            <v>55890</v>
          </cell>
          <cell r="H654" t="str">
            <v>;;=SUM(F40:G40);</v>
          </cell>
          <cell r="I654" t="str">
            <v>.</v>
          </cell>
        </row>
        <row r="655">
          <cell r="A655">
            <v>554</v>
          </cell>
          <cell r="B655" t="str">
            <v>New Zealand</v>
          </cell>
          <cell r="C655">
            <v>1998</v>
          </cell>
          <cell r="D655">
            <v>90</v>
          </cell>
          <cell r="E655">
            <v>2727</v>
          </cell>
          <cell r="F655">
            <v>90</v>
          </cell>
          <cell r="G655">
            <v>57060</v>
          </cell>
          <cell r="H655" t="str">
            <v>;;=SUM(F41:G41);</v>
          </cell>
          <cell r="I655" t="str">
            <v>.</v>
          </cell>
        </row>
        <row r="656">
          <cell r="A656">
            <v>554</v>
          </cell>
          <cell r="B656" t="str">
            <v>New Zealand</v>
          </cell>
          <cell r="C656">
            <v>1998</v>
          </cell>
          <cell r="D656">
            <v>90</v>
          </cell>
          <cell r="E656">
            <v>2828</v>
          </cell>
          <cell r="F656">
            <v>90</v>
          </cell>
          <cell r="G656">
            <v>56730</v>
          </cell>
          <cell r="H656" t="str">
            <v>;;=SUM(F42:G42);</v>
          </cell>
          <cell r="I656" t="str">
            <v>.</v>
          </cell>
        </row>
        <row r="657">
          <cell r="A657">
            <v>554</v>
          </cell>
          <cell r="B657" t="str">
            <v>New Zealand</v>
          </cell>
          <cell r="C657">
            <v>1998</v>
          </cell>
          <cell r="D657">
            <v>90</v>
          </cell>
          <cell r="E657">
            <v>2929</v>
          </cell>
          <cell r="F657">
            <v>90</v>
          </cell>
          <cell r="G657">
            <v>57880</v>
          </cell>
          <cell r="H657" t="str">
            <v>;;=SUM(F43:G43);</v>
          </cell>
          <cell r="I657" t="str">
            <v>.</v>
          </cell>
        </row>
        <row r="658">
          <cell r="A658">
            <v>554</v>
          </cell>
          <cell r="B658" t="str">
            <v>New Zealand</v>
          </cell>
          <cell r="C658">
            <v>1998</v>
          </cell>
          <cell r="D658">
            <v>90</v>
          </cell>
          <cell r="E658">
            <v>2529</v>
          </cell>
          <cell r="F658">
            <v>90</v>
          </cell>
          <cell r="G658">
            <v>281350</v>
          </cell>
          <cell r="H658" t="str">
            <v>;;=SUM(F44:G44);</v>
          </cell>
          <cell r="I658" t="str">
            <v>.</v>
          </cell>
        </row>
        <row r="659">
          <cell r="A659">
            <v>554</v>
          </cell>
          <cell r="B659" t="str">
            <v>New Zealand</v>
          </cell>
          <cell r="C659">
            <v>1998</v>
          </cell>
          <cell r="D659">
            <v>90</v>
          </cell>
          <cell r="E659">
            <v>3034</v>
          </cell>
          <cell r="F659">
            <v>90</v>
          </cell>
          <cell r="G659">
            <v>293840</v>
          </cell>
          <cell r="H659" t="str">
            <v>;;=SUM(F45:G45);</v>
          </cell>
          <cell r="I659" t="str">
            <v>.</v>
          </cell>
        </row>
        <row r="660">
          <cell r="A660">
            <v>554</v>
          </cell>
          <cell r="B660" t="str">
            <v>New Zealand</v>
          </cell>
          <cell r="C660">
            <v>1998</v>
          </cell>
          <cell r="D660">
            <v>90</v>
          </cell>
          <cell r="E660">
            <v>3539</v>
          </cell>
          <cell r="F660">
            <v>90</v>
          </cell>
          <cell r="G660">
            <v>310440</v>
          </cell>
          <cell r="H660" t="str">
            <v>;;=SUM(F46:G46);</v>
          </cell>
          <cell r="I660" t="str">
            <v>.</v>
          </cell>
        </row>
        <row r="661">
          <cell r="A661">
            <v>250</v>
          </cell>
          <cell r="B661" t="str">
            <v>France</v>
          </cell>
          <cell r="C661">
            <v>1998</v>
          </cell>
          <cell r="D661">
            <v>90</v>
          </cell>
          <cell r="E661">
            <v>2424</v>
          </cell>
          <cell r="F661">
            <v>90</v>
          </cell>
          <cell r="G661">
            <v>849816</v>
          </cell>
          <cell r="H661" t="str">
            <v>;;=SUM(F37:G37);</v>
          </cell>
          <cell r="I661" t="str">
            <v>.</v>
          </cell>
        </row>
        <row r="662">
          <cell r="A662">
            <v>250</v>
          </cell>
          <cell r="B662" t="str">
            <v>France</v>
          </cell>
          <cell r="C662">
            <v>1998</v>
          </cell>
          <cell r="D662">
            <v>90</v>
          </cell>
          <cell r="E662">
            <v>2024</v>
          </cell>
          <cell r="F662">
            <v>90</v>
          </cell>
          <cell r="G662">
            <v>3890845</v>
          </cell>
          <cell r="H662" t="str">
            <v>;;=SUM(F38:G38);</v>
          </cell>
          <cell r="I662" t="str">
            <v>.</v>
          </cell>
        </row>
        <row r="663">
          <cell r="A663">
            <v>250</v>
          </cell>
          <cell r="B663" t="str">
            <v>France</v>
          </cell>
          <cell r="C663">
            <v>1998</v>
          </cell>
          <cell r="D663">
            <v>90</v>
          </cell>
          <cell r="E663">
            <v>2525</v>
          </cell>
          <cell r="F663">
            <v>90</v>
          </cell>
          <cell r="G663">
            <v>872427</v>
          </cell>
          <cell r="H663" t="str">
            <v>;;=SUM(F39:G39);</v>
          </cell>
          <cell r="I663" t="str">
            <v>.</v>
          </cell>
        </row>
        <row r="664">
          <cell r="A664">
            <v>250</v>
          </cell>
          <cell r="B664" t="str">
            <v>France</v>
          </cell>
          <cell r="C664">
            <v>1998</v>
          </cell>
          <cell r="D664">
            <v>90</v>
          </cell>
          <cell r="E664">
            <v>2626</v>
          </cell>
          <cell r="F664">
            <v>90</v>
          </cell>
          <cell r="G664">
            <v>877983</v>
          </cell>
          <cell r="H664" t="str">
            <v>;;=SUM(F40:G40);</v>
          </cell>
          <cell r="I664" t="str">
            <v>.</v>
          </cell>
        </row>
        <row r="665">
          <cell r="A665">
            <v>250</v>
          </cell>
          <cell r="B665" t="str">
            <v>France</v>
          </cell>
          <cell r="C665">
            <v>1998</v>
          </cell>
          <cell r="D665">
            <v>90</v>
          </cell>
          <cell r="E665">
            <v>2727</v>
          </cell>
          <cell r="F665">
            <v>90</v>
          </cell>
          <cell r="G665">
            <v>863009</v>
          </cell>
          <cell r="H665" t="str">
            <v>;;=SUM(F41:G41);</v>
          </cell>
          <cell r="I665" t="str">
            <v>.</v>
          </cell>
        </row>
        <row r="666">
          <cell r="A666">
            <v>250</v>
          </cell>
          <cell r="B666" t="str">
            <v>France</v>
          </cell>
          <cell r="C666">
            <v>1998</v>
          </cell>
          <cell r="D666">
            <v>90</v>
          </cell>
          <cell r="E666">
            <v>2828</v>
          </cell>
          <cell r="F666">
            <v>90</v>
          </cell>
          <cell r="G666">
            <v>856684</v>
          </cell>
          <cell r="H666" t="str">
            <v>;;=SUM(F42:G42);</v>
          </cell>
          <cell r="I666" t="str">
            <v>.</v>
          </cell>
        </row>
        <row r="667">
          <cell r="A667">
            <v>250</v>
          </cell>
          <cell r="B667" t="str">
            <v>France</v>
          </cell>
          <cell r="C667">
            <v>1998</v>
          </cell>
          <cell r="D667">
            <v>90</v>
          </cell>
          <cell r="E667">
            <v>2929</v>
          </cell>
          <cell r="F667">
            <v>90</v>
          </cell>
          <cell r="G667">
            <v>848154</v>
          </cell>
          <cell r="H667" t="str">
            <v>;;=SUM(F43:G43);</v>
          </cell>
          <cell r="I667" t="str">
            <v>.</v>
          </cell>
        </row>
        <row r="668">
          <cell r="A668">
            <v>250</v>
          </cell>
          <cell r="B668" t="str">
            <v>France</v>
          </cell>
          <cell r="C668">
            <v>1998</v>
          </cell>
          <cell r="D668">
            <v>90</v>
          </cell>
          <cell r="E668">
            <v>2529</v>
          </cell>
          <cell r="F668">
            <v>90</v>
          </cell>
          <cell r="G668">
            <v>4318257</v>
          </cell>
          <cell r="H668" t="str">
            <v>;;=SUM(F44:G44);</v>
          </cell>
          <cell r="I668" t="str">
            <v>.</v>
          </cell>
        </row>
        <row r="669">
          <cell r="A669">
            <v>250</v>
          </cell>
          <cell r="B669" t="str">
            <v>France</v>
          </cell>
          <cell r="C669">
            <v>1998</v>
          </cell>
          <cell r="D669">
            <v>90</v>
          </cell>
          <cell r="E669">
            <v>3034</v>
          </cell>
          <cell r="F669">
            <v>90</v>
          </cell>
          <cell r="G669">
            <v>4380046</v>
          </cell>
          <cell r="H669" t="str">
            <v>;;=SUM(F45:G45);</v>
          </cell>
          <cell r="I669" t="str">
            <v>.</v>
          </cell>
        </row>
        <row r="670">
          <cell r="A670">
            <v>250</v>
          </cell>
          <cell r="B670" t="str">
            <v>France</v>
          </cell>
          <cell r="C670">
            <v>1998</v>
          </cell>
          <cell r="D670">
            <v>90</v>
          </cell>
          <cell r="E670">
            <v>3539</v>
          </cell>
          <cell r="F670">
            <v>90</v>
          </cell>
          <cell r="G670">
            <v>4328099</v>
          </cell>
          <cell r="H670" t="str">
            <v>;;=SUM(F46:G46);</v>
          </cell>
          <cell r="I670" t="str">
            <v>.</v>
          </cell>
        </row>
        <row r="671">
          <cell r="A671">
            <v>250</v>
          </cell>
          <cell r="B671" t="str">
            <v>France</v>
          </cell>
          <cell r="C671">
            <v>1998</v>
          </cell>
          <cell r="D671">
            <v>90</v>
          </cell>
          <cell r="E671">
            <v>4099</v>
          </cell>
          <cell r="F671">
            <v>90</v>
          </cell>
          <cell r="G671">
            <v>26663267</v>
          </cell>
          <cell r="H671" t="str">
            <v>;;=SUM(F47:G47);</v>
          </cell>
          <cell r="I671" t="str">
            <v>.</v>
          </cell>
        </row>
        <row r="672">
          <cell r="A672">
            <v>250</v>
          </cell>
          <cell r="B672" t="str">
            <v>France</v>
          </cell>
          <cell r="C672">
            <v>1998</v>
          </cell>
          <cell r="D672">
            <v>90</v>
          </cell>
          <cell r="E672">
            <v>990000</v>
          </cell>
          <cell r="F672">
            <v>90</v>
          </cell>
          <cell r="G672">
            <v>0</v>
          </cell>
          <cell r="H672" t="str">
            <v>n;</v>
          </cell>
          <cell r="I672" t="str">
            <v>n</v>
          </cell>
        </row>
        <row r="673">
          <cell r="A673">
            <v>300</v>
          </cell>
          <cell r="B673" t="str">
            <v>Greece</v>
          </cell>
          <cell r="C673">
            <v>1998</v>
          </cell>
          <cell r="D673">
            <v>90</v>
          </cell>
          <cell r="E673">
            <v>900000</v>
          </cell>
          <cell r="F673">
            <v>90</v>
          </cell>
          <cell r="G673">
            <v>10510965</v>
          </cell>
          <cell r="H673" t="str">
            <v>;;=SUM(F11:G11);</v>
          </cell>
          <cell r="I673" t="str">
            <v>.</v>
          </cell>
        </row>
        <row r="674">
          <cell r="A674">
            <v>300</v>
          </cell>
          <cell r="B674" t="str">
            <v>Greece</v>
          </cell>
          <cell r="C674">
            <v>1998</v>
          </cell>
          <cell r="D674">
            <v>90</v>
          </cell>
          <cell r="E674">
            <v>300</v>
          </cell>
          <cell r="F674">
            <v>90</v>
          </cell>
          <cell r="G674">
            <v>302204</v>
          </cell>
          <cell r="H674" t="str">
            <v>;;=SUM(F12:G12);</v>
          </cell>
          <cell r="I674" t="str">
            <v>.</v>
          </cell>
        </row>
        <row r="675">
          <cell r="A675">
            <v>300</v>
          </cell>
          <cell r="B675" t="str">
            <v>Greece</v>
          </cell>
          <cell r="C675">
            <v>1998</v>
          </cell>
          <cell r="D675">
            <v>90</v>
          </cell>
          <cell r="E675">
            <v>303</v>
          </cell>
          <cell r="F675">
            <v>90</v>
          </cell>
          <cell r="G675">
            <v>102733</v>
          </cell>
          <cell r="H675" t="str">
            <v>;;=SUM(F13:G13);</v>
          </cell>
          <cell r="I675" t="str">
            <v>.</v>
          </cell>
        </row>
        <row r="676">
          <cell r="A676">
            <v>300</v>
          </cell>
          <cell r="B676" t="str">
            <v>Greece</v>
          </cell>
          <cell r="C676">
            <v>1998</v>
          </cell>
          <cell r="D676">
            <v>90</v>
          </cell>
          <cell r="E676">
            <v>404</v>
          </cell>
          <cell r="F676">
            <v>90</v>
          </cell>
          <cell r="G676">
            <v>102304</v>
          </cell>
          <cell r="H676" t="str">
            <v>;;=SUM(F14:G14);</v>
          </cell>
          <cell r="I676" t="str">
            <v>.</v>
          </cell>
        </row>
        <row r="677">
          <cell r="A677">
            <v>300</v>
          </cell>
          <cell r="B677" t="str">
            <v>Greece</v>
          </cell>
          <cell r="C677">
            <v>1998</v>
          </cell>
          <cell r="D677">
            <v>90</v>
          </cell>
          <cell r="E677">
            <v>505</v>
          </cell>
          <cell r="F677">
            <v>90</v>
          </cell>
          <cell r="G677">
            <v>103429</v>
          </cell>
          <cell r="H677" t="str">
            <v>;;=SUM(F15:G15);</v>
          </cell>
          <cell r="I677" t="str">
            <v>.</v>
          </cell>
        </row>
        <row r="678">
          <cell r="A678">
            <v>300</v>
          </cell>
          <cell r="B678" t="str">
            <v>Greece</v>
          </cell>
          <cell r="C678">
            <v>1998</v>
          </cell>
          <cell r="D678">
            <v>90</v>
          </cell>
          <cell r="E678">
            <v>606</v>
          </cell>
          <cell r="F678">
            <v>90</v>
          </cell>
          <cell r="G678">
            <v>104256</v>
          </cell>
          <cell r="H678" t="str">
            <v>;;=SUM(F16:G16);</v>
          </cell>
          <cell r="I678" t="str">
            <v>.</v>
          </cell>
        </row>
        <row r="679">
          <cell r="A679">
            <v>300</v>
          </cell>
          <cell r="B679" t="str">
            <v>Greece</v>
          </cell>
          <cell r="C679">
            <v>1998</v>
          </cell>
          <cell r="D679">
            <v>90</v>
          </cell>
          <cell r="E679">
            <v>707</v>
          </cell>
          <cell r="F679">
            <v>90</v>
          </cell>
          <cell r="G679">
            <v>106702</v>
          </cell>
          <cell r="H679" t="str">
            <v>;;=SUM(F17:G17);</v>
          </cell>
          <cell r="I679" t="str">
            <v>.</v>
          </cell>
        </row>
        <row r="680">
          <cell r="A680">
            <v>300</v>
          </cell>
          <cell r="B680" t="str">
            <v>Greece</v>
          </cell>
          <cell r="C680">
            <v>1998</v>
          </cell>
          <cell r="D680">
            <v>90</v>
          </cell>
          <cell r="E680">
            <v>808</v>
          </cell>
          <cell r="F680">
            <v>90</v>
          </cell>
          <cell r="G680">
            <v>108306</v>
          </cell>
          <cell r="H680" t="str">
            <v>;;=SUM(F18:G18);</v>
          </cell>
          <cell r="I680" t="str">
            <v>.</v>
          </cell>
        </row>
        <row r="681">
          <cell r="A681">
            <v>300</v>
          </cell>
          <cell r="B681" t="str">
            <v>Greece</v>
          </cell>
          <cell r="C681">
            <v>1998</v>
          </cell>
          <cell r="D681">
            <v>90</v>
          </cell>
          <cell r="E681">
            <v>909</v>
          </cell>
          <cell r="F681">
            <v>90</v>
          </cell>
          <cell r="G681">
            <v>110403</v>
          </cell>
          <cell r="H681" t="str">
            <v>;;=SUM(F19:G19);</v>
          </cell>
          <cell r="I681" t="str">
            <v>.</v>
          </cell>
        </row>
        <row r="682">
          <cell r="A682">
            <v>300</v>
          </cell>
          <cell r="B682" t="str">
            <v>Greece</v>
          </cell>
          <cell r="C682">
            <v>1998</v>
          </cell>
          <cell r="D682">
            <v>90</v>
          </cell>
          <cell r="E682">
            <v>509</v>
          </cell>
          <cell r="F682">
            <v>90</v>
          </cell>
          <cell r="G682">
            <v>533096</v>
          </cell>
          <cell r="H682" t="str">
            <v>;;=SUM(F20:G20);</v>
          </cell>
          <cell r="I682" t="str">
            <v>.</v>
          </cell>
        </row>
        <row r="683">
          <cell r="A683">
            <v>300</v>
          </cell>
          <cell r="B683" t="str">
            <v>Greece</v>
          </cell>
          <cell r="C683">
            <v>1998</v>
          </cell>
          <cell r="D683">
            <v>90</v>
          </cell>
          <cell r="E683">
            <v>1010</v>
          </cell>
          <cell r="F683">
            <v>90</v>
          </cell>
          <cell r="G683">
            <v>113349</v>
          </cell>
          <cell r="H683" t="str">
            <v>;;=SUM(F21:G21);</v>
          </cell>
          <cell r="I683" t="str">
            <v>.</v>
          </cell>
        </row>
        <row r="684">
          <cell r="A684">
            <v>300</v>
          </cell>
          <cell r="B684" t="str">
            <v>Greece</v>
          </cell>
          <cell r="C684">
            <v>1998</v>
          </cell>
          <cell r="D684">
            <v>90</v>
          </cell>
          <cell r="E684">
            <v>1111</v>
          </cell>
          <cell r="F684">
            <v>90</v>
          </cell>
          <cell r="G684">
            <v>117811</v>
          </cell>
          <cell r="H684" t="str">
            <v>;;=SUM(F22:G22);</v>
          </cell>
          <cell r="I684" t="str">
            <v>.</v>
          </cell>
        </row>
        <row r="685">
          <cell r="A685">
            <v>300</v>
          </cell>
          <cell r="B685" t="str">
            <v>Greece</v>
          </cell>
          <cell r="C685">
            <v>1998</v>
          </cell>
          <cell r="D685">
            <v>90</v>
          </cell>
          <cell r="E685">
            <v>1212</v>
          </cell>
          <cell r="F685">
            <v>90</v>
          </cell>
          <cell r="G685">
            <v>123058</v>
          </cell>
          <cell r="H685" t="str">
            <v>;;=SUM(F23:G23);</v>
          </cell>
          <cell r="I685" t="str">
            <v>.</v>
          </cell>
        </row>
        <row r="686">
          <cell r="A686">
            <v>300</v>
          </cell>
          <cell r="B686" t="str">
            <v>Greece</v>
          </cell>
          <cell r="C686">
            <v>1998</v>
          </cell>
          <cell r="D686">
            <v>90</v>
          </cell>
          <cell r="E686">
            <v>1313</v>
          </cell>
          <cell r="F686">
            <v>90</v>
          </cell>
          <cell r="G686">
            <v>128160</v>
          </cell>
          <cell r="H686" t="str">
            <v>;;=SUM(F24:G24);</v>
          </cell>
          <cell r="I686" t="str">
            <v>.</v>
          </cell>
        </row>
        <row r="687">
          <cell r="A687">
            <v>300</v>
          </cell>
          <cell r="B687" t="str">
            <v>Greece</v>
          </cell>
          <cell r="C687">
            <v>1998</v>
          </cell>
          <cell r="D687">
            <v>90</v>
          </cell>
          <cell r="E687">
            <v>1414</v>
          </cell>
          <cell r="F687">
            <v>90</v>
          </cell>
          <cell r="G687">
            <v>133663</v>
          </cell>
          <cell r="H687" t="str">
            <v>;;=SUM(F25:G25);</v>
          </cell>
          <cell r="I687" t="str">
            <v>.</v>
          </cell>
        </row>
        <row r="688">
          <cell r="A688">
            <v>300</v>
          </cell>
          <cell r="B688" t="str">
            <v>Greece</v>
          </cell>
          <cell r="C688">
            <v>1998</v>
          </cell>
          <cell r="D688">
            <v>90</v>
          </cell>
          <cell r="E688">
            <v>1014</v>
          </cell>
          <cell r="F688">
            <v>90</v>
          </cell>
          <cell r="G688">
            <v>616041</v>
          </cell>
          <cell r="H688" t="str">
            <v>;;=SUM(F26:G26);</v>
          </cell>
          <cell r="I688" t="str">
            <v>.</v>
          </cell>
        </row>
        <row r="689">
          <cell r="A689">
            <v>300</v>
          </cell>
          <cell r="B689" t="str">
            <v>Greece</v>
          </cell>
          <cell r="C689">
            <v>1998</v>
          </cell>
          <cell r="D689">
            <v>90</v>
          </cell>
          <cell r="E689">
            <v>1515</v>
          </cell>
          <cell r="F689">
            <v>90</v>
          </cell>
          <cell r="G689">
            <v>139244</v>
          </cell>
          <cell r="H689" t="str">
            <v>;;=SUM(F27:G27);</v>
          </cell>
          <cell r="I689" t="str">
            <v>.</v>
          </cell>
        </row>
        <row r="690">
          <cell r="A690">
            <v>578</v>
          </cell>
          <cell r="B690" t="str">
            <v>Norway</v>
          </cell>
          <cell r="C690">
            <v>1998</v>
          </cell>
          <cell r="D690">
            <v>90</v>
          </cell>
          <cell r="E690">
            <v>900000</v>
          </cell>
          <cell r="F690">
            <v>90</v>
          </cell>
          <cell r="G690">
            <v>4417599</v>
          </cell>
          <cell r="H690" t="str">
            <v>;;=SUM(F11:G11);</v>
          </cell>
          <cell r="I690" t="str">
            <v>.</v>
          </cell>
        </row>
        <row r="691">
          <cell r="A691">
            <v>578</v>
          </cell>
          <cell r="B691" t="str">
            <v>Norway</v>
          </cell>
          <cell r="C691">
            <v>1998</v>
          </cell>
          <cell r="D691">
            <v>90</v>
          </cell>
          <cell r="E691">
            <v>300</v>
          </cell>
          <cell r="F691">
            <v>90</v>
          </cell>
          <cell r="G691">
            <v>181761</v>
          </cell>
          <cell r="H691" t="str">
            <v>;;=SUM(F12:G12);</v>
          </cell>
          <cell r="I691" t="str">
            <v>.</v>
          </cell>
        </row>
        <row r="692">
          <cell r="A692">
            <v>578</v>
          </cell>
          <cell r="B692" t="str">
            <v>Norway</v>
          </cell>
          <cell r="C692">
            <v>1998</v>
          </cell>
          <cell r="D692">
            <v>90</v>
          </cell>
          <cell r="E692">
            <v>303</v>
          </cell>
          <cell r="F692">
            <v>90</v>
          </cell>
          <cell r="G692">
            <v>60601</v>
          </cell>
          <cell r="H692" t="str">
            <v>;;=SUM(F13:G13);</v>
          </cell>
          <cell r="I692" t="str">
            <v>.</v>
          </cell>
        </row>
        <row r="693">
          <cell r="A693">
            <v>578</v>
          </cell>
          <cell r="B693" t="str">
            <v>Norway</v>
          </cell>
          <cell r="C693">
            <v>1998</v>
          </cell>
          <cell r="D693">
            <v>90</v>
          </cell>
          <cell r="E693">
            <v>404</v>
          </cell>
          <cell r="F693">
            <v>90</v>
          </cell>
          <cell r="G693">
            <v>60435</v>
          </cell>
          <cell r="H693" t="str">
            <v>;;=SUM(F14:G14);</v>
          </cell>
          <cell r="I693" t="str">
            <v>.</v>
          </cell>
        </row>
        <row r="694">
          <cell r="A694">
            <v>578</v>
          </cell>
          <cell r="B694" t="str">
            <v>Norway</v>
          </cell>
          <cell r="C694">
            <v>1998</v>
          </cell>
          <cell r="D694">
            <v>90</v>
          </cell>
          <cell r="E694">
            <v>505</v>
          </cell>
          <cell r="F694">
            <v>90</v>
          </cell>
          <cell r="G694">
            <v>61210</v>
          </cell>
          <cell r="H694" t="str">
            <v>;;=SUM(F15:G15);</v>
          </cell>
          <cell r="I694" t="str">
            <v>.</v>
          </cell>
        </row>
        <row r="695">
          <cell r="A695">
            <v>578</v>
          </cell>
          <cell r="B695" t="str">
            <v>Norway</v>
          </cell>
          <cell r="C695">
            <v>1998</v>
          </cell>
          <cell r="D695">
            <v>90</v>
          </cell>
          <cell r="E695">
            <v>606</v>
          </cell>
          <cell r="F695">
            <v>90</v>
          </cell>
          <cell r="G695">
            <v>62046</v>
          </cell>
          <cell r="H695" t="str">
            <v>;;=SUM(F16:G16);</v>
          </cell>
          <cell r="I695" t="str">
            <v>.</v>
          </cell>
        </row>
        <row r="696">
          <cell r="A696">
            <v>578</v>
          </cell>
          <cell r="B696" t="str">
            <v>Norway</v>
          </cell>
          <cell r="C696">
            <v>1998</v>
          </cell>
          <cell r="D696">
            <v>90</v>
          </cell>
          <cell r="E696">
            <v>707</v>
          </cell>
          <cell r="F696">
            <v>90</v>
          </cell>
          <cell r="G696">
            <v>62052</v>
          </cell>
          <cell r="H696" t="str">
            <v>;;=SUM(F17:G17);</v>
          </cell>
          <cell r="I696" t="str">
            <v>.</v>
          </cell>
        </row>
        <row r="697">
          <cell r="A697">
            <v>554</v>
          </cell>
          <cell r="B697" t="str">
            <v>New Zealand</v>
          </cell>
          <cell r="C697">
            <v>1998</v>
          </cell>
          <cell r="D697">
            <v>90</v>
          </cell>
          <cell r="E697">
            <v>4099</v>
          </cell>
          <cell r="F697">
            <v>90</v>
          </cell>
          <cell r="G697">
            <v>1506840</v>
          </cell>
          <cell r="H697" t="str">
            <v>;;=SUM(F47:G47);</v>
          </cell>
          <cell r="I697" t="str">
            <v>.</v>
          </cell>
        </row>
        <row r="698">
          <cell r="A698">
            <v>554</v>
          </cell>
          <cell r="B698" t="str">
            <v>New Zealand</v>
          </cell>
          <cell r="C698">
            <v>1998</v>
          </cell>
          <cell r="D698">
            <v>90</v>
          </cell>
          <cell r="E698">
            <v>990000</v>
          </cell>
          <cell r="F698">
            <v>90</v>
          </cell>
          <cell r="G698">
            <v>0</v>
          </cell>
          <cell r="H698" t="str">
            <v>n;</v>
          </cell>
          <cell r="I698" t="str">
            <v>n</v>
          </cell>
        </row>
        <row r="699">
          <cell r="A699">
            <v>616</v>
          </cell>
          <cell r="B699" t="str">
            <v>Poland</v>
          </cell>
          <cell r="C699">
            <v>1998</v>
          </cell>
          <cell r="D699">
            <v>90</v>
          </cell>
          <cell r="E699">
            <v>2424</v>
          </cell>
          <cell r="F699">
            <v>90</v>
          </cell>
          <cell r="G699">
            <v>566986</v>
          </cell>
          <cell r="H699" t="str">
            <v/>
          </cell>
          <cell r="I699" t="str">
            <v>.</v>
          </cell>
        </row>
        <row r="700">
          <cell r="A700">
            <v>616</v>
          </cell>
          <cell r="B700" t="str">
            <v>Poland</v>
          </cell>
          <cell r="C700">
            <v>1998</v>
          </cell>
          <cell r="D700">
            <v>90</v>
          </cell>
          <cell r="E700">
            <v>2024</v>
          </cell>
          <cell r="F700">
            <v>90</v>
          </cell>
          <cell r="G700">
            <v>3042845</v>
          </cell>
          <cell r="H700" t="str">
            <v/>
          </cell>
          <cell r="I700" t="str">
            <v>.</v>
          </cell>
        </row>
        <row r="701">
          <cell r="A701">
            <v>616</v>
          </cell>
          <cell r="B701" t="str">
            <v>Poland</v>
          </cell>
          <cell r="C701">
            <v>1998</v>
          </cell>
          <cell r="D701">
            <v>90</v>
          </cell>
          <cell r="E701">
            <v>2525</v>
          </cell>
          <cell r="F701">
            <v>90</v>
          </cell>
          <cell r="G701">
            <v>556467</v>
          </cell>
          <cell r="H701" t="str">
            <v/>
          </cell>
          <cell r="I701" t="str">
            <v>.</v>
          </cell>
        </row>
        <row r="702">
          <cell r="A702">
            <v>616</v>
          </cell>
          <cell r="B702" t="str">
            <v>Poland</v>
          </cell>
          <cell r="C702">
            <v>1998</v>
          </cell>
          <cell r="D702">
            <v>90</v>
          </cell>
          <cell r="E702">
            <v>2626</v>
          </cell>
          <cell r="F702">
            <v>90</v>
          </cell>
          <cell r="G702">
            <v>533137</v>
          </cell>
          <cell r="H702" t="str">
            <v/>
          </cell>
          <cell r="I702" t="str">
            <v>.</v>
          </cell>
        </row>
        <row r="703">
          <cell r="A703">
            <v>616</v>
          </cell>
          <cell r="B703" t="str">
            <v>Poland</v>
          </cell>
          <cell r="C703">
            <v>1998</v>
          </cell>
          <cell r="D703">
            <v>90</v>
          </cell>
          <cell r="E703">
            <v>2727</v>
          </cell>
          <cell r="F703">
            <v>90</v>
          </cell>
          <cell r="G703">
            <v>515580</v>
          </cell>
          <cell r="H703" t="str">
            <v/>
          </cell>
          <cell r="I703" t="str">
            <v>.</v>
          </cell>
        </row>
        <row r="704">
          <cell r="A704">
            <v>616</v>
          </cell>
          <cell r="B704" t="str">
            <v>Poland</v>
          </cell>
          <cell r="C704">
            <v>1998</v>
          </cell>
          <cell r="D704">
            <v>90</v>
          </cell>
          <cell r="E704">
            <v>2828</v>
          </cell>
          <cell r="F704">
            <v>90</v>
          </cell>
          <cell r="G704">
            <v>488328</v>
          </cell>
          <cell r="H704" t="str">
            <v/>
          </cell>
          <cell r="I704" t="str">
            <v>.</v>
          </cell>
        </row>
        <row r="705">
          <cell r="A705">
            <v>616</v>
          </cell>
          <cell r="B705" t="str">
            <v>Poland</v>
          </cell>
          <cell r="C705">
            <v>1998</v>
          </cell>
          <cell r="D705">
            <v>90</v>
          </cell>
          <cell r="E705">
            <v>2929</v>
          </cell>
          <cell r="F705">
            <v>90</v>
          </cell>
          <cell r="G705">
            <v>487449</v>
          </cell>
          <cell r="H705" t="str">
            <v/>
          </cell>
          <cell r="I705" t="str">
            <v>.</v>
          </cell>
        </row>
        <row r="706">
          <cell r="A706">
            <v>616</v>
          </cell>
          <cell r="B706" t="str">
            <v>Poland</v>
          </cell>
          <cell r="C706">
            <v>1998</v>
          </cell>
          <cell r="D706">
            <v>90</v>
          </cell>
          <cell r="E706">
            <v>2529</v>
          </cell>
          <cell r="F706">
            <v>90</v>
          </cell>
          <cell r="G706">
            <v>2580961</v>
          </cell>
          <cell r="H706" t="str">
            <v/>
          </cell>
          <cell r="I706" t="str">
            <v>.</v>
          </cell>
        </row>
        <row r="707">
          <cell r="A707">
            <v>616</v>
          </cell>
          <cell r="B707" t="str">
            <v>Poland</v>
          </cell>
          <cell r="C707">
            <v>1998</v>
          </cell>
          <cell r="D707">
            <v>90</v>
          </cell>
          <cell r="E707">
            <v>3034</v>
          </cell>
          <cell r="F707">
            <v>90</v>
          </cell>
          <cell r="G707">
            <v>2477387</v>
          </cell>
          <cell r="H707" t="str">
            <v/>
          </cell>
          <cell r="I707" t="str">
            <v>.</v>
          </cell>
        </row>
        <row r="708">
          <cell r="A708">
            <v>616</v>
          </cell>
          <cell r="B708" t="str">
            <v>Poland</v>
          </cell>
          <cell r="C708">
            <v>1998</v>
          </cell>
          <cell r="D708">
            <v>90</v>
          </cell>
          <cell r="E708">
            <v>3539</v>
          </cell>
          <cell r="F708">
            <v>90</v>
          </cell>
          <cell r="G708">
            <v>2923901</v>
          </cell>
          <cell r="H708" t="str">
            <v/>
          </cell>
          <cell r="I708" t="str">
            <v>.</v>
          </cell>
        </row>
        <row r="709">
          <cell r="A709">
            <v>616</v>
          </cell>
          <cell r="B709" t="str">
            <v>Poland</v>
          </cell>
          <cell r="C709">
            <v>1998</v>
          </cell>
          <cell r="D709">
            <v>90</v>
          </cell>
          <cell r="E709">
            <v>4099</v>
          </cell>
          <cell r="F709">
            <v>90</v>
          </cell>
          <cell r="G709">
            <v>16172889</v>
          </cell>
          <cell r="H709" t="str">
            <v/>
          </cell>
          <cell r="I709" t="str">
            <v>.</v>
          </cell>
        </row>
        <row r="710">
          <cell r="A710">
            <v>616</v>
          </cell>
          <cell r="B710" t="str">
            <v>Poland</v>
          </cell>
          <cell r="C710">
            <v>1998</v>
          </cell>
          <cell r="D710">
            <v>90</v>
          </cell>
          <cell r="E710">
            <v>990000</v>
          </cell>
          <cell r="F710">
            <v>90</v>
          </cell>
          <cell r="G710">
            <v>0</v>
          </cell>
          <cell r="H710" t="str">
            <v>n;</v>
          </cell>
          <cell r="I710" t="str">
            <v>n</v>
          </cell>
        </row>
        <row r="711">
          <cell r="A711">
            <v>724</v>
          </cell>
          <cell r="B711" t="str">
            <v>Spain</v>
          </cell>
          <cell r="C711">
            <v>1998</v>
          </cell>
          <cell r="D711">
            <v>90</v>
          </cell>
          <cell r="E711">
            <v>900000</v>
          </cell>
          <cell r="F711">
            <v>90</v>
          </cell>
          <cell r="G711">
            <v>39347936</v>
          </cell>
          <cell r="H711" t="str">
            <v>;;=SUM(F11:G11);</v>
          </cell>
          <cell r="I711" t="str">
            <v>.</v>
          </cell>
        </row>
        <row r="712">
          <cell r="A712">
            <v>724</v>
          </cell>
          <cell r="B712" t="str">
            <v>Spain</v>
          </cell>
          <cell r="C712">
            <v>1998</v>
          </cell>
          <cell r="D712">
            <v>90</v>
          </cell>
          <cell r="E712">
            <v>300</v>
          </cell>
          <cell r="F712">
            <v>90</v>
          </cell>
          <cell r="G712">
            <v>1153667</v>
          </cell>
          <cell r="H712" t="str">
            <v>;;=SUM(F12:G12);</v>
          </cell>
          <cell r="I712" t="str">
            <v>.</v>
          </cell>
        </row>
        <row r="713">
          <cell r="A713">
            <v>724</v>
          </cell>
          <cell r="B713" t="str">
            <v>Spain</v>
          </cell>
          <cell r="C713">
            <v>1998</v>
          </cell>
          <cell r="D713">
            <v>90</v>
          </cell>
          <cell r="E713">
            <v>303</v>
          </cell>
          <cell r="F713">
            <v>90</v>
          </cell>
          <cell r="G713">
            <v>374212</v>
          </cell>
          <cell r="H713" t="str">
            <v>;;=SUM(F13:G13);</v>
          </cell>
          <cell r="I713" t="str">
            <v>.</v>
          </cell>
        </row>
        <row r="714">
          <cell r="A714">
            <v>724</v>
          </cell>
          <cell r="B714" t="str">
            <v>Spain</v>
          </cell>
          <cell r="C714">
            <v>1998</v>
          </cell>
          <cell r="D714">
            <v>90</v>
          </cell>
          <cell r="E714">
            <v>404</v>
          </cell>
          <cell r="F714">
            <v>90</v>
          </cell>
          <cell r="G714">
            <v>384591</v>
          </cell>
          <cell r="H714" t="str">
            <v>;;=SUM(F14:G14);</v>
          </cell>
          <cell r="I714" t="str">
            <v>.</v>
          </cell>
        </row>
        <row r="715">
          <cell r="A715">
            <v>724</v>
          </cell>
          <cell r="B715" t="str">
            <v>Spain</v>
          </cell>
          <cell r="C715">
            <v>1998</v>
          </cell>
          <cell r="D715">
            <v>90</v>
          </cell>
          <cell r="E715">
            <v>505</v>
          </cell>
          <cell r="F715">
            <v>90</v>
          </cell>
          <cell r="G715">
            <v>394866</v>
          </cell>
          <cell r="H715" t="str">
            <v>;;=SUM(F15:G15);</v>
          </cell>
          <cell r="I715" t="str">
            <v>.</v>
          </cell>
        </row>
        <row r="716">
          <cell r="A716">
            <v>724</v>
          </cell>
          <cell r="B716" t="str">
            <v>Spain</v>
          </cell>
          <cell r="C716">
            <v>1998</v>
          </cell>
          <cell r="D716">
            <v>90</v>
          </cell>
          <cell r="E716">
            <v>606</v>
          </cell>
          <cell r="F716">
            <v>90</v>
          </cell>
          <cell r="G716">
            <v>394298</v>
          </cell>
          <cell r="H716" t="str">
            <v>;;=SUM(F16:G16);</v>
          </cell>
          <cell r="I716" t="str">
            <v>.</v>
          </cell>
        </row>
        <row r="717">
          <cell r="A717">
            <v>724</v>
          </cell>
          <cell r="B717" t="str">
            <v>Spain</v>
          </cell>
          <cell r="C717">
            <v>1998</v>
          </cell>
          <cell r="D717">
            <v>90</v>
          </cell>
          <cell r="E717">
            <v>707</v>
          </cell>
          <cell r="F717">
            <v>90</v>
          </cell>
          <cell r="G717">
            <v>390534</v>
          </cell>
          <cell r="H717" t="str">
            <v>;;=SUM(F17:G17);</v>
          </cell>
          <cell r="I717" t="str">
            <v>.</v>
          </cell>
        </row>
        <row r="718">
          <cell r="A718">
            <v>724</v>
          </cell>
          <cell r="B718" t="str">
            <v>Spain</v>
          </cell>
          <cell r="C718">
            <v>1998</v>
          </cell>
          <cell r="D718">
            <v>90</v>
          </cell>
          <cell r="E718">
            <v>808</v>
          </cell>
          <cell r="F718">
            <v>90</v>
          </cell>
          <cell r="G718">
            <v>397711</v>
          </cell>
          <cell r="H718" t="str">
            <v>;;=SUM(F18:G18);</v>
          </cell>
          <cell r="I718" t="str">
            <v>.</v>
          </cell>
        </row>
        <row r="719">
          <cell r="A719">
            <v>724</v>
          </cell>
          <cell r="B719" t="str">
            <v>Spain</v>
          </cell>
          <cell r="C719">
            <v>1998</v>
          </cell>
          <cell r="D719">
            <v>90</v>
          </cell>
          <cell r="E719">
            <v>909</v>
          </cell>
          <cell r="F719">
            <v>90</v>
          </cell>
          <cell r="G719">
            <v>399393</v>
          </cell>
          <cell r="H719" t="str">
            <v>;;=SUM(F19:G19);</v>
          </cell>
          <cell r="I719" t="str">
            <v>.</v>
          </cell>
        </row>
        <row r="720">
          <cell r="A720">
            <v>724</v>
          </cell>
          <cell r="B720" t="str">
            <v>Spain</v>
          </cell>
          <cell r="C720">
            <v>1998</v>
          </cell>
          <cell r="D720">
            <v>90</v>
          </cell>
          <cell r="E720">
            <v>509</v>
          </cell>
          <cell r="F720">
            <v>90</v>
          </cell>
          <cell r="G720">
            <v>1976802</v>
          </cell>
          <cell r="H720" t="str">
            <v>;;=SUM(F20:G20);</v>
          </cell>
          <cell r="I720" t="str">
            <v>.</v>
          </cell>
        </row>
        <row r="721">
          <cell r="A721">
            <v>724</v>
          </cell>
          <cell r="B721" t="str">
            <v>Spain</v>
          </cell>
          <cell r="C721">
            <v>1998</v>
          </cell>
          <cell r="D721">
            <v>90</v>
          </cell>
          <cell r="E721">
            <v>1010</v>
          </cell>
          <cell r="F721">
            <v>90</v>
          </cell>
          <cell r="G721">
            <v>413591</v>
          </cell>
          <cell r="H721" t="str">
            <v>;;=SUM(F21:G21);</v>
          </cell>
          <cell r="I721" t="str">
            <v>.</v>
          </cell>
        </row>
        <row r="722">
          <cell r="A722">
            <v>724</v>
          </cell>
          <cell r="B722" t="str">
            <v>Spain</v>
          </cell>
          <cell r="C722">
            <v>1998</v>
          </cell>
          <cell r="D722">
            <v>90</v>
          </cell>
          <cell r="E722">
            <v>1111</v>
          </cell>
          <cell r="F722">
            <v>90</v>
          </cell>
          <cell r="G722">
            <v>427768</v>
          </cell>
          <cell r="H722" t="str">
            <v>;;=SUM(F22:G22);</v>
          </cell>
          <cell r="I722" t="str">
            <v>.</v>
          </cell>
        </row>
        <row r="723">
          <cell r="A723">
            <v>724</v>
          </cell>
          <cell r="B723" t="str">
            <v>Spain</v>
          </cell>
          <cell r="C723">
            <v>1998</v>
          </cell>
          <cell r="D723">
            <v>90</v>
          </cell>
          <cell r="E723">
            <v>1212</v>
          </cell>
          <cell r="F723">
            <v>90</v>
          </cell>
          <cell r="G723">
            <v>448700</v>
          </cell>
          <cell r="H723" t="str">
            <v>;;=SUM(F23:G23);</v>
          </cell>
          <cell r="I723" t="str">
            <v>.</v>
          </cell>
        </row>
        <row r="724">
          <cell r="A724">
            <v>724</v>
          </cell>
          <cell r="B724" t="str">
            <v>Spain</v>
          </cell>
          <cell r="C724">
            <v>1998</v>
          </cell>
          <cell r="D724">
            <v>90</v>
          </cell>
          <cell r="E724">
            <v>1313</v>
          </cell>
          <cell r="F724">
            <v>90</v>
          </cell>
          <cell r="G724">
            <v>469640</v>
          </cell>
          <cell r="H724" t="str">
            <v>;;=SUM(F24:G24);</v>
          </cell>
          <cell r="I724" t="str">
            <v>.</v>
          </cell>
        </row>
        <row r="725">
          <cell r="A725">
            <v>724</v>
          </cell>
          <cell r="B725" t="str">
            <v>Spain</v>
          </cell>
          <cell r="C725">
            <v>1998</v>
          </cell>
          <cell r="D725">
            <v>90</v>
          </cell>
          <cell r="E725">
            <v>1414</v>
          </cell>
          <cell r="F725">
            <v>90</v>
          </cell>
          <cell r="G725">
            <v>492615</v>
          </cell>
          <cell r="H725" t="str">
            <v>;;=SUM(F25:G25);</v>
          </cell>
          <cell r="I725" t="str">
            <v>.</v>
          </cell>
        </row>
        <row r="726">
          <cell r="A726">
            <v>724</v>
          </cell>
          <cell r="B726" t="str">
            <v>Spain</v>
          </cell>
          <cell r="C726">
            <v>1998</v>
          </cell>
          <cell r="D726">
            <v>90</v>
          </cell>
          <cell r="E726">
            <v>1014</v>
          </cell>
          <cell r="F726">
            <v>90</v>
          </cell>
          <cell r="G726">
            <v>2252314</v>
          </cell>
          <cell r="H726" t="str">
            <v>;;=SUM(F26:G26);</v>
          </cell>
          <cell r="I726" t="str">
            <v>.</v>
          </cell>
        </row>
        <row r="727">
          <cell r="A727">
            <v>724</v>
          </cell>
          <cell r="B727" t="str">
            <v>Spain</v>
          </cell>
          <cell r="C727">
            <v>1998</v>
          </cell>
          <cell r="D727">
            <v>90</v>
          </cell>
          <cell r="E727">
            <v>1515</v>
          </cell>
          <cell r="F727">
            <v>90</v>
          </cell>
          <cell r="G727">
            <v>517255</v>
          </cell>
          <cell r="H727" t="str">
            <v>;;=SUM(F27:G27);</v>
          </cell>
          <cell r="I727" t="str">
            <v>.</v>
          </cell>
        </row>
        <row r="728">
          <cell r="A728">
            <v>724</v>
          </cell>
          <cell r="B728" t="str">
            <v>Spain</v>
          </cell>
          <cell r="C728">
            <v>1998</v>
          </cell>
          <cell r="D728">
            <v>90</v>
          </cell>
          <cell r="E728">
            <v>1616</v>
          </cell>
          <cell r="F728">
            <v>90</v>
          </cell>
          <cell r="G728">
            <v>541666</v>
          </cell>
          <cell r="H728" t="str">
            <v>;;=SUM(F28:G28);</v>
          </cell>
          <cell r="I728" t="str">
            <v>.</v>
          </cell>
        </row>
        <row r="729">
          <cell r="A729">
            <v>724</v>
          </cell>
          <cell r="B729" t="str">
            <v>Spain</v>
          </cell>
          <cell r="C729">
            <v>1998</v>
          </cell>
          <cell r="D729">
            <v>90</v>
          </cell>
          <cell r="E729">
            <v>1717</v>
          </cell>
          <cell r="F729">
            <v>90</v>
          </cell>
          <cell r="G729">
            <v>571247</v>
          </cell>
          <cell r="H729" t="str">
            <v>;;=SUM(F29:G29);</v>
          </cell>
          <cell r="I729" t="str">
            <v>.</v>
          </cell>
        </row>
        <row r="730">
          <cell r="A730">
            <v>724</v>
          </cell>
          <cell r="B730" t="str">
            <v>Spain</v>
          </cell>
          <cell r="C730">
            <v>1998</v>
          </cell>
          <cell r="D730">
            <v>90</v>
          </cell>
          <cell r="E730">
            <v>1818</v>
          </cell>
          <cell r="F730">
            <v>90</v>
          </cell>
          <cell r="G730">
            <v>596023</v>
          </cell>
          <cell r="H730" t="str">
            <v>;;=SUM(F30:G30);</v>
          </cell>
          <cell r="I730" t="str">
            <v>.</v>
          </cell>
        </row>
        <row r="731">
          <cell r="A731">
            <v>756</v>
          </cell>
          <cell r="B731" t="str">
            <v>Switzerland</v>
          </cell>
          <cell r="C731">
            <v>1998</v>
          </cell>
          <cell r="D731">
            <v>90</v>
          </cell>
          <cell r="E731">
            <v>900000</v>
          </cell>
          <cell r="F731">
            <v>90</v>
          </cell>
          <cell r="G731">
            <v>7096465</v>
          </cell>
          <cell r="H731" t="str">
            <v/>
          </cell>
          <cell r="I731" t="str">
            <v>.</v>
          </cell>
        </row>
        <row r="732">
          <cell r="A732">
            <v>756</v>
          </cell>
          <cell r="B732" t="str">
            <v>Switzerland</v>
          </cell>
          <cell r="C732">
            <v>1998</v>
          </cell>
          <cell r="D732">
            <v>90</v>
          </cell>
          <cell r="E732">
            <v>300</v>
          </cell>
          <cell r="F732">
            <v>90</v>
          </cell>
          <cell r="G732">
            <v>243663</v>
          </cell>
          <cell r="H732" t="str">
            <v/>
          </cell>
          <cell r="I732" t="str">
            <v>.</v>
          </cell>
        </row>
        <row r="733">
          <cell r="A733">
            <v>756</v>
          </cell>
          <cell r="B733" t="str">
            <v>Switzerland</v>
          </cell>
          <cell r="C733">
            <v>1998</v>
          </cell>
          <cell r="D733">
            <v>90</v>
          </cell>
          <cell r="E733">
            <v>303</v>
          </cell>
          <cell r="F733">
            <v>90</v>
          </cell>
          <cell r="G733">
            <v>82405</v>
          </cell>
          <cell r="H733" t="str">
            <v/>
          </cell>
          <cell r="I733" t="str">
            <v>.</v>
          </cell>
        </row>
        <row r="734">
          <cell r="A734">
            <v>756</v>
          </cell>
          <cell r="B734" t="str">
            <v>Switzerland</v>
          </cell>
          <cell r="C734">
            <v>1998</v>
          </cell>
          <cell r="D734">
            <v>90</v>
          </cell>
          <cell r="E734">
            <v>404</v>
          </cell>
          <cell r="F734">
            <v>90</v>
          </cell>
          <cell r="G734">
            <v>83533</v>
          </cell>
          <cell r="H734" t="str">
            <v/>
          </cell>
          <cell r="I734" t="str">
            <v>.</v>
          </cell>
        </row>
        <row r="735">
          <cell r="A735">
            <v>756</v>
          </cell>
          <cell r="B735" t="str">
            <v>Switzerland</v>
          </cell>
          <cell r="C735">
            <v>1998</v>
          </cell>
          <cell r="D735">
            <v>90</v>
          </cell>
          <cell r="E735">
            <v>505</v>
          </cell>
          <cell r="F735">
            <v>90</v>
          </cell>
          <cell r="G735">
            <v>86784</v>
          </cell>
          <cell r="H735" t="str">
            <v/>
          </cell>
          <cell r="I735" t="str">
            <v>.</v>
          </cell>
        </row>
        <row r="736">
          <cell r="A736">
            <v>756</v>
          </cell>
          <cell r="B736" t="str">
            <v>Switzerland</v>
          </cell>
          <cell r="C736">
            <v>1998</v>
          </cell>
          <cell r="D736">
            <v>90</v>
          </cell>
          <cell r="E736">
            <v>606</v>
          </cell>
          <cell r="F736">
            <v>90</v>
          </cell>
          <cell r="G736">
            <v>86947</v>
          </cell>
          <cell r="H736" t="str">
            <v/>
          </cell>
          <cell r="I736" t="str">
            <v>.</v>
          </cell>
        </row>
        <row r="737">
          <cell r="A737">
            <v>756</v>
          </cell>
          <cell r="B737" t="str">
            <v>Switzerland</v>
          </cell>
          <cell r="C737">
            <v>1998</v>
          </cell>
          <cell r="D737">
            <v>90</v>
          </cell>
          <cell r="E737">
            <v>707</v>
          </cell>
          <cell r="F737">
            <v>90</v>
          </cell>
          <cell r="G737">
            <v>86695</v>
          </cell>
          <cell r="H737" t="str">
            <v/>
          </cell>
          <cell r="I737" t="str">
            <v>.</v>
          </cell>
        </row>
        <row r="738">
          <cell r="A738">
            <v>756</v>
          </cell>
          <cell r="B738" t="str">
            <v>Switzerland</v>
          </cell>
          <cell r="C738">
            <v>1998</v>
          </cell>
          <cell r="D738">
            <v>90</v>
          </cell>
          <cell r="E738">
            <v>808</v>
          </cell>
          <cell r="F738">
            <v>90</v>
          </cell>
          <cell r="G738">
            <v>84731</v>
          </cell>
          <cell r="H738" t="str">
            <v/>
          </cell>
          <cell r="I738" t="str">
            <v>.</v>
          </cell>
        </row>
        <row r="739">
          <cell r="A739">
            <v>756</v>
          </cell>
          <cell r="B739" t="str">
            <v>Switzerland</v>
          </cell>
          <cell r="C739">
            <v>1998</v>
          </cell>
          <cell r="D739">
            <v>90</v>
          </cell>
          <cell r="E739">
            <v>909</v>
          </cell>
          <cell r="F739">
            <v>90</v>
          </cell>
          <cell r="G739">
            <v>85031</v>
          </cell>
          <cell r="H739" t="str">
            <v/>
          </cell>
          <cell r="I739" t="str">
            <v>.</v>
          </cell>
        </row>
        <row r="740">
          <cell r="A740">
            <v>756</v>
          </cell>
          <cell r="B740" t="str">
            <v>Switzerland</v>
          </cell>
          <cell r="C740">
            <v>1998</v>
          </cell>
          <cell r="D740">
            <v>90</v>
          </cell>
          <cell r="E740">
            <v>509</v>
          </cell>
          <cell r="F740">
            <v>90</v>
          </cell>
          <cell r="G740">
            <v>430188</v>
          </cell>
          <cell r="H740" t="str">
            <v/>
          </cell>
          <cell r="I740" t="str">
            <v>.</v>
          </cell>
        </row>
        <row r="741">
          <cell r="A741">
            <v>756</v>
          </cell>
          <cell r="B741" t="str">
            <v>Switzerland</v>
          </cell>
          <cell r="C741">
            <v>1998</v>
          </cell>
          <cell r="D741">
            <v>90</v>
          </cell>
          <cell r="E741">
            <v>1010</v>
          </cell>
          <cell r="F741">
            <v>90</v>
          </cell>
          <cell r="G741">
            <v>81884</v>
          </cell>
          <cell r="H741" t="str">
            <v/>
          </cell>
          <cell r="I741" t="str">
            <v>.</v>
          </cell>
        </row>
        <row r="742">
          <cell r="A742">
            <v>756</v>
          </cell>
          <cell r="B742" t="str">
            <v>Switzerland</v>
          </cell>
          <cell r="C742">
            <v>1998</v>
          </cell>
          <cell r="D742">
            <v>90</v>
          </cell>
          <cell r="E742">
            <v>1111</v>
          </cell>
          <cell r="F742">
            <v>90</v>
          </cell>
          <cell r="G742">
            <v>82436</v>
          </cell>
          <cell r="H742" t="str">
            <v/>
          </cell>
          <cell r="I742" t="str">
            <v>.</v>
          </cell>
        </row>
        <row r="743">
          <cell r="A743">
            <v>756</v>
          </cell>
          <cell r="B743" t="str">
            <v>Switzerland</v>
          </cell>
          <cell r="C743">
            <v>1998</v>
          </cell>
          <cell r="D743">
            <v>90</v>
          </cell>
          <cell r="E743">
            <v>1212</v>
          </cell>
          <cell r="F743">
            <v>90</v>
          </cell>
          <cell r="G743">
            <v>81726</v>
          </cell>
          <cell r="H743" t="str">
            <v/>
          </cell>
          <cell r="I743" t="str">
            <v>.</v>
          </cell>
        </row>
        <row r="744">
          <cell r="A744">
            <v>300</v>
          </cell>
          <cell r="B744" t="str">
            <v>Greece</v>
          </cell>
          <cell r="C744">
            <v>1998</v>
          </cell>
          <cell r="D744">
            <v>90</v>
          </cell>
          <cell r="E744">
            <v>1616</v>
          </cell>
          <cell r="F744">
            <v>90</v>
          </cell>
          <cell r="G744">
            <v>144465</v>
          </cell>
          <cell r="H744" t="str">
            <v>;;=SUM(F28:G28);</v>
          </cell>
          <cell r="I744" t="str">
            <v>.</v>
          </cell>
        </row>
        <row r="745">
          <cell r="A745">
            <v>300</v>
          </cell>
          <cell r="B745" t="str">
            <v>Greece</v>
          </cell>
          <cell r="C745">
            <v>1998</v>
          </cell>
          <cell r="D745">
            <v>90</v>
          </cell>
          <cell r="E745">
            <v>1717</v>
          </cell>
          <cell r="F745">
            <v>90</v>
          </cell>
          <cell r="G745">
            <v>149281</v>
          </cell>
          <cell r="H745" t="str">
            <v>;;=SUM(F29:G29);</v>
          </cell>
          <cell r="I745" t="str">
            <v>.</v>
          </cell>
        </row>
        <row r="746">
          <cell r="A746">
            <v>300</v>
          </cell>
          <cell r="B746" t="str">
            <v>Greece</v>
          </cell>
          <cell r="C746">
            <v>1998</v>
          </cell>
          <cell r="D746">
            <v>90</v>
          </cell>
          <cell r="E746">
            <v>1818</v>
          </cell>
          <cell r="F746">
            <v>90</v>
          </cell>
          <cell r="G746">
            <v>151858</v>
          </cell>
          <cell r="H746" t="str">
            <v>;;=SUM(F30:G30);</v>
          </cell>
          <cell r="I746" t="str">
            <v>.</v>
          </cell>
        </row>
        <row r="747">
          <cell r="A747">
            <v>300</v>
          </cell>
          <cell r="B747" t="str">
            <v>Greece</v>
          </cell>
          <cell r="C747">
            <v>1998</v>
          </cell>
          <cell r="D747">
            <v>90</v>
          </cell>
          <cell r="E747">
            <v>1919</v>
          </cell>
          <cell r="F747">
            <v>90</v>
          </cell>
          <cell r="G747">
            <v>153589</v>
          </cell>
          <cell r="H747" t="str">
            <v>;;=SUM(F31:G31);</v>
          </cell>
          <cell r="I747" t="str">
            <v>.</v>
          </cell>
        </row>
        <row r="748">
          <cell r="A748">
            <v>300</v>
          </cell>
          <cell r="B748" t="str">
            <v>Greece</v>
          </cell>
          <cell r="C748">
            <v>1998</v>
          </cell>
          <cell r="D748">
            <v>90</v>
          </cell>
          <cell r="E748">
            <v>1519</v>
          </cell>
          <cell r="F748">
            <v>90</v>
          </cell>
          <cell r="G748">
            <v>738437</v>
          </cell>
          <cell r="H748" t="str">
            <v>;;=SUM(F32:G32);</v>
          </cell>
          <cell r="I748" t="str">
            <v>.</v>
          </cell>
        </row>
        <row r="749">
          <cell r="A749">
            <v>300</v>
          </cell>
          <cell r="B749" t="str">
            <v>Greece</v>
          </cell>
          <cell r="C749">
            <v>1998</v>
          </cell>
          <cell r="D749">
            <v>90</v>
          </cell>
          <cell r="E749">
            <v>2020</v>
          </cell>
          <cell r="F749">
            <v>90</v>
          </cell>
          <cell r="G749">
            <v>154346</v>
          </cell>
          <cell r="H749" t="str">
            <v>;;=SUM(F33:G33);</v>
          </cell>
          <cell r="I749" t="str">
            <v>.</v>
          </cell>
        </row>
        <row r="750">
          <cell r="A750">
            <v>300</v>
          </cell>
          <cell r="B750" t="str">
            <v>Greece</v>
          </cell>
          <cell r="C750">
            <v>1998</v>
          </cell>
          <cell r="D750">
            <v>90</v>
          </cell>
          <cell r="E750">
            <v>2121</v>
          </cell>
          <cell r="F750">
            <v>90</v>
          </cell>
          <cell r="G750">
            <v>155914</v>
          </cell>
          <cell r="H750" t="str">
            <v>;;=SUM(F34:G34);</v>
          </cell>
          <cell r="I750" t="str">
            <v>.</v>
          </cell>
        </row>
        <row r="751">
          <cell r="A751">
            <v>300</v>
          </cell>
          <cell r="B751" t="str">
            <v>Greece</v>
          </cell>
          <cell r="C751">
            <v>1998</v>
          </cell>
          <cell r="D751">
            <v>90</v>
          </cell>
          <cell r="E751">
            <v>2222</v>
          </cell>
          <cell r="F751">
            <v>90</v>
          </cell>
          <cell r="G751">
            <v>157564</v>
          </cell>
          <cell r="H751" t="str">
            <v>;;=SUM(F35:G35);</v>
          </cell>
          <cell r="I751" t="str">
            <v>.</v>
          </cell>
        </row>
        <row r="752">
          <cell r="A752">
            <v>300</v>
          </cell>
          <cell r="B752" t="str">
            <v>Greece</v>
          </cell>
          <cell r="C752">
            <v>1998</v>
          </cell>
          <cell r="D752">
            <v>90</v>
          </cell>
          <cell r="E752">
            <v>2323</v>
          </cell>
          <cell r="F752">
            <v>90</v>
          </cell>
          <cell r="G752">
            <v>159201</v>
          </cell>
          <cell r="H752" t="str">
            <v>;;=SUM(F36:G36);</v>
          </cell>
          <cell r="I752" t="str">
            <v>.</v>
          </cell>
        </row>
        <row r="753">
          <cell r="A753">
            <v>300</v>
          </cell>
          <cell r="B753" t="str">
            <v>Greece</v>
          </cell>
          <cell r="C753">
            <v>1998</v>
          </cell>
          <cell r="D753">
            <v>90</v>
          </cell>
          <cell r="E753">
            <v>2424</v>
          </cell>
          <cell r="F753">
            <v>90</v>
          </cell>
          <cell r="G753">
            <v>159488</v>
          </cell>
          <cell r="H753" t="str">
            <v>;;=SUM(F37:G37);</v>
          </cell>
          <cell r="I753" t="str">
            <v>.</v>
          </cell>
        </row>
        <row r="754">
          <cell r="A754">
            <v>300</v>
          </cell>
          <cell r="B754" t="str">
            <v>Greece</v>
          </cell>
          <cell r="C754">
            <v>1998</v>
          </cell>
          <cell r="D754">
            <v>90</v>
          </cell>
          <cell r="E754">
            <v>2024</v>
          </cell>
          <cell r="F754">
            <v>90</v>
          </cell>
          <cell r="G754">
            <v>786513</v>
          </cell>
          <cell r="H754" t="str">
            <v>;;=SUM(F38:G38);</v>
          </cell>
          <cell r="I754" t="str">
            <v>.</v>
          </cell>
        </row>
        <row r="755">
          <cell r="A755">
            <v>300</v>
          </cell>
          <cell r="B755" t="str">
            <v>Greece</v>
          </cell>
          <cell r="C755">
            <v>1998</v>
          </cell>
          <cell r="D755">
            <v>90</v>
          </cell>
          <cell r="E755">
            <v>2525</v>
          </cell>
          <cell r="F755">
            <v>90</v>
          </cell>
          <cell r="G755">
            <v>160250</v>
          </cell>
          <cell r="H755" t="str">
            <v>;;=SUM(F39:G39);</v>
          </cell>
          <cell r="I755" t="str">
            <v>.</v>
          </cell>
        </row>
        <row r="756">
          <cell r="A756">
            <v>300</v>
          </cell>
          <cell r="B756" t="str">
            <v>Greece</v>
          </cell>
          <cell r="C756">
            <v>1998</v>
          </cell>
          <cell r="D756">
            <v>90</v>
          </cell>
          <cell r="E756">
            <v>2626</v>
          </cell>
          <cell r="F756">
            <v>90</v>
          </cell>
          <cell r="G756">
            <v>161217</v>
          </cell>
          <cell r="H756" t="str">
            <v>;;=SUM(F40:G40);</v>
          </cell>
          <cell r="I756" t="str">
            <v>.</v>
          </cell>
        </row>
        <row r="757">
          <cell r="A757">
            <v>300</v>
          </cell>
          <cell r="B757" t="str">
            <v>Greece</v>
          </cell>
          <cell r="C757">
            <v>1998</v>
          </cell>
          <cell r="D757">
            <v>90</v>
          </cell>
          <cell r="E757">
            <v>2727</v>
          </cell>
          <cell r="F757">
            <v>90</v>
          </cell>
          <cell r="G757">
            <v>162162</v>
          </cell>
          <cell r="H757" t="str">
            <v>;;=SUM(F41:G41);</v>
          </cell>
          <cell r="I757" t="str">
            <v>.</v>
          </cell>
        </row>
        <row r="758">
          <cell r="A758">
            <v>300</v>
          </cell>
          <cell r="B758" t="str">
            <v>Greece</v>
          </cell>
          <cell r="C758">
            <v>1998</v>
          </cell>
          <cell r="D758">
            <v>90</v>
          </cell>
          <cell r="E758">
            <v>2828</v>
          </cell>
          <cell r="F758">
            <v>90</v>
          </cell>
          <cell r="G758">
            <v>162227</v>
          </cell>
          <cell r="H758" t="str">
            <v>;;=SUM(F42:G42);</v>
          </cell>
          <cell r="I758" t="str">
            <v>.</v>
          </cell>
        </row>
        <row r="759">
          <cell r="A759">
            <v>300</v>
          </cell>
          <cell r="B759" t="str">
            <v>Greece</v>
          </cell>
          <cell r="C759">
            <v>1998</v>
          </cell>
          <cell r="D759">
            <v>90</v>
          </cell>
          <cell r="E759">
            <v>2929</v>
          </cell>
          <cell r="F759">
            <v>90</v>
          </cell>
          <cell r="G759">
            <v>162969</v>
          </cell>
          <cell r="H759" t="str">
            <v>;;=SUM(F43:G43);</v>
          </cell>
          <cell r="I759" t="str">
            <v>.</v>
          </cell>
        </row>
        <row r="760">
          <cell r="A760">
            <v>300</v>
          </cell>
          <cell r="B760" t="str">
            <v>Greece</v>
          </cell>
          <cell r="C760">
            <v>1998</v>
          </cell>
          <cell r="D760">
            <v>90</v>
          </cell>
          <cell r="E760">
            <v>2529</v>
          </cell>
          <cell r="F760">
            <v>90</v>
          </cell>
          <cell r="G760">
            <v>808825</v>
          </cell>
          <cell r="H760" t="str">
            <v>;;=SUM(F44:G44);</v>
          </cell>
          <cell r="I760" t="str">
            <v>.</v>
          </cell>
        </row>
        <row r="761">
          <cell r="A761">
            <v>300</v>
          </cell>
          <cell r="B761" t="str">
            <v>Greece</v>
          </cell>
          <cell r="C761">
            <v>1998</v>
          </cell>
          <cell r="D761">
            <v>90</v>
          </cell>
          <cell r="E761">
            <v>3034</v>
          </cell>
          <cell r="F761">
            <v>90</v>
          </cell>
          <cell r="G761">
            <v>789883</v>
          </cell>
          <cell r="H761" t="str">
            <v>;;=SUM(F45:G45);</v>
          </cell>
          <cell r="I761" t="str">
            <v>.</v>
          </cell>
        </row>
        <row r="762">
          <cell r="A762">
            <v>300</v>
          </cell>
          <cell r="B762" t="str">
            <v>Greece</v>
          </cell>
          <cell r="C762">
            <v>1998</v>
          </cell>
          <cell r="D762">
            <v>90</v>
          </cell>
          <cell r="E762">
            <v>3539</v>
          </cell>
          <cell r="F762">
            <v>90</v>
          </cell>
          <cell r="G762">
            <v>747957</v>
          </cell>
          <cell r="H762" t="str">
            <v>;;=SUM(F46:G46);</v>
          </cell>
          <cell r="I762" t="str">
            <v>.</v>
          </cell>
        </row>
        <row r="763">
          <cell r="A763">
            <v>300</v>
          </cell>
          <cell r="B763" t="str">
            <v>Greece</v>
          </cell>
          <cell r="C763">
            <v>1998</v>
          </cell>
          <cell r="D763">
            <v>90</v>
          </cell>
          <cell r="E763">
            <v>4099</v>
          </cell>
          <cell r="F763">
            <v>90</v>
          </cell>
          <cell r="G763">
            <v>4982972</v>
          </cell>
          <cell r="H763" t="str">
            <v>;;=SUM(F47:G47);</v>
          </cell>
          <cell r="I763" t="str">
            <v>.</v>
          </cell>
        </row>
        <row r="764">
          <cell r="A764">
            <v>300</v>
          </cell>
          <cell r="B764" t="str">
            <v>Greece</v>
          </cell>
          <cell r="C764">
            <v>1998</v>
          </cell>
          <cell r="D764">
            <v>90</v>
          </cell>
          <cell r="E764">
            <v>990000</v>
          </cell>
          <cell r="F764">
            <v>90</v>
          </cell>
          <cell r="G764">
            <v>0</v>
          </cell>
          <cell r="H764" t="str">
            <v>n;</v>
          </cell>
          <cell r="I764" t="str">
            <v>n</v>
          </cell>
        </row>
        <row r="765">
          <cell r="A765">
            <v>578</v>
          </cell>
          <cell r="B765" t="str">
            <v>Norway</v>
          </cell>
          <cell r="C765">
            <v>1998</v>
          </cell>
          <cell r="D765">
            <v>90</v>
          </cell>
          <cell r="E765">
            <v>808</v>
          </cell>
          <cell r="F765">
            <v>90</v>
          </cell>
          <cell r="G765">
            <v>60317</v>
          </cell>
          <cell r="H765" t="str">
            <v>;;=SUM(F18:G18);</v>
          </cell>
          <cell r="I765" t="str">
            <v>.</v>
          </cell>
        </row>
        <row r="766">
          <cell r="A766">
            <v>578</v>
          </cell>
          <cell r="B766" t="str">
            <v>Norway</v>
          </cell>
          <cell r="C766">
            <v>1998</v>
          </cell>
          <cell r="D766">
            <v>90</v>
          </cell>
          <cell r="E766">
            <v>909</v>
          </cell>
          <cell r="F766">
            <v>90</v>
          </cell>
          <cell r="G766">
            <v>58614</v>
          </cell>
          <cell r="H766" t="str">
            <v>;;=SUM(F19:G19);</v>
          </cell>
          <cell r="I766" t="str">
            <v>.</v>
          </cell>
        </row>
        <row r="767">
          <cell r="A767">
            <v>578</v>
          </cell>
          <cell r="B767" t="str">
            <v>Norway</v>
          </cell>
          <cell r="C767">
            <v>1998</v>
          </cell>
          <cell r="D767">
            <v>90</v>
          </cell>
          <cell r="E767">
            <v>509</v>
          </cell>
          <cell r="F767">
            <v>90</v>
          </cell>
          <cell r="G767">
            <v>304239</v>
          </cell>
          <cell r="H767" t="str">
            <v>;;=SUM(F20:G20);</v>
          </cell>
          <cell r="I767" t="str">
            <v>.</v>
          </cell>
        </row>
        <row r="768">
          <cell r="A768">
            <v>578</v>
          </cell>
          <cell r="B768" t="str">
            <v>Norway</v>
          </cell>
          <cell r="C768">
            <v>1998</v>
          </cell>
          <cell r="D768">
            <v>90</v>
          </cell>
          <cell r="E768">
            <v>1010</v>
          </cell>
          <cell r="F768">
            <v>90</v>
          </cell>
          <cell r="G768">
            <v>55377</v>
          </cell>
          <cell r="H768" t="str">
            <v>;;=SUM(F21:G21);</v>
          </cell>
          <cell r="I768" t="str">
            <v>.</v>
          </cell>
        </row>
        <row r="769">
          <cell r="A769">
            <v>578</v>
          </cell>
          <cell r="B769" t="str">
            <v>Norway</v>
          </cell>
          <cell r="C769">
            <v>1998</v>
          </cell>
          <cell r="D769">
            <v>90</v>
          </cell>
          <cell r="E769">
            <v>1111</v>
          </cell>
          <cell r="F769">
            <v>90</v>
          </cell>
          <cell r="G769">
            <v>54064</v>
          </cell>
          <cell r="H769" t="str">
            <v>;;=SUM(F22:G22);</v>
          </cell>
          <cell r="I769" t="str">
            <v>.</v>
          </cell>
        </row>
        <row r="770">
          <cell r="A770">
            <v>578</v>
          </cell>
          <cell r="B770" t="str">
            <v>Norway</v>
          </cell>
          <cell r="C770">
            <v>1998</v>
          </cell>
          <cell r="D770">
            <v>90</v>
          </cell>
          <cell r="E770">
            <v>1212</v>
          </cell>
          <cell r="F770">
            <v>90</v>
          </cell>
          <cell r="G770">
            <v>52728</v>
          </cell>
          <cell r="H770" t="str">
            <v>;;=SUM(F23:G23);</v>
          </cell>
          <cell r="I770" t="str">
            <v>.</v>
          </cell>
        </row>
        <row r="771">
          <cell r="A771">
            <v>578</v>
          </cell>
          <cell r="B771" t="str">
            <v>Norway</v>
          </cell>
          <cell r="C771">
            <v>1998</v>
          </cell>
          <cell r="D771">
            <v>90</v>
          </cell>
          <cell r="E771">
            <v>1313</v>
          </cell>
          <cell r="F771">
            <v>90</v>
          </cell>
          <cell r="G771">
            <v>52034</v>
          </cell>
          <cell r="H771" t="str">
            <v>;;=SUM(F24:G24);</v>
          </cell>
          <cell r="I771" t="str">
            <v>.</v>
          </cell>
        </row>
        <row r="772">
          <cell r="A772">
            <v>578</v>
          </cell>
          <cell r="B772" t="str">
            <v>Norway</v>
          </cell>
          <cell r="C772">
            <v>1998</v>
          </cell>
          <cell r="D772">
            <v>90</v>
          </cell>
          <cell r="E772">
            <v>1414</v>
          </cell>
          <cell r="F772">
            <v>90</v>
          </cell>
          <cell r="G772">
            <v>51680</v>
          </cell>
          <cell r="H772" t="str">
            <v>;;=SUM(F25:G25);</v>
          </cell>
          <cell r="I772" t="str">
            <v>.</v>
          </cell>
        </row>
        <row r="773">
          <cell r="A773">
            <v>578</v>
          </cell>
          <cell r="B773" t="str">
            <v>Norway</v>
          </cell>
          <cell r="C773">
            <v>1998</v>
          </cell>
          <cell r="D773">
            <v>90</v>
          </cell>
          <cell r="E773">
            <v>1014</v>
          </cell>
          <cell r="F773">
            <v>90</v>
          </cell>
          <cell r="G773">
            <v>265883</v>
          </cell>
          <cell r="H773" t="str">
            <v>;;=SUM(F26:G26);</v>
          </cell>
          <cell r="I773" t="str">
            <v>.</v>
          </cell>
        </row>
        <row r="774">
          <cell r="A774">
            <v>578</v>
          </cell>
          <cell r="B774" t="str">
            <v>Norway</v>
          </cell>
          <cell r="C774">
            <v>1998</v>
          </cell>
          <cell r="D774">
            <v>90</v>
          </cell>
          <cell r="E774">
            <v>1515</v>
          </cell>
          <cell r="F774">
            <v>90</v>
          </cell>
          <cell r="G774">
            <v>52885</v>
          </cell>
          <cell r="H774" t="str">
            <v>;;=SUM(F27:G27);</v>
          </cell>
          <cell r="I774" t="str">
            <v>.</v>
          </cell>
        </row>
        <row r="775">
          <cell r="A775">
            <v>578</v>
          </cell>
          <cell r="B775" t="str">
            <v>Norway</v>
          </cell>
          <cell r="C775">
            <v>1998</v>
          </cell>
          <cell r="D775">
            <v>90</v>
          </cell>
          <cell r="E775">
            <v>1616</v>
          </cell>
          <cell r="F775">
            <v>90</v>
          </cell>
          <cell r="G775">
            <v>52654</v>
          </cell>
          <cell r="H775" t="str">
            <v>;;=SUM(F28:G28);</v>
          </cell>
          <cell r="I775" t="str">
            <v>.</v>
          </cell>
        </row>
        <row r="776">
          <cell r="A776">
            <v>578</v>
          </cell>
          <cell r="B776" t="str">
            <v>Norway</v>
          </cell>
          <cell r="C776">
            <v>1998</v>
          </cell>
          <cell r="D776">
            <v>90</v>
          </cell>
          <cell r="E776">
            <v>1717</v>
          </cell>
          <cell r="F776">
            <v>90</v>
          </cell>
          <cell r="G776">
            <v>53078</v>
          </cell>
          <cell r="H776" t="str">
            <v>;;=SUM(F29:G29);</v>
          </cell>
          <cell r="I776" t="str">
            <v>.</v>
          </cell>
        </row>
        <row r="777">
          <cell r="A777">
            <v>578</v>
          </cell>
          <cell r="B777" t="str">
            <v>Norway</v>
          </cell>
          <cell r="C777">
            <v>1998</v>
          </cell>
          <cell r="D777">
            <v>90</v>
          </cell>
          <cell r="E777">
            <v>1818</v>
          </cell>
          <cell r="F777">
            <v>90</v>
          </cell>
          <cell r="G777">
            <v>53473</v>
          </cell>
          <cell r="H777" t="str">
            <v>;;=SUM(F30:G30);</v>
          </cell>
          <cell r="I777" t="str">
            <v>.</v>
          </cell>
        </row>
        <row r="778">
          <cell r="A778">
            <v>578</v>
          </cell>
          <cell r="B778" t="str">
            <v>Norway</v>
          </cell>
          <cell r="C778">
            <v>1998</v>
          </cell>
          <cell r="D778">
            <v>90</v>
          </cell>
          <cell r="E778">
            <v>1919</v>
          </cell>
          <cell r="F778">
            <v>90</v>
          </cell>
          <cell r="G778">
            <v>53723</v>
          </cell>
          <cell r="H778" t="str">
            <v>;;=SUM(F31:G31);</v>
          </cell>
          <cell r="I778" t="str">
            <v>.</v>
          </cell>
        </row>
        <row r="779">
          <cell r="A779">
            <v>578</v>
          </cell>
          <cell r="B779" t="str">
            <v>Norway</v>
          </cell>
          <cell r="C779">
            <v>1998</v>
          </cell>
          <cell r="D779">
            <v>90</v>
          </cell>
          <cell r="E779">
            <v>1519</v>
          </cell>
          <cell r="F779">
            <v>90</v>
          </cell>
          <cell r="G779">
            <v>265813</v>
          </cell>
          <cell r="H779" t="str">
            <v>;;=SUM(F32:G32);</v>
          </cell>
          <cell r="I779" t="str">
            <v>.</v>
          </cell>
        </row>
        <row r="780">
          <cell r="A780">
            <v>578</v>
          </cell>
          <cell r="B780" t="str">
            <v>Norway</v>
          </cell>
          <cell r="C780">
            <v>1998</v>
          </cell>
          <cell r="D780">
            <v>90</v>
          </cell>
          <cell r="E780">
            <v>2020</v>
          </cell>
          <cell r="F780">
            <v>90</v>
          </cell>
          <cell r="G780">
            <v>53080</v>
          </cell>
          <cell r="H780" t="str">
            <v>;;=SUM(F33:G33);</v>
          </cell>
          <cell r="I780" t="str">
            <v>.</v>
          </cell>
        </row>
        <row r="781">
          <cell r="A781">
            <v>578</v>
          </cell>
          <cell r="B781" t="str">
            <v>Norway</v>
          </cell>
          <cell r="C781">
            <v>1998</v>
          </cell>
          <cell r="D781">
            <v>90</v>
          </cell>
          <cell r="E781">
            <v>2121</v>
          </cell>
          <cell r="F781">
            <v>90</v>
          </cell>
          <cell r="G781">
            <v>55471</v>
          </cell>
          <cell r="H781" t="str">
            <v>;;=SUM(F34:G34);</v>
          </cell>
          <cell r="I781" t="str">
            <v>.</v>
          </cell>
        </row>
        <row r="782">
          <cell r="A782">
            <v>578</v>
          </cell>
          <cell r="B782" t="str">
            <v>Norway</v>
          </cell>
          <cell r="C782">
            <v>1998</v>
          </cell>
          <cell r="D782">
            <v>90</v>
          </cell>
          <cell r="E782">
            <v>2222</v>
          </cell>
          <cell r="F782">
            <v>90</v>
          </cell>
          <cell r="G782">
            <v>58467</v>
          </cell>
          <cell r="H782" t="str">
            <v>;;=SUM(F35:G35);</v>
          </cell>
          <cell r="I782" t="str">
            <v>.</v>
          </cell>
        </row>
        <row r="783">
          <cell r="A783">
            <v>578</v>
          </cell>
          <cell r="B783" t="str">
            <v>Norway</v>
          </cell>
          <cell r="C783">
            <v>1998</v>
          </cell>
          <cell r="D783">
            <v>90</v>
          </cell>
          <cell r="E783">
            <v>2323</v>
          </cell>
          <cell r="F783">
            <v>90</v>
          </cell>
          <cell r="G783">
            <v>61953</v>
          </cell>
          <cell r="H783" t="str">
            <v>;;=SUM(F36:G36);</v>
          </cell>
          <cell r="I783" t="str">
            <v>.</v>
          </cell>
        </row>
        <row r="784">
          <cell r="A784">
            <v>578</v>
          </cell>
          <cell r="B784" t="str">
            <v>Norway</v>
          </cell>
          <cell r="C784">
            <v>1998</v>
          </cell>
          <cell r="D784">
            <v>90</v>
          </cell>
          <cell r="E784">
            <v>2424</v>
          </cell>
          <cell r="F784">
            <v>90</v>
          </cell>
          <cell r="G784">
            <v>63615</v>
          </cell>
          <cell r="H784" t="str">
            <v>;;=SUM(F37:G37);</v>
          </cell>
          <cell r="I784" t="str">
            <v>.</v>
          </cell>
        </row>
        <row r="785">
          <cell r="A785">
            <v>578</v>
          </cell>
          <cell r="B785" t="str">
            <v>Norway</v>
          </cell>
          <cell r="C785">
            <v>1998</v>
          </cell>
          <cell r="D785">
            <v>90</v>
          </cell>
          <cell r="E785">
            <v>2024</v>
          </cell>
          <cell r="F785">
            <v>90</v>
          </cell>
          <cell r="G785">
            <v>292586</v>
          </cell>
          <cell r="H785" t="str">
            <v>;;=SUM(F38:G38);</v>
          </cell>
          <cell r="I785" t="str">
            <v>.</v>
          </cell>
        </row>
        <row r="786">
          <cell r="A786">
            <v>578</v>
          </cell>
          <cell r="B786" t="str">
            <v>Norway</v>
          </cell>
          <cell r="C786">
            <v>1998</v>
          </cell>
          <cell r="D786">
            <v>90</v>
          </cell>
          <cell r="E786">
            <v>2525</v>
          </cell>
          <cell r="F786">
            <v>90</v>
          </cell>
          <cell r="G786">
            <v>66688</v>
          </cell>
          <cell r="H786" t="str">
            <v>;;=SUM(F39:G39);</v>
          </cell>
          <cell r="I786" t="str">
            <v>.</v>
          </cell>
        </row>
        <row r="787">
          <cell r="A787">
            <v>578</v>
          </cell>
          <cell r="B787" t="str">
            <v>Norway</v>
          </cell>
          <cell r="C787">
            <v>1998</v>
          </cell>
          <cell r="D787">
            <v>90</v>
          </cell>
          <cell r="E787">
            <v>2626</v>
          </cell>
          <cell r="F787">
            <v>90</v>
          </cell>
          <cell r="G787">
            <v>67938</v>
          </cell>
          <cell r="H787" t="str">
            <v>;;=SUM(F40:G40);</v>
          </cell>
          <cell r="I787" t="str">
            <v>.</v>
          </cell>
        </row>
        <row r="788">
          <cell r="A788">
            <v>578</v>
          </cell>
          <cell r="B788" t="str">
            <v>Norway</v>
          </cell>
          <cell r="C788">
            <v>1998</v>
          </cell>
          <cell r="D788">
            <v>90</v>
          </cell>
          <cell r="E788">
            <v>2727</v>
          </cell>
          <cell r="F788">
            <v>90</v>
          </cell>
          <cell r="G788">
            <v>67356</v>
          </cell>
          <cell r="H788" t="str">
            <v>;;=SUM(F41:G41);</v>
          </cell>
          <cell r="I788" t="str">
            <v>.</v>
          </cell>
        </row>
        <row r="789">
          <cell r="A789">
            <v>578</v>
          </cell>
          <cell r="B789" t="str">
            <v>Norway</v>
          </cell>
          <cell r="C789">
            <v>1998</v>
          </cell>
          <cell r="D789">
            <v>90</v>
          </cell>
          <cell r="E789">
            <v>2828</v>
          </cell>
          <cell r="F789">
            <v>90</v>
          </cell>
          <cell r="G789">
            <v>70468</v>
          </cell>
          <cell r="H789" t="str">
            <v>;;=SUM(F42:G42);</v>
          </cell>
          <cell r="I789" t="str">
            <v>.</v>
          </cell>
        </row>
        <row r="790">
          <cell r="A790">
            <v>578</v>
          </cell>
          <cell r="B790" t="str">
            <v>Norway</v>
          </cell>
          <cell r="C790">
            <v>1998</v>
          </cell>
          <cell r="D790">
            <v>90</v>
          </cell>
          <cell r="E790">
            <v>2929</v>
          </cell>
          <cell r="F790">
            <v>90</v>
          </cell>
          <cell r="G790">
            <v>70220</v>
          </cell>
          <cell r="H790" t="str">
            <v>;;=SUM(F43:G43);</v>
          </cell>
          <cell r="I790" t="str">
            <v>.</v>
          </cell>
        </row>
        <row r="791">
          <cell r="A791">
            <v>578</v>
          </cell>
          <cell r="B791" t="str">
            <v>Norway</v>
          </cell>
          <cell r="C791">
            <v>1998</v>
          </cell>
          <cell r="D791">
            <v>90</v>
          </cell>
          <cell r="E791">
            <v>2529</v>
          </cell>
          <cell r="F791">
            <v>90</v>
          </cell>
          <cell r="G791">
            <v>342670</v>
          </cell>
          <cell r="H791" t="str">
            <v>;;=SUM(F44:G44);</v>
          </cell>
          <cell r="I791" t="str">
            <v>.</v>
          </cell>
        </row>
        <row r="792">
          <cell r="A792">
            <v>578</v>
          </cell>
          <cell r="B792" t="str">
            <v>Norway</v>
          </cell>
          <cell r="C792">
            <v>1998</v>
          </cell>
          <cell r="D792">
            <v>90</v>
          </cell>
          <cell r="E792">
            <v>3034</v>
          </cell>
          <cell r="F792">
            <v>90</v>
          </cell>
          <cell r="G792">
            <v>340831</v>
          </cell>
          <cell r="H792" t="str">
            <v>;;=SUM(F45:G45);</v>
          </cell>
          <cell r="I792" t="str">
            <v>.</v>
          </cell>
        </row>
        <row r="793">
          <cell r="A793">
            <v>578</v>
          </cell>
          <cell r="B793" t="str">
            <v>Norway</v>
          </cell>
          <cell r="C793">
            <v>1998</v>
          </cell>
          <cell r="D793">
            <v>90</v>
          </cell>
          <cell r="E793">
            <v>3539</v>
          </cell>
          <cell r="F793">
            <v>90</v>
          </cell>
          <cell r="G793">
            <v>319938</v>
          </cell>
          <cell r="H793" t="str">
            <v>;;=SUM(F46:G46);</v>
          </cell>
          <cell r="I793" t="str">
            <v>.</v>
          </cell>
        </row>
        <row r="794">
          <cell r="A794">
            <v>578</v>
          </cell>
          <cell r="B794" t="str">
            <v>Norway</v>
          </cell>
          <cell r="C794">
            <v>1998</v>
          </cell>
          <cell r="D794">
            <v>90</v>
          </cell>
          <cell r="E794">
            <v>4099</v>
          </cell>
          <cell r="F794">
            <v>90</v>
          </cell>
          <cell r="G794">
            <v>1982842</v>
          </cell>
          <cell r="H794" t="str">
            <v>;;=SUM(F47:G47);</v>
          </cell>
          <cell r="I794" t="str">
            <v>.</v>
          </cell>
        </row>
        <row r="795">
          <cell r="A795">
            <v>578</v>
          </cell>
          <cell r="B795" t="str">
            <v>Norway</v>
          </cell>
          <cell r="C795">
            <v>1998</v>
          </cell>
          <cell r="D795">
            <v>90</v>
          </cell>
          <cell r="E795">
            <v>990000</v>
          </cell>
          <cell r="F795">
            <v>90</v>
          </cell>
          <cell r="G795">
            <v>0</v>
          </cell>
          <cell r="H795" t="str">
            <v>n;</v>
          </cell>
          <cell r="I795" t="str">
            <v>n</v>
          </cell>
        </row>
        <row r="796">
          <cell r="A796">
            <v>616</v>
          </cell>
          <cell r="B796" t="str">
            <v>Poland</v>
          </cell>
          <cell r="C796">
            <v>1998</v>
          </cell>
          <cell r="D796">
            <v>90</v>
          </cell>
          <cell r="E796">
            <v>900000</v>
          </cell>
          <cell r="F796">
            <v>90</v>
          </cell>
          <cell r="G796">
            <v>38659979</v>
          </cell>
          <cell r="H796" t="str">
            <v/>
          </cell>
          <cell r="I796" t="str">
            <v>.</v>
          </cell>
        </row>
        <row r="797">
          <cell r="A797">
            <v>616</v>
          </cell>
          <cell r="B797" t="str">
            <v>Poland</v>
          </cell>
          <cell r="C797">
            <v>1998</v>
          </cell>
          <cell r="D797">
            <v>90</v>
          </cell>
          <cell r="E797">
            <v>300</v>
          </cell>
          <cell r="F797">
            <v>90</v>
          </cell>
          <cell r="G797">
            <v>1259019</v>
          </cell>
          <cell r="H797" t="str">
            <v/>
          </cell>
          <cell r="I797" t="str">
            <v>.</v>
          </cell>
        </row>
        <row r="798">
          <cell r="A798">
            <v>616</v>
          </cell>
          <cell r="B798" t="str">
            <v>Poland</v>
          </cell>
          <cell r="C798">
            <v>1998</v>
          </cell>
          <cell r="D798">
            <v>90</v>
          </cell>
          <cell r="E798">
            <v>303</v>
          </cell>
          <cell r="F798">
            <v>90</v>
          </cell>
          <cell r="G798">
            <v>473419</v>
          </cell>
          <cell r="H798" t="str">
            <v/>
          </cell>
          <cell r="I798" t="str">
            <v>.</v>
          </cell>
        </row>
        <row r="799">
          <cell r="A799">
            <v>616</v>
          </cell>
          <cell r="B799" t="str">
            <v>Poland</v>
          </cell>
          <cell r="C799">
            <v>1998</v>
          </cell>
          <cell r="D799">
            <v>90</v>
          </cell>
          <cell r="E799">
            <v>404</v>
          </cell>
          <cell r="F799">
            <v>90</v>
          </cell>
          <cell r="G799">
            <v>485630</v>
          </cell>
          <cell r="H799" t="str">
            <v/>
          </cell>
          <cell r="I799" t="str">
            <v>.</v>
          </cell>
        </row>
        <row r="800">
          <cell r="A800">
            <v>616</v>
          </cell>
          <cell r="B800" t="str">
            <v>Poland</v>
          </cell>
          <cell r="C800">
            <v>1998</v>
          </cell>
          <cell r="D800">
            <v>90</v>
          </cell>
          <cell r="E800">
            <v>505</v>
          </cell>
          <cell r="F800">
            <v>90</v>
          </cell>
          <cell r="G800">
            <v>505358</v>
          </cell>
          <cell r="H800" t="str">
            <v/>
          </cell>
          <cell r="I800" t="str">
            <v>.</v>
          </cell>
        </row>
        <row r="801">
          <cell r="A801">
            <v>616</v>
          </cell>
          <cell r="B801" t="str">
            <v>Poland</v>
          </cell>
          <cell r="C801">
            <v>1998</v>
          </cell>
          <cell r="D801">
            <v>90</v>
          </cell>
          <cell r="E801">
            <v>606</v>
          </cell>
          <cell r="F801">
            <v>90</v>
          </cell>
          <cell r="G801">
            <v>536587</v>
          </cell>
          <cell r="H801" t="str">
            <v/>
          </cell>
          <cell r="I801" t="str">
            <v>.</v>
          </cell>
        </row>
        <row r="802">
          <cell r="A802">
            <v>616</v>
          </cell>
          <cell r="B802" t="str">
            <v>Poland</v>
          </cell>
          <cell r="C802">
            <v>1998</v>
          </cell>
          <cell r="D802">
            <v>90</v>
          </cell>
          <cell r="E802">
            <v>707</v>
          </cell>
          <cell r="F802">
            <v>90</v>
          </cell>
          <cell r="G802">
            <v>535531</v>
          </cell>
          <cell r="H802" t="str">
            <v/>
          </cell>
          <cell r="I802" t="str">
            <v>.</v>
          </cell>
        </row>
        <row r="803">
          <cell r="A803">
            <v>616</v>
          </cell>
          <cell r="B803" t="str">
            <v>Poland</v>
          </cell>
          <cell r="C803">
            <v>1998</v>
          </cell>
          <cell r="D803">
            <v>90</v>
          </cell>
          <cell r="E803">
            <v>808</v>
          </cell>
          <cell r="F803">
            <v>90</v>
          </cell>
          <cell r="G803">
            <v>551948</v>
          </cell>
          <cell r="H803" t="str">
            <v/>
          </cell>
          <cell r="I803" t="str">
            <v>.</v>
          </cell>
        </row>
        <row r="804">
          <cell r="A804">
            <v>616</v>
          </cell>
          <cell r="B804" t="str">
            <v>Poland</v>
          </cell>
          <cell r="C804">
            <v>1998</v>
          </cell>
          <cell r="D804">
            <v>90</v>
          </cell>
          <cell r="E804">
            <v>909</v>
          </cell>
          <cell r="F804">
            <v>90</v>
          </cell>
          <cell r="G804">
            <v>575461</v>
          </cell>
          <cell r="H804" t="str">
            <v/>
          </cell>
          <cell r="I804" t="str">
            <v>.</v>
          </cell>
        </row>
        <row r="805">
          <cell r="A805">
            <v>616</v>
          </cell>
          <cell r="B805" t="str">
            <v>Poland</v>
          </cell>
          <cell r="C805">
            <v>1998</v>
          </cell>
          <cell r="D805">
            <v>90</v>
          </cell>
          <cell r="E805">
            <v>509</v>
          </cell>
          <cell r="F805">
            <v>90</v>
          </cell>
          <cell r="G805">
            <v>2704885</v>
          </cell>
          <cell r="H805" t="str">
            <v/>
          </cell>
          <cell r="I805" t="str">
            <v>.</v>
          </cell>
        </row>
        <row r="806">
          <cell r="A806">
            <v>616</v>
          </cell>
          <cell r="B806" t="str">
            <v>Poland</v>
          </cell>
          <cell r="C806">
            <v>1998</v>
          </cell>
          <cell r="D806">
            <v>90</v>
          </cell>
          <cell r="E806">
            <v>1010</v>
          </cell>
          <cell r="F806">
            <v>90</v>
          </cell>
          <cell r="G806">
            <v>590973</v>
          </cell>
          <cell r="H806" t="str">
            <v/>
          </cell>
          <cell r="I806" t="str">
            <v>.</v>
          </cell>
        </row>
        <row r="807">
          <cell r="A807">
            <v>616</v>
          </cell>
          <cell r="B807" t="str">
            <v>Poland</v>
          </cell>
          <cell r="C807">
            <v>1998</v>
          </cell>
          <cell r="D807">
            <v>90</v>
          </cell>
          <cell r="E807">
            <v>1111</v>
          </cell>
          <cell r="F807">
            <v>90</v>
          </cell>
          <cell r="G807">
            <v>618415</v>
          </cell>
          <cell r="H807" t="str">
            <v/>
          </cell>
          <cell r="I807" t="str">
            <v>.</v>
          </cell>
        </row>
        <row r="808">
          <cell r="A808">
            <v>616</v>
          </cell>
          <cell r="B808" t="str">
            <v>Poland</v>
          </cell>
          <cell r="C808">
            <v>1998</v>
          </cell>
          <cell r="D808">
            <v>90</v>
          </cell>
          <cell r="E808">
            <v>1212</v>
          </cell>
          <cell r="F808">
            <v>90</v>
          </cell>
          <cell r="G808">
            <v>658666</v>
          </cell>
          <cell r="H808" t="str">
            <v/>
          </cell>
          <cell r="I808" t="str">
            <v>.</v>
          </cell>
        </row>
        <row r="809">
          <cell r="A809">
            <v>616</v>
          </cell>
          <cell r="B809" t="str">
            <v>Poland</v>
          </cell>
          <cell r="C809">
            <v>1998</v>
          </cell>
          <cell r="D809">
            <v>90</v>
          </cell>
          <cell r="E809">
            <v>1313</v>
          </cell>
          <cell r="F809">
            <v>90</v>
          </cell>
          <cell r="G809">
            <v>680610</v>
          </cell>
          <cell r="H809" t="str">
            <v/>
          </cell>
          <cell r="I809" t="str">
            <v>.</v>
          </cell>
        </row>
        <row r="810">
          <cell r="A810">
            <v>616</v>
          </cell>
          <cell r="B810" t="str">
            <v>Poland</v>
          </cell>
          <cell r="C810">
            <v>1998</v>
          </cell>
          <cell r="D810">
            <v>90</v>
          </cell>
          <cell r="E810">
            <v>1414</v>
          </cell>
          <cell r="F810">
            <v>90</v>
          </cell>
          <cell r="G810">
            <v>697899</v>
          </cell>
          <cell r="H810" t="str">
            <v/>
          </cell>
          <cell r="I810" t="str">
            <v>.</v>
          </cell>
        </row>
        <row r="811">
          <cell r="A811">
            <v>616</v>
          </cell>
          <cell r="B811" t="str">
            <v>Poland</v>
          </cell>
          <cell r="C811">
            <v>1998</v>
          </cell>
          <cell r="D811">
            <v>90</v>
          </cell>
          <cell r="E811">
            <v>1014</v>
          </cell>
          <cell r="F811">
            <v>90</v>
          </cell>
          <cell r="G811">
            <v>3246563</v>
          </cell>
          <cell r="H811" t="str">
            <v/>
          </cell>
          <cell r="I811" t="str">
            <v>.</v>
          </cell>
        </row>
        <row r="812">
          <cell r="A812">
            <v>616</v>
          </cell>
          <cell r="B812" t="str">
            <v>Poland</v>
          </cell>
          <cell r="C812">
            <v>1998</v>
          </cell>
          <cell r="D812">
            <v>90</v>
          </cell>
          <cell r="E812">
            <v>1515</v>
          </cell>
          <cell r="F812">
            <v>90</v>
          </cell>
          <cell r="G812">
            <v>681410</v>
          </cell>
          <cell r="H812" t="str">
            <v/>
          </cell>
          <cell r="I812" t="str">
            <v>.</v>
          </cell>
        </row>
        <row r="813">
          <cell r="A813">
            <v>616</v>
          </cell>
          <cell r="B813" t="str">
            <v>Poland</v>
          </cell>
          <cell r="C813">
            <v>1998</v>
          </cell>
          <cell r="D813">
            <v>90</v>
          </cell>
          <cell r="E813">
            <v>1616</v>
          </cell>
          <cell r="F813">
            <v>90</v>
          </cell>
          <cell r="G813">
            <v>650224</v>
          </cell>
          <cell r="H813" t="str">
            <v/>
          </cell>
          <cell r="I813" t="str">
            <v>.</v>
          </cell>
        </row>
        <row r="814">
          <cell r="A814">
            <v>616</v>
          </cell>
          <cell r="B814" t="str">
            <v>Poland</v>
          </cell>
          <cell r="C814">
            <v>1998</v>
          </cell>
          <cell r="D814">
            <v>90</v>
          </cell>
          <cell r="E814">
            <v>1717</v>
          </cell>
          <cell r="F814">
            <v>90</v>
          </cell>
          <cell r="G814">
            <v>664388</v>
          </cell>
          <cell r="H814" t="str">
            <v/>
          </cell>
          <cell r="I814" t="str">
            <v>.</v>
          </cell>
        </row>
        <row r="815">
          <cell r="A815">
            <v>616</v>
          </cell>
          <cell r="B815" t="str">
            <v>Poland</v>
          </cell>
          <cell r="C815">
            <v>1998</v>
          </cell>
          <cell r="D815">
            <v>90</v>
          </cell>
          <cell r="E815">
            <v>1818</v>
          </cell>
          <cell r="F815">
            <v>90</v>
          </cell>
          <cell r="G815">
            <v>654264</v>
          </cell>
          <cell r="H815" t="str">
            <v/>
          </cell>
          <cell r="I815" t="str">
            <v>.</v>
          </cell>
        </row>
        <row r="816">
          <cell r="A816">
            <v>616</v>
          </cell>
          <cell r="B816" t="str">
            <v>Poland</v>
          </cell>
          <cell r="C816">
            <v>1998</v>
          </cell>
          <cell r="D816">
            <v>90</v>
          </cell>
          <cell r="E816">
            <v>1919</v>
          </cell>
          <cell r="F816">
            <v>90</v>
          </cell>
          <cell r="G816">
            <v>642194</v>
          </cell>
          <cell r="H816" t="str">
            <v/>
          </cell>
          <cell r="I816" t="str">
            <v>.</v>
          </cell>
        </row>
        <row r="817">
          <cell r="A817">
            <v>616</v>
          </cell>
          <cell r="B817" t="str">
            <v>Poland</v>
          </cell>
          <cell r="C817">
            <v>1998</v>
          </cell>
          <cell r="D817">
            <v>90</v>
          </cell>
          <cell r="E817">
            <v>1519</v>
          </cell>
          <cell r="F817">
            <v>90</v>
          </cell>
          <cell r="G817">
            <v>3292480</v>
          </cell>
          <cell r="H817" t="str">
            <v/>
          </cell>
          <cell r="I817" t="str">
            <v>.</v>
          </cell>
        </row>
        <row r="818">
          <cell r="A818">
            <v>616</v>
          </cell>
          <cell r="B818" t="str">
            <v>Poland</v>
          </cell>
          <cell r="C818">
            <v>1998</v>
          </cell>
          <cell r="D818">
            <v>90</v>
          </cell>
          <cell r="E818">
            <v>2020</v>
          </cell>
          <cell r="F818">
            <v>90</v>
          </cell>
          <cell r="G818">
            <v>628826</v>
          </cell>
          <cell r="H818" t="str">
            <v/>
          </cell>
          <cell r="I818" t="str">
            <v>.</v>
          </cell>
        </row>
        <row r="819">
          <cell r="A819">
            <v>616</v>
          </cell>
          <cell r="B819" t="str">
            <v>Poland</v>
          </cell>
          <cell r="C819">
            <v>1998</v>
          </cell>
          <cell r="D819">
            <v>90</v>
          </cell>
          <cell r="E819">
            <v>2121</v>
          </cell>
          <cell r="F819">
            <v>90</v>
          </cell>
          <cell r="G819">
            <v>636926</v>
          </cell>
          <cell r="H819" t="str">
            <v/>
          </cell>
          <cell r="I819" t="str">
            <v>.</v>
          </cell>
        </row>
        <row r="820">
          <cell r="A820">
            <v>616</v>
          </cell>
          <cell r="B820" t="str">
            <v>Poland</v>
          </cell>
          <cell r="C820">
            <v>1998</v>
          </cell>
          <cell r="D820">
            <v>90</v>
          </cell>
          <cell r="E820">
            <v>2222</v>
          </cell>
          <cell r="F820">
            <v>90</v>
          </cell>
          <cell r="G820">
            <v>616774</v>
          </cell>
          <cell r="H820" t="str">
            <v/>
          </cell>
          <cell r="I820" t="str">
            <v>.</v>
          </cell>
        </row>
        <row r="821">
          <cell r="A821">
            <v>616</v>
          </cell>
          <cell r="B821" t="str">
            <v>Poland</v>
          </cell>
          <cell r="C821">
            <v>1998</v>
          </cell>
          <cell r="D821">
            <v>90</v>
          </cell>
          <cell r="E821">
            <v>2323</v>
          </cell>
          <cell r="F821">
            <v>90</v>
          </cell>
          <cell r="G821">
            <v>593333</v>
          </cell>
          <cell r="H821" t="str">
            <v/>
          </cell>
          <cell r="I821" t="str">
            <v>.</v>
          </cell>
        </row>
        <row r="822">
          <cell r="A822">
            <v>724</v>
          </cell>
          <cell r="B822" t="str">
            <v>Spain</v>
          </cell>
          <cell r="C822">
            <v>1998</v>
          </cell>
          <cell r="D822">
            <v>90</v>
          </cell>
          <cell r="E822">
            <v>1919</v>
          </cell>
          <cell r="F822">
            <v>90</v>
          </cell>
          <cell r="G822">
            <v>621869</v>
          </cell>
          <cell r="H822" t="str">
            <v>;;=SUM(F31:G31);</v>
          </cell>
          <cell r="I822" t="str">
            <v>.</v>
          </cell>
        </row>
        <row r="823">
          <cell r="A823">
            <v>724</v>
          </cell>
          <cell r="B823" t="str">
            <v>Spain</v>
          </cell>
          <cell r="C823">
            <v>1998</v>
          </cell>
          <cell r="D823">
            <v>90</v>
          </cell>
          <cell r="E823">
            <v>1519</v>
          </cell>
          <cell r="F823">
            <v>90</v>
          </cell>
          <cell r="G823">
            <v>2848060</v>
          </cell>
          <cell r="H823" t="str">
            <v>;;=SUM(F32:G32);</v>
          </cell>
          <cell r="I823" t="str">
            <v>.</v>
          </cell>
        </row>
        <row r="824">
          <cell r="A824">
            <v>724</v>
          </cell>
          <cell r="B824" t="str">
            <v>Spain</v>
          </cell>
          <cell r="C824">
            <v>1998</v>
          </cell>
          <cell r="D824">
            <v>90</v>
          </cell>
          <cell r="E824">
            <v>2020</v>
          </cell>
          <cell r="F824">
            <v>90</v>
          </cell>
          <cell r="G824">
            <v>642764</v>
          </cell>
          <cell r="H824" t="str">
            <v>;;=SUM(F33:G33);</v>
          </cell>
          <cell r="I824" t="str">
            <v>.</v>
          </cell>
        </row>
        <row r="825">
          <cell r="A825">
            <v>724</v>
          </cell>
          <cell r="B825" t="str">
            <v>Spain</v>
          </cell>
          <cell r="C825">
            <v>1998</v>
          </cell>
          <cell r="D825">
            <v>90</v>
          </cell>
          <cell r="E825">
            <v>2121</v>
          </cell>
          <cell r="F825">
            <v>90</v>
          </cell>
          <cell r="G825">
            <v>657285</v>
          </cell>
          <cell r="H825" t="str">
            <v>;;=SUM(F34:G34);</v>
          </cell>
          <cell r="I825" t="str">
            <v>.</v>
          </cell>
        </row>
        <row r="826">
          <cell r="A826">
            <v>724</v>
          </cell>
          <cell r="B826" t="str">
            <v>Spain</v>
          </cell>
          <cell r="C826">
            <v>1998</v>
          </cell>
          <cell r="D826">
            <v>90</v>
          </cell>
          <cell r="E826">
            <v>2222</v>
          </cell>
          <cell r="F826">
            <v>90</v>
          </cell>
          <cell r="G826">
            <v>663300</v>
          </cell>
          <cell r="H826" t="str">
            <v>;;=SUM(F35:G35);</v>
          </cell>
          <cell r="I826" t="str">
            <v>.</v>
          </cell>
        </row>
        <row r="827">
          <cell r="A827">
            <v>724</v>
          </cell>
          <cell r="B827" t="str">
            <v>Spain</v>
          </cell>
          <cell r="C827">
            <v>1998</v>
          </cell>
          <cell r="D827">
            <v>90</v>
          </cell>
          <cell r="E827">
            <v>2323</v>
          </cell>
          <cell r="F827">
            <v>90</v>
          </cell>
          <cell r="G827">
            <v>668406</v>
          </cell>
          <cell r="H827" t="str">
            <v>;;=SUM(F36:G36);</v>
          </cell>
          <cell r="I827" t="str">
            <v>.</v>
          </cell>
        </row>
        <row r="828">
          <cell r="A828">
            <v>724</v>
          </cell>
          <cell r="B828" t="str">
            <v>Spain</v>
          </cell>
          <cell r="C828">
            <v>1998</v>
          </cell>
          <cell r="D828">
            <v>90</v>
          </cell>
          <cell r="E828">
            <v>2424</v>
          </cell>
          <cell r="F828">
            <v>90</v>
          </cell>
          <cell r="G828">
            <v>666333</v>
          </cell>
          <cell r="H828" t="str">
            <v>;;=SUM(F37:G37);</v>
          </cell>
          <cell r="I828" t="str">
            <v>.</v>
          </cell>
        </row>
        <row r="829">
          <cell r="A829">
            <v>724</v>
          </cell>
          <cell r="B829" t="str">
            <v>Spain</v>
          </cell>
          <cell r="C829">
            <v>1998</v>
          </cell>
          <cell r="D829">
            <v>90</v>
          </cell>
          <cell r="E829">
            <v>2024</v>
          </cell>
          <cell r="F829">
            <v>90</v>
          </cell>
          <cell r="G829">
            <v>3298088</v>
          </cell>
          <cell r="H829" t="str">
            <v>;;=SUM(F38:G38);</v>
          </cell>
          <cell r="I829" t="str">
            <v>.</v>
          </cell>
        </row>
        <row r="830">
          <cell r="A830">
            <v>724</v>
          </cell>
          <cell r="B830" t="str">
            <v>Spain</v>
          </cell>
          <cell r="C830">
            <v>1998</v>
          </cell>
          <cell r="D830">
            <v>90</v>
          </cell>
          <cell r="E830">
            <v>2525</v>
          </cell>
          <cell r="F830">
            <v>90</v>
          </cell>
          <cell r="G830">
            <v>662459</v>
          </cell>
          <cell r="H830" t="str">
            <v>;;=SUM(F39:G39);</v>
          </cell>
          <cell r="I830" t="str">
            <v>.</v>
          </cell>
        </row>
        <row r="831">
          <cell r="A831">
            <v>724</v>
          </cell>
          <cell r="B831" t="str">
            <v>Spain</v>
          </cell>
          <cell r="C831">
            <v>1998</v>
          </cell>
          <cell r="D831">
            <v>90</v>
          </cell>
          <cell r="E831">
            <v>2626</v>
          </cell>
          <cell r="F831">
            <v>90</v>
          </cell>
          <cell r="G831">
            <v>657803</v>
          </cell>
          <cell r="H831" t="str">
            <v>;;=SUM(F40:G40);</v>
          </cell>
          <cell r="I831" t="str">
            <v>.</v>
          </cell>
        </row>
        <row r="832">
          <cell r="A832">
            <v>724</v>
          </cell>
          <cell r="B832" t="str">
            <v>Spain</v>
          </cell>
          <cell r="C832">
            <v>1998</v>
          </cell>
          <cell r="D832">
            <v>90</v>
          </cell>
          <cell r="E832">
            <v>2727</v>
          </cell>
          <cell r="F832">
            <v>90</v>
          </cell>
          <cell r="G832">
            <v>653577</v>
          </cell>
          <cell r="H832" t="str">
            <v>;;=SUM(F41:G41);</v>
          </cell>
          <cell r="I832" t="str">
            <v>.</v>
          </cell>
        </row>
        <row r="833">
          <cell r="A833">
            <v>724</v>
          </cell>
          <cell r="B833" t="str">
            <v>Spain</v>
          </cell>
          <cell r="C833">
            <v>1998</v>
          </cell>
          <cell r="D833">
            <v>90</v>
          </cell>
          <cell r="E833">
            <v>2828</v>
          </cell>
          <cell r="F833">
            <v>90</v>
          </cell>
          <cell r="G833">
            <v>650342</v>
          </cell>
          <cell r="H833" t="str">
            <v>;;=SUM(F42:G42);</v>
          </cell>
          <cell r="I833" t="str">
            <v>.</v>
          </cell>
        </row>
        <row r="834">
          <cell r="A834">
            <v>724</v>
          </cell>
          <cell r="B834" t="str">
            <v>Spain</v>
          </cell>
          <cell r="C834">
            <v>1998</v>
          </cell>
          <cell r="D834">
            <v>90</v>
          </cell>
          <cell r="E834">
            <v>2929</v>
          </cell>
          <cell r="F834">
            <v>90</v>
          </cell>
          <cell r="G834">
            <v>646848</v>
          </cell>
          <cell r="H834" t="str">
            <v>;;=SUM(F43:G43);</v>
          </cell>
          <cell r="I834" t="str">
            <v>.</v>
          </cell>
        </row>
        <row r="835">
          <cell r="A835">
            <v>724</v>
          </cell>
          <cell r="B835" t="str">
            <v>Spain</v>
          </cell>
          <cell r="C835">
            <v>1998</v>
          </cell>
          <cell r="D835">
            <v>90</v>
          </cell>
          <cell r="E835">
            <v>2529</v>
          </cell>
          <cell r="F835">
            <v>90</v>
          </cell>
          <cell r="G835">
            <v>3271029</v>
          </cell>
          <cell r="H835" t="str">
            <v>;;=SUM(F44:G44);</v>
          </cell>
          <cell r="I835" t="str">
            <v>.</v>
          </cell>
        </row>
        <row r="836">
          <cell r="A836">
            <v>724</v>
          </cell>
          <cell r="B836" t="str">
            <v>Spain</v>
          </cell>
          <cell r="C836">
            <v>1998</v>
          </cell>
          <cell r="D836">
            <v>90</v>
          </cell>
          <cell r="E836">
            <v>3034</v>
          </cell>
          <cell r="F836">
            <v>90</v>
          </cell>
          <cell r="G836">
            <v>3179559</v>
          </cell>
          <cell r="H836" t="str">
            <v>;;=SUM(F45:G45);</v>
          </cell>
          <cell r="I836" t="str">
            <v>.</v>
          </cell>
        </row>
        <row r="837">
          <cell r="A837">
            <v>724</v>
          </cell>
          <cell r="B837" t="str">
            <v>Spain</v>
          </cell>
          <cell r="C837">
            <v>1998</v>
          </cell>
          <cell r="D837">
            <v>90</v>
          </cell>
          <cell r="E837">
            <v>3539</v>
          </cell>
          <cell r="F837">
            <v>90</v>
          </cell>
          <cell r="G837">
            <v>2957053</v>
          </cell>
          <cell r="H837" t="str">
            <v>;;=SUM(F46:G46);</v>
          </cell>
          <cell r="I837" t="str">
            <v>.</v>
          </cell>
        </row>
        <row r="838">
          <cell r="A838">
            <v>724</v>
          </cell>
          <cell r="B838" t="str">
            <v>Spain</v>
          </cell>
          <cell r="C838">
            <v>1998</v>
          </cell>
          <cell r="D838">
            <v>90</v>
          </cell>
          <cell r="E838">
            <v>4099</v>
          </cell>
          <cell r="F838">
            <v>90</v>
          </cell>
          <cell r="G838">
            <v>17652561</v>
          </cell>
          <cell r="H838" t="str">
            <v>;;=SUM(F47:G47);</v>
          </cell>
          <cell r="I838" t="str">
            <v>.</v>
          </cell>
        </row>
        <row r="839">
          <cell r="A839">
            <v>724</v>
          </cell>
          <cell r="B839" t="str">
            <v>Spain</v>
          </cell>
          <cell r="C839">
            <v>1998</v>
          </cell>
          <cell r="D839">
            <v>90</v>
          </cell>
          <cell r="E839">
            <v>990000</v>
          </cell>
          <cell r="F839">
            <v>90</v>
          </cell>
          <cell r="G839">
            <v>0</v>
          </cell>
          <cell r="H839" t="str">
            <v>;;=SUM(F48:G48);</v>
          </cell>
          <cell r="I839" t="str">
            <v>.</v>
          </cell>
        </row>
        <row r="840">
          <cell r="A840">
            <v>756</v>
          </cell>
          <cell r="B840" t="str">
            <v>Switzerland</v>
          </cell>
          <cell r="C840">
            <v>1998</v>
          </cell>
          <cell r="D840">
            <v>90</v>
          </cell>
          <cell r="E840">
            <v>1313</v>
          </cell>
          <cell r="F840">
            <v>90</v>
          </cell>
          <cell r="G840">
            <v>81842</v>
          </cell>
          <cell r="H840" t="str">
            <v/>
          </cell>
          <cell r="I840" t="str">
            <v>.</v>
          </cell>
        </row>
        <row r="841">
          <cell r="A841">
            <v>756</v>
          </cell>
          <cell r="B841" t="str">
            <v>Switzerland</v>
          </cell>
          <cell r="C841">
            <v>1998</v>
          </cell>
          <cell r="D841">
            <v>90</v>
          </cell>
          <cell r="E841">
            <v>1414</v>
          </cell>
          <cell r="F841">
            <v>90</v>
          </cell>
          <cell r="G841">
            <v>80887</v>
          </cell>
          <cell r="H841" t="str">
            <v/>
          </cell>
          <cell r="I841" t="str">
            <v>.</v>
          </cell>
        </row>
        <row r="842">
          <cell r="A842">
            <v>756</v>
          </cell>
          <cell r="B842" t="str">
            <v>Switzerland</v>
          </cell>
          <cell r="C842">
            <v>1998</v>
          </cell>
          <cell r="D842">
            <v>90</v>
          </cell>
          <cell r="E842">
            <v>1014</v>
          </cell>
          <cell r="F842">
            <v>90</v>
          </cell>
          <cell r="G842">
            <v>408775</v>
          </cell>
          <cell r="H842" t="str">
            <v/>
          </cell>
          <cell r="I842" t="str">
            <v>.</v>
          </cell>
        </row>
        <row r="843">
          <cell r="A843">
            <v>756</v>
          </cell>
          <cell r="B843" t="str">
            <v>Switzerland</v>
          </cell>
          <cell r="C843">
            <v>1998</v>
          </cell>
          <cell r="D843">
            <v>90</v>
          </cell>
          <cell r="E843">
            <v>1515</v>
          </cell>
          <cell r="F843">
            <v>90</v>
          </cell>
          <cell r="G843">
            <v>82194</v>
          </cell>
          <cell r="H843" t="str">
            <v/>
          </cell>
          <cell r="I843" t="str">
            <v>.</v>
          </cell>
        </row>
        <row r="844">
          <cell r="A844">
            <v>756</v>
          </cell>
          <cell r="B844" t="str">
            <v>Switzerland</v>
          </cell>
          <cell r="C844">
            <v>1998</v>
          </cell>
          <cell r="D844">
            <v>90</v>
          </cell>
          <cell r="E844">
            <v>1616</v>
          </cell>
          <cell r="F844">
            <v>90</v>
          </cell>
          <cell r="G844">
            <v>81742</v>
          </cell>
          <cell r="H844" t="str">
            <v/>
          </cell>
          <cell r="I844" t="str">
            <v>.</v>
          </cell>
        </row>
        <row r="845">
          <cell r="A845">
            <v>756</v>
          </cell>
          <cell r="B845" t="str">
            <v>Switzerland</v>
          </cell>
          <cell r="C845">
            <v>1998</v>
          </cell>
          <cell r="D845">
            <v>90</v>
          </cell>
          <cell r="E845">
            <v>1717</v>
          </cell>
          <cell r="F845">
            <v>90</v>
          </cell>
          <cell r="G845">
            <v>82279</v>
          </cell>
          <cell r="H845" t="str">
            <v/>
          </cell>
          <cell r="I845" t="str">
            <v>.</v>
          </cell>
        </row>
        <row r="846">
          <cell r="A846">
            <v>756</v>
          </cell>
          <cell r="B846" t="str">
            <v>Switzerland</v>
          </cell>
          <cell r="C846">
            <v>1998</v>
          </cell>
          <cell r="D846">
            <v>90</v>
          </cell>
          <cell r="E846">
            <v>1818</v>
          </cell>
          <cell r="F846">
            <v>90</v>
          </cell>
          <cell r="G846">
            <v>80324</v>
          </cell>
          <cell r="H846" t="str">
            <v/>
          </cell>
          <cell r="I846" t="str">
            <v>.</v>
          </cell>
        </row>
        <row r="847">
          <cell r="A847">
            <v>756</v>
          </cell>
          <cell r="B847" t="str">
            <v>Switzerland</v>
          </cell>
          <cell r="C847">
            <v>1998</v>
          </cell>
          <cell r="D847">
            <v>90</v>
          </cell>
          <cell r="E847">
            <v>1919</v>
          </cell>
          <cell r="F847">
            <v>90</v>
          </cell>
          <cell r="G847">
            <v>79467</v>
          </cell>
          <cell r="H847" t="str">
            <v/>
          </cell>
          <cell r="I847" t="str">
            <v>.</v>
          </cell>
        </row>
        <row r="848">
          <cell r="A848">
            <v>756</v>
          </cell>
          <cell r="B848" t="str">
            <v>Switzerland</v>
          </cell>
          <cell r="C848">
            <v>1998</v>
          </cell>
          <cell r="D848">
            <v>90</v>
          </cell>
          <cell r="E848">
            <v>1519</v>
          </cell>
          <cell r="F848">
            <v>90</v>
          </cell>
          <cell r="G848">
            <v>406006</v>
          </cell>
          <cell r="H848" t="str">
            <v/>
          </cell>
          <cell r="I848" t="str">
            <v>.</v>
          </cell>
        </row>
        <row r="849">
          <cell r="A849">
            <v>756</v>
          </cell>
          <cell r="B849" t="str">
            <v>Switzerland</v>
          </cell>
          <cell r="C849">
            <v>1998</v>
          </cell>
          <cell r="D849">
            <v>90</v>
          </cell>
          <cell r="E849">
            <v>2020</v>
          </cell>
          <cell r="F849">
            <v>90</v>
          </cell>
          <cell r="G849">
            <v>80607</v>
          </cell>
          <cell r="H849" t="str">
            <v/>
          </cell>
          <cell r="I849" t="str">
            <v>.</v>
          </cell>
        </row>
        <row r="850">
          <cell r="A850">
            <v>756</v>
          </cell>
          <cell r="B850" t="str">
            <v>Switzerland</v>
          </cell>
          <cell r="C850">
            <v>1998</v>
          </cell>
          <cell r="D850">
            <v>90</v>
          </cell>
          <cell r="E850">
            <v>2121</v>
          </cell>
          <cell r="F850">
            <v>90</v>
          </cell>
          <cell r="G850">
            <v>80795</v>
          </cell>
          <cell r="H850" t="str">
            <v/>
          </cell>
          <cell r="I850" t="str">
            <v>.</v>
          </cell>
        </row>
        <row r="851">
          <cell r="A851">
            <v>756</v>
          </cell>
          <cell r="B851" t="str">
            <v>Switzerland</v>
          </cell>
          <cell r="C851">
            <v>1998</v>
          </cell>
          <cell r="D851">
            <v>90</v>
          </cell>
          <cell r="E851">
            <v>2222</v>
          </cell>
          <cell r="F851">
            <v>90</v>
          </cell>
          <cell r="G851">
            <v>82073</v>
          </cell>
          <cell r="H851" t="str">
            <v/>
          </cell>
          <cell r="I851" t="str">
            <v>.</v>
          </cell>
        </row>
        <row r="852">
          <cell r="A852">
            <v>756</v>
          </cell>
          <cell r="B852" t="str">
            <v>Switzerland</v>
          </cell>
          <cell r="C852">
            <v>1998</v>
          </cell>
          <cell r="D852">
            <v>90</v>
          </cell>
          <cell r="E852">
            <v>2323</v>
          </cell>
          <cell r="F852">
            <v>90</v>
          </cell>
          <cell r="G852">
            <v>85855</v>
          </cell>
          <cell r="H852" t="str">
            <v/>
          </cell>
          <cell r="I852" t="str">
            <v>.</v>
          </cell>
        </row>
        <row r="853">
          <cell r="A853">
            <v>756</v>
          </cell>
          <cell r="B853" t="str">
            <v>Switzerland</v>
          </cell>
          <cell r="C853">
            <v>1998</v>
          </cell>
          <cell r="D853">
            <v>90</v>
          </cell>
          <cell r="E853">
            <v>2424</v>
          </cell>
          <cell r="F853">
            <v>90</v>
          </cell>
          <cell r="G853">
            <v>88688</v>
          </cell>
          <cell r="H853" t="str">
            <v/>
          </cell>
          <cell r="I853" t="str">
            <v>.</v>
          </cell>
        </row>
        <row r="854">
          <cell r="A854">
            <v>756</v>
          </cell>
          <cell r="B854" t="str">
            <v>Switzerland</v>
          </cell>
          <cell r="C854">
            <v>1998</v>
          </cell>
          <cell r="D854">
            <v>90</v>
          </cell>
          <cell r="E854">
            <v>2024</v>
          </cell>
          <cell r="F854">
            <v>90</v>
          </cell>
          <cell r="G854">
            <v>418018</v>
          </cell>
          <cell r="H854" t="str">
            <v/>
          </cell>
          <cell r="I854" t="str">
            <v>.</v>
          </cell>
        </row>
        <row r="855">
          <cell r="A855">
            <v>756</v>
          </cell>
          <cell r="B855" t="str">
            <v>Switzerland</v>
          </cell>
          <cell r="C855">
            <v>1998</v>
          </cell>
          <cell r="D855">
            <v>90</v>
          </cell>
          <cell r="E855">
            <v>2525</v>
          </cell>
          <cell r="F855">
            <v>90</v>
          </cell>
          <cell r="G855">
            <v>93780</v>
          </cell>
          <cell r="H855" t="str">
            <v/>
          </cell>
          <cell r="I855" t="str">
            <v>.</v>
          </cell>
        </row>
        <row r="856">
          <cell r="A856">
            <v>756</v>
          </cell>
          <cell r="B856" t="str">
            <v>Switzerland</v>
          </cell>
          <cell r="C856">
            <v>1998</v>
          </cell>
          <cell r="D856">
            <v>90</v>
          </cell>
          <cell r="E856">
            <v>2626</v>
          </cell>
          <cell r="F856">
            <v>90</v>
          </cell>
          <cell r="G856">
            <v>98555</v>
          </cell>
          <cell r="H856" t="str">
            <v/>
          </cell>
          <cell r="I856" t="str">
            <v>.</v>
          </cell>
        </row>
        <row r="857">
          <cell r="A857">
            <v>756</v>
          </cell>
          <cell r="B857" t="str">
            <v>Switzerland</v>
          </cell>
          <cell r="C857">
            <v>1998</v>
          </cell>
          <cell r="D857">
            <v>90</v>
          </cell>
          <cell r="E857">
            <v>2727</v>
          </cell>
          <cell r="F857">
            <v>90</v>
          </cell>
          <cell r="G857">
            <v>102470</v>
          </cell>
          <cell r="H857" t="str">
            <v/>
          </cell>
          <cell r="I857" t="str">
            <v>.</v>
          </cell>
        </row>
        <row r="858">
          <cell r="A858">
            <v>756</v>
          </cell>
          <cell r="B858" t="str">
            <v>Switzerland</v>
          </cell>
          <cell r="C858">
            <v>1998</v>
          </cell>
          <cell r="D858">
            <v>90</v>
          </cell>
          <cell r="E858">
            <v>2828</v>
          </cell>
          <cell r="F858">
            <v>90</v>
          </cell>
          <cell r="G858">
            <v>107483</v>
          </cell>
          <cell r="H858" t="str">
            <v/>
          </cell>
          <cell r="I858" t="str">
            <v>.</v>
          </cell>
        </row>
        <row r="859">
          <cell r="A859">
            <v>756</v>
          </cell>
          <cell r="B859" t="str">
            <v>Switzerland</v>
          </cell>
          <cell r="C859">
            <v>1998</v>
          </cell>
          <cell r="D859">
            <v>90</v>
          </cell>
          <cell r="E859">
            <v>2929</v>
          </cell>
          <cell r="F859">
            <v>90</v>
          </cell>
          <cell r="G859">
            <v>112096</v>
          </cell>
          <cell r="H859" t="str">
            <v/>
          </cell>
          <cell r="I859" t="str">
            <v>.</v>
          </cell>
        </row>
        <row r="860">
          <cell r="A860">
            <v>756</v>
          </cell>
          <cell r="B860" t="str">
            <v>Switzerland</v>
          </cell>
          <cell r="C860">
            <v>1998</v>
          </cell>
          <cell r="D860">
            <v>90</v>
          </cell>
          <cell r="E860">
            <v>2529</v>
          </cell>
          <cell r="F860">
            <v>90</v>
          </cell>
          <cell r="G860">
            <v>514384</v>
          </cell>
          <cell r="H860" t="str">
            <v/>
          </cell>
          <cell r="I860" t="str">
            <v>.</v>
          </cell>
        </row>
        <row r="861">
          <cell r="A861">
            <v>756</v>
          </cell>
          <cell r="B861" t="str">
            <v>Switzerland</v>
          </cell>
          <cell r="C861">
            <v>1998</v>
          </cell>
          <cell r="D861">
            <v>90</v>
          </cell>
          <cell r="E861">
            <v>3034</v>
          </cell>
          <cell r="F861">
            <v>90</v>
          </cell>
          <cell r="G861">
            <v>611286</v>
          </cell>
          <cell r="H861" t="str">
            <v/>
          </cell>
          <cell r="I861" t="str">
            <v>.</v>
          </cell>
        </row>
        <row r="862">
          <cell r="A862">
            <v>756</v>
          </cell>
          <cell r="B862" t="str">
            <v>Switzerland</v>
          </cell>
          <cell r="C862">
            <v>1998</v>
          </cell>
          <cell r="D862">
            <v>90</v>
          </cell>
          <cell r="E862">
            <v>3539</v>
          </cell>
          <cell r="F862">
            <v>90</v>
          </cell>
          <cell r="G862">
            <v>583335</v>
          </cell>
          <cell r="H862" t="str">
            <v/>
          </cell>
          <cell r="I862" t="str">
            <v>.</v>
          </cell>
        </row>
        <row r="863">
          <cell r="A863">
            <v>756</v>
          </cell>
          <cell r="B863" t="str">
            <v>Switzerland</v>
          </cell>
          <cell r="C863">
            <v>1998</v>
          </cell>
          <cell r="D863">
            <v>90</v>
          </cell>
          <cell r="E863">
            <v>4099</v>
          </cell>
          <cell r="F863">
            <v>90</v>
          </cell>
          <cell r="G863">
            <v>3314872</v>
          </cell>
          <cell r="H863" t="str">
            <v/>
          </cell>
          <cell r="I863" t="str">
            <v>.</v>
          </cell>
        </row>
        <row r="864">
          <cell r="A864">
            <v>756</v>
          </cell>
          <cell r="B864" t="str">
            <v>Switzerland</v>
          </cell>
          <cell r="C864">
            <v>1998</v>
          </cell>
          <cell r="D864">
            <v>90</v>
          </cell>
          <cell r="E864">
            <v>990000</v>
          </cell>
          <cell r="F864">
            <v>90</v>
          </cell>
          <cell r="G864">
            <v>0</v>
          </cell>
          <cell r="H864" t="str">
            <v>n;</v>
          </cell>
          <cell r="I864" t="str">
            <v>n</v>
          </cell>
        </row>
        <row r="865">
          <cell r="A865">
            <v>376</v>
          </cell>
          <cell r="B865" t="str">
            <v>Israel</v>
          </cell>
          <cell r="C865">
            <v>1998</v>
          </cell>
          <cell r="D865">
            <v>90</v>
          </cell>
          <cell r="E865">
            <v>509</v>
          </cell>
          <cell r="F865">
            <v>90</v>
          </cell>
          <cell r="G865">
            <v>561299</v>
          </cell>
          <cell r="H865" t="str">
            <v/>
          </cell>
          <cell r="I865" t="str">
            <v>.</v>
          </cell>
        </row>
        <row r="866">
          <cell r="A866">
            <v>376</v>
          </cell>
          <cell r="B866" t="str">
            <v>Israel</v>
          </cell>
          <cell r="C866">
            <v>1998</v>
          </cell>
          <cell r="D866">
            <v>90</v>
          </cell>
          <cell r="E866">
            <v>1010</v>
          </cell>
          <cell r="F866">
            <v>90</v>
          </cell>
          <cell r="G866">
            <v>109283</v>
          </cell>
          <cell r="H866" t="str">
            <v/>
          </cell>
          <cell r="I866" t="str">
            <v>.</v>
          </cell>
        </row>
        <row r="867">
          <cell r="A867">
            <v>376</v>
          </cell>
          <cell r="B867" t="str">
            <v>Israel</v>
          </cell>
          <cell r="C867">
            <v>1998</v>
          </cell>
          <cell r="D867">
            <v>90</v>
          </cell>
          <cell r="E867">
            <v>1111</v>
          </cell>
          <cell r="F867">
            <v>90</v>
          </cell>
          <cell r="G867">
            <v>109805</v>
          </cell>
          <cell r="H867" t="str">
            <v/>
          </cell>
          <cell r="I867" t="str">
            <v>.</v>
          </cell>
        </row>
        <row r="868">
          <cell r="A868">
            <v>376</v>
          </cell>
          <cell r="B868" t="str">
            <v>Israel</v>
          </cell>
          <cell r="C868">
            <v>1998</v>
          </cell>
          <cell r="D868">
            <v>90</v>
          </cell>
          <cell r="E868">
            <v>1212</v>
          </cell>
          <cell r="F868">
            <v>90</v>
          </cell>
          <cell r="G868">
            <v>109353</v>
          </cell>
          <cell r="H868" t="str">
            <v/>
          </cell>
          <cell r="I868" t="str">
            <v>.</v>
          </cell>
        </row>
        <row r="869">
          <cell r="A869">
            <v>376</v>
          </cell>
          <cell r="B869" t="str">
            <v>Israel</v>
          </cell>
          <cell r="C869">
            <v>1998</v>
          </cell>
          <cell r="D869">
            <v>90</v>
          </cell>
          <cell r="E869">
            <v>1313</v>
          </cell>
          <cell r="F869">
            <v>90</v>
          </cell>
          <cell r="G869">
            <v>108820</v>
          </cell>
          <cell r="H869" t="str">
            <v/>
          </cell>
          <cell r="I869" t="str">
            <v>.</v>
          </cell>
        </row>
        <row r="870">
          <cell r="A870">
            <v>376</v>
          </cell>
          <cell r="B870" t="str">
            <v>Israel</v>
          </cell>
          <cell r="C870">
            <v>1998</v>
          </cell>
          <cell r="D870">
            <v>90</v>
          </cell>
          <cell r="E870">
            <v>1414</v>
          </cell>
          <cell r="F870">
            <v>90</v>
          </cell>
          <cell r="G870">
            <v>109224</v>
          </cell>
          <cell r="H870" t="str">
            <v/>
          </cell>
          <cell r="I870" t="str">
            <v>.</v>
          </cell>
        </row>
        <row r="871">
          <cell r="A871">
            <v>376</v>
          </cell>
          <cell r="B871" t="str">
            <v>Israel</v>
          </cell>
          <cell r="C871">
            <v>1998</v>
          </cell>
          <cell r="D871">
            <v>90</v>
          </cell>
          <cell r="E871">
            <v>1014</v>
          </cell>
          <cell r="F871">
            <v>90</v>
          </cell>
          <cell r="G871">
            <v>546485</v>
          </cell>
          <cell r="H871" t="str">
            <v/>
          </cell>
          <cell r="I871" t="str">
            <v>.</v>
          </cell>
        </row>
        <row r="872">
          <cell r="A872">
            <v>376</v>
          </cell>
          <cell r="B872" t="str">
            <v>Israel</v>
          </cell>
          <cell r="C872">
            <v>1998</v>
          </cell>
          <cell r="D872">
            <v>90</v>
          </cell>
          <cell r="E872">
            <v>1515</v>
          </cell>
          <cell r="F872">
            <v>90</v>
          </cell>
          <cell r="G872">
            <v>105755</v>
          </cell>
          <cell r="H872" t="str">
            <v/>
          </cell>
          <cell r="I872" t="str">
            <v>.</v>
          </cell>
        </row>
        <row r="873">
          <cell r="A873">
            <v>376</v>
          </cell>
          <cell r="B873" t="str">
            <v>Israel</v>
          </cell>
          <cell r="C873">
            <v>1998</v>
          </cell>
          <cell r="D873">
            <v>90</v>
          </cell>
          <cell r="E873">
            <v>1616</v>
          </cell>
          <cell r="F873">
            <v>90</v>
          </cell>
          <cell r="G873">
            <v>103055</v>
          </cell>
          <cell r="H873" t="str">
            <v/>
          </cell>
          <cell r="I873" t="str">
            <v>.</v>
          </cell>
        </row>
        <row r="874">
          <cell r="A874">
            <v>376</v>
          </cell>
          <cell r="B874" t="str">
            <v>Israel</v>
          </cell>
          <cell r="C874">
            <v>1998</v>
          </cell>
          <cell r="D874">
            <v>90</v>
          </cell>
          <cell r="E874">
            <v>1717</v>
          </cell>
          <cell r="F874">
            <v>90</v>
          </cell>
          <cell r="G874">
            <v>103669</v>
          </cell>
          <cell r="H874" t="str">
            <v/>
          </cell>
          <cell r="I874" t="str">
            <v>.</v>
          </cell>
        </row>
        <row r="875">
          <cell r="A875">
            <v>376</v>
          </cell>
          <cell r="B875" t="str">
            <v>Israel</v>
          </cell>
          <cell r="C875">
            <v>1998</v>
          </cell>
          <cell r="D875">
            <v>90</v>
          </cell>
          <cell r="E875">
            <v>1818</v>
          </cell>
          <cell r="F875">
            <v>90</v>
          </cell>
          <cell r="G875">
            <v>104002</v>
          </cell>
          <cell r="H875" t="str">
            <v/>
          </cell>
          <cell r="I875" t="str">
            <v>.</v>
          </cell>
        </row>
        <row r="876">
          <cell r="A876">
            <v>376</v>
          </cell>
          <cell r="B876" t="str">
            <v>Israel</v>
          </cell>
          <cell r="C876">
            <v>1998</v>
          </cell>
          <cell r="D876">
            <v>90</v>
          </cell>
          <cell r="E876">
            <v>1919</v>
          </cell>
          <cell r="F876">
            <v>90</v>
          </cell>
          <cell r="G876">
            <v>104074</v>
          </cell>
          <cell r="H876" t="str">
            <v/>
          </cell>
          <cell r="I876" t="str">
            <v>.</v>
          </cell>
        </row>
        <row r="877">
          <cell r="A877">
            <v>376</v>
          </cell>
          <cell r="B877" t="str">
            <v>Israel</v>
          </cell>
          <cell r="C877">
            <v>1998</v>
          </cell>
          <cell r="D877">
            <v>90</v>
          </cell>
          <cell r="E877">
            <v>1519</v>
          </cell>
          <cell r="F877">
            <v>90</v>
          </cell>
          <cell r="G877">
            <v>520555</v>
          </cell>
          <cell r="H877" t="str">
            <v/>
          </cell>
          <cell r="I877" t="str">
            <v>.</v>
          </cell>
        </row>
        <row r="878">
          <cell r="A878">
            <v>376</v>
          </cell>
          <cell r="B878" t="str">
            <v>Israel</v>
          </cell>
          <cell r="C878">
            <v>1998</v>
          </cell>
          <cell r="D878">
            <v>90</v>
          </cell>
          <cell r="E878">
            <v>2020</v>
          </cell>
          <cell r="F878">
            <v>90</v>
          </cell>
          <cell r="G878">
            <v>104345</v>
          </cell>
          <cell r="H878" t="str">
            <v/>
          </cell>
          <cell r="I878" t="str">
            <v>.</v>
          </cell>
        </row>
        <row r="879">
          <cell r="A879">
            <v>376</v>
          </cell>
          <cell r="B879" t="str">
            <v>Israel</v>
          </cell>
          <cell r="C879">
            <v>1998</v>
          </cell>
          <cell r="D879">
            <v>90</v>
          </cell>
          <cell r="E879">
            <v>2121</v>
          </cell>
          <cell r="F879">
            <v>90</v>
          </cell>
          <cell r="G879">
            <v>107066</v>
          </cell>
          <cell r="H879" t="str">
            <v/>
          </cell>
          <cell r="I879" t="str">
            <v>.</v>
          </cell>
        </row>
        <row r="880">
          <cell r="A880">
            <v>376</v>
          </cell>
          <cell r="B880" t="str">
            <v>Israel</v>
          </cell>
          <cell r="C880">
            <v>1998</v>
          </cell>
          <cell r="D880">
            <v>90</v>
          </cell>
          <cell r="E880">
            <v>2222</v>
          </cell>
          <cell r="F880">
            <v>90</v>
          </cell>
          <cell r="G880">
            <v>105256</v>
          </cell>
          <cell r="H880" t="str">
            <v/>
          </cell>
          <cell r="I880" t="str">
            <v>.</v>
          </cell>
        </row>
        <row r="881">
          <cell r="A881">
            <v>376</v>
          </cell>
          <cell r="B881" t="str">
            <v>Israel</v>
          </cell>
          <cell r="C881">
            <v>1998</v>
          </cell>
          <cell r="D881">
            <v>90</v>
          </cell>
          <cell r="E881">
            <v>2323</v>
          </cell>
          <cell r="F881">
            <v>90</v>
          </cell>
          <cell r="G881">
            <v>100401</v>
          </cell>
          <cell r="H881" t="str">
            <v/>
          </cell>
          <cell r="I881" t="str">
            <v>.</v>
          </cell>
        </row>
        <row r="882">
          <cell r="A882">
            <v>376</v>
          </cell>
          <cell r="B882" t="str">
            <v>Israel</v>
          </cell>
          <cell r="C882">
            <v>1998</v>
          </cell>
          <cell r="D882">
            <v>90</v>
          </cell>
          <cell r="E882">
            <v>2424</v>
          </cell>
          <cell r="F882">
            <v>90</v>
          </cell>
          <cell r="G882">
            <v>97276</v>
          </cell>
          <cell r="H882" t="str">
            <v/>
          </cell>
          <cell r="I882" t="str">
            <v>.</v>
          </cell>
        </row>
        <row r="883">
          <cell r="A883">
            <v>376</v>
          </cell>
          <cell r="B883" t="str">
            <v>Israel</v>
          </cell>
          <cell r="C883">
            <v>1998</v>
          </cell>
          <cell r="D883">
            <v>90</v>
          </cell>
          <cell r="E883">
            <v>2024</v>
          </cell>
          <cell r="F883">
            <v>90</v>
          </cell>
          <cell r="G883">
            <v>514344</v>
          </cell>
          <cell r="H883" t="str">
            <v/>
          </cell>
          <cell r="I883" t="str">
            <v>.</v>
          </cell>
        </row>
        <row r="884">
          <cell r="A884">
            <v>376</v>
          </cell>
          <cell r="B884" t="str">
            <v>Israel</v>
          </cell>
          <cell r="C884">
            <v>1998</v>
          </cell>
          <cell r="D884">
            <v>90</v>
          </cell>
          <cell r="E884">
            <v>2525</v>
          </cell>
          <cell r="F884">
            <v>90</v>
          </cell>
          <cell r="G884">
            <v>94482</v>
          </cell>
          <cell r="H884" t="str">
            <v/>
          </cell>
          <cell r="I884" t="str">
            <v>.</v>
          </cell>
        </row>
        <row r="885">
          <cell r="A885">
            <v>376</v>
          </cell>
          <cell r="B885" t="str">
            <v>Israel</v>
          </cell>
          <cell r="C885">
            <v>1998</v>
          </cell>
          <cell r="D885">
            <v>90</v>
          </cell>
          <cell r="E885">
            <v>2626</v>
          </cell>
          <cell r="F885">
            <v>90</v>
          </cell>
          <cell r="G885">
            <v>93755</v>
          </cell>
          <cell r="H885" t="str">
            <v/>
          </cell>
          <cell r="I885" t="str">
            <v>.</v>
          </cell>
        </row>
        <row r="886">
          <cell r="A886">
            <v>376</v>
          </cell>
          <cell r="B886" t="str">
            <v>Israel</v>
          </cell>
          <cell r="C886">
            <v>1998</v>
          </cell>
          <cell r="D886">
            <v>90</v>
          </cell>
          <cell r="E886">
            <v>2727</v>
          </cell>
          <cell r="F886">
            <v>90</v>
          </cell>
          <cell r="G886">
            <v>90820</v>
          </cell>
          <cell r="H886" t="str">
            <v/>
          </cell>
          <cell r="I886" t="str">
            <v>.</v>
          </cell>
        </row>
        <row r="887">
          <cell r="A887">
            <v>376</v>
          </cell>
          <cell r="B887" t="str">
            <v>Israel</v>
          </cell>
          <cell r="C887">
            <v>1998</v>
          </cell>
          <cell r="D887">
            <v>90</v>
          </cell>
          <cell r="E887">
            <v>2828</v>
          </cell>
          <cell r="F887">
            <v>90</v>
          </cell>
          <cell r="G887">
            <v>84831</v>
          </cell>
          <cell r="H887" t="str">
            <v/>
          </cell>
          <cell r="I887" t="str">
            <v>.</v>
          </cell>
        </row>
        <row r="888">
          <cell r="A888">
            <v>376</v>
          </cell>
          <cell r="B888" t="str">
            <v>Israel</v>
          </cell>
          <cell r="C888">
            <v>1998</v>
          </cell>
          <cell r="D888">
            <v>90</v>
          </cell>
          <cell r="E888">
            <v>2929</v>
          </cell>
          <cell r="F888">
            <v>90</v>
          </cell>
          <cell r="G888">
            <v>81698</v>
          </cell>
          <cell r="H888" t="str">
            <v/>
          </cell>
          <cell r="I888" t="str">
            <v>.</v>
          </cell>
        </row>
        <row r="889">
          <cell r="A889">
            <v>376</v>
          </cell>
          <cell r="B889" t="str">
            <v>Israel</v>
          </cell>
          <cell r="C889">
            <v>1998</v>
          </cell>
          <cell r="D889">
            <v>90</v>
          </cell>
          <cell r="E889">
            <v>2529</v>
          </cell>
          <cell r="F889">
            <v>90</v>
          </cell>
          <cell r="G889">
            <v>445586</v>
          </cell>
          <cell r="H889" t="str">
            <v/>
          </cell>
          <cell r="I889" t="str">
            <v>.</v>
          </cell>
        </row>
        <row r="890">
          <cell r="A890">
            <v>376</v>
          </cell>
          <cell r="B890" t="str">
            <v>Israel</v>
          </cell>
          <cell r="C890">
            <v>1998</v>
          </cell>
          <cell r="D890">
            <v>90</v>
          </cell>
          <cell r="E890">
            <v>3034</v>
          </cell>
          <cell r="F890">
            <v>90</v>
          </cell>
          <cell r="G890">
            <v>381340</v>
          </cell>
          <cell r="H890" t="str">
            <v/>
          </cell>
          <cell r="I890" t="str">
            <v>.</v>
          </cell>
        </row>
        <row r="891">
          <cell r="A891">
            <v>376</v>
          </cell>
          <cell r="B891" t="str">
            <v>Israel</v>
          </cell>
          <cell r="C891">
            <v>1998</v>
          </cell>
          <cell r="D891">
            <v>90</v>
          </cell>
          <cell r="E891">
            <v>3539</v>
          </cell>
          <cell r="F891">
            <v>90</v>
          </cell>
          <cell r="G891">
            <v>370969</v>
          </cell>
          <cell r="H891" t="str">
            <v/>
          </cell>
          <cell r="I891" t="str">
            <v>.</v>
          </cell>
        </row>
        <row r="892">
          <cell r="A892">
            <v>376</v>
          </cell>
          <cell r="B892" t="str">
            <v>Israel</v>
          </cell>
          <cell r="C892">
            <v>1998</v>
          </cell>
          <cell r="D892">
            <v>90</v>
          </cell>
          <cell r="E892">
            <v>4099</v>
          </cell>
          <cell r="F892">
            <v>90</v>
          </cell>
          <cell r="G892">
            <v>1957335</v>
          </cell>
          <cell r="H892" t="str">
            <v/>
          </cell>
          <cell r="I892" t="str">
            <v>.</v>
          </cell>
        </row>
        <row r="893">
          <cell r="A893">
            <v>376</v>
          </cell>
          <cell r="B893" t="str">
            <v>Israel</v>
          </cell>
          <cell r="C893">
            <v>1998</v>
          </cell>
          <cell r="D893">
            <v>90</v>
          </cell>
          <cell r="E893">
            <v>990000</v>
          </cell>
          <cell r="F893">
            <v>90</v>
          </cell>
          <cell r="G893" t="str">
            <v/>
          </cell>
          <cell r="H893" t="str">
            <v/>
          </cell>
          <cell r="I893" t="str">
            <v>.</v>
          </cell>
        </row>
        <row r="894">
          <cell r="A894">
            <v>528</v>
          </cell>
          <cell r="B894" t="str">
            <v>Netherlands</v>
          </cell>
          <cell r="C894">
            <v>1998</v>
          </cell>
          <cell r="D894">
            <v>90</v>
          </cell>
          <cell r="E894">
            <v>900000</v>
          </cell>
          <cell r="F894">
            <v>90</v>
          </cell>
          <cell r="G894">
            <v>15654192</v>
          </cell>
          <cell r="H894" t="str">
            <v>;;=SUM(F11:G11);</v>
          </cell>
          <cell r="I894" t="str">
            <v>.</v>
          </cell>
        </row>
        <row r="895">
          <cell r="A895">
            <v>528</v>
          </cell>
          <cell r="B895" t="str">
            <v>Netherlands</v>
          </cell>
          <cell r="C895">
            <v>1998</v>
          </cell>
          <cell r="D895">
            <v>90</v>
          </cell>
          <cell r="E895">
            <v>300</v>
          </cell>
          <cell r="F895">
            <v>90</v>
          </cell>
          <cell r="G895">
            <v>575389</v>
          </cell>
          <cell r="H895" t="str">
            <v>;;=SUM(F12:G12);</v>
          </cell>
          <cell r="I895" t="str">
            <v>.</v>
          </cell>
        </row>
        <row r="896">
          <cell r="A896">
            <v>528</v>
          </cell>
          <cell r="B896" t="str">
            <v>Netherlands</v>
          </cell>
          <cell r="C896">
            <v>1998</v>
          </cell>
          <cell r="D896">
            <v>90</v>
          </cell>
          <cell r="E896">
            <v>303</v>
          </cell>
          <cell r="F896">
            <v>90</v>
          </cell>
          <cell r="G896">
            <v>197246</v>
          </cell>
          <cell r="H896" t="str">
            <v>;;=SUM(F13:G13);</v>
          </cell>
          <cell r="I896" t="str">
            <v>.</v>
          </cell>
        </row>
        <row r="897">
          <cell r="A897">
            <v>528</v>
          </cell>
          <cell r="B897" t="str">
            <v>Netherlands</v>
          </cell>
          <cell r="C897">
            <v>1998</v>
          </cell>
          <cell r="D897">
            <v>90</v>
          </cell>
          <cell r="E897">
            <v>404</v>
          </cell>
          <cell r="F897">
            <v>90</v>
          </cell>
          <cell r="G897">
            <v>196732</v>
          </cell>
          <cell r="H897" t="str">
            <v>;;=SUM(F14:G14);</v>
          </cell>
          <cell r="I897" t="str">
            <v>.</v>
          </cell>
        </row>
        <row r="898">
          <cell r="A898">
            <v>528</v>
          </cell>
          <cell r="B898" t="str">
            <v>Netherlands</v>
          </cell>
          <cell r="C898">
            <v>1998</v>
          </cell>
          <cell r="D898">
            <v>90</v>
          </cell>
          <cell r="E898">
            <v>505</v>
          </cell>
          <cell r="F898">
            <v>90</v>
          </cell>
          <cell r="G898">
            <v>198600</v>
          </cell>
          <cell r="H898" t="str">
            <v>;;=SUM(F15:G15);</v>
          </cell>
          <cell r="I898" t="str">
            <v>.</v>
          </cell>
        </row>
        <row r="899">
          <cell r="A899">
            <v>528</v>
          </cell>
          <cell r="B899" t="str">
            <v>Netherlands</v>
          </cell>
          <cell r="C899">
            <v>1998</v>
          </cell>
          <cell r="D899">
            <v>90</v>
          </cell>
          <cell r="E899">
            <v>606</v>
          </cell>
          <cell r="F899">
            <v>90</v>
          </cell>
          <cell r="G899">
            <v>201177</v>
          </cell>
          <cell r="H899" t="str">
            <v>;;=SUM(F16:G16);</v>
          </cell>
          <cell r="I899" t="str">
            <v>.</v>
          </cell>
        </row>
        <row r="900">
          <cell r="A900">
            <v>528</v>
          </cell>
          <cell r="B900" t="str">
            <v>Netherlands</v>
          </cell>
          <cell r="C900">
            <v>1998</v>
          </cell>
          <cell r="D900">
            <v>90</v>
          </cell>
          <cell r="E900">
            <v>707</v>
          </cell>
          <cell r="F900">
            <v>90</v>
          </cell>
          <cell r="G900">
            <v>201520</v>
          </cell>
          <cell r="H900" t="str">
            <v>;;=SUM(F17:G17);</v>
          </cell>
          <cell r="I900" t="str">
            <v>.</v>
          </cell>
        </row>
        <row r="901">
          <cell r="A901">
            <v>528</v>
          </cell>
          <cell r="B901" t="str">
            <v>Netherlands</v>
          </cell>
          <cell r="C901">
            <v>1998</v>
          </cell>
          <cell r="D901">
            <v>90</v>
          </cell>
          <cell r="E901">
            <v>808</v>
          </cell>
          <cell r="F901">
            <v>90</v>
          </cell>
          <cell r="G901">
            <v>193410</v>
          </cell>
          <cell r="H901" t="str">
            <v>;;=SUM(F18:G18);</v>
          </cell>
          <cell r="I901" t="str">
            <v>.</v>
          </cell>
        </row>
        <row r="902">
          <cell r="A902">
            <v>528</v>
          </cell>
          <cell r="B902" t="str">
            <v>Netherlands</v>
          </cell>
          <cell r="C902">
            <v>1998</v>
          </cell>
          <cell r="D902">
            <v>90</v>
          </cell>
          <cell r="E902">
            <v>909</v>
          </cell>
          <cell r="F902">
            <v>90</v>
          </cell>
          <cell r="G902">
            <v>191403</v>
          </cell>
          <cell r="H902" t="str">
            <v>;;=SUM(F19:G19);</v>
          </cell>
          <cell r="I902" t="str">
            <v>.</v>
          </cell>
        </row>
        <row r="903">
          <cell r="A903">
            <v>528</v>
          </cell>
          <cell r="B903" t="str">
            <v>Netherlands</v>
          </cell>
          <cell r="C903">
            <v>1998</v>
          </cell>
          <cell r="D903">
            <v>90</v>
          </cell>
          <cell r="E903">
            <v>509</v>
          </cell>
          <cell r="F903">
            <v>90</v>
          </cell>
          <cell r="G903">
            <v>986110</v>
          </cell>
          <cell r="H903" t="str">
            <v>;;=SUM(F20:G20);</v>
          </cell>
          <cell r="I903" t="str">
            <v>.</v>
          </cell>
        </row>
        <row r="904">
          <cell r="A904">
            <v>528</v>
          </cell>
          <cell r="B904" t="str">
            <v>Netherlands</v>
          </cell>
          <cell r="C904">
            <v>1998</v>
          </cell>
          <cell r="D904">
            <v>90</v>
          </cell>
          <cell r="E904">
            <v>1010</v>
          </cell>
          <cell r="F904">
            <v>90</v>
          </cell>
          <cell r="G904">
            <v>192255</v>
          </cell>
          <cell r="H904" t="str">
            <v>;;=SUM(F21:G21);</v>
          </cell>
          <cell r="I904" t="str">
            <v>.</v>
          </cell>
        </row>
        <row r="905">
          <cell r="A905">
            <v>528</v>
          </cell>
          <cell r="B905" t="str">
            <v>Netherlands</v>
          </cell>
          <cell r="C905">
            <v>1998</v>
          </cell>
          <cell r="D905">
            <v>90</v>
          </cell>
          <cell r="E905">
            <v>1111</v>
          </cell>
          <cell r="F905">
            <v>90</v>
          </cell>
          <cell r="G905">
            <v>190796</v>
          </cell>
          <cell r="H905" t="str">
            <v>;;=SUM(F22:G22);</v>
          </cell>
          <cell r="I905" t="str">
            <v>.</v>
          </cell>
        </row>
        <row r="906">
          <cell r="A906">
            <v>528</v>
          </cell>
          <cell r="B906" t="str">
            <v>Netherlands</v>
          </cell>
          <cell r="C906">
            <v>1998</v>
          </cell>
          <cell r="D906">
            <v>90</v>
          </cell>
          <cell r="E906">
            <v>1212</v>
          </cell>
          <cell r="F906">
            <v>90</v>
          </cell>
          <cell r="G906">
            <v>185351</v>
          </cell>
          <cell r="H906" t="str">
            <v>;;=SUM(F23:G23);</v>
          </cell>
          <cell r="I906" t="str">
            <v>.</v>
          </cell>
        </row>
        <row r="907">
          <cell r="A907">
            <v>484</v>
          </cell>
          <cell r="B907" t="str">
            <v>Mexico</v>
          </cell>
          <cell r="C907">
            <v>1998</v>
          </cell>
          <cell r="D907">
            <v>90</v>
          </cell>
          <cell r="E907">
            <v>303</v>
          </cell>
          <cell r="F907">
            <v>90</v>
          </cell>
          <cell r="G907">
            <v>2237117</v>
          </cell>
          <cell r="H907" t="str">
            <v>;;=SUM(F13:G13);</v>
          </cell>
          <cell r="I907" t="str">
            <v>.</v>
          </cell>
        </row>
        <row r="908">
          <cell r="A908">
            <v>484</v>
          </cell>
          <cell r="B908" t="str">
            <v>Mexico</v>
          </cell>
          <cell r="C908">
            <v>1998</v>
          </cell>
          <cell r="D908">
            <v>90</v>
          </cell>
          <cell r="E908">
            <v>404</v>
          </cell>
          <cell r="F908">
            <v>90</v>
          </cell>
          <cell r="G908">
            <v>2253647</v>
          </cell>
          <cell r="H908" t="str">
            <v>;;=SUM(F14:G14);</v>
          </cell>
          <cell r="I908" t="str">
            <v>.</v>
          </cell>
        </row>
        <row r="909">
          <cell r="A909">
            <v>484</v>
          </cell>
          <cell r="B909" t="str">
            <v>Mexico</v>
          </cell>
          <cell r="C909">
            <v>1998</v>
          </cell>
          <cell r="D909">
            <v>90</v>
          </cell>
          <cell r="E909">
            <v>505</v>
          </cell>
          <cell r="F909">
            <v>90</v>
          </cell>
          <cell r="G909">
            <v>2255990</v>
          </cell>
          <cell r="H909" t="str">
            <v>;;=SUM(F15:G15);</v>
          </cell>
          <cell r="I909" t="str">
            <v>.</v>
          </cell>
        </row>
        <row r="910">
          <cell r="A910">
            <v>484</v>
          </cell>
          <cell r="B910" t="str">
            <v>Mexico</v>
          </cell>
          <cell r="C910">
            <v>1998</v>
          </cell>
          <cell r="D910">
            <v>90</v>
          </cell>
          <cell r="E910">
            <v>606</v>
          </cell>
          <cell r="F910">
            <v>90</v>
          </cell>
          <cell r="G910">
            <v>2255545</v>
          </cell>
          <cell r="H910" t="str">
            <v>;;=SUM(F16:G16);</v>
          </cell>
          <cell r="I910" t="str">
            <v>.</v>
          </cell>
        </row>
        <row r="911">
          <cell r="A911">
            <v>484</v>
          </cell>
          <cell r="B911" t="str">
            <v>Mexico</v>
          </cell>
          <cell r="C911">
            <v>1998</v>
          </cell>
          <cell r="D911">
            <v>90</v>
          </cell>
          <cell r="E911">
            <v>707</v>
          </cell>
          <cell r="F911">
            <v>90</v>
          </cell>
          <cell r="G911">
            <v>2249174</v>
          </cell>
          <cell r="H911" t="str">
            <v>;;=SUM(F17:G17);</v>
          </cell>
          <cell r="I911" t="str">
            <v>.</v>
          </cell>
        </row>
        <row r="912">
          <cell r="A912">
            <v>484</v>
          </cell>
          <cell r="B912" t="str">
            <v>Mexico</v>
          </cell>
          <cell r="C912">
            <v>1998</v>
          </cell>
          <cell r="D912">
            <v>90</v>
          </cell>
          <cell r="E912">
            <v>808</v>
          </cell>
          <cell r="F912">
            <v>90</v>
          </cell>
          <cell r="G912">
            <v>2243327</v>
          </cell>
          <cell r="H912" t="str">
            <v>;;=SUM(F18:G18);</v>
          </cell>
          <cell r="I912" t="str">
            <v>.</v>
          </cell>
        </row>
        <row r="913">
          <cell r="A913">
            <v>484</v>
          </cell>
          <cell r="B913" t="str">
            <v>Mexico</v>
          </cell>
          <cell r="C913">
            <v>1998</v>
          </cell>
          <cell r="D913">
            <v>90</v>
          </cell>
          <cell r="E913">
            <v>909</v>
          </cell>
          <cell r="F913">
            <v>90</v>
          </cell>
          <cell r="G913">
            <v>2239034</v>
          </cell>
          <cell r="H913" t="str">
            <v>;;=SUM(F19:G19);</v>
          </cell>
          <cell r="I913" t="str">
            <v>.</v>
          </cell>
        </row>
        <row r="914">
          <cell r="A914">
            <v>484</v>
          </cell>
          <cell r="B914" t="str">
            <v>Mexico</v>
          </cell>
          <cell r="C914">
            <v>1998</v>
          </cell>
          <cell r="D914">
            <v>90</v>
          </cell>
          <cell r="E914">
            <v>509</v>
          </cell>
          <cell r="F914">
            <v>90</v>
          </cell>
          <cell r="G914">
            <v>11243070</v>
          </cell>
          <cell r="H914" t="str">
            <v>;;=SUM(F20:G20);</v>
          </cell>
          <cell r="I914" t="str">
            <v>.</v>
          </cell>
        </row>
        <row r="915">
          <cell r="A915">
            <v>484</v>
          </cell>
          <cell r="B915" t="str">
            <v>Mexico</v>
          </cell>
          <cell r="C915">
            <v>1998</v>
          </cell>
          <cell r="D915">
            <v>90</v>
          </cell>
          <cell r="E915">
            <v>1010</v>
          </cell>
          <cell r="F915">
            <v>90</v>
          </cell>
          <cell r="G915">
            <v>2235194</v>
          </cell>
          <cell r="H915" t="str">
            <v>;;=SUM(F21:G21);</v>
          </cell>
          <cell r="I915" t="str">
            <v>.</v>
          </cell>
        </row>
        <row r="916">
          <cell r="A916">
            <v>484</v>
          </cell>
          <cell r="B916" t="str">
            <v>Mexico</v>
          </cell>
          <cell r="C916">
            <v>1998</v>
          </cell>
          <cell r="D916">
            <v>90</v>
          </cell>
          <cell r="E916">
            <v>1111</v>
          </cell>
          <cell r="F916">
            <v>90</v>
          </cell>
          <cell r="G916">
            <v>2230912</v>
          </cell>
          <cell r="H916" t="str">
            <v>;;=SUM(F22:G22);</v>
          </cell>
          <cell r="I916" t="str">
            <v>.</v>
          </cell>
        </row>
        <row r="917">
          <cell r="A917">
            <v>484</v>
          </cell>
          <cell r="B917" t="str">
            <v>Mexico</v>
          </cell>
          <cell r="C917">
            <v>1998</v>
          </cell>
          <cell r="D917">
            <v>90</v>
          </cell>
          <cell r="E917">
            <v>1212</v>
          </cell>
          <cell r="F917">
            <v>90</v>
          </cell>
          <cell r="G917">
            <v>2225923</v>
          </cell>
          <cell r="H917" t="str">
            <v>;;=SUM(F23:G23);</v>
          </cell>
          <cell r="I917" t="str">
            <v>.</v>
          </cell>
        </row>
        <row r="918">
          <cell r="A918">
            <v>484</v>
          </cell>
          <cell r="B918" t="str">
            <v>Mexico</v>
          </cell>
          <cell r="C918">
            <v>1998</v>
          </cell>
          <cell r="D918">
            <v>90</v>
          </cell>
          <cell r="E918">
            <v>1313</v>
          </cell>
          <cell r="F918">
            <v>90</v>
          </cell>
          <cell r="G918">
            <v>2197652</v>
          </cell>
          <cell r="H918" t="str">
            <v>;;=SUM(F24:G24);</v>
          </cell>
          <cell r="I918" t="str">
            <v>.</v>
          </cell>
        </row>
        <row r="919">
          <cell r="A919">
            <v>484</v>
          </cell>
          <cell r="B919" t="str">
            <v>Mexico</v>
          </cell>
          <cell r="C919">
            <v>1998</v>
          </cell>
          <cell r="D919">
            <v>90</v>
          </cell>
          <cell r="E919">
            <v>1414</v>
          </cell>
          <cell r="F919">
            <v>90</v>
          </cell>
          <cell r="G919">
            <v>2162518</v>
          </cell>
          <cell r="H919" t="str">
            <v>;;=SUM(F25:G25);</v>
          </cell>
          <cell r="I919" t="str">
            <v>.</v>
          </cell>
        </row>
        <row r="920">
          <cell r="A920">
            <v>484</v>
          </cell>
          <cell r="B920" t="str">
            <v>Mexico</v>
          </cell>
          <cell r="C920">
            <v>1998</v>
          </cell>
          <cell r="D920">
            <v>90</v>
          </cell>
          <cell r="E920">
            <v>1014</v>
          </cell>
          <cell r="F920">
            <v>90</v>
          </cell>
          <cell r="G920">
            <v>11052199</v>
          </cell>
          <cell r="H920" t="str">
            <v>;;=SUM(F26:G26);</v>
          </cell>
          <cell r="I920" t="str">
            <v>.</v>
          </cell>
        </row>
        <row r="921">
          <cell r="A921">
            <v>484</v>
          </cell>
          <cell r="B921" t="str">
            <v>Mexico</v>
          </cell>
          <cell r="C921">
            <v>1998</v>
          </cell>
          <cell r="D921">
            <v>90</v>
          </cell>
          <cell r="E921">
            <v>1515</v>
          </cell>
          <cell r="F921">
            <v>90</v>
          </cell>
          <cell r="G921">
            <v>2118498</v>
          </cell>
          <cell r="H921" t="str">
            <v>;;=SUM(F27:G27);</v>
          </cell>
          <cell r="I921" t="str">
            <v>.</v>
          </cell>
        </row>
        <row r="922">
          <cell r="A922">
            <v>484</v>
          </cell>
          <cell r="B922" t="str">
            <v>Mexico</v>
          </cell>
          <cell r="C922">
            <v>1998</v>
          </cell>
          <cell r="D922">
            <v>90</v>
          </cell>
          <cell r="E922">
            <v>1616</v>
          </cell>
          <cell r="F922">
            <v>90</v>
          </cell>
          <cell r="G922">
            <v>2071683</v>
          </cell>
          <cell r="H922" t="str">
            <v>;;=SUM(F28:G28);</v>
          </cell>
          <cell r="I922" t="str">
            <v>.</v>
          </cell>
        </row>
        <row r="923">
          <cell r="A923">
            <v>484</v>
          </cell>
          <cell r="B923" t="str">
            <v>Mexico</v>
          </cell>
          <cell r="C923">
            <v>1998</v>
          </cell>
          <cell r="D923">
            <v>90</v>
          </cell>
          <cell r="E923">
            <v>1717</v>
          </cell>
          <cell r="F923">
            <v>90</v>
          </cell>
          <cell r="G923">
            <v>2043451</v>
          </cell>
          <cell r="H923" t="str">
            <v>;;=SUM(F29:G29);</v>
          </cell>
          <cell r="I923" t="str">
            <v>.</v>
          </cell>
        </row>
        <row r="924">
          <cell r="A924">
            <v>484</v>
          </cell>
          <cell r="B924" t="str">
            <v>Mexico</v>
          </cell>
          <cell r="C924">
            <v>1998</v>
          </cell>
          <cell r="D924">
            <v>90</v>
          </cell>
          <cell r="E924">
            <v>1818</v>
          </cell>
          <cell r="F924">
            <v>90</v>
          </cell>
          <cell r="G924">
            <v>2011912</v>
          </cell>
          <cell r="H924" t="str">
            <v>;;=SUM(F30:G30);</v>
          </cell>
          <cell r="I924" t="str">
            <v>.</v>
          </cell>
        </row>
        <row r="925">
          <cell r="A925">
            <v>484</v>
          </cell>
          <cell r="B925" t="str">
            <v>Mexico</v>
          </cell>
          <cell r="C925">
            <v>1998</v>
          </cell>
          <cell r="D925">
            <v>90</v>
          </cell>
          <cell r="E925">
            <v>1919</v>
          </cell>
          <cell r="F925">
            <v>90</v>
          </cell>
          <cell r="G925">
            <v>1990779</v>
          </cell>
          <cell r="H925" t="str">
            <v>;;=SUM(F31:G31);</v>
          </cell>
          <cell r="I925" t="str">
            <v>.</v>
          </cell>
        </row>
        <row r="926">
          <cell r="A926">
            <v>484</v>
          </cell>
          <cell r="B926" t="str">
            <v>Mexico</v>
          </cell>
          <cell r="C926">
            <v>1998</v>
          </cell>
          <cell r="D926">
            <v>90</v>
          </cell>
          <cell r="E926">
            <v>1519</v>
          </cell>
          <cell r="F926">
            <v>90</v>
          </cell>
          <cell r="G926">
            <v>10236323</v>
          </cell>
          <cell r="H926" t="str">
            <v>;;=SUM(F32:G32);</v>
          </cell>
          <cell r="I926" t="str">
            <v>.</v>
          </cell>
        </row>
        <row r="927">
          <cell r="A927">
            <v>484</v>
          </cell>
          <cell r="B927" t="str">
            <v>Mexico</v>
          </cell>
          <cell r="C927">
            <v>1998</v>
          </cell>
          <cell r="D927">
            <v>90</v>
          </cell>
          <cell r="E927">
            <v>2020</v>
          </cell>
          <cell r="F927">
            <v>90</v>
          </cell>
          <cell r="G927">
            <v>1973641</v>
          </cell>
          <cell r="H927" t="str">
            <v>;;=SUM(F33:G33);</v>
          </cell>
          <cell r="I927" t="str">
            <v>.</v>
          </cell>
        </row>
        <row r="928">
          <cell r="A928">
            <v>484</v>
          </cell>
          <cell r="B928" t="str">
            <v>Mexico</v>
          </cell>
          <cell r="C928">
            <v>1998</v>
          </cell>
          <cell r="D928">
            <v>90</v>
          </cell>
          <cell r="E928">
            <v>2121</v>
          </cell>
          <cell r="F928">
            <v>90</v>
          </cell>
          <cell r="G928">
            <v>1959103</v>
          </cell>
          <cell r="H928" t="str">
            <v>;;=SUM(F34:G34);</v>
          </cell>
          <cell r="I928" t="str">
            <v>.</v>
          </cell>
        </row>
        <row r="929">
          <cell r="A929">
            <v>484</v>
          </cell>
          <cell r="B929" t="str">
            <v>Mexico</v>
          </cell>
          <cell r="C929">
            <v>1998</v>
          </cell>
          <cell r="D929">
            <v>90</v>
          </cell>
          <cell r="E929">
            <v>2222</v>
          </cell>
          <cell r="F929">
            <v>90</v>
          </cell>
          <cell r="G929">
            <v>1938129</v>
          </cell>
          <cell r="H929" t="str">
            <v>;;=SUM(F35:G35);</v>
          </cell>
          <cell r="I929" t="str">
            <v>.</v>
          </cell>
        </row>
        <row r="930">
          <cell r="A930">
            <v>484</v>
          </cell>
          <cell r="B930" t="str">
            <v>Mexico</v>
          </cell>
          <cell r="C930">
            <v>1998</v>
          </cell>
          <cell r="D930">
            <v>90</v>
          </cell>
          <cell r="E930">
            <v>2323</v>
          </cell>
          <cell r="F930">
            <v>90</v>
          </cell>
          <cell r="G930">
            <v>1904385</v>
          </cell>
          <cell r="H930" t="str">
            <v>;;=SUM(F36:G36);</v>
          </cell>
          <cell r="I930" t="str">
            <v>.</v>
          </cell>
        </row>
        <row r="931">
          <cell r="A931">
            <v>484</v>
          </cell>
          <cell r="B931" t="str">
            <v>Mexico</v>
          </cell>
          <cell r="C931">
            <v>1998</v>
          </cell>
          <cell r="D931">
            <v>90</v>
          </cell>
          <cell r="E931">
            <v>2424</v>
          </cell>
          <cell r="F931">
            <v>90</v>
          </cell>
          <cell r="G931">
            <v>1867442</v>
          </cell>
          <cell r="H931" t="str">
            <v>;;=SUM(F37:G37);</v>
          </cell>
          <cell r="I931" t="str">
            <v>.</v>
          </cell>
        </row>
        <row r="932">
          <cell r="A932">
            <v>484</v>
          </cell>
          <cell r="B932" t="str">
            <v>Mexico</v>
          </cell>
          <cell r="C932">
            <v>1998</v>
          </cell>
          <cell r="D932">
            <v>90</v>
          </cell>
          <cell r="E932">
            <v>2024</v>
          </cell>
          <cell r="F932">
            <v>90</v>
          </cell>
          <cell r="G932">
            <v>9642700</v>
          </cell>
          <cell r="H932" t="str">
            <v>;;=SUM(F38:G38);</v>
          </cell>
          <cell r="I932" t="str">
            <v>.</v>
          </cell>
        </row>
        <row r="933">
          <cell r="A933">
            <v>484</v>
          </cell>
          <cell r="B933" t="str">
            <v>Mexico</v>
          </cell>
          <cell r="C933">
            <v>1998</v>
          </cell>
          <cell r="D933">
            <v>90</v>
          </cell>
          <cell r="E933">
            <v>2525</v>
          </cell>
          <cell r="F933">
            <v>90</v>
          </cell>
          <cell r="G933">
            <v>1817375</v>
          </cell>
          <cell r="H933" t="str">
            <v>;;=SUM(F39:G39);</v>
          </cell>
          <cell r="I933" t="str">
            <v>.</v>
          </cell>
        </row>
        <row r="934">
          <cell r="A934">
            <v>484</v>
          </cell>
          <cell r="B934" t="str">
            <v>Mexico</v>
          </cell>
          <cell r="C934">
            <v>1998</v>
          </cell>
          <cell r="D934">
            <v>90</v>
          </cell>
          <cell r="E934">
            <v>2626</v>
          </cell>
          <cell r="F934">
            <v>90</v>
          </cell>
          <cell r="G934">
            <v>1773021</v>
          </cell>
          <cell r="H934" t="str">
            <v>;;=SUM(F40:G40);</v>
          </cell>
          <cell r="I934" t="str">
            <v>.</v>
          </cell>
        </row>
        <row r="935">
          <cell r="A935">
            <v>484</v>
          </cell>
          <cell r="B935" t="str">
            <v>Mexico</v>
          </cell>
          <cell r="C935">
            <v>1998</v>
          </cell>
          <cell r="D935">
            <v>90</v>
          </cell>
          <cell r="E935">
            <v>2727</v>
          </cell>
          <cell r="F935">
            <v>90</v>
          </cell>
          <cell r="G935">
            <v>1725348</v>
          </cell>
          <cell r="H935" t="str">
            <v>;;=SUM(F41:G41);</v>
          </cell>
          <cell r="I935" t="str">
            <v>.</v>
          </cell>
        </row>
        <row r="936">
          <cell r="A936">
            <v>484</v>
          </cell>
          <cell r="B936" t="str">
            <v>Mexico</v>
          </cell>
          <cell r="C936">
            <v>1998</v>
          </cell>
          <cell r="D936">
            <v>90</v>
          </cell>
          <cell r="E936">
            <v>2828</v>
          </cell>
          <cell r="F936">
            <v>90</v>
          </cell>
          <cell r="G936">
            <v>1676435</v>
          </cell>
          <cell r="H936" t="str">
            <v>;;=SUM(F42:G42);</v>
          </cell>
          <cell r="I936" t="str">
            <v>.</v>
          </cell>
        </row>
        <row r="937">
          <cell r="A937">
            <v>484</v>
          </cell>
          <cell r="B937" t="str">
            <v>Mexico</v>
          </cell>
          <cell r="C937">
            <v>1998</v>
          </cell>
          <cell r="D937">
            <v>90</v>
          </cell>
          <cell r="E937">
            <v>2929</v>
          </cell>
          <cell r="F937">
            <v>90</v>
          </cell>
          <cell r="G937">
            <v>1632216</v>
          </cell>
          <cell r="H937" t="str">
            <v>;;=SUM(F43:G43);</v>
          </cell>
          <cell r="I937" t="str">
            <v>.</v>
          </cell>
        </row>
        <row r="938">
          <cell r="A938">
            <v>484</v>
          </cell>
          <cell r="B938" t="str">
            <v>Mexico</v>
          </cell>
          <cell r="C938">
            <v>1998</v>
          </cell>
          <cell r="D938">
            <v>90</v>
          </cell>
          <cell r="E938">
            <v>2529</v>
          </cell>
          <cell r="F938">
            <v>90</v>
          </cell>
          <cell r="G938">
            <v>8624395</v>
          </cell>
          <cell r="H938" t="str">
            <v>;;=SUM(F44:G44);</v>
          </cell>
          <cell r="I938" t="str">
            <v>.</v>
          </cell>
        </row>
        <row r="939">
          <cell r="A939">
            <v>484</v>
          </cell>
          <cell r="B939" t="str">
            <v>Mexico</v>
          </cell>
          <cell r="C939">
            <v>1998</v>
          </cell>
          <cell r="D939">
            <v>90</v>
          </cell>
          <cell r="E939">
            <v>3034</v>
          </cell>
          <cell r="F939">
            <v>90</v>
          </cell>
          <cell r="G939">
            <v>7423564</v>
          </cell>
          <cell r="H939" t="str">
            <v>;;=SUM(F45:G45);</v>
          </cell>
          <cell r="I939" t="str">
            <v>.</v>
          </cell>
        </row>
        <row r="940">
          <cell r="A940">
            <v>484</v>
          </cell>
          <cell r="B940" t="str">
            <v>Mexico</v>
          </cell>
          <cell r="C940">
            <v>1998</v>
          </cell>
          <cell r="D940">
            <v>90</v>
          </cell>
          <cell r="E940">
            <v>3539</v>
          </cell>
          <cell r="F940">
            <v>90</v>
          </cell>
          <cell r="G940">
            <v>6091569</v>
          </cell>
          <cell r="H940" t="str">
            <v>;;=SUM(F46:G46);</v>
          </cell>
          <cell r="I940" t="str">
            <v>.</v>
          </cell>
        </row>
        <row r="941">
          <cell r="A941">
            <v>484</v>
          </cell>
          <cell r="B941" t="str">
            <v>Mexico</v>
          </cell>
          <cell r="C941">
            <v>1998</v>
          </cell>
          <cell r="D941">
            <v>90</v>
          </cell>
          <cell r="E941">
            <v>4099</v>
          </cell>
          <cell r="F941">
            <v>90</v>
          </cell>
          <cell r="G941">
            <v>20475368</v>
          </cell>
          <cell r="H941" t="str">
            <v>;;=SUM(F47:G47);</v>
          </cell>
          <cell r="I941" t="str">
            <v>.</v>
          </cell>
        </row>
        <row r="942">
          <cell r="A942">
            <v>484</v>
          </cell>
          <cell r="B942" t="str">
            <v>Mexico</v>
          </cell>
          <cell r="C942">
            <v>1998</v>
          </cell>
          <cell r="D942">
            <v>90</v>
          </cell>
          <cell r="E942">
            <v>990000</v>
          </cell>
          <cell r="F942">
            <v>90</v>
          </cell>
          <cell r="G942">
            <v>0</v>
          </cell>
          <cell r="H942" t="str">
            <v>n;</v>
          </cell>
          <cell r="I942" t="str">
            <v>n</v>
          </cell>
        </row>
        <row r="943">
          <cell r="A943">
            <v>752</v>
          </cell>
          <cell r="B943" t="str">
            <v>Sweden</v>
          </cell>
          <cell r="C943">
            <v>1998</v>
          </cell>
          <cell r="D943">
            <v>90</v>
          </cell>
          <cell r="E943">
            <v>900000</v>
          </cell>
          <cell r="F943">
            <v>90</v>
          </cell>
          <cell r="G943">
            <v>8847625</v>
          </cell>
          <cell r="H943" t="str">
            <v>;;=SUM(F11:G11);</v>
          </cell>
          <cell r="I943" t="str">
            <v>.</v>
          </cell>
        </row>
        <row r="944">
          <cell r="A944">
            <v>752</v>
          </cell>
          <cell r="B944" t="str">
            <v>Sweden</v>
          </cell>
          <cell r="C944">
            <v>1998</v>
          </cell>
          <cell r="D944">
            <v>90</v>
          </cell>
          <cell r="E944">
            <v>300</v>
          </cell>
          <cell r="F944">
            <v>90</v>
          </cell>
          <cell r="G944">
            <v>288818</v>
          </cell>
          <cell r="H944" t="str">
            <v>;;=SUM(F12:G12);</v>
          </cell>
          <cell r="I944" t="str">
            <v>.</v>
          </cell>
        </row>
        <row r="945">
          <cell r="A945">
            <v>752</v>
          </cell>
          <cell r="B945" t="str">
            <v>Sweden</v>
          </cell>
          <cell r="C945">
            <v>1998</v>
          </cell>
          <cell r="D945">
            <v>90</v>
          </cell>
          <cell r="E945">
            <v>303</v>
          </cell>
          <cell r="F945">
            <v>90</v>
          </cell>
          <cell r="G945">
            <v>112328</v>
          </cell>
          <cell r="H945" t="str">
            <v>;;=SUM(F13:G13);</v>
          </cell>
          <cell r="I945" t="str">
            <v>.</v>
          </cell>
        </row>
        <row r="946">
          <cell r="A946">
            <v>752</v>
          </cell>
          <cell r="B946" t="str">
            <v>Sweden</v>
          </cell>
          <cell r="C946">
            <v>1998</v>
          </cell>
          <cell r="D946">
            <v>90</v>
          </cell>
          <cell r="E946">
            <v>404</v>
          </cell>
          <cell r="F946">
            <v>90</v>
          </cell>
          <cell r="G946">
            <v>117386</v>
          </cell>
          <cell r="H946" t="str">
            <v>;;=SUM(F14:G14);</v>
          </cell>
          <cell r="I946" t="str">
            <v>.</v>
          </cell>
        </row>
        <row r="947">
          <cell r="A947">
            <v>752</v>
          </cell>
          <cell r="B947" t="str">
            <v>Sweden</v>
          </cell>
          <cell r="C947">
            <v>1998</v>
          </cell>
          <cell r="D947">
            <v>90</v>
          </cell>
          <cell r="E947">
            <v>505</v>
          </cell>
          <cell r="F947">
            <v>90</v>
          </cell>
          <cell r="G947">
            <v>123424</v>
          </cell>
          <cell r="H947" t="str">
            <v>;;=SUM(F15:G15);</v>
          </cell>
          <cell r="I947" t="str">
            <v>.</v>
          </cell>
        </row>
        <row r="948">
          <cell r="A948">
            <v>752</v>
          </cell>
          <cell r="B948" t="str">
            <v>Sweden</v>
          </cell>
          <cell r="C948">
            <v>1998</v>
          </cell>
          <cell r="D948">
            <v>90</v>
          </cell>
          <cell r="E948">
            <v>606</v>
          </cell>
          <cell r="F948">
            <v>90</v>
          </cell>
          <cell r="G948">
            <v>125895</v>
          </cell>
          <cell r="H948" t="str">
            <v>;;=SUM(F16:G16);</v>
          </cell>
          <cell r="I948" t="str">
            <v>.</v>
          </cell>
        </row>
        <row r="949">
          <cell r="A949">
            <v>752</v>
          </cell>
          <cell r="B949" t="str">
            <v>Sweden</v>
          </cell>
          <cell r="C949">
            <v>1998</v>
          </cell>
          <cell r="D949">
            <v>90</v>
          </cell>
          <cell r="E949">
            <v>707</v>
          </cell>
          <cell r="F949">
            <v>90</v>
          </cell>
          <cell r="G949">
            <v>127066</v>
          </cell>
          <cell r="H949" t="str">
            <v>;;=SUM(F17:G17);</v>
          </cell>
          <cell r="I949" t="str">
            <v>.</v>
          </cell>
        </row>
        <row r="950">
          <cell r="A950">
            <v>752</v>
          </cell>
          <cell r="B950" t="str">
            <v>Sweden</v>
          </cell>
          <cell r="C950">
            <v>1998</v>
          </cell>
          <cell r="D950">
            <v>90</v>
          </cell>
          <cell r="E950">
            <v>808</v>
          </cell>
          <cell r="F950">
            <v>90</v>
          </cell>
          <cell r="G950">
            <v>120151</v>
          </cell>
          <cell r="H950" t="str">
            <v>;;=SUM(F18:G18);</v>
          </cell>
          <cell r="I950" t="str">
            <v>.</v>
          </cell>
        </row>
        <row r="951">
          <cell r="A951">
            <v>752</v>
          </cell>
          <cell r="B951" t="str">
            <v>Sweden</v>
          </cell>
          <cell r="C951">
            <v>1998</v>
          </cell>
          <cell r="D951">
            <v>90</v>
          </cell>
          <cell r="E951">
            <v>909</v>
          </cell>
          <cell r="F951">
            <v>90</v>
          </cell>
          <cell r="G951">
            <v>116968</v>
          </cell>
          <cell r="H951" t="str">
            <v>;;=SUM(F19:G19);</v>
          </cell>
          <cell r="I951" t="str">
            <v>.</v>
          </cell>
        </row>
        <row r="952">
          <cell r="A952">
            <v>752</v>
          </cell>
          <cell r="B952" t="str">
            <v>Sweden</v>
          </cell>
          <cell r="C952">
            <v>1998</v>
          </cell>
          <cell r="D952">
            <v>90</v>
          </cell>
          <cell r="E952">
            <v>509</v>
          </cell>
          <cell r="F952">
            <v>90</v>
          </cell>
          <cell r="G952">
            <v>613504</v>
          </cell>
          <cell r="H952" t="str">
            <v>;;=SUM(F20:G20);</v>
          </cell>
          <cell r="I952" t="str">
            <v>.</v>
          </cell>
        </row>
        <row r="953">
          <cell r="A953">
            <v>752</v>
          </cell>
          <cell r="B953" t="str">
            <v>Sweden</v>
          </cell>
          <cell r="C953">
            <v>1998</v>
          </cell>
          <cell r="D953">
            <v>90</v>
          </cell>
          <cell r="E953">
            <v>1010</v>
          </cell>
          <cell r="F953">
            <v>90</v>
          </cell>
          <cell r="G953">
            <v>110168</v>
          </cell>
          <cell r="H953" t="str">
            <v>;;=SUM(F21:G21);</v>
          </cell>
          <cell r="I953" t="str">
            <v>.</v>
          </cell>
        </row>
        <row r="954">
          <cell r="A954">
            <v>752</v>
          </cell>
          <cell r="B954" t="str">
            <v>Sweden</v>
          </cell>
          <cell r="C954">
            <v>1998</v>
          </cell>
          <cell r="D954">
            <v>90</v>
          </cell>
          <cell r="E954">
            <v>1111</v>
          </cell>
          <cell r="F954">
            <v>90</v>
          </cell>
          <cell r="G954">
            <v>108129</v>
          </cell>
          <cell r="H954" t="str">
            <v>;;=SUM(F22:G22);</v>
          </cell>
          <cell r="I954" t="str">
            <v>.</v>
          </cell>
        </row>
        <row r="955">
          <cell r="A955">
            <v>752</v>
          </cell>
          <cell r="B955" t="str">
            <v>Sweden</v>
          </cell>
          <cell r="C955">
            <v>1998</v>
          </cell>
          <cell r="D955">
            <v>90</v>
          </cell>
          <cell r="E955">
            <v>1212</v>
          </cell>
          <cell r="F955">
            <v>90</v>
          </cell>
          <cell r="G955">
            <v>104952</v>
          </cell>
          <cell r="H955" t="str">
            <v>;;=SUM(F23:G23);</v>
          </cell>
          <cell r="I955" t="str">
            <v>.</v>
          </cell>
        </row>
        <row r="956">
          <cell r="A956">
            <v>752</v>
          </cell>
          <cell r="B956" t="str">
            <v>Sweden</v>
          </cell>
          <cell r="C956">
            <v>1998</v>
          </cell>
          <cell r="D956">
            <v>90</v>
          </cell>
          <cell r="E956">
            <v>1313</v>
          </cell>
          <cell r="F956">
            <v>90</v>
          </cell>
          <cell r="G956">
            <v>100670</v>
          </cell>
          <cell r="H956" t="str">
            <v>;;=SUM(F24:G24);</v>
          </cell>
          <cell r="I956" t="str">
            <v>.</v>
          </cell>
        </row>
        <row r="957">
          <cell r="A957">
            <v>752</v>
          </cell>
          <cell r="B957" t="str">
            <v>Sweden</v>
          </cell>
          <cell r="C957">
            <v>1998</v>
          </cell>
          <cell r="D957">
            <v>90</v>
          </cell>
          <cell r="E957">
            <v>1414</v>
          </cell>
          <cell r="F957">
            <v>90</v>
          </cell>
          <cell r="G957">
            <v>98497</v>
          </cell>
          <cell r="H957" t="str">
            <v>;;=SUM(F25:G25);</v>
          </cell>
          <cell r="I957" t="str">
            <v>.</v>
          </cell>
        </row>
        <row r="958">
          <cell r="A958">
            <v>752</v>
          </cell>
          <cell r="B958" t="str">
            <v>Sweden</v>
          </cell>
          <cell r="C958">
            <v>1998</v>
          </cell>
          <cell r="D958">
            <v>90</v>
          </cell>
          <cell r="E958">
            <v>1014</v>
          </cell>
          <cell r="F958">
            <v>90</v>
          </cell>
          <cell r="G958">
            <v>522416</v>
          </cell>
          <cell r="H958" t="str">
            <v>;;=SUM(F26:G26);</v>
          </cell>
          <cell r="I958" t="str">
            <v>.</v>
          </cell>
        </row>
        <row r="959">
          <cell r="A959">
            <v>752</v>
          </cell>
          <cell r="B959" t="str">
            <v>Sweden</v>
          </cell>
          <cell r="C959">
            <v>1998</v>
          </cell>
          <cell r="D959">
            <v>90</v>
          </cell>
          <cell r="E959">
            <v>1515</v>
          </cell>
          <cell r="F959">
            <v>90</v>
          </cell>
          <cell r="G959">
            <v>99418</v>
          </cell>
          <cell r="H959" t="str">
            <v>;;=SUM(F27:G27);</v>
          </cell>
          <cell r="I959" t="str">
            <v>.</v>
          </cell>
        </row>
        <row r="960">
          <cell r="A960">
            <v>752</v>
          </cell>
          <cell r="B960" t="str">
            <v>Sweden</v>
          </cell>
          <cell r="C960">
            <v>1998</v>
          </cell>
          <cell r="D960">
            <v>90</v>
          </cell>
          <cell r="E960">
            <v>1616</v>
          </cell>
          <cell r="F960">
            <v>90</v>
          </cell>
          <cell r="G960">
            <v>100006</v>
          </cell>
          <cell r="H960" t="str">
            <v>;;=SUM(F28:G28);</v>
          </cell>
          <cell r="I960" t="str">
            <v>.</v>
          </cell>
        </row>
        <row r="961">
          <cell r="A961">
            <v>752</v>
          </cell>
          <cell r="B961" t="str">
            <v>Sweden</v>
          </cell>
          <cell r="C961">
            <v>1998</v>
          </cell>
          <cell r="D961">
            <v>90</v>
          </cell>
          <cell r="E961">
            <v>1717</v>
          </cell>
          <cell r="F961">
            <v>90</v>
          </cell>
          <cell r="G961">
            <v>102950</v>
          </cell>
          <cell r="H961" t="str">
            <v>;;=SUM(F29:G29);</v>
          </cell>
          <cell r="I961" t="str">
            <v>.</v>
          </cell>
        </row>
        <row r="962">
          <cell r="A962">
            <v>752</v>
          </cell>
          <cell r="B962" t="str">
            <v>Sweden</v>
          </cell>
          <cell r="C962">
            <v>1998</v>
          </cell>
          <cell r="D962">
            <v>90</v>
          </cell>
          <cell r="E962">
            <v>1818</v>
          </cell>
          <cell r="F962">
            <v>90</v>
          </cell>
          <cell r="G962">
            <v>101661</v>
          </cell>
          <cell r="H962" t="str">
            <v>;;=SUM(F30:G30);</v>
          </cell>
          <cell r="I962" t="str">
            <v>.</v>
          </cell>
        </row>
        <row r="963">
          <cell r="A963">
            <v>752</v>
          </cell>
          <cell r="B963" t="str">
            <v>Sweden</v>
          </cell>
          <cell r="C963">
            <v>1998</v>
          </cell>
          <cell r="D963">
            <v>90</v>
          </cell>
          <cell r="E963">
            <v>1919</v>
          </cell>
          <cell r="F963">
            <v>90</v>
          </cell>
          <cell r="G963">
            <v>98590</v>
          </cell>
          <cell r="H963" t="str">
            <v>;;=SUM(F31:G31);</v>
          </cell>
          <cell r="I963" t="str">
            <v>.</v>
          </cell>
        </row>
        <row r="964">
          <cell r="A964">
            <v>752</v>
          </cell>
          <cell r="B964" t="str">
            <v>Sweden</v>
          </cell>
          <cell r="C964">
            <v>1998</v>
          </cell>
          <cell r="D964">
            <v>90</v>
          </cell>
          <cell r="E964">
            <v>1519</v>
          </cell>
          <cell r="F964">
            <v>90</v>
          </cell>
          <cell r="G964">
            <v>502625</v>
          </cell>
          <cell r="H964" t="str">
            <v>;;=SUM(F32:G32);</v>
          </cell>
          <cell r="I964" t="str">
            <v>.</v>
          </cell>
        </row>
        <row r="965">
          <cell r="A965">
            <v>752</v>
          </cell>
          <cell r="B965" t="str">
            <v>Sweden</v>
          </cell>
          <cell r="C965">
            <v>1998</v>
          </cell>
          <cell r="D965">
            <v>90</v>
          </cell>
          <cell r="E965">
            <v>2020</v>
          </cell>
          <cell r="F965">
            <v>90</v>
          </cell>
          <cell r="G965">
            <v>101627</v>
          </cell>
          <cell r="H965" t="str">
            <v>;;=SUM(F33:G33);</v>
          </cell>
          <cell r="I965" t="str">
            <v>.</v>
          </cell>
        </row>
        <row r="966">
          <cell r="A966">
            <v>752</v>
          </cell>
          <cell r="B966" t="str">
            <v>Sweden</v>
          </cell>
          <cell r="C966">
            <v>1998</v>
          </cell>
          <cell r="D966">
            <v>90</v>
          </cell>
          <cell r="E966">
            <v>2121</v>
          </cell>
          <cell r="F966">
            <v>90</v>
          </cell>
          <cell r="G966">
            <v>104501</v>
          </cell>
          <cell r="H966" t="str">
            <v>;;=SUM(F34:G34);</v>
          </cell>
          <cell r="I966" t="str">
            <v>.</v>
          </cell>
        </row>
        <row r="967">
          <cell r="A967">
            <v>752</v>
          </cell>
          <cell r="B967" t="str">
            <v>Sweden</v>
          </cell>
          <cell r="C967">
            <v>1998</v>
          </cell>
          <cell r="D967">
            <v>90</v>
          </cell>
          <cell r="E967">
            <v>2222</v>
          </cell>
          <cell r="F967">
            <v>90</v>
          </cell>
          <cell r="G967">
            <v>110221</v>
          </cell>
          <cell r="H967" t="str">
            <v>;;=SUM(F35:G35);</v>
          </cell>
          <cell r="I967" t="str">
            <v>.</v>
          </cell>
        </row>
        <row r="968">
          <cell r="A968">
            <v>752</v>
          </cell>
          <cell r="B968" t="str">
            <v>Sweden</v>
          </cell>
          <cell r="C968">
            <v>1998</v>
          </cell>
          <cell r="D968">
            <v>90</v>
          </cell>
          <cell r="E968">
            <v>2323</v>
          </cell>
          <cell r="F968">
            <v>90</v>
          </cell>
          <cell r="G968">
            <v>116730</v>
          </cell>
          <cell r="H968" t="str">
            <v>;;=SUM(F36:G36);</v>
          </cell>
          <cell r="I968" t="str">
            <v>.</v>
          </cell>
        </row>
        <row r="969">
          <cell r="A969">
            <v>752</v>
          </cell>
          <cell r="B969" t="str">
            <v>Sweden</v>
          </cell>
          <cell r="C969">
            <v>1998</v>
          </cell>
          <cell r="D969">
            <v>90</v>
          </cell>
          <cell r="E969">
            <v>2424</v>
          </cell>
          <cell r="F969">
            <v>90</v>
          </cell>
          <cell r="G969">
            <v>116383</v>
          </cell>
          <cell r="H969" t="str">
            <v>;;=SUM(F37:G37);</v>
          </cell>
          <cell r="I969" t="str">
            <v>.</v>
          </cell>
        </row>
        <row r="970">
          <cell r="A970">
            <v>752</v>
          </cell>
          <cell r="B970" t="str">
            <v>Sweden</v>
          </cell>
          <cell r="C970">
            <v>1998</v>
          </cell>
          <cell r="D970">
            <v>90</v>
          </cell>
          <cell r="E970">
            <v>2024</v>
          </cell>
          <cell r="F970">
            <v>90</v>
          </cell>
          <cell r="G970">
            <v>549462</v>
          </cell>
          <cell r="H970" t="str">
            <v>;;=SUM(F38:G38);</v>
          </cell>
          <cell r="I970" t="str">
            <v>.</v>
          </cell>
        </row>
        <row r="971">
          <cell r="A971">
            <v>752</v>
          </cell>
          <cell r="B971" t="str">
            <v>Sweden</v>
          </cell>
          <cell r="C971">
            <v>1998</v>
          </cell>
          <cell r="D971">
            <v>90</v>
          </cell>
          <cell r="E971">
            <v>2525</v>
          </cell>
          <cell r="F971">
            <v>90</v>
          </cell>
          <cell r="G971">
            <v>119247</v>
          </cell>
          <cell r="H971" t="str">
            <v>;;=SUM(F39:G39);</v>
          </cell>
          <cell r="I971" t="str">
            <v>.</v>
          </cell>
        </row>
        <row r="972">
          <cell r="A972">
            <v>752</v>
          </cell>
          <cell r="B972" t="str">
            <v>Sweden</v>
          </cell>
          <cell r="C972">
            <v>1998</v>
          </cell>
          <cell r="D972">
            <v>90</v>
          </cell>
          <cell r="E972">
            <v>2626</v>
          </cell>
          <cell r="F972">
            <v>90</v>
          </cell>
          <cell r="G972">
            <v>120789</v>
          </cell>
          <cell r="H972" t="str">
            <v>;;=SUM(F40:G40);</v>
          </cell>
          <cell r="I972" t="str">
            <v>.</v>
          </cell>
        </row>
        <row r="973">
          <cell r="A973">
            <v>752</v>
          </cell>
          <cell r="B973" t="str">
            <v>Sweden</v>
          </cell>
          <cell r="C973">
            <v>1998</v>
          </cell>
          <cell r="D973">
            <v>90</v>
          </cell>
          <cell r="E973">
            <v>2727</v>
          </cell>
          <cell r="F973">
            <v>90</v>
          </cell>
          <cell r="G973">
            <v>117501</v>
          </cell>
          <cell r="H973" t="str">
            <v>;;=SUM(F41:G41);</v>
          </cell>
          <cell r="I973" t="str">
            <v>.</v>
          </cell>
        </row>
        <row r="974">
          <cell r="A974">
            <v>752</v>
          </cell>
          <cell r="B974" t="str">
            <v>Sweden</v>
          </cell>
          <cell r="C974">
            <v>1998</v>
          </cell>
          <cell r="D974">
            <v>90</v>
          </cell>
          <cell r="E974">
            <v>2828</v>
          </cell>
          <cell r="F974">
            <v>90</v>
          </cell>
          <cell r="G974">
            <v>116970</v>
          </cell>
          <cell r="H974" t="str">
            <v>;;=SUM(F42:G42);</v>
          </cell>
          <cell r="I974" t="str">
            <v>.</v>
          </cell>
        </row>
        <row r="975">
          <cell r="A975">
            <v>752</v>
          </cell>
          <cell r="B975" t="str">
            <v>Sweden</v>
          </cell>
          <cell r="C975">
            <v>1998</v>
          </cell>
          <cell r="D975">
            <v>90</v>
          </cell>
          <cell r="E975">
            <v>2929</v>
          </cell>
          <cell r="F975">
            <v>90</v>
          </cell>
          <cell r="G975">
            <v>123485</v>
          </cell>
          <cell r="H975" t="str">
            <v>;;=SUM(F43:G43);</v>
          </cell>
          <cell r="I975" t="str">
            <v>.</v>
          </cell>
        </row>
        <row r="976">
          <cell r="A976">
            <v>752</v>
          </cell>
          <cell r="B976" t="str">
            <v>Sweden</v>
          </cell>
          <cell r="C976">
            <v>1998</v>
          </cell>
          <cell r="D976">
            <v>90</v>
          </cell>
          <cell r="E976">
            <v>2529</v>
          </cell>
          <cell r="F976">
            <v>90</v>
          </cell>
          <cell r="G976">
            <v>597992</v>
          </cell>
          <cell r="H976" t="str">
            <v>;;=SUM(F44:G44);</v>
          </cell>
          <cell r="I976" t="str">
            <v>.</v>
          </cell>
        </row>
        <row r="977">
          <cell r="A977">
            <v>752</v>
          </cell>
          <cell r="B977" t="str">
            <v>Sweden</v>
          </cell>
          <cell r="C977">
            <v>1998</v>
          </cell>
          <cell r="D977">
            <v>90</v>
          </cell>
          <cell r="E977">
            <v>3034</v>
          </cell>
          <cell r="F977">
            <v>90</v>
          </cell>
          <cell r="G977">
            <v>658337</v>
          </cell>
          <cell r="H977" t="str">
            <v>;;=SUM(F45:G45);</v>
          </cell>
          <cell r="I977" t="str">
            <v>.</v>
          </cell>
        </row>
        <row r="978">
          <cell r="A978">
            <v>752</v>
          </cell>
          <cell r="B978" t="str">
            <v>Sweden</v>
          </cell>
          <cell r="C978">
            <v>1998</v>
          </cell>
          <cell r="D978">
            <v>90</v>
          </cell>
          <cell r="E978">
            <v>3539</v>
          </cell>
          <cell r="F978">
            <v>90</v>
          </cell>
          <cell r="G978">
            <v>584485</v>
          </cell>
          <cell r="H978" t="str">
            <v>;;=SUM(F46:G46);</v>
          </cell>
          <cell r="I978" t="str">
            <v>.</v>
          </cell>
        </row>
        <row r="979">
          <cell r="A979">
            <v>752</v>
          </cell>
          <cell r="B979" t="str">
            <v>Sweden</v>
          </cell>
          <cell r="C979">
            <v>1998</v>
          </cell>
          <cell r="D979">
            <v>90</v>
          </cell>
          <cell r="E979">
            <v>4099</v>
          </cell>
          <cell r="F979">
            <v>90</v>
          </cell>
          <cell r="G979">
            <v>4300272</v>
          </cell>
          <cell r="H979" t="str">
            <v>;;=SUM(F47:G47);</v>
          </cell>
          <cell r="I979" t="str">
            <v>.</v>
          </cell>
        </row>
        <row r="980">
          <cell r="A980">
            <v>752</v>
          </cell>
          <cell r="B980" t="str">
            <v>Sweden</v>
          </cell>
          <cell r="C980">
            <v>1998</v>
          </cell>
          <cell r="D980">
            <v>90</v>
          </cell>
          <cell r="E980">
            <v>990000</v>
          </cell>
          <cell r="F980">
            <v>90</v>
          </cell>
          <cell r="G980">
            <v>0</v>
          </cell>
          <cell r="H980" t="str">
            <v>n;</v>
          </cell>
          <cell r="I980" t="str">
            <v>n</v>
          </cell>
        </row>
        <row r="981">
          <cell r="A981">
            <v>528</v>
          </cell>
          <cell r="B981" t="str">
            <v>Netherlands</v>
          </cell>
          <cell r="C981">
            <v>1998</v>
          </cell>
          <cell r="D981">
            <v>90</v>
          </cell>
          <cell r="E981">
            <v>1313</v>
          </cell>
          <cell r="F981">
            <v>90</v>
          </cell>
          <cell r="G981">
            <v>181681</v>
          </cell>
          <cell r="H981" t="str">
            <v>;;=SUM(F24:G24);</v>
          </cell>
          <cell r="I981" t="str">
            <v>.</v>
          </cell>
        </row>
        <row r="982">
          <cell r="A982">
            <v>528</v>
          </cell>
          <cell r="B982" t="str">
            <v>Netherlands</v>
          </cell>
          <cell r="C982">
            <v>1998</v>
          </cell>
          <cell r="D982">
            <v>90</v>
          </cell>
          <cell r="E982">
            <v>1414</v>
          </cell>
          <cell r="F982">
            <v>90</v>
          </cell>
          <cell r="G982">
            <v>177370</v>
          </cell>
          <cell r="H982" t="str">
            <v>;;=SUM(F25:G25);</v>
          </cell>
          <cell r="I982" t="str">
            <v>.</v>
          </cell>
        </row>
        <row r="983">
          <cell r="A983">
            <v>528</v>
          </cell>
          <cell r="B983" t="str">
            <v>Netherlands</v>
          </cell>
          <cell r="C983">
            <v>1998</v>
          </cell>
          <cell r="D983">
            <v>90</v>
          </cell>
          <cell r="E983">
            <v>1014</v>
          </cell>
          <cell r="F983">
            <v>90</v>
          </cell>
          <cell r="G983">
            <v>927453</v>
          </cell>
          <cell r="H983" t="str">
            <v>;;=SUM(F26:G26);</v>
          </cell>
          <cell r="I983" t="str">
            <v>.</v>
          </cell>
        </row>
        <row r="984">
          <cell r="A984">
            <v>528</v>
          </cell>
          <cell r="B984" t="str">
            <v>Netherlands</v>
          </cell>
          <cell r="C984">
            <v>1998</v>
          </cell>
          <cell r="D984">
            <v>90</v>
          </cell>
          <cell r="E984">
            <v>1515</v>
          </cell>
          <cell r="F984">
            <v>90</v>
          </cell>
          <cell r="G984">
            <v>179402</v>
          </cell>
          <cell r="H984" t="str">
            <v>;;=SUM(F27:G27);</v>
          </cell>
          <cell r="I984" t="str">
            <v>.</v>
          </cell>
        </row>
        <row r="985">
          <cell r="A985">
            <v>528</v>
          </cell>
          <cell r="B985" t="str">
            <v>Netherlands</v>
          </cell>
          <cell r="C985">
            <v>1998</v>
          </cell>
          <cell r="D985">
            <v>90</v>
          </cell>
          <cell r="E985">
            <v>1616</v>
          </cell>
          <cell r="F985">
            <v>90</v>
          </cell>
          <cell r="G985">
            <v>185892</v>
          </cell>
          <cell r="H985" t="str">
            <v>;;=SUM(F28:G28);</v>
          </cell>
          <cell r="I985" t="str">
            <v>.</v>
          </cell>
        </row>
        <row r="986">
          <cell r="A986">
            <v>528</v>
          </cell>
          <cell r="B986" t="str">
            <v>Netherlands</v>
          </cell>
          <cell r="C986">
            <v>1998</v>
          </cell>
          <cell r="D986">
            <v>90</v>
          </cell>
          <cell r="E986">
            <v>1717</v>
          </cell>
          <cell r="F986">
            <v>90</v>
          </cell>
          <cell r="G986">
            <v>189578</v>
          </cell>
          <cell r="H986" t="str">
            <v>;;=SUM(F29:G29);</v>
          </cell>
          <cell r="I986" t="str">
            <v>.</v>
          </cell>
        </row>
        <row r="987">
          <cell r="A987">
            <v>528</v>
          </cell>
          <cell r="B987" t="str">
            <v>Netherlands</v>
          </cell>
          <cell r="C987">
            <v>1998</v>
          </cell>
          <cell r="D987">
            <v>90</v>
          </cell>
          <cell r="E987">
            <v>1818</v>
          </cell>
          <cell r="F987">
            <v>90</v>
          </cell>
          <cell r="G987">
            <v>184621</v>
          </cell>
          <cell r="H987" t="str">
            <v>;;=SUM(F30:G30);</v>
          </cell>
          <cell r="I987" t="str">
            <v>.</v>
          </cell>
        </row>
        <row r="988">
          <cell r="A988">
            <v>528</v>
          </cell>
          <cell r="B988" t="str">
            <v>Netherlands</v>
          </cell>
          <cell r="C988">
            <v>1998</v>
          </cell>
          <cell r="D988">
            <v>90</v>
          </cell>
          <cell r="E988">
            <v>1919</v>
          </cell>
          <cell r="F988">
            <v>90</v>
          </cell>
          <cell r="G988">
            <v>186747</v>
          </cell>
          <cell r="H988" t="str">
            <v>;;=SUM(F31:G31);</v>
          </cell>
          <cell r="I988" t="str">
            <v>.</v>
          </cell>
        </row>
        <row r="989">
          <cell r="A989">
            <v>528</v>
          </cell>
          <cell r="B989" t="str">
            <v>Netherlands</v>
          </cell>
          <cell r="C989">
            <v>1998</v>
          </cell>
          <cell r="D989">
            <v>90</v>
          </cell>
          <cell r="E989">
            <v>1519</v>
          </cell>
          <cell r="F989">
            <v>90</v>
          </cell>
          <cell r="G989">
            <v>926240</v>
          </cell>
          <cell r="H989" t="str">
            <v>;;=SUM(F32:G32);</v>
          </cell>
          <cell r="I989" t="str">
            <v>.</v>
          </cell>
        </row>
        <row r="990">
          <cell r="A990">
            <v>528</v>
          </cell>
          <cell r="B990" t="str">
            <v>Netherlands</v>
          </cell>
          <cell r="C990">
            <v>1998</v>
          </cell>
          <cell r="D990">
            <v>90</v>
          </cell>
          <cell r="E990">
            <v>2020</v>
          </cell>
          <cell r="F990">
            <v>90</v>
          </cell>
          <cell r="G990">
            <v>185675</v>
          </cell>
          <cell r="H990" t="str">
            <v>;;=SUM(F33:G33);</v>
          </cell>
          <cell r="I990" t="str">
            <v>.</v>
          </cell>
        </row>
        <row r="991">
          <cell r="A991">
            <v>528</v>
          </cell>
          <cell r="B991" t="str">
            <v>Netherlands</v>
          </cell>
          <cell r="C991">
            <v>1998</v>
          </cell>
          <cell r="D991">
            <v>90</v>
          </cell>
          <cell r="E991">
            <v>2121</v>
          </cell>
          <cell r="F991">
            <v>90</v>
          </cell>
          <cell r="G991">
            <v>189590</v>
          </cell>
          <cell r="H991" t="str">
            <v>;;=SUM(F34:G34);</v>
          </cell>
          <cell r="I991" t="str">
            <v>.</v>
          </cell>
        </row>
        <row r="992">
          <cell r="A992">
            <v>528</v>
          </cell>
          <cell r="B992" t="str">
            <v>Netherlands</v>
          </cell>
          <cell r="C992">
            <v>1998</v>
          </cell>
          <cell r="D992">
            <v>90</v>
          </cell>
          <cell r="E992">
            <v>2222</v>
          </cell>
          <cell r="F992">
            <v>90</v>
          </cell>
          <cell r="G992">
            <v>192712</v>
          </cell>
          <cell r="H992" t="str">
            <v>;;=SUM(F35:G35);</v>
          </cell>
          <cell r="I992" t="str">
            <v>.</v>
          </cell>
        </row>
        <row r="993">
          <cell r="A993">
            <v>528</v>
          </cell>
          <cell r="B993" t="str">
            <v>Netherlands</v>
          </cell>
          <cell r="C993">
            <v>1998</v>
          </cell>
          <cell r="D993">
            <v>90</v>
          </cell>
          <cell r="E993">
            <v>2323</v>
          </cell>
          <cell r="F993">
            <v>90</v>
          </cell>
          <cell r="G993">
            <v>203801</v>
          </cell>
          <cell r="H993" t="str">
            <v>;;=SUM(F36:G36);</v>
          </cell>
          <cell r="I993" t="str">
            <v>.</v>
          </cell>
        </row>
        <row r="994">
          <cell r="A994">
            <v>528</v>
          </cell>
          <cell r="B994" t="str">
            <v>Netherlands</v>
          </cell>
          <cell r="C994">
            <v>1998</v>
          </cell>
          <cell r="D994">
            <v>90</v>
          </cell>
          <cell r="E994">
            <v>2424</v>
          </cell>
          <cell r="F994">
            <v>90</v>
          </cell>
          <cell r="G994">
            <v>213755</v>
          </cell>
          <cell r="H994" t="str">
            <v>;;=SUM(F37:G37);</v>
          </cell>
          <cell r="I994" t="str">
            <v>.</v>
          </cell>
        </row>
        <row r="995">
          <cell r="A995">
            <v>528</v>
          </cell>
          <cell r="B995" t="str">
            <v>Netherlands</v>
          </cell>
          <cell r="C995">
            <v>1998</v>
          </cell>
          <cell r="D995">
            <v>90</v>
          </cell>
          <cell r="E995">
            <v>2024</v>
          </cell>
          <cell r="F995">
            <v>90</v>
          </cell>
          <cell r="G995">
            <v>985533</v>
          </cell>
          <cell r="H995" t="str">
            <v>;;=SUM(F38:G38);</v>
          </cell>
          <cell r="I995" t="str">
            <v>.</v>
          </cell>
        </row>
        <row r="996">
          <cell r="A996">
            <v>528</v>
          </cell>
          <cell r="B996" t="str">
            <v>Netherlands</v>
          </cell>
          <cell r="C996">
            <v>1998</v>
          </cell>
          <cell r="D996">
            <v>90</v>
          </cell>
          <cell r="E996">
            <v>2525</v>
          </cell>
          <cell r="F996">
            <v>90</v>
          </cell>
          <cell r="G996">
            <v>234662</v>
          </cell>
          <cell r="H996" t="str">
            <v>;;=SUM(F39:G39);</v>
          </cell>
          <cell r="I996" t="str">
            <v>.</v>
          </cell>
        </row>
        <row r="997">
          <cell r="A997">
            <v>528</v>
          </cell>
          <cell r="B997" t="str">
            <v>Netherlands</v>
          </cell>
          <cell r="C997">
            <v>1998</v>
          </cell>
          <cell r="D997">
            <v>90</v>
          </cell>
          <cell r="E997">
            <v>2626</v>
          </cell>
          <cell r="F997">
            <v>90</v>
          </cell>
          <cell r="G997">
            <v>248371</v>
          </cell>
          <cell r="H997" t="str">
            <v>;;=SUM(F40:G40);</v>
          </cell>
          <cell r="I997" t="str">
            <v>.</v>
          </cell>
        </row>
        <row r="998">
          <cell r="A998">
            <v>528</v>
          </cell>
          <cell r="B998" t="str">
            <v>Netherlands</v>
          </cell>
          <cell r="C998">
            <v>1998</v>
          </cell>
          <cell r="D998">
            <v>90</v>
          </cell>
          <cell r="E998">
            <v>2727</v>
          </cell>
          <cell r="F998">
            <v>90</v>
          </cell>
          <cell r="G998">
            <v>261013</v>
          </cell>
          <cell r="H998" t="str">
            <v>;;=SUM(F41:G41);</v>
          </cell>
          <cell r="I998" t="str">
            <v>.</v>
          </cell>
        </row>
        <row r="999">
          <cell r="A999">
            <v>528</v>
          </cell>
          <cell r="B999" t="str">
            <v>Netherlands</v>
          </cell>
          <cell r="C999">
            <v>1998</v>
          </cell>
          <cell r="D999">
            <v>90</v>
          </cell>
          <cell r="E999">
            <v>2828</v>
          </cell>
          <cell r="F999">
            <v>90</v>
          </cell>
          <cell r="G999">
            <v>269265</v>
          </cell>
          <cell r="H999" t="str">
            <v>;;=SUM(F42:G42);</v>
          </cell>
          <cell r="I999" t="str">
            <v>.</v>
          </cell>
        </row>
        <row r="1000">
          <cell r="A1000">
            <v>528</v>
          </cell>
          <cell r="B1000" t="str">
            <v>Netherlands</v>
          </cell>
          <cell r="C1000">
            <v>1998</v>
          </cell>
          <cell r="D1000">
            <v>90</v>
          </cell>
          <cell r="E1000">
            <v>2929</v>
          </cell>
          <cell r="F1000">
            <v>90</v>
          </cell>
          <cell r="G1000">
            <v>258183</v>
          </cell>
          <cell r="H1000" t="str">
            <v>;;=SUM(F43:G43);</v>
          </cell>
          <cell r="I1000" t="str">
            <v>.</v>
          </cell>
        </row>
        <row r="1001">
          <cell r="A1001">
            <v>528</v>
          </cell>
          <cell r="B1001" t="str">
            <v>Netherlands</v>
          </cell>
          <cell r="C1001">
            <v>1998</v>
          </cell>
          <cell r="D1001">
            <v>90</v>
          </cell>
          <cell r="E1001">
            <v>2529</v>
          </cell>
          <cell r="F1001">
            <v>90</v>
          </cell>
          <cell r="G1001">
            <v>1271494</v>
          </cell>
          <cell r="H1001" t="str">
            <v>;;=SUM(F44:G44);</v>
          </cell>
          <cell r="I1001" t="str">
            <v>.</v>
          </cell>
        </row>
        <row r="1002">
          <cell r="A1002">
            <v>528</v>
          </cell>
          <cell r="B1002" t="str">
            <v>Netherlands</v>
          </cell>
          <cell r="C1002">
            <v>1998</v>
          </cell>
          <cell r="D1002">
            <v>90</v>
          </cell>
          <cell r="E1002">
            <v>3034</v>
          </cell>
          <cell r="F1002">
            <v>90</v>
          </cell>
          <cell r="G1002">
            <v>1316203</v>
          </cell>
          <cell r="H1002" t="str">
            <v>;;=SUM(F45:G45);</v>
          </cell>
          <cell r="I1002" t="str">
            <v>.</v>
          </cell>
        </row>
        <row r="1003">
          <cell r="A1003">
            <v>528</v>
          </cell>
          <cell r="B1003" t="str">
            <v>Netherlands</v>
          </cell>
          <cell r="C1003">
            <v>1998</v>
          </cell>
          <cell r="D1003">
            <v>90</v>
          </cell>
          <cell r="E1003">
            <v>3539</v>
          </cell>
          <cell r="F1003">
            <v>90</v>
          </cell>
          <cell r="G1003">
            <v>1275395</v>
          </cell>
          <cell r="H1003" t="str">
            <v>;;=SUM(F46:G46);</v>
          </cell>
          <cell r="I1003" t="str">
            <v>.</v>
          </cell>
        </row>
        <row r="1004">
          <cell r="A1004">
            <v>528</v>
          </cell>
          <cell r="B1004" t="str">
            <v>Netherlands</v>
          </cell>
          <cell r="C1004">
            <v>1998</v>
          </cell>
          <cell r="D1004">
            <v>90</v>
          </cell>
          <cell r="E1004">
            <v>4099</v>
          </cell>
          <cell r="F1004">
            <v>90</v>
          </cell>
          <cell r="G1004">
            <v>3383804</v>
          </cell>
          <cell r="H1004" t="str">
            <v/>
          </cell>
          <cell r="I1004" t="str">
            <v>.</v>
          </cell>
        </row>
        <row r="1005">
          <cell r="A1005">
            <v>528</v>
          </cell>
          <cell r="B1005" t="str">
            <v>Netherlands</v>
          </cell>
          <cell r="C1005">
            <v>1998</v>
          </cell>
          <cell r="D1005">
            <v>90</v>
          </cell>
          <cell r="E1005">
            <v>990000</v>
          </cell>
          <cell r="F1005">
            <v>90</v>
          </cell>
          <cell r="G1005">
            <v>0</v>
          </cell>
          <cell r="H1005" t="str">
            <v>n;</v>
          </cell>
          <cell r="I1005" t="str">
            <v>n</v>
          </cell>
        </row>
        <row r="1006">
          <cell r="A1006">
            <v>250</v>
          </cell>
          <cell r="B1006" t="str">
            <v>France</v>
          </cell>
          <cell r="C1006">
            <v>1998</v>
          </cell>
          <cell r="D1006">
            <v>90</v>
          </cell>
          <cell r="E1006">
            <v>900000</v>
          </cell>
          <cell r="F1006">
            <v>90</v>
          </cell>
          <cell r="G1006">
            <v>58722571</v>
          </cell>
          <cell r="H1006" t="str">
            <v>;;=SUM(F11:G11);</v>
          </cell>
          <cell r="I1006" t="str">
            <v>.</v>
          </cell>
        </row>
        <row r="1007">
          <cell r="A1007">
            <v>250</v>
          </cell>
          <cell r="B1007" t="str">
            <v>France</v>
          </cell>
          <cell r="C1007">
            <v>1998</v>
          </cell>
          <cell r="D1007">
            <v>90</v>
          </cell>
          <cell r="E1007">
            <v>300</v>
          </cell>
          <cell r="F1007">
            <v>90</v>
          </cell>
          <cell r="G1007">
            <v>2153674</v>
          </cell>
          <cell r="H1007" t="str">
            <v>;;=SUM(F12:G12);</v>
          </cell>
          <cell r="I1007" t="str">
            <v>.</v>
          </cell>
        </row>
        <row r="1008">
          <cell r="A1008">
            <v>250</v>
          </cell>
          <cell r="B1008" t="str">
            <v>France</v>
          </cell>
          <cell r="C1008">
            <v>1998</v>
          </cell>
          <cell r="D1008">
            <v>90</v>
          </cell>
          <cell r="E1008">
            <v>303</v>
          </cell>
          <cell r="F1008">
            <v>90</v>
          </cell>
          <cell r="G1008">
            <v>700478</v>
          </cell>
          <cell r="H1008" t="str">
            <v>;;=SUM(F13:G13);</v>
          </cell>
          <cell r="I1008" t="str">
            <v>.</v>
          </cell>
        </row>
        <row r="1009">
          <cell r="A1009">
            <v>208</v>
          </cell>
          <cell r="B1009" t="str">
            <v>Denmark</v>
          </cell>
          <cell r="C1009">
            <v>1998</v>
          </cell>
          <cell r="D1009">
            <v>90</v>
          </cell>
          <cell r="E1009">
            <v>900000</v>
          </cell>
          <cell r="F1009">
            <v>90</v>
          </cell>
          <cell r="G1009">
            <v>5294860</v>
          </cell>
          <cell r="H1009" t="str">
            <v>;;=SUM(F11:G11);</v>
          </cell>
          <cell r="I1009" t="str">
            <v>.</v>
          </cell>
        </row>
        <row r="1010">
          <cell r="A1010">
            <v>208</v>
          </cell>
          <cell r="B1010" t="str">
            <v>Denmark</v>
          </cell>
          <cell r="C1010">
            <v>1998</v>
          </cell>
          <cell r="D1010">
            <v>90</v>
          </cell>
          <cell r="E1010">
            <v>300</v>
          </cell>
          <cell r="F1010">
            <v>90</v>
          </cell>
          <cell r="G1010">
            <v>206606</v>
          </cell>
          <cell r="H1010" t="str">
            <v>;;=SUM(F12:G12);</v>
          </cell>
          <cell r="I1010" t="str">
            <v>.</v>
          </cell>
        </row>
        <row r="1011">
          <cell r="A1011">
            <v>208</v>
          </cell>
          <cell r="B1011" t="str">
            <v>Denmark</v>
          </cell>
          <cell r="C1011">
            <v>1998</v>
          </cell>
          <cell r="D1011">
            <v>90</v>
          </cell>
          <cell r="E1011">
            <v>303</v>
          </cell>
          <cell r="F1011">
            <v>90</v>
          </cell>
          <cell r="G1011">
            <v>71000</v>
          </cell>
          <cell r="H1011" t="str">
            <v>;;=SUM(F13:G13);</v>
          </cell>
          <cell r="I1011" t="str">
            <v>.</v>
          </cell>
        </row>
        <row r="1012">
          <cell r="A1012">
            <v>208</v>
          </cell>
          <cell r="B1012" t="str">
            <v>Denmark</v>
          </cell>
          <cell r="C1012">
            <v>1998</v>
          </cell>
          <cell r="D1012">
            <v>90</v>
          </cell>
          <cell r="E1012">
            <v>404</v>
          </cell>
          <cell r="F1012">
            <v>90</v>
          </cell>
          <cell r="G1012">
            <v>68686</v>
          </cell>
          <cell r="H1012" t="str">
            <v>;;=SUM(F14:G14);</v>
          </cell>
          <cell r="I1012" t="str">
            <v>.</v>
          </cell>
        </row>
        <row r="1013">
          <cell r="A1013">
            <v>208</v>
          </cell>
          <cell r="B1013" t="str">
            <v>Denmark</v>
          </cell>
          <cell r="C1013">
            <v>1998</v>
          </cell>
          <cell r="D1013">
            <v>90</v>
          </cell>
          <cell r="E1013">
            <v>505</v>
          </cell>
          <cell r="F1013">
            <v>90</v>
          </cell>
          <cell r="G1013">
            <v>69281</v>
          </cell>
          <cell r="H1013" t="str">
            <v>;;=SUM(F15:G15);</v>
          </cell>
          <cell r="I1013" t="str">
            <v>.</v>
          </cell>
        </row>
        <row r="1014">
          <cell r="A1014">
            <v>208</v>
          </cell>
          <cell r="B1014" t="str">
            <v>Denmark</v>
          </cell>
          <cell r="C1014">
            <v>1998</v>
          </cell>
          <cell r="D1014">
            <v>90</v>
          </cell>
          <cell r="E1014">
            <v>606</v>
          </cell>
          <cell r="F1014">
            <v>90</v>
          </cell>
          <cell r="G1014">
            <v>66139</v>
          </cell>
          <cell r="H1014" t="str">
            <v>;;=SUM(F16:G16);</v>
          </cell>
          <cell r="I1014" t="str">
            <v>.</v>
          </cell>
        </row>
        <row r="1015">
          <cell r="A1015">
            <v>208</v>
          </cell>
          <cell r="B1015" t="str">
            <v>Denmark</v>
          </cell>
          <cell r="C1015">
            <v>1998</v>
          </cell>
          <cell r="D1015">
            <v>90</v>
          </cell>
          <cell r="E1015">
            <v>707</v>
          </cell>
          <cell r="F1015">
            <v>90</v>
          </cell>
          <cell r="G1015">
            <v>65440</v>
          </cell>
          <cell r="H1015" t="str">
            <v>;;=SUM(F17:G17);</v>
          </cell>
          <cell r="I1015" t="str">
            <v>.</v>
          </cell>
        </row>
        <row r="1016">
          <cell r="A1016">
            <v>208</v>
          </cell>
          <cell r="B1016" t="str">
            <v>Denmark</v>
          </cell>
          <cell r="C1016">
            <v>1998</v>
          </cell>
          <cell r="D1016">
            <v>90</v>
          </cell>
          <cell r="E1016">
            <v>808</v>
          </cell>
          <cell r="F1016">
            <v>90</v>
          </cell>
          <cell r="G1016">
            <v>63407</v>
          </cell>
          <cell r="H1016" t="str">
            <v>;;=SUM(F18:G18);</v>
          </cell>
          <cell r="I1016" t="str">
            <v>.</v>
          </cell>
        </row>
        <row r="1017">
          <cell r="A1017">
            <v>208</v>
          </cell>
          <cell r="B1017" t="str">
            <v>Denmark</v>
          </cell>
          <cell r="C1017">
            <v>1998</v>
          </cell>
          <cell r="D1017">
            <v>90</v>
          </cell>
          <cell r="E1017">
            <v>909</v>
          </cell>
          <cell r="F1017">
            <v>90</v>
          </cell>
          <cell r="G1017">
            <v>61050</v>
          </cell>
          <cell r="H1017" t="str">
            <v>;;=SUM(F19:G19);</v>
          </cell>
          <cell r="I1017" t="str">
            <v>.</v>
          </cell>
        </row>
        <row r="1018">
          <cell r="A1018">
            <v>208</v>
          </cell>
          <cell r="B1018" t="str">
            <v>Denmark</v>
          </cell>
          <cell r="C1018">
            <v>1998</v>
          </cell>
          <cell r="D1018">
            <v>90</v>
          </cell>
          <cell r="E1018">
            <v>509</v>
          </cell>
          <cell r="F1018">
            <v>90</v>
          </cell>
          <cell r="G1018">
            <v>325317</v>
          </cell>
          <cell r="H1018" t="str">
            <v>;;=SUM(F20:G20);</v>
          </cell>
          <cell r="I1018" t="str">
            <v>.</v>
          </cell>
        </row>
        <row r="1019">
          <cell r="A1019">
            <v>208</v>
          </cell>
          <cell r="B1019" t="str">
            <v>Denmark</v>
          </cell>
          <cell r="C1019">
            <v>1998</v>
          </cell>
          <cell r="D1019">
            <v>90</v>
          </cell>
          <cell r="E1019">
            <v>1010</v>
          </cell>
          <cell r="F1019">
            <v>90</v>
          </cell>
          <cell r="G1019">
            <v>58400</v>
          </cell>
          <cell r="H1019" t="str">
            <v>;;=SUM(F21:G21);</v>
          </cell>
          <cell r="I1019" t="str">
            <v>.</v>
          </cell>
        </row>
        <row r="1020">
          <cell r="A1020">
            <v>208</v>
          </cell>
          <cell r="B1020" t="str">
            <v>Denmark</v>
          </cell>
          <cell r="C1020">
            <v>1998</v>
          </cell>
          <cell r="D1020">
            <v>90</v>
          </cell>
          <cell r="E1020">
            <v>1111</v>
          </cell>
          <cell r="F1020">
            <v>90</v>
          </cell>
          <cell r="G1020">
            <v>57811</v>
          </cell>
          <cell r="H1020" t="str">
            <v>;;=SUM(F22:G22);</v>
          </cell>
          <cell r="I1020" t="str">
            <v>.</v>
          </cell>
        </row>
        <row r="1021">
          <cell r="A1021">
            <v>208</v>
          </cell>
          <cell r="B1021" t="str">
            <v>Denmark</v>
          </cell>
          <cell r="C1021">
            <v>1998</v>
          </cell>
          <cell r="D1021">
            <v>90</v>
          </cell>
          <cell r="E1021">
            <v>1212</v>
          </cell>
          <cell r="F1021">
            <v>90</v>
          </cell>
          <cell r="G1021">
            <v>56437</v>
          </cell>
          <cell r="H1021" t="str">
            <v>;;=SUM(F23:G23);</v>
          </cell>
          <cell r="I1021" t="str">
            <v>.</v>
          </cell>
        </row>
        <row r="1022">
          <cell r="A1022">
            <v>208</v>
          </cell>
          <cell r="B1022" t="str">
            <v>Denmark</v>
          </cell>
          <cell r="C1022">
            <v>1998</v>
          </cell>
          <cell r="D1022">
            <v>90</v>
          </cell>
          <cell r="E1022">
            <v>1313</v>
          </cell>
          <cell r="F1022">
            <v>90</v>
          </cell>
          <cell r="G1022">
            <v>54494</v>
          </cell>
          <cell r="H1022" t="str">
            <v>;;=SUM(F24:G24);</v>
          </cell>
          <cell r="I1022" t="str">
            <v>.</v>
          </cell>
        </row>
        <row r="1023">
          <cell r="A1023">
            <v>208</v>
          </cell>
          <cell r="B1023" t="str">
            <v>Denmark</v>
          </cell>
          <cell r="C1023">
            <v>1998</v>
          </cell>
          <cell r="D1023">
            <v>90</v>
          </cell>
          <cell r="E1023">
            <v>1414</v>
          </cell>
          <cell r="F1023">
            <v>90</v>
          </cell>
          <cell r="G1023">
            <v>53437</v>
          </cell>
          <cell r="H1023" t="str">
            <v>;;=SUM(F25:G25);</v>
          </cell>
          <cell r="I1023" t="str">
            <v>.</v>
          </cell>
        </row>
        <row r="1024">
          <cell r="A1024">
            <v>208</v>
          </cell>
          <cell r="B1024" t="str">
            <v>Denmark</v>
          </cell>
          <cell r="C1024">
            <v>1998</v>
          </cell>
          <cell r="D1024">
            <v>90</v>
          </cell>
          <cell r="E1024">
            <v>1014</v>
          </cell>
          <cell r="F1024">
            <v>90</v>
          </cell>
          <cell r="G1024">
            <v>280579</v>
          </cell>
          <cell r="H1024" t="str">
            <v>;;=SUM(F26:G26);</v>
          </cell>
          <cell r="I1024" t="str">
            <v>.</v>
          </cell>
        </row>
        <row r="1025">
          <cell r="A1025">
            <v>208</v>
          </cell>
          <cell r="B1025" t="str">
            <v>Denmark</v>
          </cell>
          <cell r="C1025">
            <v>1998</v>
          </cell>
          <cell r="D1025">
            <v>90</v>
          </cell>
          <cell r="E1025">
            <v>1515</v>
          </cell>
          <cell r="F1025">
            <v>90</v>
          </cell>
          <cell r="G1025">
            <v>55325</v>
          </cell>
          <cell r="H1025" t="str">
            <v>;;=SUM(F27:G27);</v>
          </cell>
          <cell r="I1025" t="str">
            <v>.</v>
          </cell>
        </row>
        <row r="1026">
          <cell r="A1026">
            <v>208</v>
          </cell>
          <cell r="B1026" t="str">
            <v>Denmark</v>
          </cell>
          <cell r="C1026">
            <v>1998</v>
          </cell>
          <cell r="D1026">
            <v>90</v>
          </cell>
          <cell r="E1026">
            <v>1616</v>
          </cell>
          <cell r="F1026">
            <v>90</v>
          </cell>
          <cell r="G1026">
            <v>55628</v>
          </cell>
          <cell r="H1026" t="str">
            <v>;;=SUM(F28:G28);</v>
          </cell>
          <cell r="I1026" t="str">
            <v>.</v>
          </cell>
        </row>
        <row r="1027">
          <cell r="A1027">
            <v>208</v>
          </cell>
          <cell r="B1027" t="str">
            <v>Denmark</v>
          </cell>
          <cell r="C1027">
            <v>1998</v>
          </cell>
          <cell r="D1027">
            <v>90</v>
          </cell>
          <cell r="E1027">
            <v>1717</v>
          </cell>
          <cell r="F1027">
            <v>90</v>
          </cell>
          <cell r="G1027">
            <v>60017</v>
          </cell>
          <cell r="H1027" t="str">
            <v>;;=SUM(F29:G29);</v>
          </cell>
          <cell r="I1027" t="str">
            <v>.</v>
          </cell>
        </row>
        <row r="1028">
          <cell r="A1028">
            <v>208</v>
          </cell>
          <cell r="B1028" t="str">
            <v>Denmark</v>
          </cell>
          <cell r="C1028">
            <v>1998</v>
          </cell>
          <cell r="D1028">
            <v>90</v>
          </cell>
          <cell r="E1028">
            <v>1818</v>
          </cell>
          <cell r="F1028">
            <v>90</v>
          </cell>
          <cell r="G1028">
            <v>62015</v>
          </cell>
          <cell r="H1028" t="str">
            <v>;;=SUM(F30:G30);</v>
          </cell>
          <cell r="I1028" t="str">
            <v>.</v>
          </cell>
        </row>
        <row r="1029">
          <cell r="A1029">
            <v>208</v>
          </cell>
          <cell r="B1029" t="str">
            <v>Denmark</v>
          </cell>
          <cell r="C1029">
            <v>1998</v>
          </cell>
          <cell r="D1029">
            <v>90</v>
          </cell>
          <cell r="E1029">
            <v>1919</v>
          </cell>
          <cell r="F1029">
            <v>90</v>
          </cell>
          <cell r="G1029">
            <v>64472</v>
          </cell>
          <cell r="H1029" t="str">
            <v>;;=SUM(F31:G31);</v>
          </cell>
          <cell r="I1029" t="str">
            <v>.</v>
          </cell>
        </row>
        <row r="1030">
          <cell r="A1030">
            <v>208</v>
          </cell>
          <cell r="B1030" t="str">
            <v>Denmark</v>
          </cell>
          <cell r="C1030">
            <v>1998</v>
          </cell>
          <cell r="D1030">
            <v>90</v>
          </cell>
          <cell r="E1030">
            <v>1519</v>
          </cell>
          <cell r="F1030">
            <v>90</v>
          </cell>
          <cell r="G1030">
            <v>297457</v>
          </cell>
          <cell r="H1030" t="str">
            <v>;;=SUM(F32:G32);</v>
          </cell>
          <cell r="I1030" t="str">
            <v>.</v>
          </cell>
        </row>
        <row r="1031">
          <cell r="A1031">
            <v>208</v>
          </cell>
          <cell r="B1031" t="str">
            <v>Denmark</v>
          </cell>
          <cell r="C1031">
            <v>1998</v>
          </cell>
          <cell r="D1031">
            <v>90</v>
          </cell>
          <cell r="E1031">
            <v>2020</v>
          </cell>
          <cell r="F1031">
            <v>90</v>
          </cell>
          <cell r="G1031">
            <v>64599</v>
          </cell>
          <cell r="H1031" t="str">
            <v>;;=SUM(F33:G33);</v>
          </cell>
          <cell r="I1031" t="str">
            <v>.</v>
          </cell>
        </row>
        <row r="1032">
          <cell r="A1032">
            <v>208</v>
          </cell>
          <cell r="B1032" t="str">
            <v>Denmark</v>
          </cell>
          <cell r="C1032">
            <v>1998</v>
          </cell>
          <cell r="D1032">
            <v>90</v>
          </cell>
          <cell r="E1032">
            <v>2121</v>
          </cell>
          <cell r="F1032">
            <v>90</v>
          </cell>
          <cell r="G1032">
            <v>68402</v>
          </cell>
          <cell r="H1032" t="str">
            <v>;;=SUM(F34:G34);</v>
          </cell>
          <cell r="I1032" t="str">
            <v>.</v>
          </cell>
        </row>
        <row r="1033">
          <cell r="A1033">
            <v>208</v>
          </cell>
          <cell r="B1033" t="str">
            <v>Denmark</v>
          </cell>
          <cell r="C1033">
            <v>1998</v>
          </cell>
          <cell r="D1033">
            <v>90</v>
          </cell>
          <cell r="E1033">
            <v>2222</v>
          </cell>
          <cell r="F1033">
            <v>90</v>
          </cell>
          <cell r="G1033">
            <v>75239</v>
          </cell>
          <cell r="H1033" t="str">
            <v>;;=SUM(F35:G35);</v>
          </cell>
          <cell r="I1033" t="str">
            <v>.</v>
          </cell>
        </row>
        <row r="1034">
          <cell r="A1034">
            <v>208</v>
          </cell>
          <cell r="B1034" t="str">
            <v>Denmark</v>
          </cell>
          <cell r="C1034">
            <v>1998</v>
          </cell>
          <cell r="D1034">
            <v>90</v>
          </cell>
          <cell r="E1034">
            <v>2323</v>
          </cell>
          <cell r="F1034">
            <v>90</v>
          </cell>
          <cell r="G1034">
            <v>74748</v>
          </cell>
          <cell r="H1034" t="str">
            <v>;;=SUM(F36:G36);</v>
          </cell>
          <cell r="I1034" t="str">
            <v>.</v>
          </cell>
        </row>
        <row r="1035">
          <cell r="A1035">
            <v>208</v>
          </cell>
          <cell r="B1035" t="str">
            <v>Denmark</v>
          </cell>
          <cell r="C1035">
            <v>1998</v>
          </cell>
          <cell r="D1035">
            <v>90</v>
          </cell>
          <cell r="E1035">
            <v>2424</v>
          </cell>
          <cell r="F1035">
            <v>90</v>
          </cell>
          <cell r="G1035">
            <v>74932</v>
          </cell>
          <cell r="H1035" t="str">
            <v>;;=SUM(F37:G37);</v>
          </cell>
          <cell r="I1035" t="str">
            <v>.</v>
          </cell>
        </row>
        <row r="1036">
          <cell r="A1036">
            <v>208</v>
          </cell>
          <cell r="B1036" t="str">
            <v>Denmark</v>
          </cell>
          <cell r="C1036">
            <v>1998</v>
          </cell>
          <cell r="D1036">
            <v>90</v>
          </cell>
          <cell r="E1036">
            <v>2024</v>
          </cell>
          <cell r="F1036">
            <v>90</v>
          </cell>
          <cell r="G1036">
            <v>357920</v>
          </cell>
          <cell r="H1036" t="str">
            <v>;;=SUM(F38:G38);</v>
          </cell>
          <cell r="I1036" t="str">
            <v>.</v>
          </cell>
        </row>
        <row r="1037">
          <cell r="A1037">
            <v>208</v>
          </cell>
          <cell r="B1037" t="str">
            <v>Denmark</v>
          </cell>
          <cell r="C1037">
            <v>1998</v>
          </cell>
          <cell r="D1037">
            <v>90</v>
          </cell>
          <cell r="E1037">
            <v>2525</v>
          </cell>
          <cell r="F1037">
            <v>90</v>
          </cell>
          <cell r="G1037">
            <v>78732</v>
          </cell>
          <cell r="H1037" t="str">
            <v>;;=SUM(F39:G39);</v>
          </cell>
          <cell r="I1037" t="str">
            <v>.</v>
          </cell>
        </row>
        <row r="1038">
          <cell r="A1038">
            <v>208</v>
          </cell>
          <cell r="B1038" t="str">
            <v>Denmark</v>
          </cell>
          <cell r="C1038">
            <v>1998</v>
          </cell>
          <cell r="D1038">
            <v>90</v>
          </cell>
          <cell r="E1038">
            <v>2626</v>
          </cell>
          <cell r="F1038">
            <v>90</v>
          </cell>
          <cell r="G1038">
            <v>78240</v>
          </cell>
          <cell r="H1038" t="str">
            <v>;;=SUM(F40:G40);</v>
          </cell>
          <cell r="I1038" t="str">
            <v>.</v>
          </cell>
        </row>
        <row r="1039">
          <cell r="A1039">
            <v>208</v>
          </cell>
          <cell r="B1039" t="str">
            <v>Denmark</v>
          </cell>
          <cell r="C1039">
            <v>1998</v>
          </cell>
          <cell r="D1039">
            <v>90</v>
          </cell>
          <cell r="E1039">
            <v>2727</v>
          </cell>
          <cell r="F1039">
            <v>90</v>
          </cell>
          <cell r="G1039">
            <v>74876</v>
          </cell>
          <cell r="H1039" t="str">
            <v>;;=SUM(F41:G41);</v>
          </cell>
          <cell r="I1039" t="str">
            <v>.</v>
          </cell>
        </row>
        <row r="1040">
          <cell r="A1040">
            <v>208</v>
          </cell>
          <cell r="B1040" t="str">
            <v>Denmark</v>
          </cell>
          <cell r="C1040">
            <v>1998</v>
          </cell>
          <cell r="D1040">
            <v>90</v>
          </cell>
          <cell r="E1040">
            <v>2828</v>
          </cell>
          <cell r="F1040">
            <v>90</v>
          </cell>
          <cell r="G1040">
            <v>74784</v>
          </cell>
          <cell r="H1040" t="str">
            <v>;;=SUM(F42:G42);</v>
          </cell>
          <cell r="I1040" t="str">
            <v>.</v>
          </cell>
        </row>
        <row r="1041">
          <cell r="A1041">
            <v>208</v>
          </cell>
          <cell r="B1041" t="str">
            <v>Denmark</v>
          </cell>
          <cell r="C1041">
            <v>1998</v>
          </cell>
          <cell r="D1041">
            <v>90</v>
          </cell>
          <cell r="E1041">
            <v>2929</v>
          </cell>
          <cell r="F1041">
            <v>90</v>
          </cell>
          <cell r="G1041">
            <v>77765</v>
          </cell>
          <cell r="H1041" t="str">
            <v>;;=SUM(F43:G43);</v>
          </cell>
          <cell r="I1041" t="str">
            <v>.</v>
          </cell>
        </row>
        <row r="1042">
          <cell r="A1042">
            <v>208</v>
          </cell>
          <cell r="B1042" t="str">
            <v>Denmark</v>
          </cell>
          <cell r="C1042">
            <v>1998</v>
          </cell>
          <cell r="D1042">
            <v>90</v>
          </cell>
          <cell r="E1042">
            <v>2529</v>
          </cell>
          <cell r="F1042">
            <v>90</v>
          </cell>
          <cell r="G1042">
            <v>384397</v>
          </cell>
          <cell r="H1042" t="str">
            <v>;;=SUM(F44:G44);</v>
          </cell>
          <cell r="I1042" t="str">
            <v>.</v>
          </cell>
        </row>
        <row r="1043">
          <cell r="A1043">
            <v>208</v>
          </cell>
          <cell r="B1043" t="str">
            <v>Denmark</v>
          </cell>
          <cell r="C1043">
            <v>1998</v>
          </cell>
          <cell r="D1043">
            <v>90</v>
          </cell>
          <cell r="E1043">
            <v>3034</v>
          </cell>
          <cell r="F1043">
            <v>90</v>
          </cell>
          <cell r="G1043">
            <v>429897</v>
          </cell>
          <cell r="H1043" t="str">
            <v>;;=SUM(F45:G45);</v>
          </cell>
          <cell r="I1043" t="str">
            <v>.</v>
          </cell>
        </row>
        <row r="1044">
          <cell r="A1044">
            <v>208</v>
          </cell>
          <cell r="B1044" t="str">
            <v>Denmark</v>
          </cell>
          <cell r="C1044">
            <v>1998</v>
          </cell>
          <cell r="D1044">
            <v>90</v>
          </cell>
          <cell r="E1044">
            <v>3539</v>
          </cell>
          <cell r="F1044">
            <v>90</v>
          </cell>
          <cell r="G1044">
            <v>383552</v>
          </cell>
          <cell r="H1044" t="str">
            <v>;;=SUM(F46:G46);</v>
          </cell>
          <cell r="I1044" t="str">
            <v>.</v>
          </cell>
        </row>
        <row r="1045">
          <cell r="A1045">
            <v>208</v>
          </cell>
          <cell r="B1045" t="str">
            <v>Denmark</v>
          </cell>
          <cell r="C1045">
            <v>1998</v>
          </cell>
          <cell r="D1045">
            <v>90</v>
          </cell>
          <cell r="E1045">
            <v>4099</v>
          </cell>
          <cell r="F1045">
            <v>90</v>
          </cell>
          <cell r="G1045">
            <v>2489449</v>
          </cell>
          <cell r="H1045" t="str">
            <v>;;=SUM(F47:G47);</v>
          </cell>
          <cell r="I1045" t="str">
            <v>.</v>
          </cell>
        </row>
        <row r="1046">
          <cell r="A1046">
            <v>208</v>
          </cell>
          <cell r="B1046" t="str">
            <v>Denmark</v>
          </cell>
          <cell r="C1046">
            <v>1998</v>
          </cell>
          <cell r="D1046">
            <v>90</v>
          </cell>
          <cell r="E1046">
            <v>990000</v>
          </cell>
          <cell r="F1046">
            <v>90</v>
          </cell>
          <cell r="G1046">
            <v>0</v>
          </cell>
          <cell r="H1046" t="str">
            <v>n;</v>
          </cell>
          <cell r="I1046" t="str">
            <v>n</v>
          </cell>
        </row>
        <row r="1047">
          <cell r="A1047">
            <v>36</v>
          </cell>
          <cell r="B1047" t="str">
            <v>Australia</v>
          </cell>
          <cell r="C1047">
            <v>1998</v>
          </cell>
          <cell r="D1047">
            <v>90</v>
          </cell>
          <cell r="E1047">
            <v>900000</v>
          </cell>
          <cell r="F1047">
            <v>90</v>
          </cell>
          <cell r="G1047">
            <v>18623034</v>
          </cell>
          <cell r="H1047" t="str">
            <v>;;=SUM(F11:G11);</v>
          </cell>
          <cell r="I1047" t="str">
            <v>.</v>
          </cell>
        </row>
        <row r="1048">
          <cell r="A1048">
            <v>36</v>
          </cell>
          <cell r="B1048" t="str">
            <v>Australia</v>
          </cell>
          <cell r="C1048">
            <v>1998</v>
          </cell>
          <cell r="D1048">
            <v>90</v>
          </cell>
          <cell r="E1048">
            <v>300</v>
          </cell>
          <cell r="F1048">
            <v>90</v>
          </cell>
          <cell r="G1048">
            <v>766376</v>
          </cell>
          <cell r="H1048" t="str">
            <v>;;=SUM(F12:G12);</v>
          </cell>
          <cell r="I1048" t="str">
            <v>.</v>
          </cell>
        </row>
        <row r="1049">
          <cell r="A1049">
            <v>36</v>
          </cell>
          <cell r="B1049" t="str">
            <v>Australia</v>
          </cell>
          <cell r="C1049">
            <v>1998</v>
          </cell>
          <cell r="D1049">
            <v>90</v>
          </cell>
          <cell r="E1049">
            <v>303</v>
          </cell>
          <cell r="F1049">
            <v>90</v>
          </cell>
          <cell r="G1049">
            <v>261445</v>
          </cell>
          <cell r="H1049" t="str">
            <v>;;=SUM(F13:G13);</v>
          </cell>
          <cell r="I1049" t="str">
            <v>.</v>
          </cell>
        </row>
        <row r="1050">
          <cell r="A1050">
            <v>36</v>
          </cell>
          <cell r="B1050" t="str">
            <v>Australia</v>
          </cell>
          <cell r="C1050">
            <v>1998</v>
          </cell>
          <cell r="D1050">
            <v>90</v>
          </cell>
          <cell r="E1050">
            <v>404</v>
          </cell>
          <cell r="F1050">
            <v>90</v>
          </cell>
          <cell r="G1050">
            <v>262334</v>
          </cell>
          <cell r="H1050" t="str">
            <v>;;=SUM(F14:G14);</v>
          </cell>
          <cell r="I1050" t="str">
            <v>.</v>
          </cell>
        </row>
        <row r="1051">
          <cell r="A1051">
            <v>36</v>
          </cell>
          <cell r="B1051" t="str">
            <v>Australia</v>
          </cell>
          <cell r="C1051">
            <v>1998</v>
          </cell>
          <cell r="D1051">
            <v>90</v>
          </cell>
          <cell r="E1051">
            <v>505</v>
          </cell>
          <cell r="F1051">
            <v>90</v>
          </cell>
          <cell r="G1051">
            <v>262670</v>
          </cell>
          <cell r="H1051" t="str">
            <v>;;=SUM(F15:G15);</v>
          </cell>
          <cell r="I1051" t="str">
            <v>.</v>
          </cell>
        </row>
        <row r="1052">
          <cell r="A1052">
            <v>36</v>
          </cell>
          <cell r="B1052" t="str">
            <v>Australia</v>
          </cell>
          <cell r="C1052">
            <v>1998</v>
          </cell>
          <cell r="D1052">
            <v>90</v>
          </cell>
          <cell r="E1052">
            <v>606</v>
          </cell>
          <cell r="F1052">
            <v>90</v>
          </cell>
          <cell r="G1052">
            <v>264814</v>
          </cell>
          <cell r="H1052" t="str">
            <v>;;=SUM(F16:G16);</v>
          </cell>
          <cell r="I1052" t="str">
            <v>.</v>
          </cell>
        </row>
        <row r="1053">
          <cell r="A1053">
            <v>36</v>
          </cell>
          <cell r="B1053" t="str">
            <v>Australia</v>
          </cell>
          <cell r="C1053">
            <v>1998</v>
          </cell>
          <cell r="D1053">
            <v>90</v>
          </cell>
          <cell r="E1053">
            <v>707</v>
          </cell>
          <cell r="F1053">
            <v>90</v>
          </cell>
          <cell r="G1053">
            <v>267170</v>
          </cell>
          <cell r="H1053" t="str">
            <v>;;=SUM(F17:G17);</v>
          </cell>
          <cell r="I1053" t="str">
            <v>.</v>
          </cell>
        </row>
        <row r="1054">
          <cell r="A1054">
            <v>36</v>
          </cell>
          <cell r="B1054" t="str">
            <v>Australia</v>
          </cell>
          <cell r="C1054">
            <v>1998</v>
          </cell>
          <cell r="D1054">
            <v>90</v>
          </cell>
          <cell r="E1054">
            <v>808</v>
          </cell>
          <cell r="F1054">
            <v>90</v>
          </cell>
          <cell r="G1054">
            <v>264264</v>
          </cell>
          <cell r="H1054" t="str">
            <v>;;=SUM(F18:G18);</v>
          </cell>
          <cell r="I1054" t="str">
            <v>.</v>
          </cell>
        </row>
        <row r="1055">
          <cell r="A1055">
            <v>36</v>
          </cell>
          <cell r="B1055" t="str">
            <v>Australia</v>
          </cell>
          <cell r="C1055">
            <v>1998</v>
          </cell>
          <cell r="D1055">
            <v>90</v>
          </cell>
          <cell r="E1055">
            <v>909</v>
          </cell>
          <cell r="F1055">
            <v>90</v>
          </cell>
          <cell r="G1055">
            <v>260493</v>
          </cell>
          <cell r="H1055" t="str">
            <v>;;=SUM(F19:G19);</v>
          </cell>
          <cell r="I1055" t="str">
            <v>.</v>
          </cell>
        </row>
        <row r="1056">
          <cell r="A1056">
            <v>36</v>
          </cell>
          <cell r="B1056" t="str">
            <v>Australia</v>
          </cell>
          <cell r="C1056">
            <v>1998</v>
          </cell>
          <cell r="D1056">
            <v>90</v>
          </cell>
          <cell r="E1056">
            <v>509</v>
          </cell>
          <cell r="F1056">
            <v>90</v>
          </cell>
          <cell r="G1056">
            <v>1319411</v>
          </cell>
          <cell r="H1056" t="str">
            <v>;;=SUM(F20:G20);</v>
          </cell>
          <cell r="I1056" t="str">
            <v>.</v>
          </cell>
        </row>
        <row r="1057">
          <cell r="A1057">
            <v>36</v>
          </cell>
          <cell r="B1057" t="str">
            <v>Australia</v>
          </cell>
          <cell r="C1057">
            <v>1998</v>
          </cell>
          <cell r="D1057">
            <v>90</v>
          </cell>
          <cell r="E1057">
            <v>1010</v>
          </cell>
          <cell r="F1057">
            <v>90</v>
          </cell>
          <cell r="G1057">
            <v>259444</v>
          </cell>
          <cell r="H1057" t="str">
            <v>;;=SUM(F21:G21);</v>
          </cell>
          <cell r="I1057" t="str">
            <v>.</v>
          </cell>
        </row>
        <row r="1058">
          <cell r="A1058">
            <v>36</v>
          </cell>
          <cell r="B1058" t="str">
            <v>Australia</v>
          </cell>
          <cell r="C1058">
            <v>1998</v>
          </cell>
          <cell r="D1058">
            <v>90</v>
          </cell>
          <cell r="E1058">
            <v>1111</v>
          </cell>
          <cell r="F1058">
            <v>90</v>
          </cell>
          <cell r="G1058">
            <v>261214</v>
          </cell>
          <cell r="H1058" t="str">
            <v>;;=SUM(F22:G22);</v>
          </cell>
          <cell r="I1058" t="str">
            <v>.</v>
          </cell>
        </row>
        <row r="1059">
          <cell r="A1059">
            <v>36</v>
          </cell>
          <cell r="B1059" t="str">
            <v>Australia</v>
          </cell>
          <cell r="C1059">
            <v>1998</v>
          </cell>
          <cell r="D1059">
            <v>90</v>
          </cell>
          <cell r="E1059">
            <v>1212</v>
          </cell>
          <cell r="F1059">
            <v>90</v>
          </cell>
          <cell r="G1059">
            <v>262982</v>
          </cell>
          <cell r="H1059" t="str">
            <v>;;=SUM(F23:G23);</v>
          </cell>
          <cell r="I1059" t="str">
            <v>.</v>
          </cell>
        </row>
        <row r="1060">
          <cell r="A1060">
            <v>36</v>
          </cell>
          <cell r="B1060" t="str">
            <v>Australia</v>
          </cell>
          <cell r="C1060">
            <v>1998</v>
          </cell>
          <cell r="D1060">
            <v>90</v>
          </cell>
          <cell r="E1060">
            <v>1313</v>
          </cell>
          <cell r="F1060">
            <v>90</v>
          </cell>
          <cell r="G1060">
            <v>263468</v>
          </cell>
          <cell r="H1060" t="str">
            <v>;;=SUM(F24:G24);</v>
          </cell>
          <cell r="I1060" t="str">
            <v>.</v>
          </cell>
        </row>
        <row r="1061">
          <cell r="A1061">
            <v>36</v>
          </cell>
          <cell r="B1061" t="str">
            <v>Australia</v>
          </cell>
          <cell r="C1061">
            <v>1998</v>
          </cell>
          <cell r="D1061">
            <v>90</v>
          </cell>
          <cell r="E1061">
            <v>1414</v>
          </cell>
          <cell r="F1061">
            <v>90</v>
          </cell>
          <cell r="G1061">
            <v>264958</v>
          </cell>
          <cell r="H1061" t="str">
            <v>;;=SUM(F25:G25);</v>
          </cell>
          <cell r="I1061" t="str">
            <v>.</v>
          </cell>
        </row>
        <row r="1062">
          <cell r="A1062">
            <v>36</v>
          </cell>
          <cell r="B1062" t="str">
            <v>Australia</v>
          </cell>
          <cell r="C1062">
            <v>1998</v>
          </cell>
          <cell r="D1062">
            <v>90</v>
          </cell>
          <cell r="E1062">
            <v>1014</v>
          </cell>
          <cell r="F1062">
            <v>90</v>
          </cell>
          <cell r="G1062">
            <v>1312066</v>
          </cell>
          <cell r="H1062" t="str">
            <v>;;=SUM(F26:G26);</v>
          </cell>
          <cell r="I1062" t="str">
            <v>.</v>
          </cell>
        </row>
        <row r="1063">
          <cell r="A1063">
            <v>36</v>
          </cell>
          <cell r="B1063" t="str">
            <v>Australia</v>
          </cell>
          <cell r="C1063">
            <v>1998</v>
          </cell>
          <cell r="D1063">
            <v>90</v>
          </cell>
          <cell r="E1063">
            <v>1515</v>
          </cell>
          <cell r="F1063">
            <v>90</v>
          </cell>
          <cell r="G1063">
            <v>264139</v>
          </cell>
          <cell r="H1063" t="str">
            <v>;;=SUM(F27:G27);</v>
          </cell>
          <cell r="I1063" t="str">
            <v>.</v>
          </cell>
        </row>
        <row r="1064">
          <cell r="A1064">
            <v>36</v>
          </cell>
          <cell r="B1064" t="str">
            <v>Australia</v>
          </cell>
          <cell r="C1064">
            <v>1998</v>
          </cell>
          <cell r="D1064">
            <v>90</v>
          </cell>
          <cell r="E1064">
            <v>1616</v>
          </cell>
          <cell r="F1064">
            <v>90</v>
          </cell>
          <cell r="G1064">
            <v>261729</v>
          </cell>
          <cell r="H1064" t="str">
            <v>;;=SUM(F28:G28);</v>
          </cell>
          <cell r="I1064" t="str">
            <v>.</v>
          </cell>
        </row>
        <row r="1065">
          <cell r="A1065">
            <v>36</v>
          </cell>
          <cell r="B1065" t="str">
            <v>Australia</v>
          </cell>
          <cell r="C1065">
            <v>1998</v>
          </cell>
          <cell r="D1065">
            <v>90</v>
          </cell>
          <cell r="E1065">
            <v>1717</v>
          </cell>
          <cell r="F1065">
            <v>90</v>
          </cell>
          <cell r="G1065">
            <v>259051</v>
          </cell>
          <cell r="H1065" t="str">
            <v>;;=SUM(F29:G29);</v>
          </cell>
          <cell r="I1065" t="str">
            <v>.</v>
          </cell>
        </row>
        <row r="1066">
          <cell r="A1066">
            <v>36</v>
          </cell>
          <cell r="B1066" t="str">
            <v>Australia</v>
          </cell>
          <cell r="C1066">
            <v>1998</v>
          </cell>
          <cell r="D1066">
            <v>90</v>
          </cell>
          <cell r="E1066">
            <v>1818</v>
          </cell>
          <cell r="F1066">
            <v>90</v>
          </cell>
          <cell r="G1066">
            <v>257562</v>
          </cell>
          <cell r="H1066" t="str">
            <v>;;=SUM(F30:G30);</v>
          </cell>
          <cell r="I1066" t="str">
            <v>.</v>
          </cell>
        </row>
        <row r="1067">
          <cell r="A1067">
            <v>36</v>
          </cell>
          <cell r="B1067" t="str">
            <v>Australia</v>
          </cell>
          <cell r="C1067">
            <v>1998</v>
          </cell>
          <cell r="D1067">
            <v>90</v>
          </cell>
          <cell r="E1067">
            <v>1919</v>
          </cell>
          <cell r="F1067">
            <v>90</v>
          </cell>
          <cell r="G1067">
            <v>259087</v>
          </cell>
          <cell r="H1067" t="str">
            <v>;;=SUM(F31:G31);</v>
          </cell>
          <cell r="I1067" t="str">
            <v>.</v>
          </cell>
        </row>
        <row r="1068">
          <cell r="A1068">
            <v>36</v>
          </cell>
          <cell r="B1068" t="str">
            <v>Australia</v>
          </cell>
          <cell r="C1068">
            <v>1998</v>
          </cell>
          <cell r="D1068">
            <v>90</v>
          </cell>
          <cell r="E1068">
            <v>1519</v>
          </cell>
          <cell r="F1068">
            <v>90</v>
          </cell>
          <cell r="G1068">
            <v>1301568</v>
          </cell>
          <cell r="H1068" t="str">
            <v>;;=SUM(F32:G32);</v>
          </cell>
          <cell r="I1068" t="str">
            <v>.</v>
          </cell>
        </row>
        <row r="1069">
          <cell r="A1069">
            <v>36</v>
          </cell>
          <cell r="B1069" t="str">
            <v>Australia</v>
          </cell>
          <cell r="C1069">
            <v>1998</v>
          </cell>
          <cell r="D1069">
            <v>90</v>
          </cell>
          <cell r="E1069">
            <v>2020</v>
          </cell>
          <cell r="F1069">
            <v>90</v>
          </cell>
          <cell r="G1069">
            <v>262233</v>
          </cell>
          <cell r="H1069" t="str">
            <v>;;=SUM(F33:G33);</v>
          </cell>
          <cell r="I1069" t="str">
            <v>.</v>
          </cell>
        </row>
        <row r="1070">
          <cell r="A1070">
            <v>36</v>
          </cell>
          <cell r="B1070" t="str">
            <v>Australia</v>
          </cell>
          <cell r="C1070">
            <v>1998</v>
          </cell>
          <cell r="D1070">
            <v>90</v>
          </cell>
          <cell r="E1070">
            <v>2121</v>
          </cell>
          <cell r="F1070">
            <v>90</v>
          </cell>
          <cell r="G1070">
            <v>265792</v>
          </cell>
          <cell r="H1070" t="str">
            <v>;;=SUM(F34:G34);</v>
          </cell>
          <cell r="I1070" t="str">
            <v>.</v>
          </cell>
        </row>
        <row r="1071">
          <cell r="A1071">
            <v>36</v>
          </cell>
          <cell r="B1071" t="str">
            <v>Australia</v>
          </cell>
          <cell r="C1071">
            <v>1998</v>
          </cell>
          <cell r="D1071">
            <v>90</v>
          </cell>
          <cell r="E1071">
            <v>2222</v>
          </cell>
          <cell r="F1071">
            <v>90</v>
          </cell>
          <cell r="G1071">
            <v>271484</v>
          </cell>
          <cell r="H1071" t="str">
            <v>;;=SUM(F35:G35);</v>
          </cell>
          <cell r="I1071" t="str">
            <v>.</v>
          </cell>
        </row>
        <row r="1072">
          <cell r="A1072">
            <v>36</v>
          </cell>
          <cell r="B1072" t="str">
            <v>Australia</v>
          </cell>
          <cell r="C1072">
            <v>1998</v>
          </cell>
          <cell r="D1072">
            <v>90</v>
          </cell>
          <cell r="E1072">
            <v>2323</v>
          </cell>
          <cell r="F1072">
            <v>90</v>
          </cell>
          <cell r="G1072">
            <v>277401</v>
          </cell>
          <cell r="H1072" t="str">
            <v>;;=SUM(F36:G36);</v>
          </cell>
          <cell r="I1072" t="str">
            <v>.</v>
          </cell>
        </row>
        <row r="1073">
          <cell r="A1073">
            <v>36</v>
          </cell>
          <cell r="B1073" t="str">
            <v>Australia</v>
          </cell>
          <cell r="C1073">
            <v>1998</v>
          </cell>
          <cell r="D1073">
            <v>90</v>
          </cell>
          <cell r="E1073">
            <v>2424</v>
          </cell>
          <cell r="F1073">
            <v>90</v>
          </cell>
          <cell r="G1073">
            <v>284115</v>
          </cell>
          <cell r="H1073" t="str">
            <v>;;=SUM(F37:G37);</v>
          </cell>
          <cell r="I1073" t="str">
            <v>.</v>
          </cell>
        </row>
        <row r="1074">
          <cell r="A1074">
            <v>36</v>
          </cell>
          <cell r="B1074" t="str">
            <v>Australia</v>
          </cell>
          <cell r="C1074">
            <v>1998</v>
          </cell>
          <cell r="D1074">
            <v>90</v>
          </cell>
          <cell r="E1074">
            <v>2024</v>
          </cell>
          <cell r="F1074">
            <v>90</v>
          </cell>
          <cell r="G1074">
            <v>1361025</v>
          </cell>
          <cell r="H1074" t="str">
            <v>;;=SUM(F38:G38);</v>
          </cell>
          <cell r="I1074" t="str">
            <v>.</v>
          </cell>
        </row>
        <row r="1075">
          <cell r="A1075">
            <v>36</v>
          </cell>
          <cell r="B1075" t="str">
            <v>Australia</v>
          </cell>
          <cell r="C1075">
            <v>1998</v>
          </cell>
          <cell r="D1075">
            <v>90</v>
          </cell>
          <cell r="E1075">
            <v>2525</v>
          </cell>
          <cell r="F1075">
            <v>90</v>
          </cell>
          <cell r="G1075">
            <v>294913</v>
          </cell>
          <cell r="H1075" t="str">
            <v>;;=SUM(F39:G39);</v>
          </cell>
          <cell r="I1075" t="str">
            <v>.</v>
          </cell>
        </row>
        <row r="1076">
          <cell r="A1076">
            <v>36</v>
          </cell>
          <cell r="B1076" t="str">
            <v>Australia</v>
          </cell>
          <cell r="C1076">
            <v>1998</v>
          </cell>
          <cell r="D1076">
            <v>90</v>
          </cell>
          <cell r="E1076">
            <v>2626</v>
          </cell>
          <cell r="F1076">
            <v>90</v>
          </cell>
          <cell r="G1076">
            <v>303568</v>
          </cell>
          <cell r="H1076" t="str">
            <v>;;=SUM(F40:G40);</v>
          </cell>
          <cell r="I1076" t="str">
            <v>.</v>
          </cell>
        </row>
        <row r="1077">
          <cell r="A1077">
            <v>36</v>
          </cell>
          <cell r="B1077" t="str">
            <v>Australia</v>
          </cell>
          <cell r="C1077">
            <v>1998</v>
          </cell>
          <cell r="D1077">
            <v>90</v>
          </cell>
          <cell r="E1077">
            <v>2727</v>
          </cell>
          <cell r="F1077">
            <v>90</v>
          </cell>
          <cell r="G1077">
            <v>296764</v>
          </cell>
          <cell r="H1077" t="str">
            <v>;;=SUM(F41:G41);</v>
          </cell>
          <cell r="I1077" t="str">
            <v>.</v>
          </cell>
        </row>
        <row r="1078">
          <cell r="A1078">
            <v>36</v>
          </cell>
          <cell r="B1078" t="str">
            <v>Australia</v>
          </cell>
          <cell r="C1078">
            <v>1998</v>
          </cell>
          <cell r="D1078">
            <v>90</v>
          </cell>
          <cell r="E1078">
            <v>2828</v>
          </cell>
          <cell r="F1078">
            <v>90</v>
          </cell>
          <cell r="G1078">
            <v>286039</v>
          </cell>
          <cell r="H1078" t="str">
            <v>;;=SUM(F42:G42);</v>
          </cell>
          <cell r="I1078" t="str">
            <v>.</v>
          </cell>
        </row>
        <row r="1079">
          <cell r="A1079">
            <v>36</v>
          </cell>
          <cell r="B1079" t="str">
            <v>Australia</v>
          </cell>
          <cell r="C1079">
            <v>1998</v>
          </cell>
          <cell r="D1079">
            <v>90</v>
          </cell>
          <cell r="E1079">
            <v>2929</v>
          </cell>
          <cell r="F1079">
            <v>90</v>
          </cell>
          <cell r="G1079">
            <v>281316</v>
          </cell>
          <cell r="H1079" t="str">
            <v>;;=SUM(F43:G43);</v>
          </cell>
          <cell r="I1079" t="str">
            <v>.</v>
          </cell>
        </row>
        <row r="1080">
          <cell r="A1080">
            <v>36</v>
          </cell>
          <cell r="B1080" t="str">
            <v>Australia</v>
          </cell>
          <cell r="C1080">
            <v>1998</v>
          </cell>
          <cell r="D1080">
            <v>90</v>
          </cell>
          <cell r="E1080">
            <v>2529</v>
          </cell>
          <cell r="F1080">
            <v>90</v>
          </cell>
          <cell r="G1080">
            <v>1462600</v>
          </cell>
          <cell r="H1080" t="str">
            <v>;;=SUM(F44:G44);</v>
          </cell>
          <cell r="I1080" t="str">
            <v>.</v>
          </cell>
        </row>
        <row r="1081">
          <cell r="A1081">
            <v>36</v>
          </cell>
          <cell r="B1081" t="str">
            <v>Australia</v>
          </cell>
          <cell r="C1081">
            <v>1998</v>
          </cell>
          <cell r="D1081">
            <v>90</v>
          </cell>
          <cell r="E1081">
            <v>3034</v>
          </cell>
          <cell r="F1081">
            <v>90</v>
          </cell>
          <cell r="G1081">
            <v>1417849</v>
          </cell>
          <cell r="H1081" t="str">
            <v>;;=SUM(F45:G45);</v>
          </cell>
          <cell r="I1081" t="str">
            <v>.</v>
          </cell>
        </row>
        <row r="1082">
          <cell r="A1082">
            <v>36</v>
          </cell>
          <cell r="B1082" t="str">
            <v>Australia</v>
          </cell>
          <cell r="C1082">
            <v>1998</v>
          </cell>
          <cell r="D1082">
            <v>90</v>
          </cell>
          <cell r="E1082">
            <v>3539</v>
          </cell>
          <cell r="F1082">
            <v>90</v>
          </cell>
          <cell r="G1082">
            <v>1486366</v>
          </cell>
          <cell r="H1082" t="str">
            <v>;;=SUM(F46:G46);</v>
          </cell>
          <cell r="I1082" t="str">
            <v>.</v>
          </cell>
        </row>
        <row r="1083">
          <cell r="A1083">
            <v>36</v>
          </cell>
          <cell r="B1083" t="str">
            <v>Australia</v>
          </cell>
          <cell r="C1083">
            <v>1998</v>
          </cell>
          <cell r="D1083">
            <v>90</v>
          </cell>
          <cell r="E1083">
            <v>4099</v>
          </cell>
          <cell r="F1083">
            <v>90</v>
          </cell>
          <cell r="G1083">
            <v>7671994</v>
          </cell>
          <cell r="H1083" t="str">
            <v>;;=SUM(F47:G47);</v>
          </cell>
          <cell r="I1083" t="str">
            <v>.</v>
          </cell>
        </row>
        <row r="1084">
          <cell r="A1084">
            <v>36</v>
          </cell>
          <cell r="B1084" t="str">
            <v>Australia</v>
          </cell>
          <cell r="C1084">
            <v>1998</v>
          </cell>
          <cell r="D1084">
            <v>90</v>
          </cell>
          <cell r="E1084">
            <v>990000</v>
          </cell>
          <cell r="F1084">
            <v>90</v>
          </cell>
          <cell r="G1084">
            <v>0</v>
          </cell>
          <cell r="H1084" t="str">
            <v>n;</v>
          </cell>
          <cell r="I1084" t="str">
            <v>n</v>
          </cell>
        </row>
        <row r="1085">
          <cell r="A1085">
            <v>826</v>
          </cell>
          <cell r="B1085" t="str">
            <v>United Kingdom</v>
          </cell>
          <cell r="C1085">
            <v>1998</v>
          </cell>
          <cell r="D1085">
            <v>90</v>
          </cell>
          <cell r="E1085">
            <v>900000</v>
          </cell>
          <cell r="F1085">
            <v>90</v>
          </cell>
          <cell r="G1085">
            <v>58325068.58177375</v>
          </cell>
          <cell r="H1085" t="str">
            <v>;;=SUM(F11:G11);</v>
          </cell>
          <cell r="I1085" t="str">
            <v>.</v>
          </cell>
        </row>
        <row r="1086">
          <cell r="A1086">
            <v>826</v>
          </cell>
          <cell r="B1086" t="str">
            <v>United Kingdom</v>
          </cell>
          <cell r="C1086">
            <v>1998</v>
          </cell>
          <cell r="D1086">
            <v>90</v>
          </cell>
          <cell r="E1086">
            <v>300</v>
          </cell>
          <cell r="F1086">
            <v>90</v>
          </cell>
          <cell r="G1086">
            <v>1454440.9154947808</v>
          </cell>
          <cell r="H1086" t="str">
            <v>;;=SUM(F12:G12);</v>
          </cell>
          <cell r="I1086" t="str">
            <v>.</v>
          </cell>
        </row>
        <row r="1087">
          <cell r="A1087">
            <v>826</v>
          </cell>
          <cell r="B1087" t="str">
            <v>United Kingdom</v>
          </cell>
          <cell r="C1087">
            <v>1998</v>
          </cell>
          <cell r="D1087">
            <v>90</v>
          </cell>
          <cell r="E1087">
            <v>303</v>
          </cell>
          <cell r="F1087">
            <v>90</v>
          </cell>
          <cell r="G1087">
            <v>756578.94446491811</v>
          </cell>
          <cell r="H1087" t="str">
            <v>;;=SUM(F13:G13);</v>
          </cell>
          <cell r="I1087" t="str">
            <v>.</v>
          </cell>
        </row>
        <row r="1088">
          <cell r="A1088">
            <v>826</v>
          </cell>
          <cell r="B1088" t="str">
            <v>United Kingdom</v>
          </cell>
          <cell r="C1088">
            <v>1998</v>
          </cell>
          <cell r="D1088">
            <v>90</v>
          </cell>
          <cell r="E1088">
            <v>404</v>
          </cell>
          <cell r="F1088">
            <v>90</v>
          </cell>
          <cell r="G1088">
            <v>757684.91908370331</v>
          </cell>
          <cell r="H1088" t="str">
            <v>;;=SUM(F14:G14);</v>
          </cell>
          <cell r="I1088" t="str">
            <v>.</v>
          </cell>
        </row>
        <row r="1089">
          <cell r="A1089">
            <v>826</v>
          </cell>
          <cell r="B1089" t="str">
            <v>United Kingdom</v>
          </cell>
          <cell r="C1089">
            <v>1998</v>
          </cell>
          <cell r="D1089">
            <v>90</v>
          </cell>
          <cell r="E1089">
            <v>505</v>
          </cell>
          <cell r="F1089">
            <v>90</v>
          </cell>
          <cell r="G1089">
            <v>787565.81847944472</v>
          </cell>
          <cell r="H1089" t="str">
            <v>;;=SUM(F15:G15);</v>
          </cell>
          <cell r="I1089" t="str">
            <v>.</v>
          </cell>
        </row>
        <row r="1090">
          <cell r="A1090">
            <v>826</v>
          </cell>
          <cell r="B1090" t="str">
            <v>United Kingdom</v>
          </cell>
          <cell r="C1090">
            <v>1998</v>
          </cell>
          <cell r="D1090">
            <v>90</v>
          </cell>
          <cell r="E1090">
            <v>606</v>
          </cell>
          <cell r="F1090">
            <v>90</v>
          </cell>
          <cell r="G1090">
            <v>796722.59804956522</v>
          </cell>
          <cell r="H1090" t="str">
            <v>;;=SUM(F16:G16);</v>
          </cell>
          <cell r="I1090" t="str">
            <v>.</v>
          </cell>
        </row>
        <row r="1091">
          <cell r="A1091">
            <v>826</v>
          </cell>
          <cell r="B1091" t="str">
            <v>United Kingdom</v>
          </cell>
          <cell r="C1091">
            <v>1998</v>
          </cell>
          <cell r="D1091">
            <v>90</v>
          </cell>
          <cell r="E1091">
            <v>707</v>
          </cell>
          <cell r="F1091">
            <v>90</v>
          </cell>
          <cell r="G1091">
            <v>786433.60572457209</v>
          </cell>
          <cell r="H1091" t="str">
            <v>;;=SUM(F17:G17);</v>
          </cell>
          <cell r="I1091" t="str">
            <v>.</v>
          </cell>
        </row>
        <row r="1092">
          <cell r="A1092">
            <v>826</v>
          </cell>
          <cell r="B1092" t="str">
            <v>United Kingdom</v>
          </cell>
          <cell r="C1092">
            <v>1998</v>
          </cell>
          <cell r="D1092">
            <v>90</v>
          </cell>
          <cell r="E1092">
            <v>808</v>
          </cell>
          <cell r="F1092">
            <v>90</v>
          </cell>
          <cell r="G1092">
            <v>775899.3717534265</v>
          </cell>
          <cell r="H1092" t="str">
            <v>;;=SUM(F18:G18);</v>
          </cell>
          <cell r="I1092" t="str">
            <v>.</v>
          </cell>
        </row>
        <row r="1093">
          <cell r="A1093">
            <v>826</v>
          </cell>
          <cell r="B1093" t="str">
            <v>United Kingdom</v>
          </cell>
          <cell r="C1093">
            <v>1998</v>
          </cell>
          <cell r="D1093">
            <v>90</v>
          </cell>
          <cell r="E1093">
            <v>909</v>
          </cell>
          <cell r="F1093">
            <v>90</v>
          </cell>
          <cell r="G1093">
            <v>789378.97692827729</v>
          </cell>
          <cell r="H1093" t="str">
            <v>;;=SUM(F19:G19);</v>
          </cell>
          <cell r="I1093" t="str">
            <v>.</v>
          </cell>
        </row>
        <row r="1094">
          <cell r="A1094">
            <v>826</v>
          </cell>
          <cell r="B1094" t="str">
            <v>United Kingdom</v>
          </cell>
          <cell r="C1094">
            <v>1998</v>
          </cell>
          <cell r="D1094">
            <v>90</v>
          </cell>
          <cell r="E1094">
            <v>509</v>
          </cell>
          <cell r="F1094">
            <v>90</v>
          </cell>
          <cell r="G1094">
            <v>3936000.3709352855</v>
          </cell>
          <cell r="H1094" t="str">
            <v>;;=SUM(F20:G20);</v>
          </cell>
          <cell r="I1094" t="str">
            <v>.</v>
          </cell>
        </row>
        <row r="1095">
          <cell r="A1095">
            <v>826</v>
          </cell>
          <cell r="B1095" t="str">
            <v>United Kingdom</v>
          </cell>
          <cell r="C1095">
            <v>1998</v>
          </cell>
          <cell r="D1095">
            <v>90</v>
          </cell>
          <cell r="E1095">
            <v>1010</v>
          </cell>
          <cell r="F1095">
            <v>90</v>
          </cell>
          <cell r="G1095">
            <v>769316.77162760112</v>
          </cell>
          <cell r="H1095" t="str">
            <v>;;=SUM(F21:G21);</v>
          </cell>
          <cell r="I1095" t="str">
            <v>.</v>
          </cell>
        </row>
        <row r="1096">
          <cell r="A1096">
            <v>826</v>
          </cell>
          <cell r="B1096" t="str">
            <v>United Kingdom</v>
          </cell>
          <cell r="C1096">
            <v>1998</v>
          </cell>
          <cell r="D1096">
            <v>90</v>
          </cell>
          <cell r="E1096">
            <v>1111</v>
          </cell>
          <cell r="F1096">
            <v>90</v>
          </cell>
          <cell r="G1096">
            <v>755934.93822702835</v>
          </cell>
          <cell r="H1096" t="str">
            <v>;;=SUM(F22:G22);</v>
          </cell>
          <cell r="I1096" t="str">
            <v>.</v>
          </cell>
        </row>
        <row r="1097">
          <cell r="A1097">
            <v>826</v>
          </cell>
          <cell r="B1097" t="str">
            <v>United Kingdom</v>
          </cell>
          <cell r="C1097">
            <v>1998</v>
          </cell>
          <cell r="D1097">
            <v>90</v>
          </cell>
          <cell r="E1097">
            <v>1212</v>
          </cell>
          <cell r="F1097">
            <v>90</v>
          </cell>
          <cell r="G1097">
            <v>756339.22565090528</v>
          </cell>
          <cell r="H1097" t="str">
            <v>;;=SUM(F23:G23);</v>
          </cell>
          <cell r="I1097" t="str">
            <v>.</v>
          </cell>
        </row>
        <row r="1098">
          <cell r="A1098">
            <v>826</v>
          </cell>
          <cell r="B1098" t="str">
            <v>United Kingdom</v>
          </cell>
          <cell r="C1098">
            <v>1998</v>
          </cell>
          <cell r="D1098">
            <v>90</v>
          </cell>
          <cell r="E1098">
            <v>1313</v>
          </cell>
          <cell r="F1098">
            <v>90</v>
          </cell>
          <cell r="G1098">
            <v>728392.27788295329</v>
          </cell>
          <cell r="H1098" t="str">
            <v>;;=SUM(F24:G24);</v>
          </cell>
          <cell r="I1098" t="str">
            <v>.</v>
          </cell>
        </row>
        <row r="1099">
          <cell r="A1099">
            <v>826</v>
          </cell>
          <cell r="B1099" t="str">
            <v>United Kingdom</v>
          </cell>
          <cell r="C1099">
            <v>1998</v>
          </cell>
          <cell r="D1099">
            <v>90</v>
          </cell>
          <cell r="E1099">
            <v>1414</v>
          </cell>
          <cell r="F1099">
            <v>90</v>
          </cell>
          <cell r="G1099">
            <v>730618.51425246545</v>
          </cell>
          <cell r="H1099" t="str">
            <v>;;=SUM(F25:G25);</v>
          </cell>
          <cell r="I1099" t="str">
            <v>.</v>
          </cell>
        </row>
        <row r="1100">
          <cell r="A1100">
            <v>826</v>
          </cell>
          <cell r="B1100" t="str">
            <v>United Kingdom</v>
          </cell>
          <cell r="C1100">
            <v>1998</v>
          </cell>
          <cell r="D1100">
            <v>90</v>
          </cell>
          <cell r="E1100">
            <v>1014</v>
          </cell>
          <cell r="F1100">
            <v>90</v>
          </cell>
          <cell r="G1100">
            <v>3740601.7276409534</v>
          </cell>
          <cell r="H1100" t="str">
            <v>;;=SUM(F26:G26);</v>
          </cell>
          <cell r="I1100" t="str">
            <v>.</v>
          </cell>
        </row>
        <row r="1101">
          <cell r="A1101">
            <v>826</v>
          </cell>
          <cell r="B1101" t="str">
            <v>United Kingdom</v>
          </cell>
          <cell r="C1101">
            <v>1998</v>
          </cell>
          <cell r="D1101">
            <v>90</v>
          </cell>
          <cell r="E1101">
            <v>1515</v>
          </cell>
          <cell r="F1101">
            <v>90</v>
          </cell>
          <cell r="G1101">
            <v>725285.66500930907</v>
          </cell>
          <cell r="H1101" t="str">
            <v>;;=SUM(F27:G27);</v>
          </cell>
          <cell r="I1101" t="str">
            <v>.</v>
          </cell>
        </row>
        <row r="1102">
          <cell r="A1102">
            <v>826</v>
          </cell>
          <cell r="B1102" t="str">
            <v>United Kingdom</v>
          </cell>
          <cell r="C1102">
            <v>1998</v>
          </cell>
          <cell r="D1102">
            <v>90</v>
          </cell>
          <cell r="E1102">
            <v>1616</v>
          </cell>
          <cell r="F1102">
            <v>90</v>
          </cell>
          <cell r="G1102">
            <v>740598.30870614748</v>
          </cell>
          <cell r="H1102" t="str">
            <v>;;=SUM(F28:G28);</v>
          </cell>
          <cell r="I1102" t="str">
            <v>.</v>
          </cell>
        </row>
        <row r="1103">
          <cell r="A1103">
            <v>826</v>
          </cell>
          <cell r="B1103" t="str">
            <v>United Kingdom</v>
          </cell>
          <cell r="C1103">
            <v>1998</v>
          </cell>
          <cell r="D1103">
            <v>90</v>
          </cell>
          <cell r="E1103">
            <v>1717</v>
          </cell>
          <cell r="F1103">
            <v>90</v>
          </cell>
          <cell r="G1103">
            <v>750124.73443811666</v>
          </cell>
          <cell r="H1103" t="str">
            <v>;;=SUM(F29:G29);</v>
          </cell>
          <cell r="I1103" t="str">
            <v>.</v>
          </cell>
        </row>
        <row r="1104">
          <cell r="A1104">
            <v>826</v>
          </cell>
          <cell r="B1104" t="str">
            <v>United Kingdom</v>
          </cell>
          <cell r="C1104">
            <v>1998</v>
          </cell>
          <cell r="D1104">
            <v>90</v>
          </cell>
          <cell r="E1104">
            <v>1818</v>
          </cell>
          <cell r="F1104">
            <v>90</v>
          </cell>
          <cell r="G1104">
            <v>730953.32727544429</v>
          </cell>
          <cell r="H1104" t="str">
            <v>;;=SUM(F30:G30);</v>
          </cell>
          <cell r="I1104" t="str">
            <v>.</v>
          </cell>
        </row>
        <row r="1105">
          <cell r="A1105">
            <v>826</v>
          </cell>
          <cell r="B1105" t="str">
            <v>United Kingdom</v>
          </cell>
          <cell r="C1105">
            <v>1998</v>
          </cell>
          <cell r="D1105">
            <v>90</v>
          </cell>
          <cell r="E1105">
            <v>1919</v>
          </cell>
          <cell r="F1105">
            <v>90</v>
          </cell>
          <cell r="G1105">
            <v>673790.38792081038</v>
          </cell>
          <cell r="H1105" t="str">
            <v>;;=SUM(F31:G31);</v>
          </cell>
          <cell r="I1105" t="str">
            <v>.</v>
          </cell>
        </row>
        <row r="1106">
          <cell r="A1106">
            <v>826</v>
          </cell>
          <cell r="B1106" t="str">
            <v>United Kingdom</v>
          </cell>
          <cell r="C1106">
            <v>1998</v>
          </cell>
          <cell r="D1106">
            <v>90</v>
          </cell>
          <cell r="E1106">
            <v>1519</v>
          </cell>
          <cell r="F1106">
            <v>90</v>
          </cell>
          <cell r="G1106">
            <v>3620752.423349828</v>
          </cell>
          <cell r="H1106" t="str">
            <v>;;=SUM(F32:G32);</v>
          </cell>
          <cell r="I1106" t="str">
            <v>.</v>
          </cell>
        </row>
        <row r="1107">
          <cell r="A1107">
            <v>826</v>
          </cell>
          <cell r="B1107" t="str">
            <v>United Kingdom</v>
          </cell>
          <cell r="C1107">
            <v>1998</v>
          </cell>
          <cell r="D1107">
            <v>90</v>
          </cell>
          <cell r="E1107">
            <v>2020</v>
          </cell>
          <cell r="F1107">
            <v>90</v>
          </cell>
          <cell r="G1107">
            <v>660578.0018557891</v>
          </cell>
          <cell r="H1107" t="str">
            <v>;;=SUM(F33:G33);</v>
          </cell>
          <cell r="I1107" t="str">
            <v>.</v>
          </cell>
        </row>
        <row r="1108">
          <cell r="A1108">
            <v>826</v>
          </cell>
          <cell r="B1108" t="str">
            <v>United Kingdom</v>
          </cell>
          <cell r="C1108">
            <v>1998</v>
          </cell>
          <cell r="D1108">
            <v>90</v>
          </cell>
          <cell r="E1108">
            <v>2121</v>
          </cell>
          <cell r="F1108">
            <v>90</v>
          </cell>
          <cell r="G1108">
            <v>690265.57302628201</v>
          </cell>
          <cell r="H1108" t="str">
            <v>;;=SUM(F34:G34);</v>
          </cell>
          <cell r="I1108" t="str">
            <v>.</v>
          </cell>
        </row>
        <row r="1109">
          <cell r="A1109">
            <v>826</v>
          </cell>
          <cell r="B1109" t="str">
            <v>United Kingdom</v>
          </cell>
          <cell r="C1109">
            <v>1998</v>
          </cell>
          <cell r="D1109">
            <v>90</v>
          </cell>
          <cell r="E1109">
            <v>2222</v>
          </cell>
          <cell r="F1109">
            <v>90</v>
          </cell>
          <cell r="G1109">
            <v>716986.56286063418</v>
          </cell>
          <cell r="H1109" t="str">
            <v>;;=SUM(F35:G35);</v>
          </cell>
          <cell r="I1109" t="str">
            <v>.</v>
          </cell>
        </row>
        <row r="1110">
          <cell r="A1110">
            <v>826</v>
          </cell>
          <cell r="B1110" t="str">
            <v>United Kingdom</v>
          </cell>
          <cell r="C1110">
            <v>1998</v>
          </cell>
          <cell r="D1110">
            <v>90</v>
          </cell>
          <cell r="E1110">
            <v>2323</v>
          </cell>
          <cell r="F1110">
            <v>90</v>
          </cell>
          <cell r="G1110">
            <v>749040.96156961785</v>
          </cell>
          <cell r="H1110" t="str">
            <v>;;=SUM(F36:G36);</v>
          </cell>
          <cell r="I1110" t="str">
            <v>.</v>
          </cell>
        </row>
        <row r="1111">
          <cell r="A1111">
            <v>826</v>
          </cell>
          <cell r="B1111" t="str">
            <v>United Kingdom</v>
          </cell>
          <cell r="C1111">
            <v>1998</v>
          </cell>
          <cell r="D1111">
            <v>90</v>
          </cell>
          <cell r="E1111">
            <v>2424</v>
          </cell>
          <cell r="F1111">
            <v>90</v>
          </cell>
          <cell r="G1111">
            <v>793396.34394512058</v>
          </cell>
          <cell r="H1111" t="str">
            <v>;;=SUM(F37:G37);</v>
          </cell>
          <cell r="I1111" t="str">
            <v>.</v>
          </cell>
        </row>
        <row r="1112">
          <cell r="A1112">
            <v>826</v>
          </cell>
          <cell r="B1112" t="str">
            <v>United Kingdom</v>
          </cell>
          <cell r="C1112">
            <v>1998</v>
          </cell>
          <cell r="D1112">
            <v>90</v>
          </cell>
          <cell r="E1112">
            <v>2024</v>
          </cell>
          <cell r="F1112">
            <v>90</v>
          </cell>
          <cell r="G1112">
            <v>3610267.4432574441</v>
          </cell>
          <cell r="H1112" t="str">
            <v>;;=SUM(F38:G38);</v>
          </cell>
          <cell r="I1112" t="str">
            <v>.</v>
          </cell>
        </row>
        <row r="1113">
          <cell r="A1113">
            <v>826</v>
          </cell>
          <cell r="B1113" t="str">
            <v>United Kingdom</v>
          </cell>
          <cell r="C1113">
            <v>1998</v>
          </cell>
          <cell r="D1113">
            <v>90</v>
          </cell>
          <cell r="E1113">
            <v>2525</v>
          </cell>
          <cell r="F1113">
            <v>90</v>
          </cell>
          <cell r="G1113">
            <v>843871.63014137966</v>
          </cell>
          <cell r="H1113" t="str">
            <v>;;=SUM(F39:G39);</v>
          </cell>
          <cell r="I1113" t="str">
            <v>.</v>
          </cell>
        </row>
        <row r="1114">
          <cell r="A1114">
            <v>826</v>
          </cell>
          <cell r="B1114" t="str">
            <v>United Kingdom</v>
          </cell>
          <cell r="C1114">
            <v>1998</v>
          </cell>
          <cell r="D1114">
            <v>90</v>
          </cell>
          <cell r="E1114">
            <v>2626</v>
          </cell>
          <cell r="F1114">
            <v>90</v>
          </cell>
          <cell r="G1114">
            <v>897114.06592255027</v>
          </cell>
          <cell r="H1114" t="str">
            <v>;;=SUM(F40:G40);</v>
          </cell>
          <cell r="I1114" t="str">
            <v>.</v>
          </cell>
        </row>
        <row r="1115">
          <cell r="A1115">
            <v>826</v>
          </cell>
          <cell r="B1115" t="str">
            <v>United Kingdom</v>
          </cell>
          <cell r="C1115">
            <v>1998</v>
          </cell>
          <cell r="D1115">
            <v>90</v>
          </cell>
          <cell r="E1115">
            <v>2727</v>
          </cell>
          <cell r="F1115">
            <v>90</v>
          </cell>
          <cell r="G1115">
            <v>889124.22074761405</v>
          </cell>
          <cell r="H1115" t="str">
            <v>;;=SUM(F41:G41);</v>
          </cell>
          <cell r="I1115" t="str">
            <v>.</v>
          </cell>
        </row>
        <row r="1116">
          <cell r="A1116">
            <v>826</v>
          </cell>
          <cell r="B1116" t="str">
            <v>United Kingdom</v>
          </cell>
          <cell r="C1116">
            <v>1998</v>
          </cell>
          <cell r="D1116">
            <v>90</v>
          </cell>
          <cell r="E1116">
            <v>2828</v>
          </cell>
          <cell r="F1116">
            <v>90</v>
          </cell>
          <cell r="G1116">
            <v>916228.26470844366</v>
          </cell>
          <cell r="H1116" t="str">
            <v>;;=SUM(F42:G42);</v>
          </cell>
          <cell r="I1116" t="str">
            <v>.</v>
          </cell>
        </row>
        <row r="1117">
          <cell r="A1117">
            <v>826</v>
          </cell>
          <cell r="B1117" t="str">
            <v>United Kingdom</v>
          </cell>
          <cell r="C1117">
            <v>1998</v>
          </cell>
          <cell r="D1117">
            <v>90</v>
          </cell>
          <cell r="E1117">
            <v>2929</v>
          </cell>
          <cell r="F1117">
            <v>90</v>
          </cell>
          <cell r="G1117">
            <v>931040.08444784908</v>
          </cell>
          <cell r="H1117" t="str">
            <v>;;=SUM(F43:G43);</v>
          </cell>
          <cell r="I1117" t="str">
            <v>.</v>
          </cell>
        </row>
        <row r="1118">
          <cell r="A1118">
            <v>826</v>
          </cell>
          <cell r="B1118" t="str">
            <v>United Kingdom</v>
          </cell>
          <cell r="C1118">
            <v>1998</v>
          </cell>
          <cell r="D1118">
            <v>90</v>
          </cell>
          <cell r="E1118">
            <v>2529</v>
          </cell>
          <cell r="F1118">
            <v>90</v>
          </cell>
          <cell r="G1118">
            <v>4477378.2659678366</v>
          </cell>
          <cell r="H1118" t="str">
            <v>;;=SUM(F44:G44);</v>
          </cell>
          <cell r="I1118" t="str">
            <v>.</v>
          </cell>
        </row>
        <row r="1119">
          <cell r="A1119">
            <v>826</v>
          </cell>
          <cell r="B1119" t="str">
            <v>United Kingdom</v>
          </cell>
          <cell r="C1119">
            <v>1998</v>
          </cell>
          <cell r="D1119">
            <v>90</v>
          </cell>
          <cell r="E1119">
            <v>3034</v>
          </cell>
          <cell r="F1119">
            <v>90</v>
          </cell>
          <cell r="G1119">
            <v>4862462.7382456809</v>
          </cell>
          <cell r="H1119" t="str">
            <v>;;=SUM(F45:G45);</v>
          </cell>
          <cell r="I1119" t="str">
            <v>.</v>
          </cell>
        </row>
        <row r="1120">
          <cell r="A1120">
            <v>826</v>
          </cell>
          <cell r="B1120" t="str">
            <v>United Kingdom</v>
          </cell>
          <cell r="C1120">
            <v>1998</v>
          </cell>
          <cell r="D1120">
            <v>90</v>
          </cell>
          <cell r="E1120">
            <v>3539</v>
          </cell>
          <cell r="F1120">
            <v>90</v>
          </cell>
          <cell r="G1120">
            <v>4448968.6666666679</v>
          </cell>
          <cell r="H1120" t="str">
            <v>;;=SUM(F46:G46);</v>
          </cell>
          <cell r="I1120" t="str">
            <v>.</v>
          </cell>
        </row>
        <row r="1121">
          <cell r="A1121">
            <v>826</v>
          </cell>
          <cell r="B1121" t="str">
            <v>United Kingdom</v>
          </cell>
          <cell r="C1121">
            <v>1998</v>
          </cell>
          <cell r="D1121">
            <v>90</v>
          </cell>
          <cell r="E1121">
            <v>4099</v>
          </cell>
          <cell r="F1121">
            <v>90</v>
          </cell>
          <cell r="G1121">
            <v>26659932.166666664</v>
          </cell>
          <cell r="H1121" t="str">
            <v>;;=SUM(F47:G47);</v>
          </cell>
          <cell r="I1121" t="str">
            <v>.</v>
          </cell>
        </row>
        <row r="1122">
          <cell r="A1122">
            <v>826</v>
          </cell>
          <cell r="B1122" t="str">
            <v>United Kingdom</v>
          </cell>
          <cell r="C1122">
            <v>1998</v>
          </cell>
          <cell r="D1122">
            <v>90</v>
          </cell>
          <cell r="E1122">
            <v>990000</v>
          </cell>
          <cell r="F1122">
            <v>90</v>
          </cell>
          <cell r="G1122">
            <v>0</v>
          </cell>
          <cell r="H1122" t="str">
            <v>n;</v>
          </cell>
          <cell r="I1122" t="str">
            <v>n</v>
          </cell>
        </row>
        <row r="1123">
          <cell r="A1123">
            <v>484</v>
          </cell>
          <cell r="B1123" t="str">
            <v>Mexico</v>
          </cell>
          <cell r="C1123">
            <v>1998</v>
          </cell>
          <cell r="D1123">
            <v>90</v>
          </cell>
          <cell r="E1123">
            <v>900000</v>
          </cell>
          <cell r="F1123">
            <v>90</v>
          </cell>
          <cell r="G1123">
            <v>95898809</v>
          </cell>
          <cell r="H1123" t="str">
            <v>;;=SUM(F11:G11);</v>
          </cell>
          <cell r="I1123" t="str">
            <v>.</v>
          </cell>
        </row>
        <row r="1124">
          <cell r="A1124">
            <v>484</v>
          </cell>
          <cell r="B1124" t="str">
            <v>Mexico</v>
          </cell>
          <cell r="C1124">
            <v>1998</v>
          </cell>
          <cell r="D1124">
            <v>90</v>
          </cell>
          <cell r="E1124">
            <v>300</v>
          </cell>
          <cell r="F1124">
            <v>90</v>
          </cell>
          <cell r="G1124">
            <v>6618857</v>
          </cell>
          <cell r="H1124" t="str">
            <v>;;=SUM(F12:G12);</v>
          </cell>
          <cell r="I1124" t="str">
            <v>.</v>
          </cell>
        </row>
        <row r="1125">
          <cell r="A1125">
            <v>392</v>
          </cell>
          <cell r="B1125" t="str">
            <v>Japan</v>
          </cell>
          <cell r="C1125">
            <v>1998</v>
          </cell>
          <cell r="D1125">
            <v>90</v>
          </cell>
          <cell r="E1125">
            <v>900000</v>
          </cell>
          <cell r="F1125">
            <v>90</v>
          </cell>
          <cell r="G1125">
            <v>126166000</v>
          </cell>
          <cell r="H1125" t="str">
            <v>;;=SUM(F11:G11);</v>
          </cell>
          <cell r="I1125" t="str">
            <v>.</v>
          </cell>
        </row>
        <row r="1126">
          <cell r="A1126">
            <v>392</v>
          </cell>
          <cell r="B1126" t="str">
            <v>Japan</v>
          </cell>
          <cell r="C1126">
            <v>1998</v>
          </cell>
          <cell r="D1126">
            <v>90</v>
          </cell>
          <cell r="E1126">
            <v>300</v>
          </cell>
          <cell r="F1126">
            <v>90</v>
          </cell>
          <cell r="G1126">
            <v>3573000</v>
          </cell>
          <cell r="H1126" t="str">
            <v>;;=SUM(F12:G12);</v>
          </cell>
          <cell r="I1126" t="str">
            <v>.</v>
          </cell>
        </row>
        <row r="1127">
          <cell r="A1127">
            <v>392</v>
          </cell>
          <cell r="B1127" t="str">
            <v>Japan</v>
          </cell>
          <cell r="C1127">
            <v>1998</v>
          </cell>
          <cell r="D1127">
            <v>90</v>
          </cell>
          <cell r="E1127">
            <v>303</v>
          </cell>
          <cell r="F1127">
            <v>90</v>
          </cell>
          <cell r="G1127">
            <v>1199000</v>
          </cell>
          <cell r="H1127" t="str">
            <v>;;=SUM(F13:G13);</v>
          </cell>
          <cell r="I1127" t="str">
            <v>.</v>
          </cell>
        </row>
        <row r="1128">
          <cell r="A1128">
            <v>392</v>
          </cell>
          <cell r="B1128" t="str">
            <v>Japan</v>
          </cell>
          <cell r="C1128">
            <v>1998</v>
          </cell>
          <cell r="D1128">
            <v>90</v>
          </cell>
          <cell r="E1128">
            <v>404</v>
          </cell>
          <cell r="F1128">
            <v>90</v>
          </cell>
          <cell r="G1128">
            <v>1184000</v>
          </cell>
          <cell r="H1128" t="str">
            <v>;;=SUM(F14:G14);</v>
          </cell>
          <cell r="I1128" t="str">
            <v>.</v>
          </cell>
        </row>
        <row r="1129">
          <cell r="A1129">
            <v>392</v>
          </cell>
          <cell r="B1129" t="str">
            <v>Japan</v>
          </cell>
          <cell r="C1129">
            <v>1998</v>
          </cell>
          <cell r="D1129">
            <v>90</v>
          </cell>
          <cell r="E1129">
            <v>505</v>
          </cell>
          <cell r="F1129">
            <v>90</v>
          </cell>
          <cell r="G1129">
            <v>1208000</v>
          </cell>
          <cell r="H1129" t="str">
            <v>;;=SUM(F15:G15);</v>
          </cell>
          <cell r="I1129" t="str">
            <v>.</v>
          </cell>
        </row>
        <row r="1130">
          <cell r="A1130">
            <v>392</v>
          </cell>
          <cell r="B1130" t="str">
            <v>Japan</v>
          </cell>
          <cell r="C1130">
            <v>1998</v>
          </cell>
          <cell r="D1130">
            <v>90</v>
          </cell>
          <cell r="E1130">
            <v>606</v>
          </cell>
          <cell r="F1130">
            <v>90</v>
          </cell>
          <cell r="G1130">
            <v>1210000</v>
          </cell>
          <cell r="H1130" t="str">
            <v>;;=SUM(F16:G16);</v>
          </cell>
          <cell r="I1130" t="str">
            <v>.</v>
          </cell>
        </row>
        <row r="1131">
          <cell r="A1131">
            <v>392</v>
          </cell>
          <cell r="B1131" t="str">
            <v>Japan</v>
          </cell>
          <cell r="C1131">
            <v>1998</v>
          </cell>
          <cell r="D1131">
            <v>90</v>
          </cell>
          <cell r="E1131">
            <v>707</v>
          </cell>
          <cell r="F1131">
            <v>90</v>
          </cell>
          <cell r="G1131">
            <v>1232000</v>
          </cell>
          <cell r="H1131" t="str">
            <v/>
          </cell>
          <cell r="I1131" t="str">
            <v>.</v>
          </cell>
        </row>
        <row r="1132">
          <cell r="A1132">
            <v>392</v>
          </cell>
          <cell r="B1132" t="str">
            <v>Japan</v>
          </cell>
          <cell r="C1132">
            <v>1998</v>
          </cell>
          <cell r="D1132">
            <v>90</v>
          </cell>
          <cell r="E1132">
            <v>808</v>
          </cell>
          <cell r="F1132">
            <v>90</v>
          </cell>
          <cell r="G1132">
            <v>1271000</v>
          </cell>
          <cell r="H1132" t="str">
            <v>;;=SUM(F18:G18);</v>
          </cell>
          <cell r="I1132" t="str">
            <v>.</v>
          </cell>
        </row>
        <row r="1133">
          <cell r="A1133">
            <v>392</v>
          </cell>
          <cell r="B1133" t="str">
            <v>Japan</v>
          </cell>
          <cell r="C1133">
            <v>1998</v>
          </cell>
          <cell r="D1133">
            <v>90</v>
          </cell>
          <cell r="E1133">
            <v>909</v>
          </cell>
          <cell r="F1133">
            <v>90</v>
          </cell>
          <cell r="G1133">
            <v>1313000</v>
          </cell>
          <cell r="H1133" t="str">
            <v>;;=SUM(F19:G19);</v>
          </cell>
          <cell r="I1133" t="str">
            <v>.</v>
          </cell>
        </row>
        <row r="1134">
          <cell r="A1134">
            <v>392</v>
          </cell>
          <cell r="B1134" t="str">
            <v>Japan</v>
          </cell>
          <cell r="C1134">
            <v>1998</v>
          </cell>
          <cell r="D1134">
            <v>90</v>
          </cell>
          <cell r="E1134">
            <v>509</v>
          </cell>
          <cell r="F1134">
            <v>90</v>
          </cell>
          <cell r="G1134">
            <v>6234000</v>
          </cell>
          <cell r="H1134" t="str">
            <v>;;=SUM(F20:G20);</v>
          </cell>
          <cell r="I1134" t="str">
            <v>.</v>
          </cell>
        </row>
        <row r="1135">
          <cell r="A1135">
            <v>392</v>
          </cell>
          <cell r="B1135" t="str">
            <v>Japan</v>
          </cell>
          <cell r="C1135">
            <v>1998</v>
          </cell>
          <cell r="D1135">
            <v>90</v>
          </cell>
          <cell r="E1135">
            <v>1010</v>
          </cell>
          <cell r="F1135">
            <v>90</v>
          </cell>
          <cell r="G1135">
            <v>1352000</v>
          </cell>
          <cell r="H1135" t="str">
            <v>;;=SUM(F21:G21);</v>
          </cell>
          <cell r="I1135" t="str">
            <v>.</v>
          </cell>
        </row>
        <row r="1136">
          <cell r="A1136">
            <v>392</v>
          </cell>
          <cell r="B1136" t="str">
            <v>Japan</v>
          </cell>
          <cell r="C1136">
            <v>1998</v>
          </cell>
          <cell r="D1136">
            <v>90</v>
          </cell>
          <cell r="E1136">
            <v>1111</v>
          </cell>
          <cell r="F1136">
            <v>90</v>
          </cell>
          <cell r="G1136">
            <v>1380000</v>
          </cell>
          <cell r="H1136" t="str">
            <v>;;=SUM(F22:G22);</v>
          </cell>
          <cell r="I1136" t="str">
            <v>.</v>
          </cell>
        </row>
        <row r="1137">
          <cell r="A1137">
            <v>392</v>
          </cell>
          <cell r="B1137" t="str">
            <v>Japan</v>
          </cell>
          <cell r="C1137">
            <v>1998</v>
          </cell>
          <cell r="D1137">
            <v>90</v>
          </cell>
          <cell r="E1137">
            <v>1212</v>
          </cell>
          <cell r="F1137">
            <v>90</v>
          </cell>
          <cell r="G1137">
            <v>1441000</v>
          </cell>
          <cell r="H1137" t="str">
            <v>;;=SUM(F23:G23);</v>
          </cell>
          <cell r="I1137" t="str">
            <v>.</v>
          </cell>
        </row>
        <row r="1138">
          <cell r="A1138">
            <v>392</v>
          </cell>
          <cell r="B1138" t="str">
            <v>Japan</v>
          </cell>
          <cell r="C1138">
            <v>1998</v>
          </cell>
          <cell r="D1138">
            <v>90</v>
          </cell>
          <cell r="E1138">
            <v>1313</v>
          </cell>
          <cell r="F1138">
            <v>90</v>
          </cell>
          <cell r="G1138">
            <v>1493000</v>
          </cell>
          <cell r="H1138" t="str">
            <v>;;=SUM(F24:G24);</v>
          </cell>
          <cell r="I1138" t="str">
            <v>.</v>
          </cell>
        </row>
        <row r="1139">
          <cell r="A1139">
            <v>392</v>
          </cell>
          <cell r="B1139" t="str">
            <v>Japan</v>
          </cell>
          <cell r="C1139">
            <v>1998</v>
          </cell>
          <cell r="D1139">
            <v>90</v>
          </cell>
          <cell r="E1139">
            <v>1414</v>
          </cell>
          <cell r="F1139">
            <v>90</v>
          </cell>
          <cell r="G1139">
            <v>1510000</v>
          </cell>
          <cell r="H1139" t="str">
            <v>;;=SUM(F25:G25);</v>
          </cell>
          <cell r="I1139" t="str">
            <v>.</v>
          </cell>
        </row>
        <row r="1140">
          <cell r="A1140">
            <v>392</v>
          </cell>
          <cell r="B1140" t="str">
            <v>Japan</v>
          </cell>
          <cell r="C1140">
            <v>1998</v>
          </cell>
          <cell r="D1140">
            <v>90</v>
          </cell>
          <cell r="E1140">
            <v>1014</v>
          </cell>
          <cell r="F1140">
            <v>90</v>
          </cell>
          <cell r="G1140">
            <v>7176000</v>
          </cell>
          <cell r="H1140" t="str">
            <v>;;=SUM(F26:G26);</v>
          </cell>
          <cell r="I1140" t="str">
            <v>.</v>
          </cell>
        </row>
        <row r="1141">
          <cell r="A1141">
            <v>392</v>
          </cell>
          <cell r="B1141" t="str">
            <v>Japan</v>
          </cell>
          <cell r="C1141">
            <v>1998</v>
          </cell>
          <cell r="D1141">
            <v>90</v>
          </cell>
          <cell r="E1141">
            <v>1515</v>
          </cell>
          <cell r="F1141">
            <v>90</v>
          </cell>
          <cell r="G1141">
            <v>1517000</v>
          </cell>
          <cell r="H1141" t="str">
            <v/>
          </cell>
          <cell r="I1141" t="str">
            <v>.</v>
          </cell>
        </row>
        <row r="1142">
          <cell r="A1142">
            <v>392</v>
          </cell>
          <cell r="B1142" t="str">
            <v>Japan</v>
          </cell>
          <cell r="C1142">
            <v>1998</v>
          </cell>
          <cell r="D1142">
            <v>90</v>
          </cell>
          <cell r="E1142">
            <v>1616</v>
          </cell>
          <cell r="F1142">
            <v>90</v>
          </cell>
          <cell r="G1142">
            <v>1531000</v>
          </cell>
          <cell r="H1142" t="str">
            <v/>
          </cell>
          <cell r="I1142" t="str">
            <v>.</v>
          </cell>
        </row>
        <row r="1143">
          <cell r="A1143">
            <v>392</v>
          </cell>
          <cell r="B1143" t="str">
            <v>Japan</v>
          </cell>
          <cell r="C1143">
            <v>1998</v>
          </cell>
          <cell r="D1143">
            <v>90</v>
          </cell>
          <cell r="E1143">
            <v>1717</v>
          </cell>
          <cell r="F1143">
            <v>90</v>
          </cell>
          <cell r="G1143">
            <v>1600000</v>
          </cell>
          <cell r="H1143" t="str">
            <v>;;=SUM(F29:G29);</v>
          </cell>
          <cell r="I1143" t="str">
            <v>.</v>
          </cell>
        </row>
        <row r="1144">
          <cell r="A1144">
            <v>392</v>
          </cell>
          <cell r="B1144" t="str">
            <v>Japan</v>
          </cell>
          <cell r="C1144">
            <v>1998</v>
          </cell>
          <cell r="D1144">
            <v>90</v>
          </cell>
          <cell r="E1144">
            <v>1818</v>
          </cell>
          <cell r="F1144">
            <v>90</v>
          </cell>
          <cell r="G1144">
            <v>1647000</v>
          </cell>
          <cell r="H1144" t="str">
            <v>;;=SUM(F30:G30);</v>
          </cell>
          <cell r="I1144" t="str">
            <v>.</v>
          </cell>
        </row>
        <row r="1145">
          <cell r="A1145">
            <v>392</v>
          </cell>
          <cell r="B1145" t="str">
            <v>Japan</v>
          </cell>
          <cell r="C1145">
            <v>1998</v>
          </cell>
          <cell r="D1145">
            <v>90</v>
          </cell>
          <cell r="E1145">
            <v>1919</v>
          </cell>
          <cell r="F1145">
            <v>90</v>
          </cell>
          <cell r="G1145">
            <v>1710000</v>
          </cell>
          <cell r="H1145" t="str">
            <v>;;=SUM(F31:G31);</v>
          </cell>
          <cell r="I1145" t="str">
            <v>.</v>
          </cell>
        </row>
        <row r="1146">
          <cell r="A1146">
            <v>392</v>
          </cell>
          <cell r="B1146" t="str">
            <v>Japan</v>
          </cell>
          <cell r="C1146">
            <v>1998</v>
          </cell>
          <cell r="D1146">
            <v>90</v>
          </cell>
          <cell r="E1146">
            <v>1519</v>
          </cell>
          <cell r="F1146">
            <v>90</v>
          </cell>
          <cell r="G1146">
            <v>8005000</v>
          </cell>
          <cell r="H1146" t="str">
            <v>;;=SUM(F32:G32);</v>
          </cell>
          <cell r="I1146" t="str">
            <v>.</v>
          </cell>
        </row>
        <row r="1147">
          <cell r="A1147">
            <v>392</v>
          </cell>
          <cell r="B1147" t="str">
            <v>Japan</v>
          </cell>
          <cell r="C1147">
            <v>1998</v>
          </cell>
          <cell r="D1147">
            <v>90</v>
          </cell>
          <cell r="E1147">
            <v>2020</v>
          </cell>
          <cell r="F1147">
            <v>90</v>
          </cell>
          <cell r="G1147">
            <v>1756000</v>
          </cell>
          <cell r="H1147" t="str">
            <v/>
          </cell>
          <cell r="I1147" t="str">
            <v>.</v>
          </cell>
        </row>
        <row r="1148">
          <cell r="A1148">
            <v>392</v>
          </cell>
          <cell r="B1148" t="str">
            <v>Japan</v>
          </cell>
          <cell r="C1148">
            <v>1998</v>
          </cell>
          <cell r="D1148">
            <v>90</v>
          </cell>
          <cell r="E1148">
            <v>2121</v>
          </cell>
          <cell r="F1148">
            <v>90</v>
          </cell>
          <cell r="G1148">
            <v>1851000</v>
          </cell>
          <cell r="H1148" t="str">
            <v>;;=SUM(F34:G34);</v>
          </cell>
          <cell r="I1148" t="str">
            <v>.</v>
          </cell>
        </row>
        <row r="1149">
          <cell r="A1149">
            <v>392</v>
          </cell>
          <cell r="B1149" t="str">
            <v>Japan</v>
          </cell>
          <cell r="C1149">
            <v>1998</v>
          </cell>
          <cell r="D1149">
            <v>90</v>
          </cell>
          <cell r="E1149">
            <v>2222</v>
          </cell>
          <cell r="F1149">
            <v>90</v>
          </cell>
          <cell r="G1149">
            <v>1922000</v>
          </cell>
          <cell r="H1149" t="str">
            <v>;;=SUM(F35:G35);</v>
          </cell>
          <cell r="I1149" t="str">
            <v>.</v>
          </cell>
        </row>
        <row r="1150">
          <cell r="A1150">
            <v>392</v>
          </cell>
          <cell r="B1150" t="str">
            <v>Japan</v>
          </cell>
          <cell r="C1150">
            <v>1998</v>
          </cell>
          <cell r="D1150">
            <v>90</v>
          </cell>
          <cell r="E1150">
            <v>2323</v>
          </cell>
          <cell r="F1150">
            <v>90</v>
          </cell>
          <cell r="G1150">
            <v>2014000</v>
          </cell>
          <cell r="H1150" t="str">
            <v>;;=SUM(F36:G36);</v>
          </cell>
          <cell r="I1150" t="str">
            <v>.</v>
          </cell>
        </row>
        <row r="1151">
          <cell r="A1151">
            <v>392</v>
          </cell>
          <cell r="B1151" t="str">
            <v>Japan</v>
          </cell>
          <cell r="C1151">
            <v>1998</v>
          </cell>
          <cell r="D1151">
            <v>90</v>
          </cell>
          <cell r="E1151">
            <v>2424</v>
          </cell>
          <cell r="F1151">
            <v>90</v>
          </cell>
          <cell r="G1151">
            <v>2040000</v>
          </cell>
          <cell r="H1151" t="str">
            <v>;;=SUM(F37:G37);</v>
          </cell>
          <cell r="I1151" t="str">
            <v>.</v>
          </cell>
        </row>
        <row r="1152">
          <cell r="A1152">
            <v>392</v>
          </cell>
          <cell r="B1152" t="str">
            <v>Japan</v>
          </cell>
          <cell r="C1152">
            <v>1998</v>
          </cell>
          <cell r="D1152">
            <v>90</v>
          </cell>
          <cell r="E1152">
            <v>2024</v>
          </cell>
          <cell r="F1152">
            <v>90</v>
          </cell>
          <cell r="G1152">
            <v>9583000</v>
          </cell>
          <cell r="H1152" t="str">
            <v>;;=SUM(F38:G38);</v>
          </cell>
          <cell r="I1152" t="str">
            <v>.</v>
          </cell>
        </row>
        <row r="1153">
          <cell r="A1153">
            <v>392</v>
          </cell>
          <cell r="B1153" t="str">
            <v>Japan</v>
          </cell>
          <cell r="C1153">
            <v>1998</v>
          </cell>
          <cell r="D1153">
            <v>90</v>
          </cell>
          <cell r="E1153">
            <v>2525</v>
          </cell>
          <cell r="F1153">
            <v>90</v>
          </cell>
          <cell r="G1153">
            <v>1994000</v>
          </cell>
          <cell r="H1153" t="str">
            <v/>
          </cell>
          <cell r="I1153" t="str">
            <v>.</v>
          </cell>
        </row>
        <row r="1154">
          <cell r="A1154">
            <v>392</v>
          </cell>
          <cell r="B1154" t="str">
            <v>Japan</v>
          </cell>
          <cell r="C1154">
            <v>1998</v>
          </cell>
          <cell r="D1154">
            <v>90</v>
          </cell>
          <cell r="E1154">
            <v>2626</v>
          </cell>
          <cell r="F1154">
            <v>90</v>
          </cell>
          <cell r="G1154">
            <v>1945000</v>
          </cell>
          <cell r="H1154" t="str">
            <v>;;=SUM(F40:G40);</v>
          </cell>
          <cell r="I1154" t="str">
            <v>.</v>
          </cell>
        </row>
        <row r="1155">
          <cell r="A1155">
            <v>392</v>
          </cell>
          <cell r="B1155" t="str">
            <v>Japan</v>
          </cell>
          <cell r="C1155">
            <v>1998</v>
          </cell>
          <cell r="D1155">
            <v>90</v>
          </cell>
          <cell r="E1155">
            <v>2727</v>
          </cell>
          <cell r="F1155">
            <v>90</v>
          </cell>
          <cell r="G1155">
            <v>1887000</v>
          </cell>
          <cell r="H1155" t="str">
            <v>;;=SUM(F41:G41);</v>
          </cell>
          <cell r="I1155" t="str">
            <v>.</v>
          </cell>
        </row>
        <row r="1156">
          <cell r="A1156">
            <v>392</v>
          </cell>
          <cell r="B1156" t="str">
            <v>Japan</v>
          </cell>
          <cell r="C1156">
            <v>1998</v>
          </cell>
          <cell r="D1156">
            <v>90</v>
          </cell>
          <cell r="E1156">
            <v>2828</v>
          </cell>
          <cell r="F1156">
            <v>90</v>
          </cell>
          <cell r="G1156">
            <v>1855000</v>
          </cell>
          <cell r="H1156" t="str">
            <v/>
          </cell>
          <cell r="I1156" t="str">
            <v>.</v>
          </cell>
        </row>
        <row r="1157">
          <cell r="A1157">
            <v>392</v>
          </cell>
          <cell r="B1157" t="str">
            <v>Japan</v>
          </cell>
          <cell r="C1157">
            <v>1998</v>
          </cell>
          <cell r="D1157">
            <v>90</v>
          </cell>
          <cell r="E1157">
            <v>2929</v>
          </cell>
          <cell r="F1157">
            <v>90</v>
          </cell>
          <cell r="G1157">
            <v>1818000</v>
          </cell>
          <cell r="H1157" t="str">
            <v/>
          </cell>
          <cell r="I1157" t="str">
            <v>.</v>
          </cell>
        </row>
        <row r="1158">
          <cell r="A1158">
            <v>392</v>
          </cell>
          <cell r="B1158" t="str">
            <v>Japan</v>
          </cell>
          <cell r="C1158">
            <v>1998</v>
          </cell>
          <cell r="D1158">
            <v>90</v>
          </cell>
          <cell r="E1158">
            <v>2529</v>
          </cell>
          <cell r="F1158">
            <v>90</v>
          </cell>
          <cell r="G1158">
            <v>9499000</v>
          </cell>
          <cell r="H1158" t="str">
            <v/>
          </cell>
          <cell r="I1158" t="str">
            <v>.</v>
          </cell>
        </row>
        <row r="1159">
          <cell r="A1159">
            <v>392</v>
          </cell>
          <cell r="B1159" t="str">
            <v>Japan</v>
          </cell>
          <cell r="C1159">
            <v>1998</v>
          </cell>
          <cell r="D1159">
            <v>90</v>
          </cell>
          <cell r="E1159">
            <v>3034</v>
          </cell>
          <cell r="F1159">
            <v>90</v>
          </cell>
          <cell r="G1159">
            <v>8266000</v>
          </cell>
          <cell r="H1159" t="str">
            <v>;;=SUM(F45:G45);</v>
          </cell>
          <cell r="I1159" t="str">
            <v>.</v>
          </cell>
        </row>
        <row r="1160">
          <cell r="A1160">
            <v>392</v>
          </cell>
          <cell r="B1160" t="str">
            <v>Japan</v>
          </cell>
          <cell r="C1160">
            <v>1998</v>
          </cell>
          <cell r="D1160">
            <v>90</v>
          </cell>
          <cell r="E1160">
            <v>3539</v>
          </cell>
          <cell r="F1160">
            <v>90</v>
          </cell>
          <cell r="G1160">
            <v>7810000</v>
          </cell>
          <cell r="H1160" t="str">
            <v>;;=SUM(F46:G46);</v>
          </cell>
          <cell r="I1160" t="str">
            <v>.</v>
          </cell>
        </row>
        <row r="1161">
          <cell r="A1161">
            <v>392</v>
          </cell>
          <cell r="B1161" t="str">
            <v>Japan</v>
          </cell>
          <cell r="C1161">
            <v>1998</v>
          </cell>
          <cell r="D1161">
            <v>90</v>
          </cell>
          <cell r="E1161">
            <v>4099</v>
          </cell>
          <cell r="F1161">
            <v>90</v>
          </cell>
          <cell r="G1161">
            <v>63637000</v>
          </cell>
          <cell r="H1161" t="str">
            <v/>
          </cell>
          <cell r="I1161" t="str">
            <v>.</v>
          </cell>
        </row>
        <row r="1162">
          <cell r="A1162">
            <v>392</v>
          </cell>
          <cell r="B1162" t="str">
            <v>Japan</v>
          </cell>
          <cell r="C1162">
            <v>1998</v>
          </cell>
          <cell r="D1162">
            <v>90</v>
          </cell>
          <cell r="E1162">
            <v>990000</v>
          </cell>
          <cell r="F1162">
            <v>90</v>
          </cell>
          <cell r="G1162">
            <v>0</v>
          </cell>
          <cell r="H1162" t="str">
            <v>n;</v>
          </cell>
          <cell r="I1162" t="str">
            <v>n</v>
          </cell>
        </row>
        <row r="1163">
          <cell r="A1163">
            <v>442</v>
          </cell>
          <cell r="B1163" t="str">
            <v>Luxembourg</v>
          </cell>
          <cell r="C1163">
            <v>1998</v>
          </cell>
          <cell r="D1163">
            <v>90</v>
          </cell>
          <cell r="E1163">
            <v>900000</v>
          </cell>
          <cell r="F1163">
            <v>90</v>
          </cell>
          <cell r="G1163">
            <v>423700</v>
          </cell>
          <cell r="H1163" t="str">
            <v>;;=SUM(F11:G11);</v>
          </cell>
          <cell r="I1163" t="str">
            <v>.</v>
          </cell>
        </row>
        <row r="1164">
          <cell r="A1164">
            <v>442</v>
          </cell>
          <cell r="B1164" t="str">
            <v>Luxembourg</v>
          </cell>
          <cell r="C1164">
            <v>1998</v>
          </cell>
          <cell r="D1164">
            <v>90</v>
          </cell>
          <cell r="E1164">
            <v>300</v>
          </cell>
          <cell r="F1164">
            <v>90</v>
          </cell>
          <cell r="G1164">
            <v>5485</v>
          </cell>
          <cell r="H1164" t="str">
            <v>;;=SUM(F12:G12);</v>
          </cell>
          <cell r="I1164" t="str">
            <v>.</v>
          </cell>
        </row>
        <row r="1165">
          <cell r="A1165">
            <v>442</v>
          </cell>
          <cell r="B1165" t="str">
            <v>Luxembourg</v>
          </cell>
          <cell r="C1165">
            <v>1998</v>
          </cell>
          <cell r="D1165">
            <v>90</v>
          </cell>
          <cell r="E1165">
            <v>303</v>
          </cell>
          <cell r="F1165">
            <v>90</v>
          </cell>
          <cell r="G1165">
            <v>5851</v>
          </cell>
          <cell r="H1165" t="str">
            <v>;;=SUM(F13:G13);</v>
          </cell>
          <cell r="I1165" t="str">
            <v>.</v>
          </cell>
        </row>
        <row r="1166">
          <cell r="A1166">
            <v>442</v>
          </cell>
          <cell r="B1166" t="str">
            <v>Luxembourg</v>
          </cell>
          <cell r="C1166">
            <v>1998</v>
          </cell>
          <cell r="D1166">
            <v>90</v>
          </cell>
          <cell r="E1166">
            <v>404</v>
          </cell>
          <cell r="F1166">
            <v>90</v>
          </cell>
          <cell r="G1166">
            <v>5729</v>
          </cell>
          <cell r="H1166" t="str">
            <v>;;=SUM(F14:G14);</v>
          </cell>
          <cell r="I1166" t="str">
            <v>.</v>
          </cell>
        </row>
        <row r="1167">
          <cell r="A1167">
            <v>442</v>
          </cell>
          <cell r="B1167" t="str">
            <v>Luxembourg</v>
          </cell>
          <cell r="C1167">
            <v>1998</v>
          </cell>
          <cell r="D1167">
            <v>90</v>
          </cell>
          <cell r="E1167">
            <v>505</v>
          </cell>
          <cell r="F1167">
            <v>90</v>
          </cell>
          <cell r="G1167">
            <v>5566</v>
          </cell>
          <cell r="H1167" t="str">
            <v>;;=SUM(F15:G15);</v>
          </cell>
          <cell r="I1167" t="str">
            <v>.</v>
          </cell>
        </row>
        <row r="1168">
          <cell r="A1168">
            <v>442</v>
          </cell>
          <cell r="B1168" t="str">
            <v>Luxembourg</v>
          </cell>
          <cell r="C1168">
            <v>1998</v>
          </cell>
          <cell r="D1168">
            <v>90</v>
          </cell>
          <cell r="E1168">
            <v>606</v>
          </cell>
          <cell r="F1168">
            <v>90</v>
          </cell>
          <cell r="G1168">
            <v>5327</v>
          </cell>
          <cell r="H1168" t="str">
            <v>;;=SUM(F16:G16);</v>
          </cell>
          <cell r="I1168" t="str">
            <v>.</v>
          </cell>
        </row>
        <row r="1169">
          <cell r="A1169">
            <v>442</v>
          </cell>
          <cell r="B1169" t="str">
            <v>Luxembourg</v>
          </cell>
          <cell r="C1169">
            <v>1998</v>
          </cell>
          <cell r="D1169">
            <v>90</v>
          </cell>
          <cell r="E1169">
            <v>707</v>
          </cell>
          <cell r="F1169">
            <v>90</v>
          </cell>
          <cell r="G1169">
            <v>5564</v>
          </cell>
          <cell r="H1169" t="str">
            <v>;;=SUM(F17:G17);</v>
          </cell>
          <cell r="I1169" t="str">
            <v>.</v>
          </cell>
        </row>
        <row r="1170">
          <cell r="A1170">
            <v>442</v>
          </cell>
          <cell r="B1170" t="str">
            <v>Luxembourg</v>
          </cell>
          <cell r="C1170">
            <v>1998</v>
          </cell>
          <cell r="D1170">
            <v>90</v>
          </cell>
          <cell r="E1170">
            <v>808</v>
          </cell>
          <cell r="F1170">
            <v>90</v>
          </cell>
          <cell r="G1170">
            <v>5207</v>
          </cell>
          <cell r="H1170" t="str">
            <v>;;=SUM(F18:G18);</v>
          </cell>
          <cell r="I1170" t="str">
            <v>.</v>
          </cell>
        </row>
        <row r="1171">
          <cell r="A1171">
            <v>442</v>
          </cell>
          <cell r="B1171" t="str">
            <v>Luxembourg</v>
          </cell>
          <cell r="C1171">
            <v>1998</v>
          </cell>
          <cell r="D1171">
            <v>90</v>
          </cell>
          <cell r="E1171">
            <v>909</v>
          </cell>
          <cell r="F1171">
            <v>90</v>
          </cell>
          <cell r="G1171">
            <v>5243</v>
          </cell>
          <cell r="H1171" t="str">
            <v>;;=SUM(F19:G19);</v>
          </cell>
          <cell r="I1171" t="str">
            <v>.</v>
          </cell>
        </row>
        <row r="1172">
          <cell r="A1172">
            <v>442</v>
          </cell>
          <cell r="B1172" t="str">
            <v>Luxembourg</v>
          </cell>
          <cell r="C1172">
            <v>1998</v>
          </cell>
          <cell r="D1172">
            <v>90</v>
          </cell>
          <cell r="E1172">
            <v>509</v>
          </cell>
          <cell r="F1172">
            <v>90</v>
          </cell>
          <cell r="G1172">
            <v>26907</v>
          </cell>
          <cell r="H1172" t="str">
            <v>;;=SUM(F20:G20);</v>
          </cell>
          <cell r="I1172" t="str">
            <v>.</v>
          </cell>
        </row>
        <row r="1173">
          <cell r="A1173">
            <v>442</v>
          </cell>
          <cell r="B1173" t="str">
            <v>Luxembourg</v>
          </cell>
          <cell r="C1173">
            <v>1998</v>
          </cell>
          <cell r="D1173">
            <v>90</v>
          </cell>
          <cell r="E1173">
            <v>1010</v>
          </cell>
          <cell r="F1173">
            <v>90</v>
          </cell>
          <cell r="G1173">
            <v>4913</v>
          </cell>
          <cell r="H1173" t="str">
            <v>;;=SUM(F21:G21);</v>
          </cell>
          <cell r="I1173" t="str">
            <v>.</v>
          </cell>
        </row>
        <row r="1174">
          <cell r="A1174">
            <v>442</v>
          </cell>
          <cell r="B1174" t="str">
            <v>Luxembourg</v>
          </cell>
          <cell r="C1174">
            <v>1998</v>
          </cell>
          <cell r="D1174">
            <v>90</v>
          </cell>
          <cell r="E1174">
            <v>1111</v>
          </cell>
          <cell r="F1174">
            <v>90</v>
          </cell>
          <cell r="G1174">
            <v>5040</v>
          </cell>
          <cell r="H1174" t="str">
            <v>;;=SUM(F22:G22);</v>
          </cell>
          <cell r="I1174" t="str">
            <v>.</v>
          </cell>
        </row>
        <row r="1175">
          <cell r="A1175">
            <v>442</v>
          </cell>
          <cell r="B1175" t="str">
            <v>Luxembourg</v>
          </cell>
          <cell r="C1175">
            <v>1998</v>
          </cell>
          <cell r="D1175">
            <v>90</v>
          </cell>
          <cell r="E1175">
            <v>1212</v>
          </cell>
          <cell r="F1175">
            <v>90</v>
          </cell>
          <cell r="G1175">
            <v>4566</v>
          </cell>
          <cell r="H1175" t="str">
            <v>;;=SUM(F23:G23);</v>
          </cell>
          <cell r="I1175" t="str">
            <v>.</v>
          </cell>
        </row>
        <row r="1176">
          <cell r="A1176">
            <v>442</v>
          </cell>
          <cell r="B1176" t="str">
            <v>Luxembourg</v>
          </cell>
          <cell r="C1176">
            <v>1998</v>
          </cell>
          <cell r="D1176">
            <v>90</v>
          </cell>
          <cell r="E1176">
            <v>1313</v>
          </cell>
          <cell r="F1176">
            <v>90</v>
          </cell>
          <cell r="G1176">
            <v>4657</v>
          </cell>
          <cell r="H1176" t="str">
            <v>;;=SUM(F24:G24);</v>
          </cell>
          <cell r="I1176" t="str">
            <v>.</v>
          </cell>
        </row>
        <row r="1177">
          <cell r="A1177">
            <v>442</v>
          </cell>
          <cell r="B1177" t="str">
            <v>Luxembourg</v>
          </cell>
          <cell r="C1177">
            <v>1998</v>
          </cell>
          <cell r="D1177">
            <v>90</v>
          </cell>
          <cell r="E1177">
            <v>1414</v>
          </cell>
          <cell r="F1177">
            <v>90</v>
          </cell>
          <cell r="G1177">
            <v>4650</v>
          </cell>
          <cell r="H1177" t="str">
            <v>;;=SUM(F25:G25);</v>
          </cell>
          <cell r="I1177" t="str">
            <v>.</v>
          </cell>
        </row>
        <row r="1178">
          <cell r="A1178">
            <v>442</v>
          </cell>
          <cell r="B1178" t="str">
            <v>Luxembourg</v>
          </cell>
          <cell r="C1178">
            <v>1998</v>
          </cell>
          <cell r="D1178">
            <v>90</v>
          </cell>
          <cell r="E1178">
            <v>1014</v>
          </cell>
          <cell r="F1178">
            <v>90</v>
          </cell>
          <cell r="G1178">
            <v>23826</v>
          </cell>
          <cell r="H1178" t="str">
            <v>;;=SUM(F26:G26);</v>
          </cell>
          <cell r="I1178" t="str">
            <v>.</v>
          </cell>
        </row>
        <row r="1179">
          <cell r="A1179">
            <v>442</v>
          </cell>
          <cell r="B1179" t="str">
            <v>Luxembourg</v>
          </cell>
          <cell r="C1179">
            <v>1998</v>
          </cell>
          <cell r="D1179">
            <v>90</v>
          </cell>
          <cell r="E1179">
            <v>1515</v>
          </cell>
          <cell r="F1179">
            <v>90</v>
          </cell>
          <cell r="G1179">
            <v>4648</v>
          </cell>
          <cell r="H1179" t="str">
            <v>;;=SUM(F27:G27);</v>
          </cell>
          <cell r="I1179" t="str">
            <v>.</v>
          </cell>
        </row>
        <row r="1180">
          <cell r="A1180">
            <v>442</v>
          </cell>
          <cell r="B1180" t="str">
            <v>Luxembourg</v>
          </cell>
          <cell r="C1180">
            <v>1998</v>
          </cell>
          <cell r="D1180">
            <v>90</v>
          </cell>
          <cell r="E1180">
            <v>1616</v>
          </cell>
          <cell r="F1180">
            <v>90</v>
          </cell>
          <cell r="G1180">
            <v>4856</v>
          </cell>
          <cell r="H1180" t="str">
            <v>;;=SUM(F28:G28);</v>
          </cell>
          <cell r="I1180" t="str">
            <v>.</v>
          </cell>
        </row>
        <row r="1181">
          <cell r="A1181">
            <v>442</v>
          </cell>
          <cell r="B1181" t="str">
            <v>Luxembourg</v>
          </cell>
          <cell r="C1181">
            <v>1998</v>
          </cell>
          <cell r="D1181">
            <v>90</v>
          </cell>
          <cell r="E1181">
            <v>1717</v>
          </cell>
          <cell r="F1181">
            <v>90</v>
          </cell>
          <cell r="G1181">
            <v>4655</v>
          </cell>
          <cell r="H1181" t="str">
            <v>;;=SUM(F29:G29);</v>
          </cell>
          <cell r="I1181" t="str">
            <v>.</v>
          </cell>
        </row>
        <row r="1182">
          <cell r="A1182">
            <v>442</v>
          </cell>
          <cell r="B1182" t="str">
            <v>Luxembourg</v>
          </cell>
          <cell r="C1182">
            <v>1998</v>
          </cell>
          <cell r="D1182">
            <v>90</v>
          </cell>
          <cell r="E1182">
            <v>1818</v>
          </cell>
          <cell r="F1182">
            <v>90</v>
          </cell>
          <cell r="G1182">
            <v>4619</v>
          </cell>
          <cell r="H1182" t="str">
            <v>;;=SUM(F30:G30);</v>
          </cell>
          <cell r="I1182" t="str">
            <v>.</v>
          </cell>
        </row>
        <row r="1183">
          <cell r="A1183">
            <v>442</v>
          </cell>
          <cell r="B1183" t="str">
            <v>Luxembourg</v>
          </cell>
          <cell r="C1183">
            <v>1998</v>
          </cell>
          <cell r="D1183">
            <v>90</v>
          </cell>
          <cell r="E1183">
            <v>1919</v>
          </cell>
          <cell r="F1183">
            <v>90</v>
          </cell>
          <cell r="G1183">
            <v>4557</v>
          </cell>
          <cell r="H1183" t="str">
            <v>;;=SUM(F31:G31);</v>
          </cell>
          <cell r="I1183" t="str">
            <v>.</v>
          </cell>
        </row>
        <row r="1184">
          <cell r="A1184">
            <v>442</v>
          </cell>
          <cell r="B1184" t="str">
            <v>Luxembourg</v>
          </cell>
          <cell r="C1184">
            <v>1998</v>
          </cell>
          <cell r="D1184">
            <v>90</v>
          </cell>
          <cell r="E1184">
            <v>1519</v>
          </cell>
          <cell r="F1184">
            <v>90</v>
          </cell>
          <cell r="G1184">
            <v>23335</v>
          </cell>
          <cell r="H1184" t="str">
            <v>;;=SUM(F32:G32);</v>
          </cell>
          <cell r="I1184" t="str">
            <v>.</v>
          </cell>
        </row>
        <row r="1185">
          <cell r="A1185">
            <v>442</v>
          </cell>
          <cell r="B1185" t="str">
            <v>Luxembourg</v>
          </cell>
          <cell r="C1185">
            <v>1998</v>
          </cell>
          <cell r="D1185">
            <v>90</v>
          </cell>
          <cell r="E1185">
            <v>2020</v>
          </cell>
          <cell r="F1185">
            <v>90</v>
          </cell>
          <cell r="G1185">
            <v>4654</v>
          </cell>
          <cell r="H1185" t="str">
            <v>;;=SUM(F33:G33);</v>
          </cell>
          <cell r="I1185" t="str">
            <v>.</v>
          </cell>
        </row>
        <row r="1186">
          <cell r="A1186">
            <v>442</v>
          </cell>
          <cell r="B1186" t="str">
            <v>Luxembourg</v>
          </cell>
          <cell r="C1186">
            <v>1998</v>
          </cell>
          <cell r="D1186">
            <v>90</v>
          </cell>
          <cell r="E1186">
            <v>2121</v>
          </cell>
          <cell r="F1186">
            <v>90</v>
          </cell>
          <cell r="G1186">
            <v>4771</v>
          </cell>
          <cell r="H1186" t="str">
            <v>;;=SUM(F34:G34);</v>
          </cell>
          <cell r="I1186" t="str">
            <v>.</v>
          </cell>
        </row>
        <row r="1187">
          <cell r="A1187">
            <v>442</v>
          </cell>
          <cell r="B1187" t="str">
            <v>Luxembourg</v>
          </cell>
          <cell r="C1187">
            <v>1998</v>
          </cell>
          <cell r="D1187">
            <v>90</v>
          </cell>
          <cell r="E1187">
            <v>2222</v>
          </cell>
          <cell r="F1187">
            <v>90</v>
          </cell>
          <cell r="G1187">
            <v>5001</v>
          </cell>
          <cell r="H1187" t="str">
            <v>;;=SUM(F35:G35);</v>
          </cell>
          <cell r="I1187" t="str">
            <v>.</v>
          </cell>
        </row>
        <row r="1188">
          <cell r="A1188">
            <v>442</v>
          </cell>
          <cell r="B1188" t="str">
            <v>Luxembourg</v>
          </cell>
          <cell r="C1188">
            <v>1998</v>
          </cell>
          <cell r="D1188">
            <v>90</v>
          </cell>
          <cell r="E1188">
            <v>2323</v>
          </cell>
          <cell r="F1188">
            <v>90</v>
          </cell>
          <cell r="G1188">
            <v>4889</v>
          </cell>
          <cell r="H1188" t="str">
            <v>;;=SUM(F36:G36);</v>
          </cell>
          <cell r="I1188" t="str">
            <v>.</v>
          </cell>
        </row>
        <row r="1189">
          <cell r="A1189">
            <v>442</v>
          </cell>
          <cell r="B1189" t="str">
            <v>Luxembourg</v>
          </cell>
          <cell r="C1189">
            <v>1998</v>
          </cell>
          <cell r="D1189">
            <v>90</v>
          </cell>
          <cell r="E1189">
            <v>2424</v>
          </cell>
          <cell r="F1189">
            <v>90</v>
          </cell>
          <cell r="G1189">
            <v>5250</v>
          </cell>
          <cell r="H1189" t="str">
            <v>;;=SUM(F37:G37);</v>
          </cell>
          <cell r="I1189" t="str">
            <v>.</v>
          </cell>
        </row>
        <row r="1190">
          <cell r="A1190">
            <v>442</v>
          </cell>
          <cell r="B1190" t="str">
            <v>Luxembourg</v>
          </cell>
          <cell r="C1190">
            <v>1998</v>
          </cell>
          <cell r="D1190">
            <v>90</v>
          </cell>
          <cell r="E1190">
            <v>2024</v>
          </cell>
          <cell r="F1190">
            <v>90</v>
          </cell>
          <cell r="G1190">
            <v>24565</v>
          </cell>
          <cell r="H1190" t="str">
            <v>;;=SUM(F38:G38);</v>
          </cell>
          <cell r="I1190" t="str">
            <v>.</v>
          </cell>
        </row>
        <row r="1191">
          <cell r="A1191">
            <v>442</v>
          </cell>
          <cell r="B1191" t="str">
            <v>Luxembourg</v>
          </cell>
          <cell r="C1191">
            <v>1998</v>
          </cell>
          <cell r="D1191">
            <v>90</v>
          </cell>
          <cell r="E1191">
            <v>2525</v>
          </cell>
          <cell r="F1191">
            <v>90</v>
          </cell>
          <cell r="G1191">
            <v>5918</v>
          </cell>
          <cell r="H1191" t="str">
            <v>;;=SUM(F39:G39);</v>
          </cell>
          <cell r="I1191" t="str">
            <v>.</v>
          </cell>
        </row>
        <row r="1192">
          <cell r="A1192">
            <v>442</v>
          </cell>
          <cell r="B1192" t="str">
            <v>Luxembourg</v>
          </cell>
          <cell r="C1192">
            <v>1998</v>
          </cell>
          <cell r="D1192">
            <v>90</v>
          </cell>
          <cell r="E1192">
            <v>2626</v>
          </cell>
          <cell r="F1192">
            <v>90</v>
          </cell>
          <cell r="G1192">
            <v>6412</v>
          </cell>
          <cell r="H1192" t="str">
            <v>;;=SUM(F40:G40);</v>
          </cell>
          <cell r="I1192" t="str">
            <v>.</v>
          </cell>
        </row>
        <row r="1193">
          <cell r="A1193">
            <v>442</v>
          </cell>
          <cell r="B1193" t="str">
            <v>Luxembourg</v>
          </cell>
          <cell r="C1193">
            <v>1998</v>
          </cell>
          <cell r="D1193">
            <v>90</v>
          </cell>
          <cell r="E1193">
            <v>2727</v>
          </cell>
          <cell r="F1193">
            <v>90</v>
          </cell>
          <cell r="G1193">
            <v>6442</v>
          </cell>
          <cell r="H1193" t="str">
            <v>;;=SUM(F41:G41);</v>
          </cell>
          <cell r="I1193" t="str">
            <v>.</v>
          </cell>
        </row>
        <row r="1194">
          <cell r="A1194">
            <v>442</v>
          </cell>
          <cell r="B1194" t="str">
            <v>Luxembourg</v>
          </cell>
          <cell r="C1194">
            <v>1998</v>
          </cell>
          <cell r="D1194">
            <v>90</v>
          </cell>
          <cell r="E1194">
            <v>2828</v>
          </cell>
          <cell r="F1194">
            <v>90</v>
          </cell>
          <cell r="G1194">
            <v>6722</v>
          </cell>
          <cell r="H1194" t="str">
            <v>;;=SUM(F42:G42);</v>
          </cell>
          <cell r="I1194" t="str">
            <v>.</v>
          </cell>
        </row>
        <row r="1195">
          <cell r="A1195">
            <v>442</v>
          </cell>
          <cell r="B1195" t="str">
            <v>Luxembourg</v>
          </cell>
          <cell r="C1195">
            <v>1998</v>
          </cell>
          <cell r="D1195">
            <v>90</v>
          </cell>
          <cell r="E1195">
            <v>2929</v>
          </cell>
          <cell r="F1195">
            <v>90</v>
          </cell>
          <cell r="G1195">
            <v>6931</v>
          </cell>
          <cell r="H1195" t="str">
            <v>;;=SUM(F43:G43);</v>
          </cell>
          <cell r="I1195" t="str">
            <v>.</v>
          </cell>
        </row>
        <row r="1196">
          <cell r="A1196">
            <v>442</v>
          </cell>
          <cell r="B1196" t="str">
            <v>Luxembourg</v>
          </cell>
          <cell r="C1196">
            <v>1998</v>
          </cell>
          <cell r="D1196">
            <v>90</v>
          </cell>
          <cell r="E1196">
            <v>2529</v>
          </cell>
          <cell r="F1196">
            <v>90</v>
          </cell>
          <cell r="G1196">
            <v>32425</v>
          </cell>
          <cell r="H1196" t="str">
            <v>;;=SUM(F44:G44);</v>
          </cell>
          <cell r="I1196" t="str">
            <v>.</v>
          </cell>
        </row>
        <row r="1197">
          <cell r="A1197">
            <v>442</v>
          </cell>
          <cell r="B1197" t="str">
            <v>Luxembourg</v>
          </cell>
          <cell r="C1197">
            <v>1998</v>
          </cell>
          <cell r="D1197">
            <v>90</v>
          </cell>
          <cell r="E1197">
            <v>3034</v>
          </cell>
          <cell r="F1197">
            <v>90</v>
          </cell>
          <cell r="G1197">
            <v>37288</v>
          </cell>
          <cell r="H1197" t="str">
            <v>;;=SUM(F45:G45);</v>
          </cell>
          <cell r="I1197" t="str">
            <v>.</v>
          </cell>
        </row>
        <row r="1198">
          <cell r="A1198">
            <v>442</v>
          </cell>
          <cell r="B1198" t="str">
            <v>Luxembourg</v>
          </cell>
          <cell r="C1198">
            <v>1998</v>
          </cell>
          <cell r="D1198">
            <v>90</v>
          </cell>
          <cell r="E1198">
            <v>3539</v>
          </cell>
          <cell r="F1198">
            <v>90</v>
          </cell>
          <cell r="G1198">
            <v>35755</v>
          </cell>
          <cell r="H1198" t="str">
            <v>;;=SUM(F46:G46);</v>
          </cell>
          <cell r="I1198" t="str">
            <v>.</v>
          </cell>
        </row>
        <row r="1199">
          <cell r="A1199">
            <v>442</v>
          </cell>
          <cell r="B1199" t="str">
            <v>Luxembourg</v>
          </cell>
          <cell r="C1199">
            <v>1998</v>
          </cell>
          <cell r="D1199">
            <v>90</v>
          </cell>
          <cell r="E1199">
            <v>4099</v>
          </cell>
          <cell r="F1199">
            <v>90</v>
          </cell>
          <cell r="G1199">
            <v>214114</v>
          </cell>
          <cell r="H1199" t="str">
            <v>;;=SUM(F47:G47);</v>
          </cell>
          <cell r="I1199" t="str">
            <v>.</v>
          </cell>
        </row>
        <row r="1200">
          <cell r="A1200">
            <v>442</v>
          </cell>
          <cell r="B1200" t="str">
            <v>Luxembourg</v>
          </cell>
          <cell r="C1200">
            <v>1998</v>
          </cell>
          <cell r="D1200">
            <v>90</v>
          </cell>
          <cell r="E1200">
            <v>990000</v>
          </cell>
          <cell r="F1200">
            <v>90</v>
          </cell>
          <cell r="G1200">
            <v>0</v>
          </cell>
          <cell r="H1200" t="str">
            <v>n;</v>
          </cell>
          <cell r="I1200" t="str">
            <v>n</v>
          </cell>
        </row>
        <row r="1201">
          <cell r="A1201">
            <v>380</v>
          </cell>
          <cell r="B1201" t="str">
            <v>Italy</v>
          </cell>
          <cell r="C1201">
            <v>1998</v>
          </cell>
          <cell r="D1201">
            <v>90</v>
          </cell>
          <cell r="E1201">
            <v>900000</v>
          </cell>
          <cell r="F1201">
            <v>90</v>
          </cell>
          <cell r="G1201">
            <v>57563354</v>
          </cell>
          <cell r="H1201" t="str">
            <v>;;=SUM(F11:G11);</v>
          </cell>
          <cell r="I1201" t="str">
            <v>.</v>
          </cell>
        </row>
        <row r="1202">
          <cell r="A1202">
            <v>380</v>
          </cell>
          <cell r="B1202" t="str">
            <v>Italy</v>
          </cell>
          <cell r="C1202">
            <v>1998</v>
          </cell>
          <cell r="D1202">
            <v>90</v>
          </cell>
          <cell r="E1202">
            <v>300</v>
          </cell>
          <cell r="F1202">
            <v>90</v>
          </cell>
          <cell r="G1202">
            <v>1595335</v>
          </cell>
          <cell r="H1202" t="str">
            <v>;;=SUM(F12:G12);</v>
          </cell>
          <cell r="I1202" t="str">
            <v>.</v>
          </cell>
        </row>
        <row r="1203">
          <cell r="A1203">
            <v>380</v>
          </cell>
          <cell r="B1203" t="str">
            <v>Italy</v>
          </cell>
          <cell r="C1203">
            <v>1998</v>
          </cell>
          <cell r="D1203">
            <v>90</v>
          </cell>
          <cell r="E1203">
            <v>303</v>
          </cell>
          <cell r="F1203">
            <v>90</v>
          </cell>
          <cell r="G1203">
            <v>537787</v>
          </cell>
          <cell r="H1203" t="str">
            <v>;;=SUM(F13:G13);</v>
          </cell>
          <cell r="I1203" t="str">
            <v>.</v>
          </cell>
        </row>
        <row r="1204">
          <cell r="A1204">
            <v>380</v>
          </cell>
          <cell r="B1204" t="str">
            <v>Italy</v>
          </cell>
          <cell r="C1204">
            <v>1998</v>
          </cell>
          <cell r="D1204">
            <v>90</v>
          </cell>
          <cell r="E1204">
            <v>404</v>
          </cell>
          <cell r="F1204">
            <v>90</v>
          </cell>
          <cell r="G1204">
            <v>555772</v>
          </cell>
          <cell r="H1204" t="str">
            <v>;;=SUM(F14:G14);</v>
          </cell>
          <cell r="I1204" t="str">
            <v>.</v>
          </cell>
        </row>
        <row r="1205">
          <cell r="A1205">
            <v>380</v>
          </cell>
          <cell r="B1205" t="str">
            <v>Italy</v>
          </cell>
          <cell r="C1205">
            <v>1998</v>
          </cell>
          <cell r="D1205">
            <v>90</v>
          </cell>
          <cell r="E1205">
            <v>505</v>
          </cell>
          <cell r="F1205">
            <v>90</v>
          </cell>
          <cell r="G1205">
            <v>580399</v>
          </cell>
          <cell r="H1205" t="str">
            <v>;;=SUM(F15:G15);</v>
          </cell>
          <cell r="I1205" t="str">
            <v>.</v>
          </cell>
        </row>
        <row r="1206">
          <cell r="A1206">
            <v>380</v>
          </cell>
          <cell r="B1206" t="str">
            <v>Italy</v>
          </cell>
          <cell r="C1206">
            <v>1998</v>
          </cell>
          <cell r="D1206">
            <v>90</v>
          </cell>
          <cell r="E1206">
            <v>606</v>
          </cell>
          <cell r="F1206">
            <v>90</v>
          </cell>
          <cell r="G1206">
            <v>555780</v>
          </cell>
          <cell r="H1206" t="str">
            <v>;;=SUM(F16:G16);</v>
          </cell>
          <cell r="I1206" t="str">
            <v>.</v>
          </cell>
        </row>
        <row r="1207">
          <cell r="A1207">
            <v>380</v>
          </cell>
          <cell r="B1207" t="str">
            <v>Italy</v>
          </cell>
          <cell r="C1207">
            <v>1998</v>
          </cell>
          <cell r="D1207">
            <v>90</v>
          </cell>
          <cell r="E1207">
            <v>707</v>
          </cell>
          <cell r="F1207">
            <v>90</v>
          </cell>
          <cell r="G1207">
            <v>560325</v>
          </cell>
          <cell r="H1207" t="str">
            <v>;;=SUM(F17:G17);</v>
          </cell>
          <cell r="I1207" t="str">
            <v>.</v>
          </cell>
        </row>
        <row r="1208">
          <cell r="A1208">
            <v>380</v>
          </cell>
          <cell r="B1208" t="str">
            <v>Italy</v>
          </cell>
          <cell r="C1208">
            <v>1998</v>
          </cell>
          <cell r="D1208">
            <v>90</v>
          </cell>
          <cell r="E1208">
            <v>808</v>
          </cell>
          <cell r="F1208">
            <v>90</v>
          </cell>
          <cell r="G1208">
            <v>563610</v>
          </cell>
          <cell r="H1208" t="str">
            <v>;;=SUM(F18:G18);</v>
          </cell>
          <cell r="I1208" t="str">
            <v>.</v>
          </cell>
        </row>
        <row r="1209">
          <cell r="A1209">
            <v>380</v>
          </cell>
          <cell r="B1209" t="str">
            <v>Italy</v>
          </cell>
          <cell r="C1209">
            <v>1998</v>
          </cell>
          <cell r="D1209">
            <v>90</v>
          </cell>
          <cell r="E1209">
            <v>909</v>
          </cell>
          <cell r="F1209">
            <v>90</v>
          </cell>
          <cell r="G1209">
            <v>565077</v>
          </cell>
          <cell r="H1209" t="str">
            <v>;;=SUM(F19:G19);</v>
          </cell>
          <cell r="I1209" t="str">
            <v>.</v>
          </cell>
        </row>
        <row r="1210">
          <cell r="A1210">
            <v>380</v>
          </cell>
          <cell r="B1210" t="str">
            <v>Italy</v>
          </cell>
          <cell r="C1210">
            <v>1998</v>
          </cell>
          <cell r="D1210">
            <v>90</v>
          </cell>
          <cell r="E1210">
            <v>509</v>
          </cell>
          <cell r="F1210">
            <v>90</v>
          </cell>
          <cell r="G1210">
            <v>2825191</v>
          </cell>
          <cell r="H1210" t="str">
            <v>;;=SUM(F20:G20);</v>
          </cell>
          <cell r="I1210" t="str">
            <v>.</v>
          </cell>
        </row>
        <row r="1211">
          <cell r="A1211">
            <v>380</v>
          </cell>
          <cell r="B1211" t="str">
            <v>Italy</v>
          </cell>
          <cell r="C1211">
            <v>1998</v>
          </cell>
          <cell r="D1211">
            <v>90</v>
          </cell>
          <cell r="E1211">
            <v>1010</v>
          </cell>
          <cell r="F1211">
            <v>90</v>
          </cell>
          <cell r="G1211">
            <v>552703</v>
          </cell>
          <cell r="H1211" t="str">
            <v>;;=SUM(F21:G21);</v>
          </cell>
          <cell r="I1211" t="str">
            <v>.</v>
          </cell>
        </row>
        <row r="1212">
          <cell r="A1212">
            <v>380</v>
          </cell>
          <cell r="B1212" t="str">
            <v>Italy</v>
          </cell>
          <cell r="C1212">
            <v>1998</v>
          </cell>
          <cell r="D1212">
            <v>90</v>
          </cell>
          <cell r="E1212">
            <v>1111</v>
          </cell>
          <cell r="F1212">
            <v>90</v>
          </cell>
          <cell r="G1212">
            <v>556272</v>
          </cell>
          <cell r="H1212" t="str">
            <v>;;=SUM(F22:G22);</v>
          </cell>
          <cell r="I1212" t="str">
            <v>.</v>
          </cell>
        </row>
        <row r="1213">
          <cell r="A1213">
            <v>380</v>
          </cell>
          <cell r="B1213" t="str">
            <v>Italy</v>
          </cell>
          <cell r="C1213">
            <v>1998</v>
          </cell>
          <cell r="D1213">
            <v>90</v>
          </cell>
          <cell r="E1213">
            <v>1212</v>
          </cell>
          <cell r="F1213">
            <v>90</v>
          </cell>
          <cell r="G1213">
            <v>576726</v>
          </cell>
          <cell r="H1213" t="str">
            <v>;;=SUM(F23:G23);</v>
          </cell>
          <cell r="I1213" t="str">
            <v>.</v>
          </cell>
        </row>
        <row r="1214">
          <cell r="A1214">
            <v>380</v>
          </cell>
          <cell r="B1214" t="str">
            <v>Italy</v>
          </cell>
          <cell r="C1214">
            <v>1998</v>
          </cell>
          <cell r="D1214">
            <v>90</v>
          </cell>
          <cell r="E1214">
            <v>1313</v>
          </cell>
          <cell r="F1214">
            <v>90</v>
          </cell>
          <cell r="G1214">
            <v>584417</v>
          </cell>
          <cell r="H1214" t="str">
            <v>;;=SUM(F24:G24);</v>
          </cell>
          <cell r="I1214" t="str">
            <v>.</v>
          </cell>
        </row>
        <row r="1215">
          <cell r="A1215">
            <v>380</v>
          </cell>
          <cell r="B1215" t="str">
            <v>Italy</v>
          </cell>
          <cell r="C1215">
            <v>1998</v>
          </cell>
          <cell r="D1215">
            <v>90</v>
          </cell>
          <cell r="E1215">
            <v>1414</v>
          </cell>
          <cell r="F1215">
            <v>90</v>
          </cell>
          <cell r="G1215">
            <v>598304</v>
          </cell>
          <cell r="H1215" t="str">
            <v>;;=SUM(F25:G25);</v>
          </cell>
          <cell r="I1215" t="str">
            <v>.</v>
          </cell>
        </row>
        <row r="1216">
          <cell r="A1216">
            <v>380</v>
          </cell>
          <cell r="B1216" t="str">
            <v>Italy</v>
          </cell>
          <cell r="C1216">
            <v>1998</v>
          </cell>
          <cell r="D1216">
            <v>90</v>
          </cell>
          <cell r="E1216">
            <v>1014</v>
          </cell>
          <cell r="F1216">
            <v>90</v>
          </cell>
          <cell r="G1216">
            <v>2868422</v>
          </cell>
          <cell r="H1216" t="str">
            <v>;;=SUM(F26:G26);</v>
          </cell>
          <cell r="I1216" t="str">
            <v>.</v>
          </cell>
        </row>
        <row r="1217">
          <cell r="A1217">
            <v>380</v>
          </cell>
          <cell r="B1217" t="str">
            <v>Italy</v>
          </cell>
          <cell r="C1217">
            <v>1998</v>
          </cell>
          <cell r="D1217">
            <v>90</v>
          </cell>
          <cell r="E1217">
            <v>1515</v>
          </cell>
          <cell r="F1217">
            <v>90</v>
          </cell>
          <cell r="G1217">
            <v>617881</v>
          </cell>
          <cell r="H1217" t="str">
            <v>;;=SUM(F27:G27);</v>
          </cell>
          <cell r="I1217" t="str">
            <v>.</v>
          </cell>
        </row>
        <row r="1218">
          <cell r="A1218">
            <v>380</v>
          </cell>
          <cell r="B1218" t="str">
            <v>Italy</v>
          </cell>
          <cell r="C1218">
            <v>1998</v>
          </cell>
          <cell r="D1218">
            <v>90</v>
          </cell>
          <cell r="E1218">
            <v>1616</v>
          </cell>
          <cell r="F1218">
            <v>90</v>
          </cell>
          <cell r="G1218">
            <v>631825</v>
          </cell>
          <cell r="H1218" t="str">
            <v>;;=SUM(F28:G28);</v>
          </cell>
          <cell r="I1218" t="str">
            <v>.</v>
          </cell>
        </row>
        <row r="1219">
          <cell r="A1219">
            <v>372</v>
          </cell>
          <cell r="B1219" t="str">
            <v>Ireland</v>
          </cell>
          <cell r="C1219">
            <v>1998</v>
          </cell>
          <cell r="D1219">
            <v>90</v>
          </cell>
          <cell r="E1219">
            <v>1014</v>
          </cell>
          <cell r="F1219">
            <v>90</v>
          </cell>
          <cell r="G1219">
            <v>310560</v>
          </cell>
          <cell r="H1219" t="str">
            <v>;;=SUM(F26:G26);</v>
          </cell>
          <cell r="I1219" t="str">
            <v>.</v>
          </cell>
        </row>
        <row r="1220">
          <cell r="A1220">
            <v>372</v>
          </cell>
          <cell r="B1220" t="str">
            <v>Ireland</v>
          </cell>
          <cell r="C1220">
            <v>1998</v>
          </cell>
          <cell r="D1220">
            <v>90</v>
          </cell>
          <cell r="E1220">
            <v>1515</v>
          </cell>
          <cell r="F1220">
            <v>90</v>
          </cell>
          <cell r="G1220">
            <v>68610</v>
          </cell>
          <cell r="H1220" t="str">
            <v>;;=SUM(F27:G27);</v>
          </cell>
          <cell r="I1220" t="str">
            <v>.</v>
          </cell>
        </row>
        <row r="1221">
          <cell r="A1221">
            <v>372</v>
          </cell>
          <cell r="B1221" t="str">
            <v>Ireland</v>
          </cell>
          <cell r="C1221">
            <v>1998</v>
          </cell>
          <cell r="D1221">
            <v>90</v>
          </cell>
          <cell r="E1221">
            <v>1616</v>
          </cell>
          <cell r="F1221">
            <v>90</v>
          </cell>
          <cell r="G1221">
            <v>70430</v>
          </cell>
          <cell r="H1221" t="str">
            <v>;;=SUM(F28:G28);</v>
          </cell>
          <cell r="I1221" t="str">
            <v>.</v>
          </cell>
        </row>
        <row r="1222">
          <cell r="A1222">
            <v>372</v>
          </cell>
          <cell r="B1222" t="str">
            <v>Ireland</v>
          </cell>
          <cell r="C1222">
            <v>1998</v>
          </cell>
          <cell r="D1222">
            <v>90</v>
          </cell>
          <cell r="E1222">
            <v>1717</v>
          </cell>
          <cell r="F1222">
            <v>90</v>
          </cell>
          <cell r="G1222">
            <v>71900</v>
          </cell>
          <cell r="H1222" t="str">
            <v>;;=SUM(F29:G29);</v>
          </cell>
          <cell r="I1222" t="str">
            <v>.</v>
          </cell>
        </row>
        <row r="1223">
          <cell r="A1223">
            <v>372</v>
          </cell>
          <cell r="B1223" t="str">
            <v>Ireland</v>
          </cell>
          <cell r="C1223">
            <v>1998</v>
          </cell>
          <cell r="D1223">
            <v>90</v>
          </cell>
          <cell r="E1223">
            <v>1818</v>
          </cell>
          <cell r="F1223">
            <v>90</v>
          </cell>
          <cell r="G1223">
            <v>69800</v>
          </cell>
          <cell r="H1223" t="str">
            <v>;;=SUM(F30:G30);</v>
          </cell>
          <cell r="I1223" t="str">
            <v>.</v>
          </cell>
        </row>
        <row r="1224">
          <cell r="A1224">
            <v>372</v>
          </cell>
          <cell r="B1224" t="str">
            <v>Ireland</v>
          </cell>
          <cell r="C1224">
            <v>1998</v>
          </cell>
          <cell r="D1224">
            <v>90</v>
          </cell>
          <cell r="E1224">
            <v>1919</v>
          </cell>
          <cell r="F1224">
            <v>90</v>
          </cell>
          <cell r="G1224">
            <v>65100</v>
          </cell>
          <cell r="H1224" t="str">
            <v>;;=SUM(F31:G31);</v>
          </cell>
          <cell r="I1224" t="str">
            <v>.</v>
          </cell>
        </row>
        <row r="1225">
          <cell r="A1225">
            <v>372</v>
          </cell>
          <cell r="B1225" t="str">
            <v>Ireland</v>
          </cell>
          <cell r="C1225">
            <v>1998</v>
          </cell>
          <cell r="D1225">
            <v>90</v>
          </cell>
          <cell r="E1225">
            <v>1519</v>
          </cell>
          <cell r="F1225">
            <v>90</v>
          </cell>
          <cell r="G1225">
            <v>345840</v>
          </cell>
          <cell r="H1225" t="str">
            <v>;;=SUM(F32:G32);</v>
          </cell>
          <cell r="I1225" t="str">
            <v>.</v>
          </cell>
        </row>
        <row r="1226">
          <cell r="A1226">
            <v>372</v>
          </cell>
          <cell r="B1226" t="str">
            <v>Ireland</v>
          </cell>
          <cell r="C1226">
            <v>1998</v>
          </cell>
          <cell r="D1226">
            <v>90</v>
          </cell>
          <cell r="E1226">
            <v>2020</v>
          </cell>
          <cell r="F1226">
            <v>90</v>
          </cell>
          <cell r="G1226">
            <v>62500</v>
          </cell>
          <cell r="H1226" t="str">
            <v>;;=SUM(F33:G33);</v>
          </cell>
          <cell r="I1226" t="str">
            <v>.</v>
          </cell>
        </row>
        <row r="1227">
          <cell r="A1227">
            <v>372</v>
          </cell>
          <cell r="B1227" t="str">
            <v>Ireland</v>
          </cell>
          <cell r="C1227">
            <v>1998</v>
          </cell>
          <cell r="D1227">
            <v>90</v>
          </cell>
          <cell r="E1227">
            <v>2121</v>
          </cell>
          <cell r="F1227">
            <v>90</v>
          </cell>
          <cell r="G1227">
            <v>61300</v>
          </cell>
          <cell r="H1227" t="str">
            <v>;;=SUM(F34:G34);</v>
          </cell>
          <cell r="I1227" t="str">
            <v>.</v>
          </cell>
        </row>
        <row r="1228">
          <cell r="A1228">
            <v>372</v>
          </cell>
          <cell r="B1228" t="str">
            <v>Ireland</v>
          </cell>
          <cell r="C1228">
            <v>1998</v>
          </cell>
          <cell r="D1228">
            <v>90</v>
          </cell>
          <cell r="E1228">
            <v>2222</v>
          </cell>
          <cell r="F1228">
            <v>90</v>
          </cell>
          <cell r="G1228">
            <v>61300</v>
          </cell>
          <cell r="H1228" t="str">
            <v>;;=SUM(F35:G35);</v>
          </cell>
          <cell r="I1228" t="str">
            <v>.</v>
          </cell>
        </row>
        <row r="1229">
          <cell r="A1229">
            <v>372</v>
          </cell>
          <cell r="B1229" t="str">
            <v>Ireland</v>
          </cell>
          <cell r="C1229">
            <v>1998</v>
          </cell>
          <cell r="D1229">
            <v>90</v>
          </cell>
          <cell r="E1229">
            <v>2323</v>
          </cell>
          <cell r="F1229">
            <v>90</v>
          </cell>
          <cell r="G1229">
            <v>60400</v>
          </cell>
          <cell r="H1229" t="str">
            <v>;;=SUM(F36:G36);</v>
          </cell>
          <cell r="I1229" t="str">
            <v>.</v>
          </cell>
        </row>
        <row r="1230">
          <cell r="A1230">
            <v>372</v>
          </cell>
          <cell r="B1230" t="str">
            <v>Ireland</v>
          </cell>
          <cell r="C1230">
            <v>1998</v>
          </cell>
          <cell r="D1230">
            <v>90</v>
          </cell>
          <cell r="E1230">
            <v>2424</v>
          </cell>
          <cell r="F1230">
            <v>90</v>
          </cell>
          <cell r="G1230">
            <v>58700</v>
          </cell>
          <cell r="H1230" t="str">
            <v>;;=SUM(F37:G37);</v>
          </cell>
          <cell r="I1230" t="str">
            <v>.</v>
          </cell>
        </row>
        <row r="1231">
          <cell r="A1231">
            <v>372</v>
          </cell>
          <cell r="B1231" t="str">
            <v>Ireland</v>
          </cell>
          <cell r="C1231">
            <v>1998</v>
          </cell>
          <cell r="D1231">
            <v>90</v>
          </cell>
          <cell r="E1231">
            <v>2024</v>
          </cell>
          <cell r="F1231">
            <v>90</v>
          </cell>
          <cell r="G1231">
            <v>304200</v>
          </cell>
          <cell r="H1231" t="str">
            <v>;;=SUM(F38:G38);</v>
          </cell>
          <cell r="I1231" t="str">
            <v>.</v>
          </cell>
        </row>
        <row r="1232">
          <cell r="A1232">
            <v>372</v>
          </cell>
          <cell r="B1232" t="str">
            <v>Ireland</v>
          </cell>
          <cell r="C1232">
            <v>1998</v>
          </cell>
          <cell r="D1232">
            <v>90</v>
          </cell>
          <cell r="E1232">
            <v>2525</v>
          </cell>
          <cell r="F1232">
            <v>90</v>
          </cell>
          <cell r="G1232">
            <v>58530</v>
          </cell>
          <cell r="H1232" t="str">
            <v>;;=SUM(F39:G39);</v>
          </cell>
          <cell r="I1232" t="str">
            <v>.</v>
          </cell>
        </row>
        <row r="1233">
          <cell r="A1233">
            <v>372</v>
          </cell>
          <cell r="B1233" t="str">
            <v>Ireland</v>
          </cell>
          <cell r="C1233">
            <v>1998</v>
          </cell>
          <cell r="D1233">
            <v>90</v>
          </cell>
          <cell r="E1233">
            <v>2626</v>
          </cell>
          <cell r="F1233">
            <v>90</v>
          </cell>
          <cell r="G1233">
            <v>57200</v>
          </cell>
          <cell r="H1233" t="str">
            <v>;;=SUM(F40:G40);</v>
          </cell>
          <cell r="I1233" t="str">
            <v>.</v>
          </cell>
        </row>
        <row r="1234">
          <cell r="A1234">
            <v>372</v>
          </cell>
          <cell r="B1234" t="str">
            <v>Ireland</v>
          </cell>
          <cell r="C1234">
            <v>1998</v>
          </cell>
          <cell r="D1234">
            <v>90</v>
          </cell>
          <cell r="E1234">
            <v>2727</v>
          </cell>
          <cell r="F1234">
            <v>90</v>
          </cell>
          <cell r="G1234">
            <v>55700</v>
          </cell>
          <cell r="H1234" t="str">
            <v>;;=SUM(F41:G41);</v>
          </cell>
          <cell r="I1234" t="str">
            <v>.</v>
          </cell>
        </row>
        <row r="1235">
          <cell r="A1235">
            <v>372</v>
          </cell>
          <cell r="B1235" t="str">
            <v>Ireland</v>
          </cell>
          <cell r="C1235">
            <v>1998</v>
          </cell>
          <cell r="D1235">
            <v>90</v>
          </cell>
          <cell r="E1235">
            <v>2828</v>
          </cell>
          <cell r="F1235">
            <v>90</v>
          </cell>
          <cell r="G1235">
            <v>53200</v>
          </cell>
          <cell r="H1235" t="str">
            <v>;;=SUM(F42:G42);</v>
          </cell>
          <cell r="I1235" t="str">
            <v>.</v>
          </cell>
        </row>
        <row r="1236">
          <cell r="A1236">
            <v>372</v>
          </cell>
          <cell r="B1236" t="str">
            <v>Ireland</v>
          </cell>
          <cell r="C1236">
            <v>1998</v>
          </cell>
          <cell r="D1236">
            <v>90</v>
          </cell>
          <cell r="E1236">
            <v>2929</v>
          </cell>
          <cell r="F1236">
            <v>90</v>
          </cell>
          <cell r="G1236">
            <v>51900</v>
          </cell>
          <cell r="H1236" t="str">
            <v>;;=SUM(F43:G43);</v>
          </cell>
          <cell r="I1236" t="str">
            <v>.</v>
          </cell>
        </row>
        <row r="1237">
          <cell r="A1237">
            <v>372</v>
          </cell>
          <cell r="B1237" t="str">
            <v>Ireland</v>
          </cell>
          <cell r="C1237">
            <v>1998</v>
          </cell>
          <cell r="D1237">
            <v>90</v>
          </cell>
          <cell r="E1237">
            <v>2529</v>
          </cell>
          <cell r="F1237">
            <v>90</v>
          </cell>
          <cell r="G1237">
            <v>276530</v>
          </cell>
          <cell r="H1237" t="str">
            <v>;;=SUM(F44:G44);</v>
          </cell>
          <cell r="I1237" t="str">
            <v>.</v>
          </cell>
        </row>
        <row r="1238">
          <cell r="A1238">
            <v>372</v>
          </cell>
          <cell r="B1238" t="str">
            <v>Ireland</v>
          </cell>
          <cell r="C1238">
            <v>1998</v>
          </cell>
          <cell r="D1238">
            <v>90</v>
          </cell>
          <cell r="E1238">
            <v>3034</v>
          </cell>
          <cell r="F1238">
            <v>90</v>
          </cell>
          <cell r="G1238">
            <v>262900</v>
          </cell>
          <cell r="H1238" t="str">
            <v>;;=SUM(F45:G45);</v>
          </cell>
          <cell r="I1238" t="str">
            <v>.</v>
          </cell>
        </row>
        <row r="1239">
          <cell r="A1239">
            <v>372</v>
          </cell>
          <cell r="B1239" t="str">
            <v>Ireland</v>
          </cell>
          <cell r="C1239">
            <v>1998</v>
          </cell>
          <cell r="D1239">
            <v>90</v>
          </cell>
          <cell r="E1239">
            <v>3539</v>
          </cell>
          <cell r="F1239">
            <v>90</v>
          </cell>
          <cell r="G1239">
            <v>261050</v>
          </cell>
          <cell r="H1239" t="str">
            <v>;;=SUM(F46:G46);</v>
          </cell>
          <cell r="I1239" t="str">
            <v>.</v>
          </cell>
        </row>
        <row r="1240">
          <cell r="A1240">
            <v>372</v>
          </cell>
          <cell r="B1240" t="str">
            <v>Ireland</v>
          </cell>
          <cell r="C1240">
            <v>1998</v>
          </cell>
          <cell r="D1240">
            <v>90</v>
          </cell>
          <cell r="E1240">
            <v>4099</v>
          </cell>
          <cell r="F1240">
            <v>90</v>
          </cell>
          <cell r="G1240">
            <v>1405600</v>
          </cell>
          <cell r="H1240" t="str">
            <v>;;=SUM(F47:G47);</v>
          </cell>
          <cell r="I1240" t="str">
            <v>.</v>
          </cell>
        </row>
        <row r="1241">
          <cell r="A1241">
            <v>372</v>
          </cell>
          <cell r="B1241" t="str">
            <v>Ireland</v>
          </cell>
          <cell r="C1241">
            <v>1998</v>
          </cell>
          <cell r="D1241">
            <v>90</v>
          </cell>
          <cell r="E1241">
            <v>990000</v>
          </cell>
          <cell r="F1241">
            <v>90</v>
          </cell>
          <cell r="G1241">
            <v>0</v>
          </cell>
          <cell r="H1241" t="str">
            <v>;;=SUM(F48:G48);</v>
          </cell>
          <cell r="I1241" t="str">
            <v>.</v>
          </cell>
        </row>
        <row r="1242">
          <cell r="A1242">
            <v>152</v>
          </cell>
          <cell r="B1242" t="str">
            <v>Chile</v>
          </cell>
          <cell r="C1242">
            <v>1997</v>
          </cell>
          <cell r="D1242">
            <v>90</v>
          </cell>
          <cell r="E1242">
            <v>900000</v>
          </cell>
          <cell r="F1242">
            <v>90</v>
          </cell>
          <cell r="G1242">
            <v>14622354</v>
          </cell>
          <cell r="H1242" t="str">
            <v>;;=SUM(F11:G11);</v>
          </cell>
          <cell r="I1242" t="str">
            <v>.</v>
          </cell>
        </row>
        <row r="1243">
          <cell r="A1243">
            <v>152</v>
          </cell>
          <cell r="B1243" t="str">
            <v>Chile</v>
          </cell>
          <cell r="C1243">
            <v>1997</v>
          </cell>
          <cell r="D1243">
            <v>90</v>
          </cell>
          <cell r="E1243">
            <v>300</v>
          </cell>
          <cell r="F1243">
            <v>90</v>
          </cell>
          <cell r="G1243">
            <v>872373</v>
          </cell>
          <cell r="H1243" t="str">
            <v>;;=SUM(F12:G12);</v>
          </cell>
          <cell r="I1243" t="str">
            <v>.</v>
          </cell>
        </row>
        <row r="1244">
          <cell r="A1244">
            <v>152</v>
          </cell>
          <cell r="B1244" t="str">
            <v>Chile</v>
          </cell>
          <cell r="C1244">
            <v>1997</v>
          </cell>
          <cell r="D1244">
            <v>90</v>
          </cell>
          <cell r="E1244">
            <v>303</v>
          </cell>
          <cell r="F1244">
            <v>90</v>
          </cell>
          <cell r="G1244">
            <v>291799</v>
          </cell>
          <cell r="H1244" t="str">
            <v>;;=SUM(F13:G13);</v>
          </cell>
          <cell r="I1244" t="str">
            <v>.</v>
          </cell>
        </row>
        <row r="1245">
          <cell r="A1245">
            <v>152</v>
          </cell>
          <cell r="B1245" t="str">
            <v>Chile</v>
          </cell>
          <cell r="C1245">
            <v>1997</v>
          </cell>
          <cell r="D1245">
            <v>90</v>
          </cell>
          <cell r="E1245">
            <v>404</v>
          </cell>
          <cell r="F1245">
            <v>90</v>
          </cell>
          <cell r="G1245">
            <v>291896</v>
          </cell>
          <cell r="H1245" t="str">
            <v>;;=SUM(F14:G14);</v>
          </cell>
          <cell r="I1245" t="str">
            <v>.</v>
          </cell>
        </row>
        <row r="1246">
          <cell r="A1246">
            <v>152</v>
          </cell>
          <cell r="B1246" t="str">
            <v>Chile</v>
          </cell>
          <cell r="C1246">
            <v>1997</v>
          </cell>
          <cell r="D1246">
            <v>90</v>
          </cell>
          <cell r="E1246">
            <v>505</v>
          </cell>
          <cell r="F1246">
            <v>90</v>
          </cell>
          <cell r="G1246">
            <v>293649</v>
          </cell>
          <cell r="H1246" t="str">
            <v>;;=SUM(F15:G15);</v>
          </cell>
          <cell r="I1246" t="str">
            <v>.</v>
          </cell>
        </row>
        <row r="1247">
          <cell r="A1247">
            <v>152</v>
          </cell>
          <cell r="B1247" t="str">
            <v>Chile</v>
          </cell>
          <cell r="C1247">
            <v>1997</v>
          </cell>
          <cell r="D1247">
            <v>90</v>
          </cell>
          <cell r="E1247">
            <v>606</v>
          </cell>
          <cell r="F1247">
            <v>90</v>
          </cell>
          <cell r="G1247">
            <v>291965</v>
          </cell>
          <cell r="H1247" t="str">
            <v>;;=SUM(F16:G16);</v>
          </cell>
          <cell r="I1247" t="str">
            <v>.</v>
          </cell>
        </row>
        <row r="1248">
          <cell r="A1248">
            <v>152</v>
          </cell>
          <cell r="B1248" t="str">
            <v>Chile</v>
          </cell>
          <cell r="C1248">
            <v>1997</v>
          </cell>
          <cell r="D1248">
            <v>90</v>
          </cell>
          <cell r="E1248">
            <v>707</v>
          </cell>
          <cell r="F1248">
            <v>90</v>
          </cell>
          <cell r="G1248">
            <v>289435</v>
          </cell>
          <cell r="H1248" t="str">
            <v>;;=SUM(F17:G17);</v>
          </cell>
          <cell r="I1248" t="str">
            <v>.</v>
          </cell>
        </row>
        <row r="1249">
          <cell r="A1249">
            <v>152</v>
          </cell>
          <cell r="B1249" t="str">
            <v>Chile</v>
          </cell>
          <cell r="C1249">
            <v>1997</v>
          </cell>
          <cell r="D1249">
            <v>90</v>
          </cell>
          <cell r="E1249">
            <v>808</v>
          </cell>
          <cell r="F1249">
            <v>90</v>
          </cell>
          <cell r="G1249">
            <v>286202</v>
          </cell>
          <cell r="H1249" t="str">
            <v>;;=SUM(F18:G18);</v>
          </cell>
          <cell r="I1249" t="str">
            <v>.</v>
          </cell>
        </row>
        <row r="1250">
          <cell r="A1250">
            <v>152</v>
          </cell>
          <cell r="B1250" t="str">
            <v>Chile</v>
          </cell>
          <cell r="C1250">
            <v>1997</v>
          </cell>
          <cell r="D1250">
            <v>90</v>
          </cell>
          <cell r="E1250">
            <v>909</v>
          </cell>
          <cell r="F1250">
            <v>90</v>
          </cell>
          <cell r="G1250">
            <v>282402</v>
          </cell>
          <cell r="H1250" t="str">
            <v>;;=SUM(F19:G19);</v>
          </cell>
          <cell r="I1250" t="str">
            <v>.</v>
          </cell>
        </row>
        <row r="1251">
          <cell r="A1251">
            <v>152</v>
          </cell>
          <cell r="B1251" t="str">
            <v>Chile</v>
          </cell>
          <cell r="C1251">
            <v>1997</v>
          </cell>
          <cell r="D1251">
            <v>90</v>
          </cell>
          <cell r="E1251">
            <v>509</v>
          </cell>
          <cell r="F1251">
            <v>90</v>
          </cell>
          <cell r="G1251">
            <v>1443653</v>
          </cell>
          <cell r="H1251" t="str">
            <v>;;=SUM(F20:G20);</v>
          </cell>
          <cell r="I1251" t="str">
            <v>.</v>
          </cell>
        </row>
        <row r="1252">
          <cell r="A1252">
            <v>152</v>
          </cell>
          <cell r="B1252" t="str">
            <v>Chile</v>
          </cell>
          <cell r="C1252">
            <v>1997</v>
          </cell>
          <cell r="D1252">
            <v>90</v>
          </cell>
          <cell r="E1252">
            <v>1010</v>
          </cell>
          <cell r="F1252">
            <v>90</v>
          </cell>
          <cell r="G1252">
            <v>278179</v>
          </cell>
          <cell r="H1252" t="str">
            <v>;;=SUM(F21:G21);</v>
          </cell>
          <cell r="I1252" t="str">
            <v>.</v>
          </cell>
        </row>
        <row r="1253">
          <cell r="A1253">
            <v>152</v>
          </cell>
          <cell r="B1253" t="str">
            <v>Chile</v>
          </cell>
          <cell r="C1253">
            <v>1997</v>
          </cell>
          <cell r="D1253">
            <v>90</v>
          </cell>
          <cell r="E1253">
            <v>1111</v>
          </cell>
          <cell r="F1253">
            <v>90</v>
          </cell>
          <cell r="G1253">
            <v>273672</v>
          </cell>
          <cell r="H1253" t="str">
            <v>;;=SUM(F22:G22);</v>
          </cell>
          <cell r="I1253" t="str">
            <v>.</v>
          </cell>
        </row>
        <row r="1254">
          <cell r="A1254">
            <v>152</v>
          </cell>
          <cell r="B1254" t="str">
            <v>Chile</v>
          </cell>
          <cell r="C1254">
            <v>1997</v>
          </cell>
          <cell r="D1254">
            <v>90</v>
          </cell>
          <cell r="E1254">
            <v>1212</v>
          </cell>
          <cell r="F1254">
            <v>90</v>
          </cell>
          <cell r="G1254">
            <v>268952</v>
          </cell>
          <cell r="H1254" t="str">
            <v>;;=SUM(F23:G23);</v>
          </cell>
          <cell r="I1254" t="str">
            <v>.</v>
          </cell>
        </row>
        <row r="1255">
          <cell r="A1255">
            <v>152</v>
          </cell>
          <cell r="B1255" t="str">
            <v>Chile</v>
          </cell>
          <cell r="C1255">
            <v>1997</v>
          </cell>
          <cell r="D1255">
            <v>90</v>
          </cell>
          <cell r="E1255">
            <v>1313</v>
          </cell>
          <cell r="F1255">
            <v>90</v>
          </cell>
          <cell r="G1255">
            <v>264157</v>
          </cell>
          <cell r="H1255" t="str">
            <v>;;=SUM(F24:G24);</v>
          </cell>
          <cell r="I1255" t="str">
            <v>.</v>
          </cell>
        </row>
        <row r="1256">
          <cell r="A1256">
            <v>152</v>
          </cell>
          <cell r="B1256" t="str">
            <v>Chile</v>
          </cell>
          <cell r="C1256">
            <v>1997</v>
          </cell>
          <cell r="D1256">
            <v>90</v>
          </cell>
          <cell r="E1256">
            <v>1414</v>
          </cell>
          <cell r="F1256">
            <v>90</v>
          </cell>
          <cell r="G1256">
            <v>259424</v>
          </cell>
          <cell r="H1256" t="str">
            <v>;;=SUM(F25:G25);</v>
          </cell>
          <cell r="I1256" t="str">
            <v>.</v>
          </cell>
        </row>
        <row r="1257">
          <cell r="A1257">
            <v>152</v>
          </cell>
          <cell r="B1257" t="str">
            <v>Chile</v>
          </cell>
          <cell r="C1257">
            <v>1997</v>
          </cell>
          <cell r="D1257">
            <v>90</v>
          </cell>
          <cell r="E1257">
            <v>1014</v>
          </cell>
          <cell r="F1257">
            <v>90</v>
          </cell>
          <cell r="G1257">
            <v>1344384</v>
          </cell>
          <cell r="H1257" t="str">
            <v>;;=SUM(F26:G26);</v>
          </cell>
          <cell r="I1257" t="str">
            <v>.</v>
          </cell>
        </row>
        <row r="1258">
          <cell r="A1258">
            <v>152</v>
          </cell>
          <cell r="B1258" t="str">
            <v>Chile</v>
          </cell>
          <cell r="C1258">
            <v>1997</v>
          </cell>
          <cell r="D1258">
            <v>90</v>
          </cell>
          <cell r="E1258">
            <v>1515</v>
          </cell>
          <cell r="F1258">
            <v>90</v>
          </cell>
          <cell r="G1258">
            <v>254722</v>
          </cell>
          <cell r="H1258" t="str">
            <v>;;=SUM(F27:G27);</v>
          </cell>
          <cell r="I1258" t="str">
            <v>.</v>
          </cell>
        </row>
        <row r="1259">
          <cell r="A1259">
            <v>152</v>
          </cell>
          <cell r="B1259" t="str">
            <v>Chile</v>
          </cell>
          <cell r="C1259">
            <v>1997</v>
          </cell>
          <cell r="D1259">
            <v>90</v>
          </cell>
          <cell r="E1259">
            <v>1616</v>
          </cell>
          <cell r="F1259">
            <v>90</v>
          </cell>
          <cell r="G1259">
            <v>249966</v>
          </cell>
          <cell r="H1259" t="str">
            <v>;;=SUM(F28:G28);</v>
          </cell>
          <cell r="I1259" t="str">
            <v>.</v>
          </cell>
        </row>
        <row r="1260">
          <cell r="A1260">
            <v>152</v>
          </cell>
          <cell r="B1260" t="str">
            <v>Chile</v>
          </cell>
          <cell r="C1260">
            <v>1997</v>
          </cell>
          <cell r="D1260">
            <v>90</v>
          </cell>
          <cell r="E1260">
            <v>1717</v>
          </cell>
          <cell r="F1260">
            <v>90</v>
          </cell>
          <cell r="G1260">
            <v>246364</v>
          </cell>
          <cell r="H1260" t="str">
            <v>;;=SUM(F29:G29);</v>
          </cell>
          <cell r="I1260" t="str">
            <v>.</v>
          </cell>
        </row>
        <row r="1261">
          <cell r="A1261">
            <v>152</v>
          </cell>
          <cell r="B1261" t="str">
            <v>Chile</v>
          </cell>
          <cell r="C1261">
            <v>1997</v>
          </cell>
          <cell r="D1261">
            <v>90</v>
          </cell>
          <cell r="E1261">
            <v>1818</v>
          </cell>
          <cell r="F1261">
            <v>90</v>
          </cell>
          <cell r="G1261">
            <v>244490</v>
          </cell>
          <cell r="H1261" t="str">
            <v>;;=SUM(F30:G30);</v>
          </cell>
          <cell r="I1261" t="str">
            <v>.</v>
          </cell>
        </row>
        <row r="1262">
          <cell r="A1262">
            <v>152</v>
          </cell>
          <cell r="B1262" t="str">
            <v>Chile</v>
          </cell>
          <cell r="C1262">
            <v>1997</v>
          </cell>
          <cell r="D1262">
            <v>90</v>
          </cell>
          <cell r="E1262">
            <v>1919</v>
          </cell>
          <cell r="F1262">
            <v>90</v>
          </cell>
          <cell r="G1262">
            <v>243810</v>
          </cell>
          <cell r="H1262" t="str">
            <v>;;=SUM(F31:G31);</v>
          </cell>
          <cell r="I1262" t="str">
            <v>.</v>
          </cell>
        </row>
        <row r="1263">
          <cell r="A1263">
            <v>152</v>
          </cell>
          <cell r="B1263" t="str">
            <v>Chile</v>
          </cell>
          <cell r="C1263">
            <v>1997</v>
          </cell>
          <cell r="D1263">
            <v>90</v>
          </cell>
          <cell r="E1263">
            <v>1519</v>
          </cell>
          <cell r="F1263">
            <v>90</v>
          </cell>
          <cell r="G1263">
            <v>1239352</v>
          </cell>
          <cell r="H1263" t="str">
            <v>;;=SUM(F32:G32);</v>
          </cell>
          <cell r="I1263" t="str">
            <v>.</v>
          </cell>
        </row>
        <row r="1264">
          <cell r="A1264">
            <v>152</v>
          </cell>
          <cell r="B1264" t="str">
            <v>Chile</v>
          </cell>
          <cell r="C1264">
            <v>1997</v>
          </cell>
          <cell r="D1264">
            <v>90</v>
          </cell>
          <cell r="E1264">
            <v>2020</v>
          </cell>
          <cell r="F1264">
            <v>90</v>
          </cell>
          <cell r="G1264">
            <v>243233</v>
          </cell>
          <cell r="H1264" t="str">
            <v>;;=SUM(F33:G33);</v>
          </cell>
          <cell r="I1264" t="str">
            <v>.</v>
          </cell>
        </row>
        <row r="1265">
          <cell r="A1265">
            <v>152</v>
          </cell>
          <cell r="B1265" t="str">
            <v>Chile</v>
          </cell>
          <cell r="C1265">
            <v>1997</v>
          </cell>
          <cell r="D1265">
            <v>90</v>
          </cell>
          <cell r="E1265">
            <v>2121</v>
          </cell>
          <cell r="F1265">
            <v>90</v>
          </cell>
          <cell r="G1265">
            <v>242860</v>
          </cell>
          <cell r="H1265" t="str">
            <v>;;=SUM(F34:G34);</v>
          </cell>
          <cell r="I1265" t="str">
            <v>.</v>
          </cell>
        </row>
        <row r="1266">
          <cell r="A1266">
            <v>152</v>
          </cell>
          <cell r="B1266" t="str">
            <v>Chile</v>
          </cell>
          <cell r="C1266">
            <v>1997</v>
          </cell>
          <cell r="D1266">
            <v>90</v>
          </cell>
          <cell r="E1266">
            <v>2222</v>
          </cell>
          <cell r="F1266">
            <v>90</v>
          </cell>
          <cell r="G1266">
            <v>242782</v>
          </cell>
          <cell r="H1266" t="str">
            <v>;;=SUM(F35:G35);</v>
          </cell>
          <cell r="I1266" t="str">
            <v>.</v>
          </cell>
        </row>
        <row r="1267">
          <cell r="A1267">
            <v>152</v>
          </cell>
          <cell r="B1267" t="str">
            <v>Chile</v>
          </cell>
          <cell r="C1267">
            <v>1997</v>
          </cell>
          <cell r="D1267">
            <v>90</v>
          </cell>
          <cell r="E1267">
            <v>2323</v>
          </cell>
          <cell r="F1267">
            <v>90</v>
          </cell>
          <cell r="G1267">
            <v>242899</v>
          </cell>
          <cell r="H1267" t="str">
            <v>;;=SUM(F36:G36);</v>
          </cell>
          <cell r="I1267" t="str">
            <v>.</v>
          </cell>
        </row>
        <row r="1268">
          <cell r="A1268">
            <v>152</v>
          </cell>
          <cell r="B1268" t="str">
            <v>Chile</v>
          </cell>
          <cell r="C1268">
            <v>1997</v>
          </cell>
          <cell r="D1268">
            <v>90</v>
          </cell>
          <cell r="E1268">
            <v>2424</v>
          </cell>
          <cell r="F1268">
            <v>90</v>
          </cell>
          <cell r="G1268">
            <v>243162</v>
          </cell>
          <cell r="H1268" t="str">
            <v>;;=SUM(F37:G37);</v>
          </cell>
          <cell r="I1268" t="str">
            <v>.</v>
          </cell>
        </row>
        <row r="1269">
          <cell r="A1269">
            <v>152</v>
          </cell>
          <cell r="B1269" t="str">
            <v>Chile</v>
          </cell>
          <cell r="C1269">
            <v>1997</v>
          </cell>
          <cell r="D1269">
            <v>90</v>
          </cell>
          <cell r="E1269">
            <v>2024</v>
          </cell>
          <cell r="F1269">
            <v>90</v>
          </cell>
          <cell r="G1269">
            <v>1214936</v>
          </cell>
          <cell r="H1269" t="str">
            <v>;;=SUM(F38:G38);</v>
          </cell>
          <cell r="I1269" t="str">
            <v>.</v>
          </cell>
        </row>
        <row r="1270">
          <cell r="A1270">
            <v>152</v>
          </cell>
          <cell r="B1270" t="str">
            <v>Chile</v>
          </cell>
          <cell r="C1270">
            <v>1997</v>
          </cell>
          <cell r="D1270">
            <v>90</v>
          </cell>
          <cell r="E1270">
            <v>2525</v>
          </cell>
          <cell r="F1270">
            <v>90</v>
          </cell>
          <cell r="G1270">
            <v>243541</v>
          </cell>
          <cell r="H1270" t="str">
            <v>;;=SUM(F39:G39);</v>
          </cell>
          <cell r="I1270" t="str">
            <v>.</v>
          </cell>
        </row>
        <row r="1271">
          <cell r="A1271">
            <v>152</v>
          </cell>
          <cell r="B1271" t="str">
            <v>Chile</v>
          </cell>
          <cell r="C1271">
            <v>1997</v>
          </cell>
          <cell r="D1271">
            <v>90</v>
          </cell>
          <cell r="E1271">
            <v>2626</v>
          </cell>
          <cell r="F1271">
            <v>90</v>
          </cell>
          <cell r="G1271">
            <v>243813</v>
          </cell>
          <cell r="H1271" t="str">
            <v>;;=SUM(F40:G40);</v>
          </cell>
          <cell r="I1271" t="str">
            <v>.</v>
          </cell>
        </row>
        <row r="1272">
          <cell r="A1272">
            <v>152</v>
          </cell>
          <cell r="B1272" t="str">
            <v>Chile</v>
          </cell>
          <cell r="C1272">
            <v>1997</v>
          </cell>
          <cell r="D1272">
            <v>90</v>
          </cell>
          <cell r="E1272">
            <v>2727</v>
          </cell>
          <cell r="F1272">
            <v>90</v>
          </cell>
          <cell r="G1272">
            <v>244304</v>
          </cell>
          <cell r="H1272" t="str">
            <v>;;=SUM(F41:G41);</v>
          </cell>
          <cell r="I1272" t="str">
            <v>.</v>
          </cell>
        </row>
        <row r="1273">
          <cell r="A1273">
            <v>152</v>
          </cell>
          <cell r="B1273" t="str">
            <v>Chile</v>
          </cell>
          <cell r="C1273">
            <v>1997</v>
          </cell>
          <cell r="D1273">
            <v>90</v>
          </cell>
          <cell r="E1273">
            <v>2828</v>
          </cell>
          <cell r="F1273">
            <v>90</v>
          </cell>
          <cell r="G1273">
            <v>245085</v>
          </cell>
          <cell r="H1273" t="str">
            <v>;;=SUM(F42:G42);</v>
          </cell>
          <cell r="I1273" t="str">
            <v>.</v>
          </cell>
        </row>
        <row r="1274">
          <cell r="A1274">
            <v>152</v>
          </cell>
          <cell r="B1274" t="str">
            <v>Chile</v>
          </cell>
          <cell r="C1274">
            <v>1997</v>
          </cell>
          <cell r="D1274">
            <v>90</v>
          </cell>
          <cell r="E1274">
            <v>2929</v>
          </cell>
          <cell r="F1274">
            <v>90</v>
          </cell>
          <cell r="G1274">
            <v>245886</v>
          </cell>
          <cell r="H1274" t="str">
            <v>;;=SUM(F43:G43);</v>
          </cell>
          <cell r="I1274" t="str">
            <v>.</v>
          </cell>
        </row>
        <row r="1275">
          <cell r="A1275">
            <v>152</v>
          </cell>
          <cell r="B1275" t="str">
            <v>Chile</v>
          </cell>
          <cell r="C1275">
            <v>1997</v>
          </cell>
          <cell r="D1275">
            <v>90</v>
          </cell>
          <cell r="E1275">
            <v>2529</v>
          </cell>
          <cell r="F1275">
            <v>90</v>
          </cell>
          <cell r="G1275">
            <v>1222629</v>
          </cell>
          <cell r="H1275" t="str">
            <v>;;=SUM(F44:G44);</v>
          </cell>
          <cell r="I1275" t="str">
            <v>.</v>
          </cell>
        </row>
        <row r="1276">
          <cell r="A1276">
            <v>152</v>
          </cell>
          <cell r="B1276" t="str">
            <v>Chile</v>
          </cell>
          <cell r="C1276">
            <v>1997</v>
          </cell>
          <cell r="D1276">
            <v>90</v>
          </cell>
          <cell r="E1276">
            <v>3034</v>
          </cell>
          <cell r="F1276">
            <v>90</v>
          </cell>
          <cell r="G1276">
            <v>1221190</v>
          </cell>
          <cell r="H1276" t="str">
            <v>;;=SUM(F45:G45);</v>
          </cell>
          <cell r="I1276" t="str">
            <v>.</v>
          </cell>
        </row>
        <row r="1277">
          <cell r="A1277">
            <v>152</v>
          </cell>
          <cell r="B1277" t="str">
            <v>Chile</v>
          </cell>
          <cell r="C1277">
            <v>1997</v>
          </cell>
          <cell r="D1277">
            <v>90</v>
          </cell>
          <cell r="E1277">
            <v>3539</v>
          </cell>
          <cell r="F1277">
            <v>90</v>
          </cell>
          <cell r="G1277">
            <v>1123900</v>
          </cell>
          <cell r="H1277" t="str">
            <v>;;=SUM(F46:G46);</v>
          </cell>
          <cell r="I1277" t="str">
            <v>.</v>
          </cell>
        </row>
        <row r="1278">
          <cell r="A1278">
            <v>152</v>
          </cell>
          <cell r="B1278" t="str">
            <v>Chile</v>
          </cell>
          <cell r="C1278">
            <v>1997</v>
          </cell>
          <cell r="D1278">
            <v>90</v>
          </cell>
          <cell r="E1278">
            <v>4099</v>
          </cell>
          <cell r="F1278">
            <v>90</v>
          </cell>
          <cell r="G1278">
            <v>4356242</v>
          </cell>
          <cell r="H1278" t="str">
            <v>;;=SUM(F47:G47);</v>
          </cell>
          <cell r="I1278" t="str">
            <v>.</v>
          </cell>
        </row>
        <row r="1279">
          <cell r="A1279">
            <v>152</v>
          </cell>
          <cell r="B1279" t="str">
            <v>Chile</v>
          </cell>
          <cell r="C1279">
            <v>1997</v>
          </cell>
          <cell r="D1279">
            <v>90</v>
          </cell>
          <cell r="E1279">
            <v>990000</v>
          </cell>
          <cell r="F1279">
            <v>90</v>
          </cell>
          <cell r="G1279">
            <v>0</v>
          </cell>
          <cell r="H1279" t="str">
            <v>n;</v>
          </cell>
          <cell r="I1279" t="str">
            <v>n</v>
          </cell>
        </row>
        <row r="1280">
          <cell r="A1280">
            <v>156</v>
          </cell>
          <cell r="B1280" t="str">
            <v>China</v>
          </cell>
          <cell r="C1280">
            <v>1997</v>
          </cell>
          <cell r="D1280">
            <v>90</v>
          </cell>
          <cell r="E1280">
            <v>900000</v>
          </cell>
          <cell r="F1280">
            <v>90</v>
          </cell>
          <cell r="G1280">
            <v>1243481000</v>
          </cell>
          <cell r="H1280" t="str">
            <v>;;=J11*1000;</v>
          </cell>
          <cell r="I1280" t="str">
            <v>.</v>
          </cell>
        </row>
        <row r="1281">
          <cell r="A1281">
            <v>156</v>
          </cell>
          <cell r="B1281" t="str">
            <v>China</v>
          </cell>
          <cell r="C1281">
            <v>1997</v>
          </cell>
          <cell r="D1281">
            <v>90</v>
          </cell>
          <cell r="E1281">
            <v>300</v>
          </cell>
          <cell r="F1281">
            <v>90</v>
          </cell>
          <cell r="G1281">
            <v>46227000</v>
          </cell>
          <cell r="H1281" t="str">
            <v>;;=J12*1000;</v>
          </cell>
          <cell r="I1281" t="str">
            <v>.</v>
          </cell>
        </row>
        <row r="1282">
          <cell r="A1282">
            <v>156</v>
          </cell>
          <cell r="B1282" t="str">
            <v>China</v>
          </cell>
          <cell r="C1282">
            <v>1997</v>
          </cell>
          <cell r="D1282">
            <v>90</v>
          </cell>
          <cell r="E1282">
            <v>303</v>
          </cell>
          <cell r="F1282">
            <v>90</v>
          </cell>
          <cell r="G1282">
            <v>15770000</v>
          </cell>
          <cell r="H1282" t="str">
            <v>;;=J13*1000;</v>
          </cell>
          <cell r="I1282" t="str">
            <v>.</v>
          </cell>
        </row>
        <row r="1283">
          <cell r="A1283">
            <v>156</v>
          </cell>
          <cell r="B1283" t="str">
            <v>China</v>
          </cell>
          <cell r="C1283">
            <v>1997</v>
          </cell>
          <cell r="D1283">
            <v>90</v>
          </cell>
          <cell r="E1283">
            <v>404</v>
          </cell>
          <cell r="F1283">
            <v>90</v>
          </cell>
          <cell r="G1283">
            <v>17754000</v>
          </cell>
          <cell r="H1283" t="str">
            <v>;;=J14*1000;</v>
          </cell>
          <cell r="I1283" t="str">
            <v>.</v>
          </cell>
        </row>
        <row r="1284">
          <cell r="A1284">
            <v>156</v>
          </cell>
          <cell r="B1284" t="str">
            <v>China</v>
          </cell>
          <cell r="C1284">
            <v>1997</v>
          </cell>
          <cell r="D1284">
            <v>90</v>
          </cell>
          <cell r="E1284">
            <v>505</v>
          </cell>
          <cell r="F1284">
            <v>90</v>
          </cell>
          <cell r="G1284">
            <v>19278000</v>
          </cell>
          <cell r="H1284" t="str">
            <v>;;=J15*1000;</v>
          </cell>
          <cell r="I1284" t="str">
            <v>.</v>
          </cell>
        </row>
        <row r="1285">
          <cell r="A1285">
            <v>156</v>
          </cell>
          <cell r="B1285" t="str">
            <v>China</v>
          </cell>
          <cell r="C1285">
            <v>1997</v>
          </cell>
          <cell r="D1285">
            <v>90</v>
          </cell>
          <cell r="E1285">
            <v>606</v>
          </cell>
          <cell r="F1285">
            <v>90</v>
          </cell>
          <cell r="G1285">
            <v>21082000</v>
          </cell>
          <cell r="H1285" t="str">
            <v>;;=J16*1000;</v>
          </cell>
          <cell r="I1285" t="str">
            <v>.</v>
          </cell>
        </row>
        <row r="1286">
          <cell r="A1286">
            <v>156</v>
          </cell>
          <cell r="B1286" t="str">
            <v>China</v>
          </cell>
          <cell r="C1286">
            <v>1997</v>
          </cell>
          <cell r="D1286">
            <v>90</v>
          </cell>
          <cell r="E1286">
            <v>707</v>
          </cell>
          <cell r="F1286">
            <v>90</v>
          </cell>
          <cell r="G1286">
            <v>27021000</v>
          </cell>
          <cell r="H1286" t="str">
            <v>;;=J17*1000;</v>
          </cell>
          <cell r="I1286" t="str">
            <v>.</v>
          </cell>
        </row>
        <row r="1287">
          <cell r="A1287">
            <v>156</v>
          </cell>
          <cell r="B1287" t="str">
            <v>China</v>
          </cell>
          <cell r="C1287">
            <v>1997</v>
          </cell>
          <cell r="D1287">
            <v>90</v>
          </cell>
          <cell r="E1287">
            <v>808</v>
          </cell>
          <cell r="F1287">
            <v>90</v>
          </cell>
          <cell r="G1287">
            <v>26315000</v>
          </cell>
          <cell r="H1287" t="str">
            <v>;;=J18*1000;</v>
          </cell>
          <cell r="I1287" t="str">
            <v>.</v>
          </cell>
        </row>
        <row r="1288">
          <cell r="A1288">
            <v>156</v>
          </cell>
          <cell r="B1288" t="str">
            <v>China</v>
          </cell>
          <cell r="C1288">
            <v>1997</v>
          </cell>
          <cell r="D1288">
            <v>90</v>
          </cell>
          <cell r="E1288">
            <v>909</v>
          </cell>
          <cell r="F1288">
            <v>90</v>
          </cell>
          <cell r="G1288">
            <v>25213000</v>
          </cell>
          <cell r="H1288" t="str">
            <v>;;=J19*1000;</v>
          </cell>
          <cell r="I1288" t="str">
            <v>.</v>
          </cell>
        </row>
        <row r="1289">
          <cell r="A1289">
            <v>156</v>
          </cell>
          <cell r="B1289" t="str">
            <v>China</v>
          </cell>
          <cell r="C1289">
            <v>1997</v>
          </cell>
          <cell r="D1289">
            <v>90</v>
          </cell>
          <cell r="E1289">
            <v>509</v>
          </cell>
          <cell r="F1289">
            <v>90</v>
          </cell>
          <cell r="G1289">
            <v>118909000</v>
          </cell>
          <cell r="H1289" t="str">
            <v>;;=J20*1000;</v>
          </cell>
          <cell r="I1289" t="str">
            <v>.</v>
          </cell>
        </row>
        <row r="1290">
          <cell r="A1290">
            <v>156</v>
          </cell>
          <cell r="B1290" t="str">
            <v>China</v>
          </cell>
          <cell r="C1290">
            <v>1997</v>
          </cell>
          <cell r="D1290">
            <v>90</v>
          </cell>
          <cell r="E1290">
            <v>1010</v>
          </cell>
          <cell r="F1290">
            <v>90</v>
          </cell>
          <cell r="G1290">
            <v>27176000</v>
          </cell>
          <cell r="H1290" t="str">
            <v>;;=J21*1000;</v>
          </cell>
          <cell r="I1290" t="str">
            <v>.</v>
          </cell>
        </row>
        <row r="1291">
          <cell r="A1291">
            <v>156</v>
          </cell>
          <cell r="B1291" t="str">
            <v>China</v>
          </cell>
          <cell r="C1291">
            <v>1997</v>
          </cell>
          <cell r="D1291">
            <v>90</v>
          </cell>
          <cell r="E1291">
            <v>1111</v>
          </cell>
          <cell r="F1291">
            <v>90</v>
          </cell>
          <cell r="G1291">
            <v>23374000</v>
          </cell>
          <cell r="H1291" t="str">
            <v>;;=J22*1000;</v>
          </cell>
          <cell r="I1291" t="str">
            <v>.</v>
          </cell>
        </row>
        <row r="1292">
          <cell r="A1292">
            <v>156</v>
          </cell>
          <cell r="B1292" t="str">
            <v>China</v>
          </cell>
          <cell r="C1292">
            <v>1997</v>
          </cell>
          <cell r="D1292">
            <v>90</v>
          </cell>
          <cell r="E1292">
            <v>1212</v>
          </cell>
          <cell r="F1292">
            <v>90</v>
          </cell>
          <cell r="G1292">
            <v>21364000</v>
          </cell>
          <cell r="H1292" t="str">
            <v>;;=J23*1000;</v>
          </cell>
          <cell r="I1292" t="str">
            <v>.</v>
          </cell>
        </row>
        <row r="1293">
          <cell r="A1293">
            <v>156</v>
          </cell>
          <cell r="B1293" t="str">
            <v>China</v>
          </cell>
          <cell r="C1293">
            <v>1997</v>
          </cell>
          <cell r="D1293">
            <v>90</v>
          </cell>
          <cell r="E1293">
            <v>1313</v>
          </cell>
          <cell r="F1293">
            <v>90</v>
          </cell>
          <cell r="G1293">
            <v>19743000</v>
          </cell>
          <cell r="H1293" t="str">
            <v>;;=J24*1000;</v>
          </cell>
          <cell r="I1293" t="str">
            <v>.</v>
          </cell>
        </row>
        <row r="1294">
          <cell r="A1294">
            <v>156</v>
          </cell>
          <cell r="B1294" t="str">
            <v>China</v>
          </cell>
          <cell r="C1294">
            <v>1997</v>
          </cell>
          <cell r="D1294">
            <v>90</v>
          </cell>
          <cell r="E1294">
            <v>1414</v>
          </cell>
          <cell r="F1294">
            <v>90</v>
          </cell>
          <cell r="G1294">
            <v>20087000</v>
          </cell>
          <cell r="H1294" t="str">
            <v>;;=J25*1000;</v>
          </cell>
          <cell r="I1294" t="str">
            <v>.</v>
          </cell>
        </row>
        <row r="1295">
          <cell r="A1295">
            <v>156</v>
          </cell>
          <cell r="B1295" t="str">
            <v>China</v>
          </cell>
          <cell r="C1295">
            <v>1997</v>
          </cell>
          <cell r="D1295">
            <v>90</v>
          </cell>
          <cell r="E1295">
            <v>1014</v>
          </cell>
          <cell r="F1295">
            <v>90</v>
          </cell>
          <cell r="G1295">
            <v>111744000</v>
          </cell>
          <cell r="H1295" t="str">
            <v>;;=J26*1000;</v>
          </cell>
          <cell r="I1295" t="str">
            <v>.</v>
          </cell>
        </row>
        <row r="1296">
          <cell r="A1296">
            <v>156</v>
          </cell>
          <cell r="B1296" t="str">
            <v>China</v>
          </cell>
          <cell r="C1296">
            <v>1997</v>
          </cell>
          <cell r="D1296">
            <v>90</v>
          </cell>
          <cell r="E1296">
            <v>1515</v>
          </cell>
          <cell r="F1296">
            <v>90</v>
          </cell>
          <cell r="G1296">
            <v>22830000</v>
          </cell>
          <cell r="H1296" t="str">
            <v>;;=J27*1000;</v>
          </cell>
          <cell r="I1296" t="str">
            <v>.</v>
          </cell>
        </row>
        <row r="1297">
          <cell r="A1297">
            <v>156</v>
          </cell>
          <cell r="B1297" t="str">
            <v>China</v>
          </cell>
          <cell r="C1297">
            <v>1997</v>
          </cell>
          <cell r="D1297">
            <v>90</v>
          </cell>
          <cell r="E1297">
            <v>1616</v>
          </cell>
          <cell r="F1297">
            <v>90</v>
          </cell>
          <cell r="G1297">
            <v>18551000</v>
          </cell>
          <cell r="H1297" t="str">
            <v>;;=J28*1000;</v>
          </cell>
          <cell r="I1297" t="str">
            <v>.</v>
          </cell>
        </row>
        <row r="1298">
          <cell r="A1298">
            <v>156</v>
          </cell>
          <cell r="B1298" t="str">
            <v>China</v>
          </cell>
          <cell r="C1298">
            <v>1997</v>
          </cell>
          <cell r="D1298">
            <v>90</v>
          </cell>
          <cell r="E1298">
            <v>1717</v>
          </cell>
          <cell r="F1298">
            <v>90</v>
          </cell>
          <cell r="G1298">
            <v>16944000</v>
          </cell>
          <cell r="H1298" t="str">
            <v>;;=J29*1000;</v>
          </cell>
          <cell r="I1298" t="str">
            <v>.</v>
          </cell>
        </row>
        <row r="1299">
          <cell r="A1299">
            <v>156</v>
          </cell>
          <cell r="B1299" t="str">
            <v>China</v>
          </cell>
          <cell r="C1299">
            <v>1997</v>
          </cell>
          <cell r="D1299">
            <v>90</v>
          </cell>
          <cell r="E1299">
            <v>1818</v>
          </cell>
          <cell r="F1299">
            <v>90</v>
          </cell>
          <cell r="G1299">
            <v>17733000</v>
          </cell>
          <cell r="H1299" t="str">
            <v>;;=J30*1000;</v>
          </cell>
          <cell r="I1299" t="str">
            <v>.</v>
          </cell>
        </row>
        <row r="1300">
          <cell r="A1300">
            <v>156</v>
          </cell>
          <cell r="B1300" t="str">
            <v>China</v>
          </cell>
          <cell r="C1300">
            <v>1997</v>
          </cell>
          <cell r="D1300">
            <v>90</v>
          </cell>
          <cell r="E1300">
            <v>1919</v>
          </cell>
          <cell r="F1300">
            <v>90</v>
          </cell>
          <cell r="G1300">
            <v>15684000</v>
          </cell>
          <cell r="H1300" t="str">
            <v>;;=J31*1000;</v>
          </cell>
          <cell r="I1300" t="str">
            <v>.</v>
          </cell>
        </row>
        <row r="1301">
          <cell r="A1301">
            <v>156</v>
          </cell>
          <cell r="B1301" t="str">
            <v>China</v>
          </cell>
          <cell r="C1301">
            <v>1997</v>
          </cell>
          <cell r="D1301">
            <v>90</v>
          </cell>
          <cell r="E1301">
            <v>1519</v>
          </cell>
          <cell r="F1301">
            <v>90</v>
          </cell>
          <cell r="G1301">
            <v>91742000</v>
          </cell>
          <cell r="H1301" t="str">
            <v>;;=J32*1000;</v>
          </cell>
          <cell r="I1301" t="str">
            <v>.</v>
          </cell>
        </row>
        <row r="1302">
          <cell r="A1302">
            <v>156</v>
          </cell>
          <cell r="B1302" t="str">
            <v>China</v>
          </cell>
          <cell r="C1302">
            <v>1997</v>
          </cell>
          <cell r="D1302">
            <v>90</v>
          </cell>
          <cell r="E1302">
            <v>2020</v>
          </cell>
          <cell r="F1302">
            <v>90</v>
          </cell>
          <cell r="G1302">
            <v>15822000</v>
          </cell>
          <cell r="H1302" t="str">
            <v>;;=J33*1000;</v>
          </cell>
          <cell r="I1302" t="str">
            <v>.</v>
          </cell>
        </row>
        <row r="1303">
          <cell r="A1303">
            <v>156</v>
          </cell>
          <cell r="B1303" t="str">
            <v>China</v>
          </cell>
          <cell r="C1303">
            <v>1997</v>
          </cell>
          <cell r="D1303">
            <v>90</v>
          </cell>
          <cell r="E1303">
            <v>2121</v>
          </cell>
          <cell r="F1303">
            <v>90</v>
          </cell>
          <cell r="G1303">
            <v>17364000</v>
          </cell>
          <cell r="H1303" t="str">
            <v>;;=J34*1000;</v>
          </cell>
          <cell r="I1303" t="str">
            <v>.</v>
          </cell>
        </row>
        <row r="1304">
          <cell r="A1304">
            <v>156</v>
          </cell>
          <cell r="B1304" t="str">
            <v>China</v>
          </cell>
          <cell r="C1304">
            <v>1997</v>
          </cell>
          <cell r="D1304">
            <v>90</v>
          </cell>
          <cell r="E1304">
            <v>2222</v>
          </cell>
          <cell r="F1304">
            <v>90</v>
          </cell>
          <cell r="G1304">
            <v>18495000</v>
          </cell>
          <cell r="H1304" t="str">
            <v>;;=J35*1000;</v>
          </cell>
          <cell r="I1304" t="str">
            <v>.</v>
          </cell>
        </row>
        <row r="1305">
          <cell r="A1305">
            <v>156</v>
          </cell>
          <cell r="B1305" t="str">
            <v>China</v>
          </cell>
          <cell r="C1305">
            <v>1997</v>
          </cell>
          <cell r="D1305">
            <v>90</v>
          </cell>
          <cell r="E1305">
            <v>2323</v>
          </cell>
          <cell r="F1305">
            <v>90</v>
          </cell>
          <cell r="G1305">
            <v>21519000</v>
          </cell>
          <cell r="H1305" t="str">
            <v>;;=J36*1000;</v>
          </cell>
          <cell r="I1305" t="str">
            <v>.</v>
          </cell>
        </row>
        <row r="1306">
          <cell r="A1306">
            <v>156</v>
          </cell>
          <cell r="B1306" t="str">
            <v>China</v>
          </cell>
          <cell r="C1306">
            <v>1997</v>
          </cell>
          <cell r="D1306">
            <v>90</v>
          </cell>
          <cell r="E1306">
            <v>2424</v>
          </cell>
          <cell r="F1306">
            <v>90</v>
          </cell>
          <cell r="G1306">
            <v>23157000</v>
          </cell>
          <cell r="H1306" t="str">
            <v>;;=J37*1000;</v>
          </cell>
          <cell r="I1306" t="str">
            <v>.</v>
          </cell>
        </row>
        <row r="1307">
          <cell r="A1307">
            <v>156</v>
          </cell>
          <cell r="B1307" t="str">
            <v>China</v>
          </cell>
          <cell r="C1307">
            <v>1997</v>
          </cell>
          <cell r="D1307">
            <v>90</v>
          </cell>
          <cell r="E1307">
            <v>2024</v>
          </cell>
          <cell r="F1307">
            <v>90</v>
          </cell>
          <cell r="G1307">
            <v>96357000</v>
          </cell>
          <cell r="H1307" t="str">
            <v>;;=J38*1000;</v>
          </cell>
          <cell r="I1307" t="str">
            <v>.</v>
          </cell>
        </row>
        <row r="1308">
          <cell r="A1308">
            <v>156</v>
          </cell>
          <cell r="B1308" t="str">
            <v>China</v>
          </cell>
          <cell r="C1308">
            <v>1997</v>
          </cell>
          <cell r="D1308">
            <v>90</v>
          </cell>
          <cell r="E1308">
            <v>2525</v>
          </cell>
          <cell r="F1308">
            <v>90</v>
          </cell>
          <cell r="G1308">
            <v>24191000</v>
          </cell>
          <cell r="H1308" t="str">
            <v>;;=J39*1000;</v>
          </cell>
          <cell r="I1308" t="str">
            <v>.</v>
          </cell>
        </row>
        <row r="1309">
          <cell r="A1309">
            <v>156</v>
          </cell>
          <cell r="B1309" t="str">
            <v>China</v>
          </cell>
          <cell r="C1309">
            <v>1997</v>
          </cell>
          <cell r="D1309">
            <v>90</v>
          </cell>
          <cell r="E1309">
            <v>2626</v>
          </cell>
          <cell r="F1309">
            <v>90</v>
          </cell>
          <cell r="G1309">
            <v>25069000</v>
          </cell>
          <cell r="H1309" t="str">
            <v>;;=J40*1000;</v>
          </cell>
          <cell r="I1309" t="str">
            <v>.</v>
          </cell>
        </row>
        <row r="1310">
          <cell r="A1310">
            <v>156</v>
          </cell>
          <cell r="B1310" t="str">
            <v>China</v>
          </cell>
          <cell r="C1310">
            <v>1997</v>
          </cell>
          <cell r="D1310">
            <v>90</v>
          </cell>
          <cell r="E1310">
            <v>2727</v>
          </cell>
          <cell r="F1310">
            <v>90</v>
          </cell>
          <cell r="G1310">
            <v>26838000</v>
          </cell>
          <cell r="H1310" t="str">
            <v>;;=J41*1000;</v>
          </cell>
          <cell r="I1310" t="str">
            <v>.</v>
          </cell>
        </row>
        <row r="1311">
          <cell r="A1311">
            <v>156</v>
          </cell>
          <cell r="B1311" t="str">
            <v>China</v>
          </cell>
          <cell r="C1311">
            <v>1997</v>
          </cell>
          <cell r="D1311">
            <v>90</v>
          </cell>
          <cell r="E1311">
            <v>2828</v>
          </cell>
          <cell r="F1311">
            <v>90</v>
          </cell>
          <cell r="G1311">
            <v>25803000</v>
          </cell>
          <cell r="H1311" t="str">
            <v>;;=J42*1000;</v>
          </cell>
          <cell r="I1311" t="str">
            <v>.</v>
          </cell>
        </row>
        <row r="1312">
          <cell r="A1312">
            <v>156</v>
          </cell>
          <cell r="B1312" t="str">
            <v>China</v>
          </cell>
          <cell r="C1312">
            <v>1997</v>
          </cell>
          <cell r="D1312">
            <v>90</v>
          </cell>
          <cell r="E1312">
            <v>2929</v>
          </cell>
          <cell r="F1312">
            <v>90</v>
          </cell>
          <cell r="G1312">
            <v>26899000</v>
          </cell>
          <cell r="H1312" t="str">
            <v>;;=J43*1000;</v>
          </cell>
          <cell r="I1312" t="str">
            <v>.</v>
          </cell>
        </row>
        <row r="1313">
          <cell r="A1313">
            <v>156</v>
          </cell>
          <cell r="B1313" t="str">
            <v>China</v>
          </cell>
          <cell r="C1313">
            <v>1997</v>
          </cell>
          <cell r="D1313">
            <v>90</v>
          </cell>
          <cell r="E1313">
            <v>2529</v>
          </cell>
          <cell r="F1313">
            <v>90</v>
          </cell>
          <cell r="G1313">
            <v>128800000</v>
          </cell>
          <cell r="H1313" t="str">
            <v>;;=J44*1000;</v>
          </cell>
          <cell r="I1313" t="str">
            <v>.</v>
          </cell>
        </row>
        <row r="1314">
          <cell r="A1314">
            <v>156</v>
          </cell>
          <cell r="B1314" t="str">
            <v>China</v>
          </cell>
          <cell r="C1314">
            <v>1997</v>
          </cell>
          <cell r="D1314">
            <v>90</v>
          </cell>
          <cell r="E1314">
            <v>3034</v>
          </cell>
          <cell r="F1314">
            <v>90</v>
          </cell>
          <cell r="G1314">
            <v>125786000</v>
          </cell>
          <cell r="H1314" t="str">
            <v>;;=J45*1000;</v>
          </cell>
          <cell r="I1314" t="str">
            <v>.</v>
          </cell>
        </row>
        <row r="1315">
          <cell r="A1315">
            <v>156</v>
          </cell>
          <cell r="B1315" t="str">
            <v>China</v>
          </cell>
          <cell r="C1315">
            <v>1997</v>
          </cell>
          <cell r="D1315">
            <v>90</v>
          </cell>
          <cell r="E1315">
            <v>3539</v>
          </cell>
          <cell r="F1315">
            <v>90</v>
          </cell>
          <cell r="G1315">
            <v>79138000</v>
          </cell>
          <cell r="H1315" t="str">
            <v>;;=J46*1000;</v>
          </cell>
          <cell r="I1315" t="str">
            <v>.</v>
          </cell>
        </row>
        <row r="1316">
          <cell r="A1316">
            <v>156</v>
          </cell>
          <cell r="B1316" t="str">
            <v>China</v>
          </cell>
          <cell r="C1316">
            <v>1997</v>
          </cell>
          <cell r="D1316">
            <v>90</v>
          </cell>
          <cell r="E1316">
            <v>4099</v>
          </cell>
          <cell r="F1316">
            <v>90</v>
          </cell>
          <cell r="G1316">
            <v>411254000</v>
          </cell>
          <cell r="H1316" t="str">
            <v>;;=J47*1000;</v>
          </cell>
          <cell r="I1316" t="str">
            <v>.</v>
          </cell>
        </row>
        <row r="1317">
          <cell r="A1317">
            <v>156</v>
          </cell>
          <cell r="B1317" t="str">
            <v>China</v>
          </cell>
          <cell r="C1317">
            <v>1997</v>
          </cell>
          <cell r="D1317">
            <v>90</v>
          </cell>
          <cell r="E1317">
            <v>990000</v>
          </cell>
          <cell r="F1317">
            <v>90</v>
          </cell>
          <cell r="G1317">
            <v>0</v>
          </cell>
          <cell r="H1317" t="str">
            <v>n;</v>
          </cell>
          <cell r="I1317" t="str">
            <v>n</v>
          </cell>
        </row>
        <row r="1318">
          <cell r="A1318">
            <v>220</v>
          </cell>
          <cell r="B1318" t="str">
            <v>Egypt</v>
          </cell>
          <cell r="C1318">
            <v>1997</v>
          </cell>
          <cell r="D1318">
            <v>90</v>
          </cell>
          <cell r="E1318">
            <v>900000</v>
          </cell>
          <cell r="F1318">
            <v>90</v>
          </cell>
          <cell r="G1318">
            <v>58837283</v>
          </cell>
          <cell r="H1318" t="str">
            <v>;;=SUM(F11:G11);</v>
          </cell>
          <cell r="I1318" t="str">
            <v>.</v>
          </cell>
        </row>
        <row r="1319">
          <cell r="A1319">
            <v>220</v>
          </cell>
          <cell r="B1319" t="str">
            <v>Egypt</v>
          </cell>
          <cell r="C1319">
            <v>1997</v>
          </cell>
          <cell r="D1319">
            <v>90</v>
          </cell>
          <cell r="E1319">
            <v>300</v>
          </cell>
          <cell r="F1319">
            <v>90</v>
          </cell>
          <cell r="G1319">
            <v>4208249</v>
          </cell>
          <cell r="H1319" t="str">
            <v>;;=SUM(F12:G12);</v>
          </cell>
          <cell r="I1319" t="str">
            <v>.</v>
          </cell>
        </row>
        <row r="1320">
          <cell r="A1320">
            <v>220</v>
          </cell>
          <cell r="B1320" t="str">
            <v>Egypt</v>
          </cell>
          <cell r="C1320">
            <v>1997</v>
          </cell>
          <cell r="D1320">
            <v>90</v>
          </cell>
          <cell r="E1320">
            <v>303</v>
          </cell>
          <cell r="F1320">
            <v>90</v>
          </cell>
          <cell r="G1320">
            <v>1302739</v>
          </cell>
          <cell r="H1320" t="str">
            <v>;;=SUM(F13:G13);</v>
          </cell>
          <cell r="I1320" t="str">
            <v>.</v>
          </cell>
        </row>
        <row r="1321">
          <cell r="A1321">
            <v>220</v>
          </cell>
          <cell r="B1321" t="str">
            <v>Egypt</v>
          </cell>
          <cell r="C1321">
            <v>1997</v>
          </cell>
          <cell r="D1321">
            <v>90</v>
          </cell>
          <cell r="E1321">
            <v>404</v>
          </cell>
          <cell r="F1321">
            <v>90</v>
          </cell>
          <cell r="G1321">
            <v>1336190</v>
          </cell>
          <cell r="H1321" t="str">
            <v>;;=SUM(F14:G14);</v>
          </cell>
          <cell r="I1321" t="str">
            <v>.</v>
          </cell>
        </row>
        <row r="1322">
          <cell r="A1322">
            <v>220</v>
          </cell>
          <cell r="B1322" t="str">
            <v>Egypt</v>
          </cell>
          <cell r="C1322">
            <v>1997</v>
          </cell>
          <cell r="D1322">
            <v>90</v>
          </cell>
          <cell r="E1322">
            <v>505</v>
          </cell>
          <cell r="F1322">
            <v>90</v>
          </cell>
          <cell r="G1322">
            <v>1476175</v>
          </cell>
          <cell r="H1322" t="str">
            <v>;;=SUM(F15:G15);</v>
          </cell>
          <cell r="I1322" t="str">
            <v>.</v>
          </cell>
        </row>
        <row r="1323">
          <cell r="A1323">
            <v>220</v>
          </cell>
          <cell r="B1323" t="str">
            <v>Egypt</v>
          </cell>
          <cell r="C1323">
            <v>1997</v>
          </cell>
          <cell r="D1323">
            <v>90</v>
          </cell>
          <cell r="E1323">
            <v>606</v>
          </cell>
          <cell r="F1323">
            <v>90</v>
          </cell>
          <cell r="G1323">
            <v>1501497</v>
          </cell>
          <cell r="H1323" t="str">
            <v>;;=SUM(F16:G16);</v>
          </cell>
          <cell r="I1323" t="str">
            <v>.</v>
          </cell>
        </row>
        <row r="1324">
          <cell r="A1324">
            <v>220</v>
          </cell>
          <cell r="B1324" t="str">
            <v>Egypt</v>
          </cell>
          <cell r="C1324">
            <v>1997</v>
          </cell>
          <cell r="D1324">
            <v>90</v>
          </cell>
          <cell r="E1324">
            <v>707</v>
          </cell>
          <cell r="F1324">
            <v>90</v>
          </cell>
          <cell r="G1324">
            <v>1165069</v>
          </cell>
          <cell r="H1324" t="str">
            <v>;;=SUM(F17:G17);</v>
          </cell>
          <cell r="I1324" t="str">
            <v>.</v>
          </cell>
        </row>
        <row r="1325">
          <cell r="A1325">
            <v>220</v>
          </cell>
          <cell r="B1325" t="str">
            <v>Egypt</v>
          </cell>
          <cell r="C1325">
            <v>1997</v>
          </cell>
          <cell r="D1325">
            <v>90</v>
          </cell>
          <cell r="E1325">
            <v>808</v>
          </cell>
          <cell r="F1325">
            <v>90</v>
          </cell>
          <cell r="G1325">
            <v>1547389</v>
          </cell>
          <cell r="H1325" t="str">
            <v>;;=SUM(F18:G18);</v>
          </cell>
          <cell r="I1325" t="str">
            <v>.</v>
          </cell>
        </row>
        <row r="1326">
          <cell r="A1326">
            <v>220</v>
          </cell>
          <cell r="B1326" t="str">
            <v>Egypt</v>
          </cell>
          <cell r="C1326">
            <v>1997</v>
          </cell>
          <cell r="D1326">
            <v>90</v>
          </cell>
          <cell r="E1326">
            <v>909</v>
          </cell>
          <cell r="F1326">
            <v>90</v>
          </cell>
          <cell r="G1326">
            <v>1567727</v>
          </cell>
          <cell r="H1326" t="str">
            <v>;;=SUM(F19:G19);</v>
          </cell>
          <cell r="I1326" t="str">
            <v>.</v>
          </cell>
        </row>
        <row r="1327">
          <cell r="A1327">
            <v>220</v>
          </cell>
          <cell r="B1327" t="str">
            <v>Egypt</v>
          </cell>
          <cell r="C1327">
            <v>1997</v>
          </cell>
          <cell r="D1327">
            <v>90</v>
          </cell>
          <cell r="E1327">
            <v>509</v>
          </cell>
          <cell r="F1327">
            <v>90</v>
          </cell>
          <cell r="G1327">
            <v>7257857</v>
          </cell>
          <cell r="H1327" t="str">
            <v>;;=SUM(F20:G20);</v>
          </cell>
          <cell r="I1327" t="str">
            <v>.</v>
          </cell>
        </row>
        <row r="1328">
          <cell r="A1328">
            <v>220</v>
          </cell>
          <cell r="B1328" t="str">
            <v>Egypt</v>
          </cell>
          <cell r="C1328">
            <v>1997</v>
          </cell>
          <cell r="D1328">
            <v>90</v>
          </cell>
          <cell r="E1328">
            <v>1010</v>
          </cell>
          <cell r="F1328">
            <v>90</v>
          </cell>
          <cell r="G1328">
            <v>1583563</v>
          </cell>
          <cell r="H1328" t="str">
            <v>;;=SUM(F21:G21);</v>
          </cell>
          <cell r="I1328" t="str">
            <v>.</v>
          </cell>
        </row>
        <row r="1329">
          <cell r="A1329">
            <v>220</v>
          </cell>
          <cell r="B1329" t="str">
            <v>Egypt</v>
          </cell>
          <cell r="C1329">
            <v>1997</v>
          </cell>
          <cell r="D1329">
            <v>90</v>
          </cell>
          <cell r="E1329">
            <v>1111</v>
          </cell>
          <cell r="F1329">
            <v>90</v>
          </cell>
          <cell r="G1329">
            <v>1591026</v>
          </cell>
          <cell r="H1329" t="str">
            <v>;;=SUM(F22:G22);</v>
          </cell>
          <cell r="I1329" t="str">
            <v>.</v>
          </cell>
        </row>
        <row r="1330">
          <cell r="A1330">
            <v>220</v>
          </cell>
          <cell r="B1330" t="str">
            <v>Egypt</v>
          </cell>
          <cell r="C1330">
            <v>1997</v>
          </cell>
          <cell r="D1330">
            <v>90</v>
          </cell>
          <cell r="E1330">
            <v>1212</v>
          </cell>
          <cell r="F1330">
            <v>90</v>
          </cell>
          <cell r="G1330">
            <v>1585638</v>
          </cell>
          <cell r="H1330" t="str">
            <v>;;=SUM(F23:G23);</v>
          </cell>
          <cell r="I1330" t="str">
            <v>.</v>
          </cell>
        </row>
        <row r="1331">
          <cell r="A1331">
            <v>220</v>
          </cell>
          <cell r="B1331" t="str">
            <v>Egypt</v>
          </cell>
          <cell r="C1331">
            <v>1997</v>
          </cell>
          <cell r="D1331">
            <v>90</v>
          </cell>
          <cell r="E1331">
            <v>1313</v>
          </cell>
          <cell r="F1331">
            <v>90</v>
          </cell>
          <cell r="G1331">
            <v>1564628</v>
          </cell>
          <cell r="H1331" t="str">
            <v>;;=SUM(F24:G24);</v>
          </cell>
          <cell r="I1331" t="str">
            <v>.</v>
          </cell>
        </row>
        <row r="1332">
          <cell r="A1332">
            <v>220</v>
          </cell>
          <cell r="B1332" t="str">
            <v>Egypt</v>
          </cell>
          <cell r="C1332">
            <v>1997</v>
          </cell>
          <cell r="D1332">
            <v>90</v>
          </cell>
          <cell r="E1332">
            <v>1414</v>
          </cell>
          <cell r="F1332">
            <v>90</v>
          </cell>
          <cell r="G1332">
            <v>1530233</v>
          </cell>
          <cell r="H1332" t="str">
            <v>;;=SUM(F25:G25);</v>
          </cell>
          <cell r="I1332" t="str">
            <v>.</v>
          </cell>
        </row>
        <row r="1333">
          <cell r="A1333">
            <v>220</v>
          </cell>
          <cell r="B1333" t="str">
            <v>Egypt</v>
          </cell>
          <cell r="C1333">
            <v>1997</v>
          </cell>
          <cell r="D1333">
            <v>90</v>
          </cell>
          <cell r="E1333">
            <v>1014</v>
          </cell>
          <cell r="F1333">
            <v>90</v>
          </cell>
          <cell r="G1333">
            <v>7855088</v>
          </cell>
          <cell r="H1333" t="str">
            <v>;;=SUM(F26:G26);</v>
          </cell>
          <cell r="I1333" t="str">
            <v>.</v>
          </cell>
        </row>
        <row r="1334">
          <cell r="A1334">
            <v>220</v>
          </cell>
          <cell r="B1334" t="str">
            <v>Egypt</v>
          </cell>
          <cell r="C1334">
            <v>1997</v>
          </cell>
          <cell r="D1334">
            <v>90</v>
          </cell>
          <cell r="E1334">
            <v>1515</v>
          </cell>
          <cell r="F1334">
            <v>90</v>
          </cell>
          <cell r="G1334">
            <v>1492389</v>
          </cell>
          <cell r="H1334" t="str">
            <v>;;=SUM(F27:G27);</v>
          </cell>
          <cell r="I1334" t="str">
            <v>.</v>
          </cell>
        </row>
        <row r="1335">
          <cell r="A1335">
            <v>220</v>
          </cell>
          <cell r="B1335" t="str">
            <v>Egypt</v>
          </cell>
          <cell r="C1335">
            <v>1997</v>
          </cell>
          <cell r="D1335">
            <v>90</v>
          </cell>
          <cell r="E1335">
            <v>1616</v>
          </cell>
          <cell r="F1335">
            <v>90</v>
          </cell>
          <cell r="G1335">
            <v>1450242</v>
          </cell>
          <cell r="H1335" t="str">
            <v>;;=SUM(F28:G28);</v>
          </cell>
          <cell r="I1335" t="str">
            <v>.</v>
          </cell>
        </row>
        <row r="1336">
          <cell r="A1336">
            <v>220</v>
          </cell>
          <cell r="B1336" t="str">
            <v>Egypt</v>
          </cell>
          <cell r="C1336">
            <v>1997</v>
          </cell>
          <cell r="D1336">
            <v>90</v>
          </cell>
          <cell r="E1336">
            <v>1717</v>
          </cell>
          <cell r="F1336">
            <v>90</v>
          </cell>
          <cell r="G1336">
            <v>1393473</v>
          </cell>
          <cell r="H1336" t="str">
            <v>;;=SUM(F29:G29);</v>
          </cell>
          <cell r="I1336" t="str">
            <v>.</v>
          </cell>
        </row>
        <row r="1337">
          <cell r="A1337">
            <v>220</v>
          </cell>
          <cell r="B1337" t="str">
            <v>Egypt</v>
          </cell>
          <cell r="C1337">
            <v>1997</v>
          </cell>
          <cell r="D1337">
            <v>90</v>
          </cell>
          <cell r="E1337">
            <v>1818</v>
          </cell>
          <cell r="F1337">
            <v>90</v>
          </cell>
          <cell r="G1337">
            <v>1319791</v>
          </cell>
          <cell r="H1337" t="str">
            <v>;;=SUM(F30:G30);</v>
          </cell>
          <cell r="I1337" t="str">
            <v>.</v>
          </cell>
        </row>
        <row r="1338">
          <cell r="A1338">
            <v>220</v>
          </cell>
          <cell r="B1338" t="str">
            <v>Egypt</v>
          </cell>
          <cell r="C1338">
            <v>1997</v>
          </cell>
          <cell r="D1338">
            <v>90</v>
          </cell>
          <cell r="E1338">
            <v>1919</v>
          </cell>
          <cell r="F1338">
            <v>90</v>
          </cell>
          <cell r="G1338">
            <v>1235217</v>
          </cell>
          <cell r="H1338" t="str">
            <v>;;=SUM(F31:G31);</v>
          </cell>
          <cell r="I1338" t="str">
            <v>.</v>
          </cell>
        </row>
        <row r="1339">
          <cell r="A1339">
            <v>220</v>
          </cell>
          <cell r="B1339" t="str">
            <v>Egypt</v>
          </cell>
          <cell r="C1339">
            <v>1997</v>
          </cell>
          <cell r="D1339">
            <v>90</v>
          </cell>
          <cell r="E1339">
            <v>1519</v>
          </cell>
          <cell r="F1339">
            <v>90</v>
          </cell>
          <cell r="G1339">
            <v>6891112</v>
          </cell>
          <cell r="H1339" t="str">
            <v>;;=SUM(F32:G32);</v>
          </cell>
          <cell r="I1339" t="str">
            <v>.</v>
          </cell>
        </row>
        <row r="1340">
          <cell r="A1340">
            <v>220</v>
          </cell>
          <cell r="B1340" t="str">
            <v>Egypt</v>
          </cell>
          <cell r="C1340">
            <v>1997</v>
          </cell>
          <cell r="D1340">
            <v>90</v>
          </cell>
          <cell r="E1340">
            <v>2020</v>
          </cell>
          <cell r="F1340">
            <v>90</v>
          </cell>
          <cell r="G1340">
            <v>1143491</v>
          </cell>
          <cell r="H1340" t="str">
            <v>;;=SUM(F33:G33);</v>
          </cell>
          <cell r="I1340" t="str">
            <v>.</v>
          </cell>
        </row>
        <row r="1341">
          <cell r="A1341">
            <v>220</v>
          </cell>
          <cell r="B1341" t="str">
            <v>Egypt</v>
          </cell>
          <cell r="C1341">
            <v>1997</v>
          </cell>
          <cell r="D1341">
            <v>90</v>
          </cell>
          <cell r="E1341">
            <v>2121</v>
          </cell>
          <cell r="F1341">
            <v>90</v>
          </cell>
          <cell r="G1341">
            <v>1057213</v>
          </cell>
          <cell r="H1341" t="str">
            <v>;;=SUM(F34:G34);</v>
          </cell>
          <cell r="I1341" t="str">
            <v>.</v>
          </cell>
        </row>
        <row r="1342">
          <cell r="A1342">
            <v>220</v>
          </cell>
          <cell r="B1342" t="str">
            <v>Egypt</v>
          </cell>
          <cell r="C1342">
            <v>1997</v>
          </cell>
          <cell r="D1342">
            <v>90</v>
          </cell>
          <cell r="E1342">
            <v>2222</v>
          </cell>
          <cell r="F1342">
            <v>90</v>
          </cell>
          <cell r="G1342">
            <v>988886</v>
          </cell>
          <cell r="H1342" t="str">
            <v>;;=SUM(F35:G35);</v>
          </cell>
          <cell r="I1342" t="str">
            <v>.</v>
          </cell>
        </row>
        <row r="1343">
          <cell r="A1343">
            <v>220</v>
          </cell>
          <cell r="B1343" t="str">
            <v>Egypt</v>
          </cell>
          <cell r="C1343">
            <v>1997</v>
          </cell>
          <cell r="D1343">
            <v>90</v>
          </cell>
          <cell r="E1343">
            <v>2323</v>
          </cell>
          <cell r="F1343">
            <v>90</v>
          </cell>
          <cell r="G1343">
            <v>946492</v>
          </cell>
          <cell r="H1343" t="str">
            <v>;;=SUM(F36:G36);</v>
          </cell>
          <cell r="I1343" t="str">
            <v>.</v>
          </cell>
        </row>
        <row r="1344">
          <cell r="A1344">
            <v>220</v>
          </cell>
          <cell r="B1344" t="str">
            <v>Egypt</v>
          </cell>
          <cell r="C1344">
            <v>1997</v>
          </cell>
          <cell r="D1344">
            <v>90</v>
          </cell>
          <cell r="E1344">
            <v>2424</v>
          </cell>
          <cell r="F1344">
            <v>90</v>
          </cell>
          <cell r="G1344">
            <v>923933</v>
          </cell>
          <cell r="H1344" t="str">
            <v>;;=SUM(F37:G37);</v>
          </cell>
          <cell r="I1344" t="str">
            <v>.</v>
          </cell>
        </row>
        <row r="1345">
          <cell r="A1345">
            <v>220</v>
          </cell>
          <cell r="B1345" t="str">
            <v>Egypt</v>
          </cell>
          <cell r="C1345">
            <v>1997</v>
          </cell>
          <cell r="D1345">
            <v>90</v>
          </cell>
          <cell r="E1345">
            <v>2024</v>
          </cell>
          <cell r="F1345">
            <v>90</v>
          </cell>
          <cell r="G1345">
            <v>5060015</v>
          </cell>
          <cell r="H1345" t="str">
            <v>;;=SUM(F38:G38);</v>
          </cell>
          <cell r="I1345" t="str">
            <v>.</v>
          </cell>
        </row>
        <row r="1346">
          <cell r="A1346">
            <v>220</v>
          </cell>
          <cell r="B1346" t="str">
            <v>Egypt</v>
          </cell>
          <cell r="C1346">
            <v>1997</v>
          </cell>
          <cell r="D1346">
            <v>90</v>
          </cell>
          <cell r="E1346">
            <v>2525</v>
          </cell>
          <cell r="F1346">
            <v>90</v>
          </cell>
          <cell r="G1346">
            <v>908230</v>
          </cell>
          <cell r="H1346" t="str">
            <v>;;=SUM(F39:G39);</v>
          </cell>
          <cell r="I1346" t="str">
            <v>.</v>
          </cell>
        </row>
        <row r="1347">
          <cell r="A1347">
            <v>220</v>
          </cell>
          <cell r="B1347" t="str">
            <v>Egypt</v>
          </cell>
          <cell r="C1347">
            <v>1997</v>
          </cell>
          <cell r="D1347">
            <v>90</v>
          </cell>
          <cell r="E1347">
            <v>2626</v>
          </cell>
          <cell r="F1347">
            <v>90</v>
          </cell>
          <cell r="G1347">
            <v>890464</v>
          </cell>
          <cell r="H1347" t="str">
            <v>;;=SUM(F40:G40);</v>
          </cell>
          <cell r="I1347" t="str">
            <v>.</v>
          </cell>
        </row>
        <row r="1348">
          <cell r="A1348">
            <v>220</v>
          </cell>
          <cell r="B1348" t="str">
            <v>Egypt</v>
          </cell>
          <cell r="C1348">
            <v>1997</v>
          </cell>
          <cell r="D1348">
            <v>90</v>
          </cell>
          <cell r="E1348">
            <v>2727</v>
          </cell>
          <cell r="F1348">
            <v>90</v>
          </cell>
          <cell r="G1348">
            <v>873154</v>
          </cell>
          <cell r="H1348" t="str">
            <v>;;=SUM(F41:G41);</v>
          </cell>
          <cell r="I1348" t="str">
            <v>.</v>
          </cell>
        </row>
        <row r="1349">
          <cell r="A1349">
            <v>220</v>
          </cell>
          <cell r="B1349" t="str">
            <v>Egypt</v>
          </cell>
          <cell r="C1349">
            <v>1997</v>
          </cell>
          <cell r="D1349">
            <v>90</v>
          </cell>
          <cell r="E1349">
            <v>2828</v>
          </cell>
          <cell r="F1349">
            <v>90</v>
          </cell>
          <cell r="G1349">
            <v>853641</v>
          </cell>
          <cell r="H1349" t="str">
            <v>;;=SUM(F42:G42);</v>
          </cell>
          <cell r="I1349" t="str">
            <v>.</v>
          </cell>
        </row>
        <row r="1350">
          <cell r="A1350">
            <v>220</v>
          </cell>
          <cell r="B1350" t="str">
            <v>Egypt</v>
          </cell>
          <cell r="C1350">
            <v>1997</v>
          </cell>
          <cell r="D1350">
            <v>90</v>
          </cell>
          <cell r="E1350">
            <v>2929</v>
          </cell>
          <cell r="F1350">
            <v>90</v>
          </cell>
          <cell r="G1350">
            <v>833197</v>
          </cell>
          <cell r="H1350" t="str">
            <v>;;=SUM(F43:G43);</v>
          </cell>
          <cell r="I1350" t="str">
            <v>.</v>
          </cell>
        </row>
        <row r="1351">
          <cell r="A1351">
            <v>220</v>
          </cell>
          <cell r="B1351" t="str">
            <v>Egypt</v>
          </cell>
          <cell r="C1351">
            <v>1997</v>
          </cell>
          <cell r="D1351">
            <v>90</v>
          </cell>
          <cell r="E1351">
            <v>2529</v>
          </cell>
          <cell r="F1351">
            <v>90</v>
          </cell>
          <cell r="G1351">
            <v>4358686</v>
          </cell>
          <cell r="H1351" t="str">
            <v>;;=SUM(F44:G44);</v>
          </cell>
          <cell r="I1351" t="str">
            <v>.</v>
          </cell>
        </row>
        <row r="1352">
          <cell r="A1352">
            <v>220</v>
          </cell>
          <cell r="B1352" t="str">
            <v>Egypt</v>
          </cell>
          <cell r="C1352">
            <v>1997</v>
          </cell>
          <cell r="D1352">
            <v>90</v>
          </cell>
          <cell r="E1352">
            <v>3034</v>
          </cell>
          <cell r="F1352">
            <v>90</v>
          </cell>
          <cell r="G1352">
            <v>3968152</v>
          </cell>
          <cell r="H1352" t="str">
            <v>;;=SUM(F45:G45);</v>
          </cell>
          <cell r="I1352" t="str">
            <v>.</v>
          </cell>
        </row>
        <row r="1353">
          <cell r="A1353">
            <v>220</v>
          </cell>
          <cell r="B1353" t="str">
            <v>Egypt</v>
          </cell>
          <cell r="C1353">
            <v>1997</v>
          </cell>
          <cell r="D1353">
            <v>90</v>
          </cell>
          <cell r="E1353">
            <v>3539</v>
          </cell>
          <cell r="F1353">
            <v>90</v>
          </cell>
          <cell r="G1353">
            <v>3850900</v>
          </cell>
          <cell r="H1353" t="str">
            <v>;;=SUM(F46:G46);</v>
          </cell>
          <cell r="I1353" t="str">
            <v>.</v>
          </cell>
        </row>
        <row r="1354">
          <cell r="A1354">
            <v>220</v>
          </cell>
          <cell r="B1354" t="str">
            <v>Egypt</v>
          </cell>
          <cell r="C1354">
            <v>1997</v>
          </cell>
          <cell r="D1354">
            <v>90</v>
          </cell>
          <cell r="E1354">
            <v>4099</v>
          </cell>
          <cell r="F1354">
            <v>90</v>
          </cell>
          <cell r="G1354">
            <v>12748295</v>
          </cell>
          <cell r="H1354" t="str">
            <v>;;=SUM(F47:G47);</v>
          </cell>
          <cell r="I1354" t="str">
            <v>.</v>
          </cell>
        </row>
        <row r="1355">
          <cell r="A1355">
            <v>220</v>
          </cell>
          <cell r="B1355" t="str">
            <v>Egypt</v>
          </cell>
          <cell r="C1355">
            <v>1997</v>
          </cell>
          <cell r="D1355">
            <v>90</v>
          </cell>
          <cell r="E1355">
            <v>990000</v>
          </cell>
          <cell r="F1355">
            <v>90</v>
          </cell>
          <cell r="G1355">
            <v>0</v>
          </cell>
          <cell r="H1355" t="str">
            <v>n;</v>
          </cell>
          <cell r="I1355" t="str">
            <v>n</v>
          </cell>
        </row>
        <row r="1356">
          <cell r="A1356">
            <v>356</v>
          </cell>
          <cell r="B1356" t="str">
            <v>India</v>
          </cell>
          <cell r="C1356">
            <v>1997</v>
          </cell>
          <cell r="D1356">
            <v>90</v>
          </cell>
          <cell r="E1356">
            <v>900000</v>
          </cell>
          <cell r="F1356">
            <v>90</v>
          </cell>
          <cell r="G1356">
            <v>838567879</v>
          </cell>
          <cell r="H1356" t="str">
            <v>;;=SUM(F11:G11);</v>
          </cell>
          <cell r="I1356" t="str">
            <v>.</v>
          </cell>
        </row>
        <row r="1357">
          <cell r="A1357">
            <v>356</v>
          </cell>
          <cell r="B1357" t="str">
            <v>India</v>
          </cell>
          <cell r="C1357">
            <v>1997</v>
          </cell>
          <cell r="D1357">
            <v>90</v>
          </cell>
          <cell r="E1357">
            <v>300</v>
          </cell>
          <cell r="F1357">
            <v>90</v>
          </cell>
          <cell r="G1357">
            <v>102378032</v>
          </cell>
          <cell r="H1357" t="str">
            <v>;;=SUM(F12:G12);</v>
          </cell>
          <cell r="I1357" t="str">
            <v>.</v>
          </cell>
        </row>
        <row r="1358">
          <cell r="A1358">
            <v>356</v>
          </cell>
          <cell r="B1358" t="str">
            <v>India</v>
          </cell>
          <cell r="C1358">
            <v>1997</v>
          </cell>
          <cell r="D1358">
            <v>90</v>
          </cell>
          <cell r="E1358">
            <v>303</v>
          </cell>
          <cell r="F1358">
            <v>90</v>
          </cell>
          <cell r="G1358">
            <v>0</v>
          </cell>
          <cell r="H1358" t="str">
            <v>xr:A2;</v>
          </cell>
          <cell r="I1358" t="str">
            <v>xr:A2</v>
          </cell>
        </row>
        <row r="1359">
          <cell r="A1359">
            <v>356</v>
          </cell>
          <cell r="B1359" t="str">
            <v>India</v>
          </cell>
          <cell r="C1359">
            <v>1997</v>
          </cell>
          <cell r="D1359">
            <v>90</v>
          </cell>
          <cell r="E1359">
            <v>404</v>
          </cell>
          <cell r="F1359">
            <v>90</v>
          </cell>
          <cell r="G1359">
            <v>0</v>
          </cell>
          <cell r="H1359" t="str">
            <v>xr:A2;</v>
          </cell>
          <cell r="I1359" t="str">
            <v>xr:A2</v>
          </cell>
        </row>
        <row r="1360">
          <cell r="A1360">
            <v>356</v>
          </cell>
          <cell r="B1360" t="str">
            <v>India</v>
          </cell>
          <cell r="C1360">
            <v>1997</v>
          </cell>
          <cell r="D1360">
            <v>90</v>
          </cell>
          <cell r="E1360">
            <v>505</v>
          </cell>
          <cell r="F1360">
            <v>90</v>
          </cell>
          <cell r="G1360">
            <v>24676682</v>
          </cell>
          <cell r="H1360" t="str">
            <v>;;=SUM(F15:G15);</v>
          </cell>
          <cell r="I1360" t="str">
            <v>.</v>
          </cell>
        </row>
        <row r="1361">
          <cell r="A1361">
            <v>356</v>
          </cell>
          <cell r="B1361" t="str">
            <v>India</v>
          </cell>
          <cell r="C1361">
            <v>1997</v>
          </cell>
          <cell r="D1361">
            <v>90</v>
          </cell>
          <cell r="E1361">
            <v>606</v>
          </cell>
          <cell r="F1361">
            <v>90</v>
          </cell>
          <cell r="G1361">
            <v>23357126</v>
          </cell>
          <cell r="H1361" t="str">
            <v>;;=SUM(F16:G16);</v>
          </cell>
          <cell r="I1361" t="str">
            <v>.</v>
          </cell>
        </row>
        <row r="1362">
          <cell r="A1362">
            <v>356</v>
          </cell>
          <cell r="B1362" t="str">
            <v>India</v>
          </cell>
          <cell r="C1362">
            <v>1997</v>
          </cell>
          <cell r="D1362">
            <v>90</v>
          </cell>
          <cell r="E1362">
            <v>707</v>
          </cell>
          <cell r="F1362">
            <v>90</v>
          </cell>
          <cell r="G1362">
            <v>19723238</v>
          </cell>
          <cell r="H1362" t="str">
            <v>;;=SUM(F17:G17);</v>
          </cell>
          <cell r="I1362" t="str">
            <v>.</v>
          </cell>
        </row>
        <row r="1363">
          <cell r="A1363">
            <v>356</v>
          </cell>
          <cell r="B1363" t="str">
            <v>India</v>
          </cell>
          <cell r="C1363">
            <v>1997</v>
          </cell>
          <cell r="D1363">
            <v>90</v>
          </cell>
          <cell r="E1363">
            <v>808</v>
          </cell>
          <cell r="F1363">
            <v>90</v>
          </cell>
          <cell r="G1363">
            <v>27686556</v>
          </cell>
          <cell r="H1363" t="str">
            <v>;;=SUM(F18:G18);</v>
          </cell>
          <cell r="I1363" t="str">
            <v>.</v>
          </cell>
        </row>
        <row r="1364">
          <cell r="A1364">
            <v>356</v>
          </cell>
          <cell r="B1364" t="str">
            <v>India</v>
          </cell>
          <cell r="C1364">
            <v>1997</v>
          </cell>
          <cell r="D1364">
            <v>90</v>
          </cell>
          <cell r="E1364">
            <v>909</v>
          </cell>
          <cell r="F1364">
            <v>90</v>
          </cell>
          <cell r="G1364">
            <v>15851130</v>
          </cell>
          <cell r="H1364" t="str">
            <v>;;=SUM(F19:G19);</v>
          </cell>
          <cell r="I1364" t="str">
            <v>.</v>
          </cell>
        </row>
        <row r="1365">
          <cell r="A1365">
            <v>356</v>
          </cell>
          <cell r="B1365" t="str">
            <v>India</v>
          </cell>
          <cell r="C1365">
            <v>1997</v>
          </cell>
          <cell r="D1365">
            <v>90</v>
          </cell>
          <cell r="E1365">
            <v>509</v>
          </cell>
          <cell r="F1365">
            <v>90</v>
          </cell>
          <cell r="G1365">
            <v>111294732</v>
          </cell>
          <cell r="H1365" t="str">
            <v>;;=SUM(F20:G20);</v>
          </cell>
          <cell r="I1365" t="str">
            <v>.</v>
          </cell>
        </row>
        <row r="1366">
          <cell r="A1366">
            <v>356</v>
          </cell>
          <cell r="B1366" t="str">
            <v>India</v>
          </cell>
          <cell r="C1366">
            <v>1997</v>
          </cell>
          <cell r="D1366">
            <v>90</v>
          </cell>
          <cell r="E1366">
            <v>1010</v>
          </cell>
          <cell r="F1366">
            <v>90</v>
          </cell>
          <cell r="G1366">
            <v>29027602</v>
          </cell>
          <cell r="H1366" t="str">
            <v>;;=SUM(F21:G21);</v>
          </cell>
          <cell r="I1366" t="str">
            <v>.</v>
          </cell>
        </row>
        <row r="1367">
          <cell r="A1367">
            <v>356</v>
          </cell>
          <cell r="B1367" t="str">
            <v>India</v>
          </cell>
          <cell r="C1367">
            <v>1997</v>
          </cell>
          <cell r="D1367">
            <v>90</v>
          </cell>
          <cell r="E1367">
            <v>1111</v>
          </cell>
          <cell r="F1367">
            <v>90</v>
          </cell>
          <cell r="G1367">
            <v>13118793</v>
          </cell>
          <cell r="H1367" t="str">
            <v>;;=SUM(F22:G22);</v>
          </cell>
          <cell r="I1367" t="str">
            <v>.</v>
          </cell>
        </row>
        <row r="1368">
          <cell r="A1368">
            <v>356</v>
          </cell>
          <cell r="B1368" t="str">
            <v>India</v>
          </cell>
          <cell r="C1368">
            <v>1997</v>
          </cell>
          <cell r="D1368">
            <v>90</v>
          </cell>
          <cell r="E1368">
            <v>1212</v>
          </cell>
          <cell r="F1368">
            <v>90</v>
          </cell>
          <cell r="G1368">
            <v>24939761</v>
          </cell>
          <cell r="H1368" t="str">
            <v>;;=SUM(F23:G23);</v>
          </cell>
          <cell r="I1368" t="str">
            <v>.</v>
          </cell>
        </row>
        <row r="1369">
          <cell r="A1369">
            <v>356</v>
          </cell>
          <cell r="B1369" t="str">
            <v>India</v>
          </cell>
          <cell r="C1369">
            <v>1997</v>
          </cell>
          <cell r="D1369">
            <v>90</v>
          </cell>
          <cell r="E1369">
            <v>1313</v>
          </cell>
          <cell r="F1369">
            <v>90</v>
          </cell>
          <cell r="G1369">
            <v>14462244</v>
          </cell>
          <cell r="H1369" t="str">
            <v>;;=SUM(F24:G24);</v>
          </cell>
          <cell r="I1369" t="str">
            <v>.</v>
          </cell>
        </row>
        <row r="1370">
          <cell r="A1370">
            <v>356</v>
          </cell>
          <cell r="B1370" t="str">
            <v>India</v>
          </cell>
          <cell r="C1370">
            <v>1997</v>
          </cell>
          <cell r="D1370">
            <v>90</v>
          </cell>
          <cell r="E1370">
            <v>1414</v>
          </cell>
          <cell r="F1370">
            <v>90</v>
          </cell>
          <cell r="G1370">
            <v>17143498</v>
          </cell>
          <cell r="H1370" t="str">
            <v>;;=SUM(F25:G25);</v>
          </cell>
          <cell r="I1370" t="str">
            <v>.</v>
          </cell>
        </row>
        <row r="1371">
          <cell r="A1371">
            <v>356</v>
          </cell>
          <cell r="B1371" t="str">
            <v>India</v>
          </cell>
          <cell r="C1371">
            <v>1997</v>
          </cell>
          <cell r="D1371">
            <v>90</v>
          </cell>
          <cell r="E1371">
            <v>1014</v>
          </cell>
          <cell r="F1371">
            <v>90</v>
          </cell>
          <cell r="G1371">
            <v>98691898</v>
          </cell>
          <cell r="H1371" t="str">
            <v>;;=SUM(F26:G26);</v>
          </cell>
          <cell r="I1371" t="str">
            <v>.</v>
          </cell>
        </row>
        <row r="1372">
          <cell r="A1372">
            <v>356</v>
          </cell>
          <cell r="B1372" t="str">
            <v>India</v>
          </cell>
          <cell r="C1372">
            <v>1997</v>
          </cell>
          <cell r="D1372">
            <v>90</v>
          </cell>
          <cell r="E1372">
            <v>1515</v>
          </cell>
          <cell r="F1372">
            <v>90</v>
          </cell>
          <cell r="G1372">
            <v>18724354</v>
          </cell>
          <cell r="H1372" t="str">
            <v>;;=SUM(F27:G27);</v>
          </cell>
          <cell r="I1372" t="str">
            <v>.</v>
          </cell>
        </row>
        <row r="1373">
          <cell r="A1373">
            <v>356</v>
          </cell>
          <cell r="B1373" t="str">
            <v>India</v>
          </cell>
          <cell r="C1373">
            <v>1997</v>
          </cell>
          <cell r="D1373">
            <v>90</v>
          </cell>
          <cell r="E1373">
            <v>1616</v>
          </cell>
          <cell r="F1373">
            <v>90</v>
          </cell>
          <cell r="G1373">
            <v>17097611</v>
          </cell>
          <cell r="H1373" t="str">
            <v>;;=SUM(F28:G28);</v>
          </cell>
          <cell r="I1373" t="str">
            <v>.</v>
          </cell>
        </row>
        <row r="1374">
          <cell r="A1374">
            <v>356</v>
          </cell>
          <cell r="B1374" t="str">
            <v>India</v>
          </cell>
          <cell r="C1374">
            <v>1997</v>
          </cell>
          <cell r="D1374">
            <v>90</v>
          </cell>
          <cell r="E1374">
            <v>1717</v>
          </cell>
          <cell r="F1374">
            <v>90</v>
          </cell>
          <cell r="G1374">
            <v>10353352</v>
          </cell>
          <cell r="H1374" t="str">
            <v>;;=SUM(F29:G29);</v>
          </cell>
          <cell r="I1374" t="str">
            <v>.</v>
          </cell>
        </row>
        <row r="1375">
          <cell r="A1375">
            <v>356</v>
          </cell>
          <cell r="B1375" t="str">
            <v>India</v>
          </cell>
          <cell r="C1375">
            <v>1997</v>
          </cell>
          <cell r="D1375">
            <v>90</v>
          </cell>
          <cell r="E1375">
            <v>1818</v>
          </cell>
          <cell r="F1375">
            <v>90</v>
          </cell>
          <cell r="G1375">
            <v>23656856</v>
          </cell>
          <cell r="H1375" t="str">
            <v>;;=SUM(F30:G30);</v>
          </cell>
          <cell r="I1375" t="str">
            <v>.</v>
          </cell>
        </row>
        <row r="1376">
          <cell r="A1376">
            <v>356</v>
          </cell>
          <cell r="B1376" t="str">
            <v>India</v>
          </cell>
          <cell r="C1376">
            <v>1997</v>
          </cell>
          <cell r="D1376">
            <v>90</v>
          </cell>
          <cell r="E1376">
            <v>1919</v>
          </cell>
          <cell r="F1376">
            <v>90</v>
          </cell>
          <cell r="G1376">
            <v>9202756</v>
          </cell>
          <cell r="H1376" t="str">
            <v>;;=SUM(F31:G31);</v>
          </cell>
          <cell r="I1376" t="str">
            <v>.</v>
          </cell>
        </row>
        <row r="1377">
          <cell r="A1377">
            <v>356</v>
          </cell>
          <cell r="B1377" t="str">
            <v>India</v>
          </cell>
          <cell r="C1377">
            <v>1997</v>
          </cell>
          <cell r="D1377">
            <v>90</v>
          </cell>
          <cell r="E1377">
            <v>1519</v>
          </cell>
          <cell r="F1377">
            <v>90</v>
          </cell>
          <cell r="G1377">
            <v>79034929</v>
          </cell>
          <cell r="H1377" t="str">
            <v>;;=SUM(F32:G32);</v>
          </cell>
          <cell r="I1377" t="str">
            <v>.</v>
          </cell>
        </row>
        <row r="1378">
          <cell r="A1378">
            <v>356</v>
          </cell>
          <cell r="B1378" t="str">
            <v>India</v>
          </cell>
          <cell r="C1378">
            <v>1997</v>
          </cell>
          <cell r="D1378">
            <v>90</v>
          </cell>
          <cell r="E1378">
            <v>2020</v>
          </cell>
          <cell r="F1378">
            <v>90</v>
          </cell>
          <cell r="G1378">
            <v>27415889</v>
          </cell>
          <cell r="H1378" t="str">
            <v>;;=SUM(F33:G33);</v>
          </cell>
          <cell r="I1378" t="str">
            <v>.</v>
          </cell>
        </row>
        <row r="1379">
          <cell r="A1379">
            <v>356</v>
          </cell>
          <cell r="B1379" t="str">
            <v>India</v>
          </cell>
          <cell r="C1379">
            <v>1997</v>
          </cell>
          <cell r="D1379">
            <v>90</v>
          </cell>
          <cell r="E1379">
            <v>2121</v>
          </cell>
          <cell r="F1379">
            <v>90</v>
          </cell>
          <cell r="G1379">
            <v>8343814</v>
          </cell>
          <cell r="H1379" t="str">
            <v>;;=SUM(F34:G34);</v>
          </cell>
          <cell r="I1379" t="str">
            <v>.</v>
          </cell>
        </row>
        <row r="1380">
          <cell r="A1380">
            <v>356</v>
          </cell>
          <cell r="B1380" t="str">
            <v>India</v>
          </cell>
          <cell r="C1380">
            <v>1997</v>
          </cell>
          <cell r="D1380">
            <v>90</v>
          </cell>
          <cell r="E1380">
            <v>2222</v>
          </cell>
          <cell r="F1380">
            <v>90</v>
          </cell>
          <cell r="G1380">
            <v>18857638</v>
          </cell>
          <cell r="H1380" t="str">
            <v>;;=SUM(F35:G35);</v>
          </cell>
          <cell r="I1380" t="str">
            <v>.</v>
          </cell>
        </row>
        <row r="1381">
          <cell r="A1381">
            <v>356</v>
          </cell>
          <cell r="B1381" t="str">
            <v>India</v>
          </cell>
          <cell r="C1381">
            <v>1997</v>
          </cell>
          <cell r="D1381">
            <v>90</v>
          </cell>
          <cell r="E1381">
            <v>2323</v>
          </cell>
          <cell r="F1381">
            <v>90</v>
          </cell>
          <cell r="G1381">
            <v>9366403</v>
          </cell>
          <cell r="H1381" t="str">
            <v>;;=SUM(F36:G36);</v>
          </cell>
          <cell r="I1381" t="str">
            <v>.</v>
          </cell>
        </row>
        <row r="1382">
          <cell r="A1382">
            <v>356</v>
          </cell>
          <cell r="B1382" t="str">
            <v>India</v>
          </cell>
          <cell r="C1382">
            <v>1997</v>
          </cell>
          <cell r="D1382">
            <v>90</v>
          </cell>
          <cell r="E1382">
            <v>2424</v>
          </cell>
          <cell r="F1382">
            <v>90</v>
          </cell>
          <cell r="G1382">
            <v>10488960</v>
          </cell>
          <cell r="H1382" t="str">
            <v>;;=SUM(F37:G37);</v>
          </cell>
          <cell r="I1382" t="str">
            <v>.</v>
          </cell>
        </row>
        <row r="1383">
          <cell r="A1383">
            <v>356</v>
          </cell>
          <cell r="B1383" t="str">
            <v>India</v>
          </cell>
          <cell r="C1383">
            <v>1997</v>
          </cell>
          <cell r="D1383">
            <v>90</v>
          </cell>
          <cell r="E1383">
            <v>2024</v>
          </cell>
          <cell r="F1383">
            <v>90</v>
          </cell>
          <cell r="G1383">
            <v>74472704</v>
          </cell>
          <cell r="H1383" t="str">
            <v>;;=SUM(F38:G38);</v>
          </cell>
          <cell r="I1383" t="str">
            <v>.</v>
          </cell>
        </row>
        <row r="1384">
          <cell r="A1384">
            <v>356</v>
          </cell>
          <cell r="B1384" t="str">
            <v>India</v>
          </cell>
          <cell r="C1384">
            <v>1997</v>
          </cell>
          <cell r="D1384">
            <v>90</v>
          </cell>
          <cell r="E1384">
            <v>2525</v>
          </cell>
          <cell r="F1384">
            <v>90</v>
          </cell>
          <cell r="G1384">
            <v>30360199</v>
          </cell>
          <cell r="H1384" t="str">
            <v>;;=SUM(F39:G39);</v>
          </cell>
          <cell r="I1384" t="str">
            <v>.</v>
          </cell>
        </row>
        <row r="1385">
          <cell r="A1385">
            <v>356</v>
          </cell>
          <cell r="B1385" t="str">
            <v>India</v>
          </cell>
          <cell r="C1385">
            <v>1997</v>
          </cell>
          <cell r="D1385">
            <v>90</v>
          </cell>
          <cell r="E1385">
            <v>2626</v>
          </cell>
          <cell r="F1385">
            <v>90</v>
          </cell>
          <cell r="G1385">
            <v>10513030</v>
          </cell>
          <cell r="H1385" t="str">
            <v>;;=SUM(F40:G40);</v>
          </cell>
          <cell r="I1385" t="str">
            <v>.</v>
          </cell>
        </row>
        <row r="1386">
          <cell r="A1386">
            <v>356</v>
          </cell>
          <cell r="B1386" t="str">
            <v>India</v>
          </cell>
          <cell r="C1386">
            <v>1997</v>
          </cell>
          <cell r="D1386">
            <v>90</v>
          </cell>
          <cell r="E1386">
            <v>2727</v>
          </cell>
          <cell r="F1386">
            <v>90</v>
          </cell>
          <cell r="G1386">
            <v>7512909</v>
          </cell>
          <cell r="H1386" t="str">
            <v>;;=SUM(F41:G41);</v>
          </cell>
          <cell r="I1386" t="str">
            <v>.</v>
          </cell>
        </row>
        <row r="1387">
          <cell r="A1387">
            <v>356</v>
          </cell>
          <cell r="B1387" t="str">
            <v>India</v>
          </cell>
          <cell r="C1387">
            <v>1997</v>
          </cell>
          <cell r="D1387">
            <v>90</v>
          </cell>
          <cell r="E1387">
            <v>2828</v>
          </cell>
          <cell r="F1387">
            <v>90</v>
          </cell>
          <cell r="G1387">
            <v>17139018</v>
          </cell>
          <cell r="H1387" t="str">
            <v>;;=SUM(F42:G42);</v>
          </cell>
          <cell r="I1387" t="str">
            <v>.</v>
          </cell>
        </row>
        <row r="1388">
          <cell r="A1388">
            <v>356</v>
          </cell>
          <cell r="B1388" t="str">
            <v>India</v>
          </cell>
          <cell r="C1388">
            <v>1997</v>
          </cell>
          <cell r="D1388">
            <v>90</v>
          </cell>
          <cell r="E1388">
            <v>2929</v>
          </cell>
          <cell r="F1388">
            <v>90</v>
          </cell>
          <cell r="G1388">
            <v>3714102</v>
          </cell>
          <cell r="H1388" t="str">
            <v>;;=SUM(F43:G43);</v>
          </cell>
          <cell r="I1388" t="str">
            <v>.</v>
          </cell>
        </row>
        <row r="1389">
          <cell r="A1389">
            <v>356</v>
          </cell>
          <cell r="B1389" t="str">
            <v>India</v>
          </cell>
          <cell r="C1389">
            <v>1997</v>
          </cell>
          <cell r="D1389">
            <v>90</v>
          </cell>
          <cell r="E1389">
            <v>2529</v>
          </cell>
          <cell r="F1389">
            <v>90</v>
          </cell>
          <cell r="G1389">
            <v>69239258</v>
          </cell>
          <cell r="H1389" t="str">
            <v>;;=SUM(F44:G44);</v>
          </cell>
          <cell r="I1389" t="str">
            <v>.</v>
          </cell>
        </row>
        <row r="1390">
          <cell r="A1390">
            <v>356</v>
          </cell>
          <cell r="B1390" t="str">
            <v>India</v>
          </cell>
          <cell r="C1390">
            <v>1997</v>
          </cell>
          <cell r="D1390">
            <v>90</v>
          </cell>
          <cell r="E1390">
            <v>3034</v>
          </cell>
          <cell r="F1390">
            <v>90</v>
          </cell>
          <cell r="G1390">
            <v>58404484</v>
          </cell>
          <cell r="H1390" t="str">
            <v>;;=SUM(F45:G45);</v>
          </cell>
          <cell r="I1390" t="str">
            <v>.</v>
          </cell>
        </row>
        <row r="1391">
          <cell r="A1391">
            <v>356</v>
          </cell>
          <cell r="B1391" t="str">
            <v>India</v>
          </cell>
          <cell r="C1391">
            <v>1997</v>
          </cell>
          <cell r="D1391">
            <v>90</v>
          </cell>
          <cell r="E1391">
            <v>3539</v>
          </cell>
          <cell r="F1391">
            <v>90</v>
          </cell>
          <cell r="G1391">
            <v>52398870</v>
          </cell>
          <cell r="H1391" t="str">
            <v>;;=SUM(F46:G46);</v>
          </cell>
          <cell r="I1391" t="str">
            <v>.</v>
          </cell>
        </row>
        <row r="1392">
          <cell r="A1392">
            <v>356</v>
          </cell>
          <cell r="B1392" t="str">
            <v>India</v>
          </cell>
          <cell r="C1392">
            <v>1997</v>
          </cell>
          <cell r="D1392">
            <v>90</v>
          </cell>
          <cell r="E1392">
            <v>4099</v>
          </cell>
          <cell r="F1392">
            <v>90</v>
          </cell>
          <cell r="G1392">
            <v>187957871</v>
          </cell>
          <cell r="H1392" t="str">
            <v>;;=SUM(F47:G47);</v>
          </cell>
          <cell r="I1392" t="str">
            <v>.</v>
          </cell>
        </row>
        <row r="1393">
          <cell r="A1393">
            <v>356</v>
          </cell>
          <cell r="B1393" t="str">
            <v>India</v>
          </cell>
          <cell r="C1393">
            <v>1997</v>
          </cell>
          <cell r="D1393">
            <v>90</v>
          </cell>
          <cell r="E1393">
            <v>990000</v>
          </cell>
          <cell r="F1393">
            <v>90</v>
          </cell>
          <cell r="G1393">
            <v>4695101</v>
          </cell>
          <cell r="H1393" t="str">
            <v>;;=SUM(F48:G48);</v>
          </cell>
          <cell r="I1393" t="str">
            <v>.</v>
          </cell>
        </row>
        <row r="1394">
          <cell r="A1394">
            <v>360</v>
          </cell>
          <cell r="B1394" t="str">
            <v>Indonesia</v>
          </cell>
          <cell r="C1394">
            <v>1997</v>
          </cell>
          <cell r="D1394">
            <v>90</v>
          </cell>
          <cell r="E1394">
            <v>900000</v>
          </cell>
          <cell r="F1394">
            <v>90</v>
          </cell>
          <cell r="G1394">
            <v>198342900</v>
          </cell>
          <cell r="H1394" t="str">
            <v>;;=SUM(F11:G11);</v>
          </cell>
          <cell r="I1394" t="str">
            <v>.</v>
          </cell>
        </row>
        <row r="1395">
          <cell r="A1395">
            <v>360</v>
          </cell>
          <cell r="B1395" t="str">
            <v>Indonesia</v>
          </cell>
          <cell r="C1395">
            <v>1997</v>
          </cell>
          <cell r="D1395">
            <v>90</v>
          </cell>
          <cell r="E1395">
            <v>300</v>
          </cell>
          <cell r="F1395">
            <v>90</v>
          </cell>
          <cell r="G1395">
            <v>13386000</v>
          </cell>
          <cell r="H1395" t="str">
            <v>;;=SUM(F12:G12);</v>
          </cell>
          <cell r="I1395" t="str">
            <v>.</v>
          </cell>
        </row>
        <row r="1396">
          <cell r="A1396">
            <v>360</v>
          </cell>
          <cell r="B1396" t="str">
            <v>Indonesia</v>
          </cell>
          <cell r="C1396">
            <v>1997</v>
          </cell>
          <cell r="D1396">
            <v>90</v>
          </cell>
          <cell r="E1396">
            <v>303</v>
          </cell>
          <cell r="F1396">
            <v>90</v>
          </cell>
          <cell r="G1396">
            <v>4272200</v>
          </cell>
          <cell r="H1396" t="str">
            <v>;;=SUM(F13:G13);</v>
          </cell>
          <cell r="I1396" t="str">
            <v>.</v>
          </cell>
        </row>
        <row r="1397">
          <cell r="A1397">
            <v>360</v>
          </cell>
          <cell r="B1397" t="str">
            <v>Indonesia</v>
          </cell>
          <cell r="C1397">
            <v>1997</v>
          </cell>
          <cell r="D1397">
            <v>90</v>
          </cell>
          <cell r="E1397">
            <v>404</v>
          </cell>
          <cell r="F1397">
            <v>90</v>
          </cell>
          <cell r="G1397">
            <v>4212100</v>
          </cell>
          <cell r="H1397" t="str">
            <v>;;=SUM(F14:G14);</v>
          </cell>
          <cell r="I1397" t="str">
            <v>.</v>
          </cell>
        </row>
        <row r="1398">
          <cell r="A1398">
            <v>360</v>
          </cell>
          <cell r="B1398" t="str">
            <v>Indonesia</v>
          </cell>
          <cell r="C1398">
            <v>1997</v>
          </cell>
          <cell r="D1398">
            <v>90</v>
          </cell>
          <cell r="E1398">
            <v>505</v>
          </cell>
          <cell r="F1398">
            <v>90</v>
          </cell>
          <cell r="G1398">
            <v>4176400</v>
          </cell>
          <cell r="H1398" t="str">
            <v>;;=SUM(F15:G15);</v>
          </cell>
          <cell r="I1398" t="str">
            <v>.</v>
          </cell>
        </row>
        <row r="1399">
          <cell r="A1399">
            <v>360</v>
          </cell>
          <cell r="B1399" t="str">
            <v>Indonesia</v>
          </cell>
          <cell r="C1399">
            <v>1997</v>
          </cell>
          <cell r="D1399">
            <v>90</v>
          </cell>
          <cell r="E1399">
            <v>606</v>
          </cell>
          <cell r="F1399">
            <v>90</v>
          </cell>
          <cell r="G1399">
            <v>4166800</v>
          </cell>
          <cell r="H1399" t="str">
            <v>;;=SUM(F16:G16);</v>
          </cell>
          <cell r="I1399" t="str">
            <v>.</v>
          </cell>
        </row>
        <row r="1400">
          <cell r="A1400">
            <v>360</v>
          </cell>
          <cell r="B1400" t="str">
            <v>Indonesia</v>
          </cell>
          <cell r="C1400">
            <v>1997</v>
          </cell>
          <cell r="D1400">
            <v>90</v>
          </cell>
          <cell r="E1400">
            <v>707</v>
          </cell>
          <cell r="F1400">
            <v>90</v>
          </cell>
          <cell r="G1400">
            <v>4184700</v>
          </cell>
          <cell r="H1400" t="str">
            <v>;;=SUM(F17:G17);</v>
          </cell>
          <cell r="I1400" t="str">
            <v>.</v>
          </cell>
        </row>
        <row r="1401">
          <cell r="A1401">
            <v>360</v>
          </cell>
          <cell r="B1401" t="str">
            <v>Indonesia</v>
          </cell>
          <cell r="C1401">
            <v>1997</v>
          </cell>
          <cell r="D1401">
            <v>90</v>
          </cell>
          <cell r="E1401">
            <v>808</v>
          </cell>
          <cell r="F1401">
            <v>90</v>
          </cell>
          <cell r="G1401">
            <v>4229300</v>
          </cell>
          <cell r="H1401" t="str">
            <v>;;=SUM(F18:G18);</v>
          </cell>
          <cell r="I1401" t="str">
            <v>.</v>
          </cell>
        </row>
        <row r="1402">
          <cell r="A1402">
            <v>360</v>
          </cell>
          <cell r="B1402" t="str">
            <v>Indonesia</v>
          </cell>
          <cell r="C1402">
            <v>1997</v>
          </cell>
          <cell r="D1402">
            <v>90</v>
          </cell>
          <cell r="E1402">
            <v>909</v>
          </cell>
          <cell r="F1402">
            <v>90</v>
          </cell>
          <cell r="G1402">
            <v>4295200</v>
          </cell>
          <cell r="H1402" t="str">
            <v>;;=SUM(F19:G19);</v>
          </cell>
          <cell r="I1402" t="str">
            <v>.</v>
          </cell>
        </row>
        <row r="1403">
          <cell r="A1403">
            <v>360</v>
          </cell>
          <cell r="B1403" t="str">
            <v>Indonesia</v>
          </cell>
          <cell r="C1403">
            <v>1997</v>
          </cell>
          <cell r="D1403">
            <v>90</v>
          </cell>
          <cell r="E1403">
            <v>509</v>
          </cell>
          <cell r="F1403">
            <v>90</v>
          </cell>
          <cell r="G1403">
            <v>21052400</v>
          </cell>
          <cell r="H1403" t="str">
            <v>;;=SUM(F20:G20);</v>
          </cell>
          <cell r="I1403" t="str">
            <v>.</v>
          </cell>
        </row>
        <row r="1404">
          <cell r="A1404">
            <v>360</v>
          </cell>
          <cell r="B1404" t="str">
            <v>Indonesia</v>
          </cell>
          <cell r="C1404">
            <v>1997</v>
          </cell>
          <cell r="D1404">
            <v>90</v>
          </cell>
          <cell r="E1404">
            <v>1010</v>
          </cell>
          <cell r="F1404">
            <v>90</v>
          </cell>
          <cell r="G1404">
            <v>4371800</v>
          </cell>
          <cell r="H1404" t="str">
            <v>;;=SUM(F21:G21);</v>
          </cell>
          <cell r="I1404" t="str">
            <v>.</v>
          </cell>
        </row>
        <row r="1405">
          <cell r="A1405">
            <v>360</v>
          </cell>
          <cell r="B1405" t="str">
            <v>Indonesia</v>
          </cell>
          <cell r="C1405">
            <v>1997</v>
          </cell>
          <cell r="D1405">
            <v>90</v>
          </cell>
          <cell r="E1405">
            <v>1111</v>
          </cell>
          <cell r="F1405">
            <v>90</v>
          </cell>
          <cell r="G1405">
            <v>4444000</v>
          </cell>
          <cell r="H1405" t="str">
            <v>;;=SUM(F22:G22);</v>
          </cell>
          <cell r="I1405" t="str">
            <v>.</v>
          </cell>
        </row>
        <row r="1406">
          <cell r="A1406">
            <v>360</v>
          </cell>
          <cell r="B1406" t="str">
            <v>Indonesia</v>
          </cell>
          <cell r="C1406">
            <v>1997</v>
          </cell>
          <cell r="D1406">
            <v>90</v>
          </cell>
          <cell r="E1406">
            <v>1212</v>
          </cell>
          <cell r="F1406">
            <v>90</v>
          </cell>
          <cell r="G1406">
            <v>4494700</v>
          </cell>
          <cell r="H1406" t="str">
            <v>;;=SUM(F23:G23);</v>
          </cell>
          <cell r="I1406" t="str">
            <v>.</v>
          </cell>
        </row>
        <row r="1407">
          <cell r="A1407">
            <v>360</v>
          </cell>
          <cell r="B1407" t="str">
            <v>Indonesia</v>
          </cell>
          <cell r="C1407">
            <v>1997</v>
          </cell>
          <cell r="D1407">
            <v>90</v>
          </cell>
          <cell r="E1407">
            <v>1313</v>
          </cell>
          <cell r="F1407">
            <v>90</v>
          </cell>
          <cell r="G1407">
            <v>4512300</v>
          </cell>
          <cell r="H1407" t="str">
            <v>;;=SUM(F24:G24);</v>
          </cell>
          <cell r="I1407" t="str">
            <v>.</v>
          </cell>
        </row>
        <row r="1408">
          <cell r="A1408">
            <v>360</v>
          </cell>
          <cell r="B1408" t="str">
            <v>Indonesia</v>
          </cell>
          <cell r="C1408">
            <v>1997</v>
          </cell>
          <cell r="D1408">
            <v>90</v>
          </cell>
          <cell r="E1408">
            <v>1414</v>
          </cell>
          <cell r="F1408">
            <v>90</v>
          </cell>
          <cell r="G1408">
            <v>4501500</v>
          </cell>
          <cell r="H1408" t="str">
            <v>;;=SUM(F25:G25);</v>
          </cell>
          <cell r="I1408" t="str">
            <v>.</v>
          </cell>
        </row>
        <row r="1409">
          <cell r="A1409">
            <v>360</v>
          </cell>
          <cell r="B1409" t="str">
            <v>Indonesia</v>
          </cell>
          <cell r="C1409">
            <v>1997</v>
          </cell>
          <cell r="D1409">
            <v>90</v>
          </cell>
          <cell r="E1409">
            <v>1014</v>
          </cell>
          <cell r="F1409">
            <v>90</v>
          </cell>
          <cell r="G1409">
            <v>22324300</v>
          </cell>
          <cell r="H1409" t="str">
            <v>;;=SUM(F26:G26);</v>
          </cell>
          <cell r="I1409" t="str">
            <v>.</v>
          </cell>
        </row>
        <row r="1410">
          <cell r="A1410">
            <v>360</v>
          </cell>
          <cell r="B1410" t="str">
            <v>Indonesia</v>
          </cell>
          <cell r="C1410">
            <v>1997</v>
          </cell>
          <cell r="D1410">
            <v>90</v>
          </cell>
          <cell r="E1410">
            <v>1515</v>
          </cell>
          <cell r="F1410">
            <v>90</v>
          </cell>
          <cell r="G1410">
            <v>4485300</v>
          </cell>
          <cell r="H1410" t="str">
            <v>;;=SUM(F27:G27);</v>
          </cell>
          <cell r="I1410" t="str">
            <v>.</v>
          </cell>
        </row>
        <row r="1411">
          <cell r="A1411">
            <v>360</v>
          </cell>
          <cell r="B1411" t="str">
            <v>Indonesia</v>
          </cell>
          <cell r="C1411">
            <v>1997</v>
          </cell>
          <cell r="D1411">
            <v>90</v>
          </cell>
          <cell r="E1411">
            <v>1616</v>
          </cell>
          <cell r="F1411">
            <v>90</v>
          </cell>
          <cell r="G1411">
            <v>4463200</v>
          </cell>
          <cell r="H1411" t="str">
            <v>;;=SUM(F28:G28);</v>
          </cell>
          <cell r="I1411" t="str">
            <v>.</v>
          </cell>
        </row>
        <row r="1412">
          <cell r="A1412">
            <v>360</v>
          </cell>
          <cell r="B1412" t="str">
            <v>Indonesia</v>
          </cell>
          <cell r="C1412">
            <v>1997</v>
          </cell>
          <cell r="D1412">
            <v>90</v>
          </cell>
          <cell r="E1412">
            <v>1717</v>
          </cell>
          <cell r="F1412">
            <v>90</v>
          </cell>
          <cell r="G1412">
            <v>4411000</v>
          </cell>
          <cell r="H1412" t="str">
            <v>;;=SUM(F29:G29);</v>
          </cell>
          <cell r="I1412" t="str">
            <v>.</v>
          </cell>
        </row>
        <row r="1413">
          <cell r="A1413">
            <v>360</v>
          </cell>
          <cell r="B1413" t="str">
            <v>Indonesia</v>
          </cell>
          <cell r="C1413">
            <v>1997</v>
          </cell>
          <cell r="D1413">
            <v>90</v>
          </cell>
          <cell r="E1413">
            <v>1818</v>
          </cell>
          <cell r="F1413">
            <v>90</v>
          </cell>
          <cell r="G1413">
            <v>4322400</v>
          </cell>
          <cell r="H1413" t="str">
            <v>;;=SUM(F30:G30);</v>
          </cell>
          <cell r="I1413" t="str">
            <v>.</v>
          </cell>
        </row>
        <row r="1414">
          <cell r="A1414">
            <v>360</v>
          </cell>
          <cell r="B1414" t="str">
            <v>Indonesia</v>
          </cell>
          <cell r="C1414">
            <v>1997</v>
          </cell>
          <cell r="D1414">
            <v>90</v>
          </cell>
          <cell r="E1414">
            <v>1919</v>
          </cell>
          <cell r="F1414">
            <v>90</v>
          </cell>
          <cell r="G1414">
            <v>4206600</v>
          </cell>
          <cell r="H1414" t="str">
            <v>;;=SUM(F31:G31);</v>
          </cell>
          <cell r="I1414" t="str">
            <v>.</v>
          </cell>
        </row>
        <row r="1415">
          <cell r="A1415">
            <v>360</v>
          </cell>
          <cell r="B1415" t="str">
            <v>Indonesia</v>
          </cell>
          <cell r="C1415">
            <v>1997</v>
          </cell>
          <cell r="D1415">
            <v>90</v>
          </cell>
          <cell r="E1415">
            <v>1519</v>
          </cell>
          <cell r="F1415">
            <v>90</v>
          </cell>
          <cell r="G1415">
            <v>21888500</v>
          </cell>
          <cell r="H1415" t="str">
            <v>;;=SUM(F32:G32);</v>
          </cell>
          <cell r="I1415" t="str">
            <v>.</v>
          </cell>
        </row>
        <row r="1416">
          <cell r="A1416">
            <v>360</v>
          </cell>
          <cell r="B1416" t="str">
            <v>Indonesia</v>
          </cell>
          <cell r="C1416">
            <v>1997</v>
          </cell>
          <cell r="D1416">
            <v>90</v>
          </cell>
          <cell r="E1416">
            <v>2020</v>
          </cell>
          <cell r="F1416">
            <v>90</v>
          </cell>
          <cell r="G1416">
            <v>4078100</v>
          </cell>
          <cell r="H1416" t="str">
            <v>;;=SUM(F33:G33);</v>
          </cell>
          <cell r="I1416" t="str">
            <v>.</v>
          </cell>
        </row>
        <row r="1417">
          <cell r="A1417">
            <v>360</v>
          </cell>
          <cell r="B1417" t="str">
            <v>Indonesia</v>
          </cell>
          <cell r="C1417">
            <v>1997</v>
          </cell>
          <cell r="D1417">
            <v>90</v>
          </cell>
          <cell r="E1417">
            <v>2121</v>
          </cell>
          <cell r="F1417">
            <v>90</v>
          </cell>
          <cell r="G1417">
            <v>3950400</v>
          </cell>
          <cell r="H1417" t="str">
            <v>;;=SUM(F34:G34);</v>
          </cell>
          <cell r="I1417" t="str">
            <v>.</v>
          </cell>
        </row>
        <row r="1418">
          <cell r="A1418">
            <v>360</v>
          </cell>
          <cell r="B1418" t="str">
            <v>Indonesia</v>
          </cell>
          <cell r="C1418">
            <v>1997</v>
          </cell>
          <cell r="D1418">
            <v>90</v>
          </cell>
          <cell r="E1418">
            <v>2222</v>
          </cell>
          <cell r="F1418">
            <v>90</v>
          </cell>
          <cell r="G1418">
            <v>3827300</v>
          </cell>
          <cell r="H1418" t="str">
            <v>;;=SUM(F35:G35);</v>
          </cell>
          <cell r="I1418" t="str">
            <v>.</v>
          </cell>
        </row>
        <row r="1419">
          <cell r="A1419">
            <v>360</v>
          </cell>
          <cell r="B1419" t="str">
            <v>Indonesia</v>
          </cell>
          <cell r="C1419">
            <v>1997</v>
          </cell>
          <cell r="D1419">
            <v>90</v>
          </cell>
          <cell r="E1419">
            <v>2323</v>
          </cell>
          <cell r="F1419">
            <v>90</v>
          </cell>
          <cell r="G1419">
            <v>3715300</v>
          </cell>
          <cell r="H1419" t="str">
            <v>;;=SUM(F36:G36);</v>
          </cell>
          <cell r="I1419" t="str">
            <v>.</v>
          </cell>
        </row>
        <row r="1420">
          <cell r="A1420">
            <v>360</v>
          </cell>
          <cell r="B1420" t="str">
            <v>Indonesia</v>
          </cell>
          <cell r="C1420">
            <v>1997</v>
          </cell>
          <cell r="D1420">
            <v>90</v>
          </cell>
          <cell r="E1420">
            <v>2424</v>
          </cell>
          <cell r="F1420">
            <v>90</v>
          </cell>
          <cell r="G1420">
            <v>3613200</v>
          </cell>
          <cell r="H1420" t="str">
            <v>;;=SUM(F37:G37);</v>
          </cell>
          <cell r="I1420" t="str">
            <v>.</v>
          </cell>
        </row>
        <row r="1421">
          <cell r="A1421">
            <v>360</v>
          </cell>
          <cell r="B1421" t="str">
            <v>Indonesia</v>
          </cell>
          <cell r="C1421">
            <v>1997</v>
          </cell>
          <cell r="D1421">
            <v>90</v>
          </cell>
          <cell r="E1421">
            <v>2024</v>
          </cell>
          <cell r="F1421">
            <v>90</v>
          </cell>
          <cell r="G1421">
            <v>19184300</v>
          </cell>
          <cell r="H1421" t="str">
            <v>;;=SUM(F38:G38);</v>
          </cell>
          <cell r="I1421" t="str">
            <v>.</v>
          </cell>
        </row>
        <row r="1422">
          <cell r="A1422">
            <v>360</v>
          </cell>
          <cell r="B1422" t="str">
            <v>Indonesia</v>
          </cell>
          <cell r="C1422">
            <v>1997</v>
          </cell>
          <cell r="D1422">
            <v>90</v>
          </cell>
          <cell r="E1422">
            <v>2525</v>
          </cell>
          <cell r="F1422">
            <v>90</v>
          </cell>
          <cell r="G1422">
            <v>3508800</v>
          </cell>
          <cell r="H1422" t="str">
            <v>;;=SUM(F39:G39);</v>
          </cell>
          <cell r="I1422" t="str">
            <v>.</v>
          </cell>
        </row>
        <row r="1423">
          <cell r="A1423">
            <v>360</v>
          </cell>
          <cell r="B1423" t="str">
            <v>Indonesia</v>
          </cell>
          <cell r="C1423">
            <v>1997</v>
          </cell>
          <cell r="D1423">
            <v>90</v>
          </cell>
          <cell r="E1423">
            <v>2626</v>
          </cell>
          <cell r="F1423">
            <v>90</v>
          </cell>
          <cell r="G1423">
            <v>3404500</v>
          </cell>
          <cell r="H1423" t="str">
            <v>;;=SUM(F40:G40);</v>
          </cell>
          <cell r="I1423" t="str">
            <v>.</v>
          </cell>
        </row>
        <row r="1424">
          <cell r="A1424">
            <v>360</v>
          </cell>
          <cell r="B1424" t="str">
            <v>Indonesia</v>
          </cell>
          <cell r="C1424">
            <v>1997</v>
          </cell>
          <cell r="D1424">
            <v>90</v>
          </cell>
          <cell r="E1424">
            <v>2727</v>
          </cell>
          <cell r="F1424">
            <v>90</v>
          </cell>
          <cell r="G1424">
            <v>3316500</v>
          </cell>
          <cell r="H1424" t="str">
            <v>;;=SUM(F41:G41);</v>
          </cell>
          <cell r="I1424" t="str">
            <v>.</v>
          </cell>
        </row>
        <row r="1425">
          <cell r="A1425">
            <v>360</v>
          </cell>
          <cell r="B1425" t="str">
            <v>Indonesia</v>
          </cell>
          <cell r="C1425">
            <v>1997</v>
          </cell>
          <cell r="D1425">
            <v>90</v>
          </cell>
          <cell r="E1425">
            <v>2828</v>
          </cell>
          <cell r="F1425">
            <v>90</v>
          </cell>
          <cell r="G1425">
            <v>3249900</v>
          </cell>
          <cell r="H1425" t="str">
            <v>;;=SUM(F42:G42);</v>
          </cell>
          <cell r="I1425" t="str">
            <v>.</v>
          </cell>
        </row>
        <row r="1426">
          <cell r="A1426">
            <v>360</v>
          </cell>
          <cell r="B1426" t="str">
            <v>Indonesia</v>
          </cell>
          <cell r="C1426">
            <v>1997</v>
          </cell>
          <cell r="D1426">
            <v>90</v>
          </cell>
          <cell r="E1426">
            <v>2929</v>
          </cell>
          <cell r="F1426">
            <v>90</v>
          </cell>
          <cell r="G1426">
            <v>3199000</v>
          </cell>
          <cell r="H1426" t="str">
            <v>;;=SUM(F43:G43);</v>
          </cell>
          <cell r="I1426" t="str">
            <v>.</v>
          </cell>
        </row>
        <row r="1427">
          <cell r="A1427">
            <v>360</v>
          </cell>
          <cell r="B1427" t="str">
            <v>Indonesia</v>
          </cell>
          <cell r="C1427">
            <v>1997</v>
          </cell>
          <cell r="D1427">
            <v>90</v>
          </cell>
          <cell r="E1427">
            <v>2529</v>
          </cell>
          <cell r="F1427">
            <v>90</v>
          </cell>
          <cell r="G1427">
            <v>16678700</v>
          </cell>
          <cell r="H1427" t="str">
            <v>;;=SUM(F44:G44);</v>
          </cell>
          <cell r="I1427" t="str">
            <v>.</v>
          </cell>
        </row>
        <row r="1428">
          <cell r="A1428">
            <v>360</v>
          </cell>
          <cell r="B1428" t="str">
            <v>Indonesia</v>
          </cell>
          <cell r="C1428">
            <v>1997</v>
          </cell>
          <cell r="D1428">
            <v>90</v>
          </cell>
          <cell r="E1428">
            <v>3034</v>
          </cell>
          <cell r="F1428">
            <v>90</v>
          </cell>
          <cell r="G1428">
            <v>15244500</v>
          </cell>
          <cell r="H1428" t="str">
            <v>;;=SUM(F45:G45);</v>
          </cell>
          <cell r="I1428" t="str">
            <v>.</v>
          </cell>
        </row>
        <row r="1429">
          <cell r="A1429">
            <v>360</v>
          </cell>
          <cell r="B1429" t="str">
            <v>Indonesia</v>
          </cell>
          <cell r="C1429">
            <v>1997</v>
          </cell>
          <cell r="D1429">
            <v>90</v>
          </cell>
          <cell r="E1429">
            <v>3539</v>
          </cell>
          <cell r="F1429">
            <v>90</v>
          </cell>
          <cell r="G1429">
            <v>13627600</v>
          </cell>
          <cell r="H1429" t="str">
            <v>;;=SUM(F46:G46);</v>
          </cell>
          <cell r="I1429" t="str">
            <v>.</v>
          </cell>
        </row>
        <row r="1430">
          <cell r="A1430">
            <v>360</v>
          </cell>
          <cell r="B1430" t="str">
            <v>Indonesia</v>
          </cell>
          <cell r="C1430">
            <v>1997</v>
          </cell>
          <cell r="D1430">
            <v>90</v>
          </cell>
          <cell r="E1430">
            <v>4099</v>
          </cell>
          <cell r="F1430">
            <v>90</v>
          </cell>
          <cell r="G1430">
            <v>46472300</v>
          </cell>
          <cell r="H1430" t="str">
            <v>;;=SUM(F47:G47);</v>
          </cell>
          <cell r="I1430" t="str">
            <v>.</v>
          </cell>
        </row>
        <row r="1431">
          <cell r="A1431">
            <v>360</v>
          </cell>
          <cell r="B1431" t="str">
            <v>Indonesia</v>
          </cell>
          <cell r="C1431">
            <v>1997</v>
          </cell>
          <cell r="D1431">
            <v>90</v>
          </cell>
          <cell r="E1431">
            <v>990000</v>
          </cell>
          <cell r="F1431">
            <v>90</v>
          </cell>
          <cell r="G1431">
            <v>0</v>
          </cell>
          <cell r="H1431" t="str">
            <v>n;</v>
          </cell>
          <cell r="I1431" t="str">
            <v>n</v>
          </cell>
        </row>
        <row r="1432">
          <cell r="A1432">
            <v>400</v>
          </cell>
          <cell r="B1432" t="str">
            <v>Jordan</v>
          </cell>
          <cell r="C1432">
            <v>1997</v>
          </cell>
          <cell r="D1432">
            <v>90</v>
          </cell>
          <cell r="E1432">
            <v>900000</v>
          </cell>
          <cell r="F1432">
            <v>90</v>
          </cell>
          <cell r="G1432">
            <v>4600025</v>
          </cell>
          <cell r="H1432" t="str">
            <v/>
          </cell>
          <cell r="I1432" t="str">
            <v>.</v>
          </cell>
        </row>
        <row r="1433">
          <cell r="A1433">
            <v>400</v>
          </cell>
          <cell r="B1433" t="str">
            <v>Jordan</v>
          </cell>
          <cell r="C1433">
            <v>1997</v>
          </cell>
          <cell r="D1433">
            <v>90</v>
          </cell>
          <cell r="E1433">
            <v>300</v>
          </cell>
          <cell r="F1433">
            <v>90</v>
          </cell>
          <cell r="G1433">
            <v>424580</v>
          </cell>
          <cell r="H1433" t="str">
            <v/>
          </cell>
          <cell r="I1433" t="str">
            <v>.</v>
          </cell>
        </row>
        <row r="1434">
          <cell r="A1434">
            <v>400</v>
          </cell>
          <cell r="B1434" t="str">
            <v>Jordan</v>
          </cell>
          <cell r="C1434">
            <v>1997</v>
          </cell>
          <cell r="D1434">
            <v>90</v>
          </cell>
          <cell r="E1434">
            <v>303</v>
          </cell>
          <cell r="F1434">
            <v>90</v>
          </cell>
          <cell r="G1434">
            <v>136119</v>
          </cell>
          <cell r="H1434" t="str">
            <v/>
          </cell>
          <cell r="I1434" t="str">
            <v>.</v>
          </cell>
        </row>
        <row r="1435">
          <cell r="A1435">
            <v>400</v>
          </cell>
          <cell r="B1435" t="str">
            <v>Jordan</v>
          </cell>
          <cell r="C1435">
            <v>1997</v>
          </cell>
          <cell r="D1435">
            <v>90</v>
          </cell>
          <cell r="E1435">
            <v>404</v>
          </cell>
          <cell r="F1435">
            <v>90</v>
          </cell>
          <cell r="G1435">
            <v>129324</v>
          </cell>
          <cell r="H1435" t="str">
            <v/>
          </cell>
          <cell r="I1435" t="str">
            <v>.</v>
          </cell>
        </row>
        <row r="1436">
          <cell r="A1436">
            <v>400</v>
          </cell>
          <cell r="B1436" t="str">
            <v>Jordan</v>
          </cell>
          <cell r="C1436">
            <v>1997</v>
          </cell>
          <cell r="D1436">
            <v>90</v>
          </cell>
          <cell r="E1436">
            <v>505</v>
          </cell>
          <cell r="F1436">
            <v>90</v>
          </cell>
          <cell r="G1436">
            <v>130668</v>
          </cell>
          <cell r="H1436" t="str">
            <v/>
          </cell>
          <cell r="I1436" t="str">
            <v>.</v>
          </cell>
        </row>
        <row r="1437">
          <cell r="A1437">
            <v>400</v>
          </cell>
          <cell r="B1437" t="str">
            <v>Jordan</v>
          </cell>
          <cell r="C1437">
            <v>1997</v>
          </cell>
          <cell r="D1437">
            <v>90</v>
          </cell>
          <cell r="E1437">
            <v>606</v>
          </cell>
          <cell r="F1437">
            <v>90</v>
          </cell>
          <cell r="G1437">
            <v>129274</v>
          </cell>
          <cell r="H1437" t="str">
            <v/>
          </cell>
          <cell r="I1437" t="str">
            <v>.</v>
          </cell>
        </row>
        <row r="1438">
          <cell r="A1438">
            <v>400</v>
          </cell>
          <cell r="B1438" t="str">
            <v>Jordan</v>
          </cell>
          <cell r="C1438">
            <v>1997</v>
          </cell>
          <cell r="D1438">
            <v>90</v>
          </cell>
          <cell r="E1438">
            <v>707</v>
          </cell>
          <cell r="F1438">
            <v>90</v>
          </cell>
          <cell r="G1438">
            <v>125971</v>
          </cell>
          <cell r="H1438" t="str">
            <v/>
          </cell>
          <cell r="I1438" t="str">
            <v>.</v>
          </cell>
        </row>
        <row r="1439">
          <cell r="A1439">
            <v>400</v>
          </cell>
          <cell r="B1439" t="str">
            <v>Jordan</v>
          </cell>
          <cell r="C1439">
            <v>1997</v>
          </cell>
          <cell r="D1439">
            <v>90</v>
          </cell>
          <cell r="E1439">
            <v>808</v>
          </cell>
          <cell r="F1439">
            <v>90</v>
          </cell>
          <cell r="G1439">
            <v>125686</v>
          </cell>
          <cell r="H1439" t="str">
            <v/>
          </cell>
          <cell r="I1439" t="str">
            <v>.</v>
          </cell>
        </row>
        <row r="1440">
          <cell r="A1440">
            <v>400</v>
          </cell>
          <cell r="B1440" t="str">
            <v>Jordan</v>
          </cell>
          <cell r="C1440">
            <v>1997</v>
          </cell>
          <cell r="D1440">
            <v>90</v>
          </cell>
          <cell r="E1440">
            <v>909</v>
          </cell>
          <cell r="F1440">
            <v>90</v>
          </cell>
          <cell r="G1440">
            <v>122208</v>
          </cell>
          <cell r="H1440" t="str">
            <v/>
          </cell>
          <cell r="I1440" t="str">
            <v>.</v>
          </cell>
        </row>
        <row r="1441">
          <cell r="A1441">
            <v>400</v>
          </cell>
          <cell r="B1441" t="str">
            <v>Jordan</v>
          </cell>
          <cell r="C1441">
            <v>1997</v>
          </cell>
          <cell r="D1441">
            <v>90</v>
          </cell>
          <cell r="E1441">
            <v>509</v>
          </cell>
          <cell r="F1441">
            <v>90</v>
          </cell>
          <cell r="G1441">
            <v>633807</v>
          </cell>
          <cell r="H1441" t="str">
            <v>;;=SUM(E15:E19);</v>
          </cell>
          <cell r="I1441" t="str">
            <v>.</v>
          </cell>
        </row>
        <row r="1442">
          <cell r="A1442">
            <v>400</v>
          </cell>
          <cell r="B1442" t="str">
            <v>Jordan</v>
          </cell>
          <cell r="C1442">
            <v>1997</v>
          </cell>
          <cell r="D1442">
            <v>90</v>
          </cell>
          <cell r="E1442">
            <v>1010</v>
          </cell>
          <cell r="F1442">
            <v>90</v>
          </cell>
          <cell r="G1442">
            <v>124283</v>
          </cell>
          <cell r="H1442" t="str">
            <v/>
          </cell>
          <cell r="I1442" t="str">
            <v>.</v>
          </cell>
        </row>
        <row r="1443">
          <cell r="A1443">
            <v>400</v>
          </cell>
          <cell r="B1443" t="str">
            <v>Jordan</v>
          </cell>
          <cell r="C1443">
            <v>1997</v>
          </cell>
          <cell r="D1443">
            <v>90</v>
          </cell>
          <cell r="E1443">
            <v>1111</v>
          </cell>
          <cell r="F1443">
            <v>90</v>
          </cell>
          <cell r="G1443">
            <v>118459</v>
          </cell>
          <cell r="H1443" t="str">
            <v/>
          </cell>
          <cell r="I1443" t="str">
            <v>.</v>
          </cell>
        </row>
        <row r="1444">
          <cell r="A1444">
            <v>400</v>
          </cell>
          <cell r="B1444" t="str">
            <v>Jordan</v>
          </cell>
          <cell r="C1444">
            <v>1997</v>
          </cell>
          <cell r="D1444">
            <v>90</v>
          </cell>
          <cell r="E1444">
            <v>1212</v>
          </cell>
          <cell r="F1444">
            <v>90</v>
          </cell>
          <cell r="G1444">
            <v>120361</v>
          </cell>
          <cell r="H1444" t="str">
            <v/>
          </cell>
          <cell r="I1444" t="str">
            <v>.</v>
          </cell>
        </row>
        <row r="1445">
          <cell r="A1445">
            <v>400</v>
          </cell>
          <cell r="B1445" t="str">
            <v>Jordan</v>
          </cell>
          <cell r="C1445">
            <v>1997</v>
          </cell>
          <cell r="D1445">
            <v>90</v>
          </cell>
          <cell r="E1445">
            <v>1313</v>
          </cell>
          <cell r="F1445">
            <v>90</v>
          </cell>
          <cell r="G1445">
            <v>115483</v>
          </cell>
          <cell r="H1445" t="str">
            <v/>
          </cell>
          <cell r="I1445" t="str">
            <v>.</v>
          </cell>
        </row>
        <row r="1446">
          <cell r="A1446">
            <v>400</v>
          </cell>
          <cell r="B1446" t="str">
            <v>Jordan</v>
          </cell>
          <cell r="C1446">
            <v>1997</v>
          </cell>
          <cell r="D1446">
            <v>90</v>
          </cell>
          <cell r="E1446">
            <v>1414</v>
          </cell>
          <cell r="F1446">
            <v>90</v>
          </cell>
          <cell r="G1446">
            <v>113464</v>
          </cell>
          <cell r="H1446" t="str">
            <v/>
          </cell>
          <cell r="I1446" t="str">
            <v>.</v>
          </cell>
        </row>
        <row r="1447">
          <cell r="A1447">
            <v>400</v>
          </cell>
          <cell r="B1447" t="str">
            <v>Jordan</v>
          </cell>
          <cell r="C1447">
            <v>1997</v>
          </cell>
          <cell r="D1447">
            <v>90</v>
          </cell>
          <cell r="E1447">
            <v>1014</v>
          </cell>
          <cell r="F1447">
            <v>90</v>
          </cell>
          <cell r="G1447">
            <v>592050</v>
          </cell>
          <cell r="H1447" t="str">
            <v/>
          </cell>
          <cell r="I1447" t="str">
            <v>.</v>
          </cell>
        </row>
        <row r="1448">
          <cell r="A1448">
            <v>400</v>
          </cell>
          <cell r="B1448" t="str">
            <v>Jordan</v>
          </cell>
          <cell r="C1448">
            <v>1997</v>
          </cell>
          <cell r="D1448">
            <v>90</v>
          </cell>
          <cell r="E1448">
            <v>1515</v>
          </cell>
          <cell r="F1448">
            <v>90</v>
          </cell>
          <cell r="G1448">
            <v>113873</v>
          </cell>
          <cell r="H1448" t="str">
            <v/>
          </cell>
          <cell r="I1448" t="str">
            <v>.</v>
          </cell>
        </row>
        <row r="1449">
          <cell r="A1449">
            <v>400</v>
          </cell>
          <cell r="B1449" t="str">
            <v>Jordan</v>
          </cell>
          <cell r="C1449">
            <v>1997</v>
          </cell>
          <cell r="D1449">
            <v>90</v>
          </cell>
          <cell r="E1449">
            <v>1616</v>
          </cell>
          <cell r="F1449">
            <v>90</v>
          </cell>
          <cell r="G1449">
            <v>111067</v>
          </cell>
          <cell r="H1449" t="str">
            <v/>
          </cell>
          <cell r="I1449" t="str">
            <v>.</v>
          </cell>
        </row>
        <row r="1450">
          <cell r="A1450">
            <v>400</v>
          </cell>
          <cell r="B1450" t="str">
            <v>Jordan</v>
          </cell>
          <cell r="C1450">
            <v>1997</v>
          </cell>
          <cell r="D1450">
            <v>90</v>
          </cell>
          <cell r="E1450">
            <v>1717</v>
          </cell>
          <cell r="F1450">
            <v>90</v>
          </cell>
          <cell r="G1450">
            <v>106600</v>
          </cell>
          <cell r="H1450" t="str">
            <v/>
          </cell>
          <cell r="I1450" t="str">
            <v>.</v>
          </cell>
        </row>
        <row r="1451">
          <cell r="A1451">
            <v>400</v>
          </cell>
          <cell r="B1451" t="str">
            <v>Jordan</v>
          </cell>
          <cell r="C1451">
            <v>1997</v>
          </cell>
          <cell r="D1451">
            <v>90</v>
          </cell>
          <cell r="E1451">
            <v>1818</v>
          </cell>
          <cell r="F1451">
            <v>90</v>
          </cell>
          <cell r="G1451">
            <v>104475</v>
          </cell>
          <cell r="H1451" t="str">
            <v/>
          </cell>
          <cell r="I1451" t="str">
            <v>.</v>
          </cell>
        </row>
        <row r="1452">
          <cell r="A1452">
            <v>400</v>
          </cell>
          <cell r="B1452" t="str">
            <v>Jordan</v>
          </cell>
          <cell r="C1452">
            <v>1997</v>
          </cell>
          <cell r="D1452">
            <v>90</v>
          </cell>
          <cell r="E1452">
            <v>1919</v>
          </cell>
          <cell r="F1452">
            <v>90</v>
          </cell>
          <cell r="G1452">
            <v>102198</v>
          </cell>
          <cell r="H1452" t="str">
            <v/>
          </cell>
          <cell r="I1452" t="str">
            <v>.</v>
          </cell>
        </row>
        <row r="1453">
          <cell r="A1453">
            <v>400</v>
          </cell>
          <cell r="B1453" t="str">
            <v>Jordan</v>
          </cell>
          <cell r="C1453">
            <v>1997</v>
          </cell>
          <cell r="D1453">
            <v>90</v>
          </cell>
          <cell r="E1453">
            <v>1519</v>
          </cell>
          <cell r="F1453">
            <v>90</v>
          </cell>
          <cell r="G1453">
            <v>538213</v>
          </cell>
          <cell r="H1453" t="str">
            <v/>
          </cell>
          <cell r="I1453" t="str">
            <v>.</v>
          </cell>
        </row>
        <row r="1454">
          <cell r="A1454">
            <v>400</v>
          </cell>
          <cell r="B1454" t="str">
            <v>Jordan</v>
          </cell>
          <cell r="C1454">
            <v>1997</v>
          </cell>
          <cell r="D1454">
            <v>90</v>
          </cell>
          <cell r="E1454">
            <v>2020</v>
          </cell>
          <cell r="F1454">
            <v>90</v>
          </cell>
          <cell r="G1454">
            <v>103192</v>
          </cell>
          <cell r="H1454" t="str">
            <v/>
          </cell>
          <cell r="I1454" t="str">
            <v>.</v>
          </cell>
        </row>
        <row r="1455">
          <cell r="A1455">
            <v>400</v>
          </cell>
          <cell r="B1455" t="str">
            <v>Jordan</v>
          </cell>
          <cell r="C1455">
            <v>1997</v>
          </cell>
          <cell r="D1455">
            <v>90</v>
          </cell>
          <cell r="E1455">
            <v>2121</v>
          </cell>
          <cell r="F1455">
            <v>90</v>
          </cell>
          <cell r="G1455">
            <v>99875</v>
          </cell>
          <cell r="H1455" t="str">
            <v/>
          </cell>
          <cell r="I1455" t="str">
            <v>.</v>
          </cell>
        </row>
        <row r="1456">
          <cell r="A1456">
            <v>400</v>
          </cell>
          <cell r="B1456" t="str">
            <v>Jordan</v>
          </cell>
          <cell r="C1456">
            <v>1997</v>
          </cell>
          <cell r="D1456">
            <v>90</v>
          </cell>
          <cell r="E1456">
            <v>2222</v>
          </cell>
          <cell r="F1456">
            <v>90</v>
          </cell>
          <cell r="G1456">
            <v>101715</v>
          </cell>
          <cell r="H1456" t="str">
            <v/>
          </cell>
          <cell r="I1456" t="str">
            <v>.</v>
          </cell>
        </row>
        <row r="1457">
          <cell r="A1457">
            <v>400</v>
          </cell>
          <cell r="B1457" t="str">
            <v>Jordan</v>
          </cell>
          <cell r="C1457">
            <v>1997</v>
          </cell>
          <cell r="D1457">
            <v>90</v>
          </cell>
          <cell r="E1457">
            <v>2323</v>
          </cell>
          <cell r="F1457">
            <v>90</v>
          </cell>
          <cell r="G1457">
            <v>96163</v>
          </cell>
          <cell r="H1457" t="str">
            <v/>
          </cell>
          <cell r="I1457" t="str">
            <v>.</v>
          </cell>
        </row>
        <row r="1458">
          <cell r="A1458">
            <v>400</v>
          </cell>
          <cell r="B1458" t="str">
            <v>Jordan</v>
          </cell>
          <cell r="C1458">
            <v>1997</v>
          </cell>
          <cell r="D1458">
            <v>90</v>
          </cell>
          <cell r="E1458">
            <v>2424</v>
          </cell>
          <cell r="F1458">
            <v>90</v>
          </cell>
          <cell r="G1458">
            <v>97534</v>
          </cell>
          <cell r="H1458" t="str">
            <v/>
          </cell>
          <cell r="I1458" t="str">
            <v>.</v>
          </cell>
        </row>
        <row r="1459">
          <cell r="A1459">
            <v>400</v>
          </cell>
          <cell r="B1459" t="str">
            <v>Jordan</v>
          </cell>
          <cell r="C1459">
            <v>1997</v>
          </cell>
          <cell r="D1459">
            <v>90</v>
          </cell>
          <cell r="E1459">
            <v>2024</v>
          </cell>
          <cell r="F1459">
            <v>90</v>
          </cell>
          <cell r="G1459">
            <v>498479</v>
          </cell>
          <cell r="H1459" t="str">
            <v/>
          </cell>
          <cell r="I1459" t="str">
            <v>.</v>
          </cell>
        </row>
        <row r="1460">
          <cell r="A1460">
            <v>400</v>
          </cell>
          <cell r="B1460" t="str">
            <v>Jordan</v>
          </cell>
          <cell r="C1460">
            <v>1997</v>
          </cell>
          <cell r="D1460">
            <v>90</v>
          </cell>
          <cell r="E1460">
            <v>2525</v>
          </cell>
          <cell r="F1460">
            <v>90</v>
          </cell>
          <cell r="G1460">
            <v>93518</v>
          </cell>
          <cell r="H1460" t="str">
            <v/>
          </cell>
          <cell r="I1460" t="str">
            <v>.</v>
          </cell>
        </row>
        <row r="1461">
          <cell r="A1461">
            <v>400</v>
          </cell>
          <cell r="B1461" t="str">
            <v>Jordan</v>
          </cell>
          <cell r="C1461">
            <v>1997</v>
          </cell>
          <cell r="D1461">
            <v>90</v>
          </cell>
          <cell r="E1461">
            <v>2626</v>
          </cell>
          <cell r="F1461">
            <v>90</v>
          </cell>
          <cell r="G1461">
            <v>88435</v>
          </cell>
          <cell r="H1461" t="str">
            <v/>
          </cell>
          <cell r="I1461" t="str">
            <v>.</v>
          </cell>
        </row>
        <row r="1462">
          <cell r="A1462">
            <v>400</v>
          </cell>
          <cell r="B1462" t="str">
            <v>Jordan</v>
          </cell>
          <cell r="C1462">
            <v>1997</v>
          </cell>
          <cell r="D1462">
            <v>90</v>
          </cell>
          <cell r="E1462">
            <v>2727</v>
          </cell>
          <cell r="F1462">
            <v>90</v>
          </cell>
          <cell r="G1462">
            <v>82381</v>
          </cell>
          <cell r="H1462" t="str">
            <v/>
          </cell>
          <cell r="I1462" t="str">
            <v>.</v>
          </cell>
        </row>
        <row r="1463">
          <cell r="A1463">
            <v>400</v>
          </cell>
          <cell r="B1463" t="str">
            <v>Jordan</v>
          </cell>
          <cell r="C1463">
            <v>1997</v>
          </cell>
          <cell r="D1463">
            <v>90</v>
          </cell>
          <cell r="E1463">
            <v>2828</v>
          </cell>
          <cell r="F1463">
            <v>90</v>
          </cell>
          <cell r="G1463">
            <v>77850</v>
          </cell>
          <cell r="H1463" t="str">
            <v/>
          </cell>
          <cell r="I1463" t="str">
            <v>.</v>
          </cell>
        </row>
        <row r="1464">
          <cell r="A1464">
            <v>400</v>
          </cell>
          <cell r="B1464" t="str">
            <v>Jordan</v>
          </cell>
          <cell r="C1464">
            <v>1997</v>
          </cell>
          <cell r="D1464">
            <v>90</v>
          </cell>
          <cell r="E1464">
            <v>2929</v>
          </cell>
          <cell r="F1464">
            <v>90</v>
          </cell>
          <cell r="G1464">
            <v>74773</v>
          </cell>
          <cell r="H1464" t="str">
            <v/>
          </cell>
          <cell r="I1464" t="str">
            <v>.</v>
          </cell>
        </row>
        <row r="1465">
          <cell r="A1465">
            <v>400</v>
          </cell>
          <cell r="B1465" t="str">
            <v>Jordan</v>
          </cell>
          <cell r="C1465">
            <v>1997</v>
          </cell>
          <cell r="D1465">
            <v>90</v>
          </cell>
          <cell r="E1465">
            <v>2529</v>
          </cell>
          <cell r="F1465">
            <v>90</v>
          </cell>
          <cell r="G1465">
            <v>416957</v>
          </cell>
          <cell r="H1465" t="str">
            <v/>
          </cell>
          <cell r="I1465" t="str">
            <v>.</v>
          </cell>
        </row>
        <row r="1466">
          <cell r="A1466">
            <v>400</v>
          </cell>
          <cell r="B1466" t="str">
            <v>Jordan</v>
          </cell>
          <cell r="C1466">
            <v>1997</v>
          </cell>
          <cell r="D1466">
            <v>90</v>
          </cell>
          <cell r="E1466">
            <v>3034</v>
          </cell>
          <cell r="F1466">
            <v>90</v>
          </cell>
          <cell r="G1466">
            <v>301070</v>
          </cell>
          <cell r="H1466" t="str">
            <v/>
          </cell>
          <cell r="I1466" t="str">
            <v>.</v>
          </cell>
        </row>
        <row r="1467">
          <cell r="A1467">
            <v>400</v>
          </cell>
          <cell r="B1467" t="str">
            <v>Jordan</v>
          </cell>
          <cell r="C1467">
            <v>1997</v>
          </cell>
          <cell r="D1467">
            <v>90</v>
          </cell>
          <cell r="E1467">
            <v>3539</v>
          </cell>
          <cell r="F1467">
            <v>90</v>
          </cell>
          <cell r="G1467">
            <v>209383</v>
          </cell>
          <cell r="H1467" t="str">
            <v/>
          </cell>
          <cell r="I1467" t="str">
            <v>.</v>
          </cell>
        </row>
        <row r="1468">
          <cell r="A1468">
            <v>400</v>
          </cell>
          <cell r="B1468" t="str">
            <v>Jordan</v>
          </cell>
          <cell r="C1468">
            <v>1997</v>
          </cell>
          <cell r="D1468">
            <v>90</v>
          </cell>
          <cell r="E1468">
            <v>4099</v>
          </cell>
          <cell r="F1468">
            <v>90</v>
          </cell>
          <cell r="G1468">
            <v>720043</v>
          </cell>
          <cell r="H1468" t="str">
            <v/>
          </cell>
          <cell r="I1468" t="str">
            <v>.</v>
          </cell>
        </row>
        <row r="1469">
          <cell r="A1469">
            <v>400</v>
          </cell>
          <cell r="B1469" t="str">
            <v>Jordan</v>
          </cell>
          <cell r="C1469">
            <v>1997</v>
          </cell>
          <cell r="D1469">
            <v>90</v>
          </cell>
          <cell r="E1469">
            <v>990000</v>
          </cell>
          <cell r="F1469">
            <v>90</v>
          </cell>
          <cell r="G1469">
            <v>0</v>
          </cell>
          <cell r="H1469" t="str">
            <v>n;</v>
          </cell>
          <cell r="I1469" t="str">
            <v>n</v>
          </cell>
        </row>
        <row r="1470">
          <cell r="A1470">
            <v>458</v>
          </cell>
          <cell r="B1470" t="str">
            <v>Malaysia</v>
          </cell>
          <cell r="C1470">
            <v>1997</v>
          </cell>
          <cell r="D1470">
            <v>90</v>
          </cell>
          <cell r="E1470">
            <v>900000</v>
          </cell>
          <cell r="F1470">
            <v>90</v>
          </cell>
          <cell r="G1470">
            <v>21665400</v>
          </cell>
          <cell r="H1470" t="str">
            <v>;;=SUM(F11:G11);</v>
          </cell>
          <cell r="I1470" t="str">
            <v>.</v>
          </cell>
        </row>
        <row r="1471">
          <cell r="A1471">
            <v>458</v>
          </cell>
          <cell r="B1471" t="str">
            <v>Malaysia</v>
          </cell>
          <cell r="C1471">
            <v>1997</v>
          </cell>
          <cell r="D1471">
            <v>90</v>
          </cell>
          <cell r="E1471">
            <v>300</v>
          </cell>
          <cell r="F1471">
            <v>90</v>
          </cell>
          <cell r="G1471">
            <v>1533200</v>
          </cell>
          <cell r="H1471" t="str">
            <v>;;=SUM(F12:G12);</v>
          </cell>
          <cell r="I1471" t="str">
            <v>.</v>
          </cell>
        </row>
        <row r="1472">
          <cell r="A1472">
            <v>458</v>
          </cell>
          <cell r="B1472" t="str">
            <v>Malaysia</v>
          </cell>
          <cell r="C1472">
            <v>1997</v>
          </cell>
          <cell r="D1472">
            <v>90</v>
          </cell>
          <cell r="E1472">
            <v>303</v>
          </cell>
          <cell r="F1472">
            <v>90</v>
          </cell>
          <cell r="G1472">
            <v>509800</v>
          </cell>
          <cell r="H1472" t="str">
            <v>;;=SUM(F13:G13);</v>
          </cell>
          <cell r="I1472" t="str">
            <v>.</v>
          </cell>
        </row>
        <row r="1473">
          <cell r="A1473">
            <v>458</v>
          </cell>
          <cell r="B1473" t="str">
            <v>Malaysia</v>
          </cell>
          <cell r="C1473">
            <v>1997</v>
          </cell>
          <cell r="D1473">
            <v>90</v>
          </cell>
          <cell r="E1473">
            <v>404</v>
          </cell>
          <cell r="F1473">
            <v>90</v>
          </cell>
          <cell r="G1473">
            <v>508800</v>
          </cell>
          <cell r="H1473" t="str">
            <v>;;=SUM(F14:G14);</v>
          </cell>
          <cell r="I1473" t="str">
            <v>.</v>
          </cell>
        </row>
        <row r="1474">
          <cell r="A1474">
            <v>458</v>
          </cell>
          <cell r="B1474" t="str">
            <v>Malaysia</v>
          </cell>
          <cell r="C1474">
            <v>1997</v>
          </cell>
          <cell r="D1474">
            <v>90</v>
          </cell>
          <cell r="E1474">
            <v>505</v>
          </cell>
          <cell r="F1474">
            <v>90</v>
          </cell>
          <cell r="G1474">
            <v>507500</v>
          </cell>
          <cell r="H1474" t="str">
            <v>;;=SUM(F15:G15);</v>
          </cell>
          <cell r="I1474" t="str">
            <v>.</v>
          </cell>
        </row>
        <row r="1475">
          <cell r="A1475">
            <v>458</v>
          </cell>
          <cell r="B1475" t="str">
            <v>Malaysia</v>
          </cell>
          <cell r="C1475">
            <v>1997</v>
          </cell>
          <cell r="D1475">
            <v>90</v>
          </cell>
          <cell r="E1475">
            <v>606</v>
          </cell>
          <cell r="F1475">
            <v>90</v>
          </cell>
          <cell r="G1475">
            <v>505800</v>
          </cell>
          <cell r="H1475" t="str">
            <v>;;=SUM(F16:G16);</v>
          </cell>
          <cell r="I1475" t="str">
            <v>.</v>
          </cell>
        </row>
        <row r="1476">
          <cell r="A1476">
            <v>458</v>
          </cell>
          <cell r="B1476" t="str">
            <v>Malaysia</v>
          </cell>
          <cell r="C1476">
            <v>1997</v>
          </cell>
          <cell r="D1476">
            <v>90</v>
          </cell>
          <cell r="E1476">
            <v>707</v>
          </cell>
          <cell r="F1476">
            <v>90</v>
          </cell>
          <cell r="G1476">
            <v>503700</v>
          </cell>
          <cell r="H1476" t="str">
            <v>;;=SUM(F17:G17);</v>
          </cell>
          <cell r="I1476" t="str">
            <v>.</v>
          </cell>
        </row>
        <row r="1477">
          <cell r="A1477">
            <v>458</v>
          </cell>
          <cell r="B1477" t="str">
            <v>Malaysia</v>
          </cell>
          <cell r="C1477">
            <v>1997</v>
          </cell>
          <cell r="D1477">
            <v>90</v>
          </cell>
          <cell r="E1477">
            <v>808</v>
          </cell>
          <cell r="F1477">
            <v>90</v>
          </cell>
          <cell r="G1477">
            <v>501000</v>
          </cell>
          <cell r="H1477" t="str">
            <v>;;=SUM(F18:G18);</v>
          </cell>
          <cell r="I1477" t="str">
            <v>.</v>
          </cell>
        </row>
        <row r="1478">
          <cell r="A1478">
            <v>458</v>
          </cell>
          <cell r="B1478" t="str">
            <v>Malaysia</v>
          </cell>
          <cell r="C1478">
            <v>1997</v>
          </cell>
          <cell r="D1478">
            <v>90</v>
          </cell>
          <cell r="E1478">
            <v>909</v>
          </cell>
          <cell r="F1478">
            <v>90</v>
          </cell>
          <cell r="G1478">
            <v>497600</v>
          </cell>
          <cell r="H1478" t="str">
            <v>;;=SUM(F19:G19);</v>
          </cell>
          <cell r="I1478" t="str">
            <v>.</v>
          </cell>
        </row>
        <row r="1479">
          <cell r="A1479">
            <v>458</v>
          </cell>
          <cell r="B1479" t="str">
            <v>Malaysia</v>
          </cell>
          <cell r="C1479">
            <v>1997</v>
          </cell>
          <cell r="D1479">
            <v>90</v>
          </cell>
          <cell r="E1479">
            <v>509</v>
          </cell>
          <cell r="F1479">
            <v>90</v>
          </cell>
          <cell r="G1479">
            <v>2515600</v>
          </cell>
          <cell r="H1479" t="str">
            <v>;;=SUM(F20:G20);</v>
          </cell>
          <cell r="I1479" t="str">
            <v>.</v>
          </cell>
        </row>
        <row r="1480">
          <cell r="A1480">
            <v>458</v>
          </cell>
          <cell r="B1480" t="str">
            <v>Malaysia</v>
          </cell>
          <cell r="C1480">
            <v>1997</v>
          </cell>
          <cell r="D1480">
            <v>90</v>
          </cell>
          <cell r="E1480">
            <v>1010</v>
          </cell>
          <cell r="F1480">
            <v>90</v>
          </cell>
          <cell r="G1480">
            <v>493800</v>
          </cell>
          <cell r="H1480" t="str">
            <v>;;=SUM(F21:G21);</v>
          </cell>
          <cell r="I1480" t="str">
            <v>.</v>
          </cell>
        </row>
        <row r="1481">
          <cell r="A1481">
            <v>458</v>
          </cell>
          <cell r="B1481" t="str">
            <v>Malaysia</v>
          </cell>
          <cell r="C1481">
            <v>1997</v>
          </cell>
          <cell r="D1481">
            <v>90</v>
          </cell>
          <cell r="E1481">
            <v>1111</v>
          </cell>
          <cell r="F1481">
            <v>90</v>
          </cell>
          <cell r="G1481">
            <v>490200</v>
          </cell>
          <cell r="H1481" t="str">
            <v>;;=SUM(F22:G22);</v>
          </cell>
          <cell r="I1481" t="str">
            <v>.</v>
          </cell>
        </row>
        <row r="1482">
          <cell r="A1482">
            <v>458</v>
          </cell>
          <cell r="B1482" t="str">
            <v>Malaysia</v>
          </cell>
          <cell r="C1482">
            <v>1997</v>
          </cell>
          <cell r="D1482">
            <v>90</v>
          </cell>
          <cell r="E1482">
            <v>1212</v>
          </cell>
          <cell r="F1482">
            <v>90</v>
          </cell>
          <cell r="G1482">
            <v>484300</v>
          </cell>
          <cell r="H1482" t="str">
            <v>;;=SUM(F23:G23);</v>
          </cell>
          <cell r="I1482" t="str">
            <v>.</v>
          </cell>
        </row>
        <row r="1483">
          <cell r="A1483">
            <v>458</v>
          </cell>
          <cell r="B1483" t="str">
            <v>Malaysia</v>
          </cell>
          <cell r="C1483">
            <v>1997</v>
          </cell>
          <cell r="D1483">
            <v>90</v>
          </cell>
          <cell r="E1483">
            <v>1313</v>
          </cell>
          <cell r="F1483">
            <v>90</v>
          </cell>
          <cell r="G1483">
            <v>475200</v>
          </cell>
          <cell r="H1483" t="str">
            <v>;;=SUM(F24:G24);</v>
          </cell>
          <cell r="I1483" t="str">
            <v>.</v>
          </cell>
        </row>
        <row r="1484">
          <cell r="A1484">
            <v>458</v>
          </cell>
          <cell r="B1484" t="str">
            <v>Malaysia</v>
          </cell>
          <cell r="C1484">
            <v>1997</v>
          </cell>
          <cell r="D1484">
            <v>90</v>
          </cell>
          <cell r="E1484">
            <v>1414</v>
          </cell>
          <cell r="F1484">
            <v>90</v>
          </cell>
          <cell r="G1484">
            <v>464100</v>
          </cell>
          <cell r="H1484" t="str">
            <v>;;=SUM(F25:G25);</v>
          </cell>
          <cell r="I1484" t="str">
            <v>.</v>
          </cell>
        </row>
        <row r="1485">
          <cell r="A1485">
            <v>458</v>
          </cell>
          <cell r="B1485" t="str">
            <v>Malaysia</v>
          </cell>
          <cell r="C1485">
            <v>1997</v>
          </cell>
          <cell r="D1485">
            <v>90</v>
          </cell>
          <cell r="E1485">
            <v>1014</v>
          </cell>
          <cell r="F1485">
            <v>90</v>
          </cell>
          <cell r="G1485">
            <v>2407600</v>
          </cell>
          <cell r="H1485" t="str">
            <v>;;=SUM(F26:G26);</v>
          </cell>
          <cell r="I1485" t="str">
            <v>.</v>
          </cell>
        </row>
        <row r="1486">
          <cell r="A1486">
            <v>458</v>
          </cell>
          <cell r="B1486" t="str">
            <v>Malaysia</v>
          </cell>
          <cell r="C1486">
            <v>1997</v>
          </cell>
          <cell r="D1486">
            <v>90</v>
          </cell>
          <cell r="E1486">
            <v>1515</v>
          </cell>
          <cell r="F1486">
            <v>90</v>
          </cell>
          <cell r="G1486">
            <v>452900</v>
          </cell>
          <cell r="H1486" t="str">
            <v>;;=SUM(F27:G27);</v>
          </cell>
          <cell r="I1486" t="str">
            <v>.</v>
          </cell>
        </row>
        <row r="1487">
          <cell r="A1487">
            <v>458</v>
          </cell>
          <cell r="B1487" t="str">
            <v>Malaysia</v>
          </cell>
          <cell r="C1487">
            <v>1997</v>
          </cell>
          <cell r="D1487">
            <v>90</v>
          </cell>
          <cell r="E1487">
            <v>1616</v>
          </cell>
          <cell r="F1487">
            <v>90</v>
          </cell>
          <cell r="G1487">
            <v>441100</v>
          </cell>
          <cell r="H1487" t="str">
            <v>;;=SUM(F28:G28);</v>
          </cell>
          <cell r="I1487" t="str">
            <v>.</v>
          </cell>
        </row>
        <row r="1488">
          <cell r="A1488">
            <v>458</v>
          </cell>
          <cell r="B1488" t="str">
            <v>Malaysia</v>
          </cell>
          <cell r="C1488">
            <v>1997</v>
          </cell>
          <cell r="D1488">
            <v>90</v>
          </cell>
          <cell r="E1488">
            <v>1717</v>
          </cell>
          <cell r="F1488">
            <v>90</v>
          </cell>
          <cell r="G1488">
            <v>431600</v>
          </cell>
          <cell r="H1488" t="str">
            <v>;;=SUM(F29:G29);</v>
          </cell>
          <cell r="I1488" t="str">
            <v>.</v>
          </cell>
        </row>
        <row r="1489">
          <cell r="A1489">
            <v>458</v>
          </cell>
          <cell r="B1489" t="str">
            <v>Malaysia</v>
          </cell>
          <cell r="C1489">
            <v>1997</v>
          </cell>
          <cell r="D1489">
            <v>90</v>
          </cell>
          <cell r="E1489">
            <v>1818</v>
          </cell>
          <cell r="F1489">
            <v>90</v>
          </cell>
          <cell r="G1489">
            <v>426100</v>
          </cell>
          <cell r="H1489" t="str">
            <v>;;=SUM(F30:G30);</v>
          </cell>
          <cell r="I1489" t="str">
            <v>.</v>
          </cell>
        </row>
        <row r="1490">
          <cell r="A1490">
            <v>458</v>
          </cell>
          <cell r="B1490" t="str">
            <v>Malaysia</v>
          </cell>
          <cell r="C1490">
            <v>1997</v>
          </cell>
          <cell r="D1490">
            <v>90</v>
          </cell>
          <cell r="E1490">
            <v>1919</v>
          </cell>
          <cell r="F1490">
            <v>90</v>
          </cell>
          <cell r="G1490">
            <v>423000</v>
          </cell>
          <cell r="H1490" t="str">
            <v>;;=SUM(F31:G31);</v>
          </cell>
          <cell r="I1490" t="str">
            <v>.</v>
          </cell>
        </row>
        <row r="1491">
          <cell r="A1491">
            <v>458</v>
          </cell>
          <cell r="B1491" t="str">
            <v>Malaysia</v>
          </cell>
          <cell r="C1491">
            <v>1997</v>
          </cell>
          <cell r="D1491">
            <v>90</v>
          </cell>
          <cell r="E1491">
            <v>1519</v>
          </cell>
          <cell r="F1491">
            <v>90</v>
          </cell>
          <cell r="G1491">
            <v>2174700</v>
          </cell>
          <cell r="H1491" t="str">
            <v>;;=SUM(F32:G32);</v>
          </cell>
          <cell r="I1491" t="str">
            <v>.</v>
          </cell>
        </row>
        <row r="1492">
          <cell r="A1492">
            <v>458</v>
          </cell>
          <cell r="B1492" t="str">
            <v>Malaysia</v>
          </cell>
          <cell r="C1492">
            <v>1997</v>
          </cell>
          <cell r="D1492">
            <v>90</v>
          </cell>
          <cell r="E1492">
            <v>2020</v>
          </cell>
          <cell r="F1492">
            <v>90</v>
          </cell>
          <cell r="G1492">
            <v>419400</v>
          </cell>
          <cell r="H1492" t="str">
            <v>;;=SUM(F33:G33);</v>
          </cell>
          <cell r="I1492" t="str">
            <v>.</v>
          </cell>
        </row>
        <row r="1493">
          <cell r="A1493">
            <v>458</v>
          </cell>
          <cell r="B1493" t="str">
            <v>Malaysia</v>
          </cell>
          <cell r="C1493">
            <v>1997</v>
          </cell>
          <cell r="D1493">
            <v>90</v>
          </cell>
          <cell r="E1493">
            <v>2121</v>
          </cell>
          <cell r="F1493">
            <v>90</v>
          </cell>
          <cell r="G1493">
            <v>416200</v>
          </cell>
          <cell r="H1493" t="str">
            <v>;;=SUM(F34:G34);</v>
          </cell>
          <cell r="I1493" t="str">
            <v>.</v>
          </cell>
        </row>
        <row r="1494">
          <cell r="A1494">
            <v>458</v>
          </cell>
          <cell r="B1494" t="str">
            <v>Malaysia</v>
          </cell>
          <cell r="C1494">
            <v>1997</v>
          </cell>
          <cell r="D1494">
            <v>90</v>
          </cell>
          <cell r="E1494">
            <v>2222</v>
          </cell>
          <cell r="F1494">
            <v>90</v>
          </cell>
          <cell r="G1494">
            <v>411200</v>
          </cell>
          <cell r="H1494" t="str">
            <v>;;=SUM(F35:G35);</v>
          </cell>
          <cell r="I1494" t="str">
            <v>.</v>
          </cell>
        </row>
        <row r="1495">
          <cell r="A1495">
            <v>458</v>
          </cell>
          <cell r="B1495" t="str">
            <v>Malaysia</v>
          </cell>
          <cell r="C1495">
            <v>1997</v>
          </cell>
          <cell r="D1495">
            <v>90</v>
          </cell>
          <cell r="E1495">
            <v>2323</v>
          </cell>
          <cell r="F1495">
            <v>90</v>
          </cell>
          <cell r="G1495">
            <v>403500</v>
          </cell>
          <cell r="H1495" t="str">
            <v>;;=SUM(F36:G36);</v>
          </cell>
          <cell r="I1495" t="str">
            <v>.</v>
          </cell>
        </row>
        <row r="1496">
          <cell r="A1496">
            <v>458</v>
          </cell>
          <cell r="B1496" t="str">
            <v>Malaysia</v>
          </cell>
          <cell r="C1496">
            <v>1997</v>
          </cell>
          <cell r="D1496">
            <v>90</v>
          </cell>
          <cell r="E1496">
            <v>2424</v>
          </cell>
          <cell r="F1496">
            <v>90</v>
          </cell>
          <cell r="G1496">
            <v>394000</v>
          </cell>
          <cell r="H1496" t="str">
            <v>;;=SUM(F37:G37);</v>
          </cell>
          <cell r="I1496" t="str">
            <v>.</v>
          </cell>
        </row>
        <row r="1497">
          <cell r="A1497">
            <v>458</v>
          </cell>
          <cell r="B1497" t="str">
            <v>Malaysia</v>
          </cell>
          <cell r="C1497">
            <v>1997</v>
          </cell>
          <cell r="D1497">
            <v>90</v>
          </cell>
          <cell r="E1497">
            <v>2024</v>
          </cell>
          <cell r="F1497">
            <v>90</v>
          </cell>
          <cell r="G1497">
            <v>2044300</v>
          </cell>
          <cell r="H1497" t="str">
            <v>;;=SUM(F38:G38);</v>
          </cell>
          <cell r="I1497" t="str">
            <v>.</v>
          </cell>
        </row>
        <row r="1498">
          <cell r="A1498">
            <v>458</v>
          </cell>
          <cell r="B1498" t="str">
            <v>Malaysia</v>
          </cell>
          <cell r="C1498">
            <v>1997</v>
          </cell>
          <cell r="D1498">
            <v>90</v>
          </cell>
          <cell r="E1498">
            <v>2525</v>
          </cell>
          <cell r="F1498">
            <v>90</v>
          </cell>
          <cell r="G1498">
            <v>385000</v>
          </cell>
          <cell r="H1498" t="str">
            <v>;;=SUM(F39:G39);</v>
          </cell>
          <cell r="I1498" t="str">
            <v>.</v>
          </cell>
        </row>
        <row r="1499">
          <cell r="A1499">
            <v>458</v>
          </cell>
          <cell r="B1499" t="str">
            <v>Malaysia</v>
          </cell>
          <cell r="C1499">
            <v>1997</v>
          </cell>
          <cell r="D1499">
            <v>90</v>
          </cell>
          <cell r="E1499">
            <v>2626</v>
          </cell>
          <cell r="F1499">
            <v>90</v>
          </cell>
          <cell r="G1499">
            <v>375800</v>
          </cell>
          <cell r="H1499" t="str">
            <v>;;=SUM(F40:G40);</v>
          </cell>
          <cell r="I1499" t="str">
            <v>.</v>
          </cell>
        </row>
        <row r="1500">
          <cell r="A1500">
            <v>458</v>
          </cell>
          <cell r="B1500" t="str">
            <v>Malaysia</v>
          </cell>
          <cell r="C1500">
            <v>1997</v>
          </cell>
          <cell r="D1500">
            <v>90</v>
          </cell>
          <cell r="E1500">
            <v>2727</v>
          </cell>
          <cell r="F1500">
            <v>90</v>
          </cell>
          <cell r="G1500">
            <v>367900</v>
          </cell>
          <cell r="H1500" t="str">
            <v>;;=SUM(F41:G41);</v>
          </cell>
          <cell r="I1500" t="str">
            <v>.</v>
          </cell>
        </row>
        <row r="1501">
          <cell r="A1501">
            <v>458</v>
          </cell>
          <cell r="B1501" t="str">
            <v>Malaysia</v>
          </cell>
          <cell r="C1501">
            <v>1997</v>
          </cell>
          <cell r="D1501">
            <v>90</v>
          </cell>
          <cell r="E1501">
            <v>2828</v>
          </cell>
          <cell r="F1501">
            <v>90</v>
          </cell>
          <cell r="G1501">
            <v>362300</v>
          </cell>
          <cell r="H1501" t="str">
            <v>;;=SUM(F42:G42);</v>
          </cell>
          <cell r="I1501" t="str">
            <v>.</v>
          </cell>
        </row>
        <row r="1502">
          <cell r="A1502">
            <v>458</v>
          </cell>
          <cell r="B1502" t="str">
            <v>Malaysia</v>
          </cell>
          <cell r="C1502">
            <v>1997</v>
          </cell>
          <cell r="D1502">
            <v>90</v>
          </cell>
          <cell r="E1502">
            <v>2929</v>
          </cell>
          <cell r="F1502">
            <v>90</v>
          </cell>
          <cell r="G1502">
            <v>357900</v>
          </cell>
          <cell r="H1502" t="str">
            <v>;;=SUM(F43:G43);</v>
          </cell>
          <cell r="I1502" t="str">
            <v>.</v>
          </cell>
        </row>
        <row r="1503">
          <cell r="A1503">
            <v>458</v>
          </cell>
          <cell r="B1503" t="str">
            <v>Malaysia</v>
          </cell>
          <cell r="C1503">
            <v>1997</v>
          </cell>
          <cell r="D1503">
            <v>90</v>
          </cell>
          <cell r="E1503">
            <v>2529</v>
          </cell>
          <cell r="F1503">
            <v>90</v>
          </cell>
          <cell r="G1503">
            <v>1848900</v>
          </cell>
          <cell r="H1503" t="str">
            <v>;;=SUM(F44:G44);</v>
          </cell>
          <cell r="I1503" t="str">
            <v>.</v>
          </cell>
        </row>
        <row r="1504">
          <cell r="A1504">
            <v>458</v>
          </cell>
          <cell r="B1504" t="str">
            <v>Malaysia</v>
          </cell>
          <cell r="C1504">
            <v>1997</v>
          </cell>
          <cell r="D1504">
            <v>90</v>
          </cell>
          <cell r="E1504">
            <v>3034</v>
          </cell>
          <cell r="F1504">
            <v>90</v>
          </cell>
          <cell r="G1504">
            <v>1709000</v>
          </cell>
          <cell r="H1504" t="str">
            <v>;;=SUM(F45:G45);</v>
          </cell>
          <cell r="I1504" t="str">
            <v>.</v>
          </cell>
        </row>
        <row r="1505">
          <cell r="A1505">
            <v>458</v>
          </cell>
          <cell r="B1505" t="str">
            <v>Malaysia</v>
          </cell>
          <cell r="C1505">
            <v>1997</v>
          </cell>
          <cell r="D1505">
            <v>90</v>
          </cell>
          <cell r="E1505">
            <v>3539</v>
          </cell>
          <cell r="F1505">
            <v>90</v>
          </cell>
          <cell r="G1505">
            <v>1528000</v>
          </cell>
          <cell r="H1505" t="str">
            <v>;;=SUM(F46:G46);</v>
          </cell>
          <cell r="I1505" t="str">
            <v>.</v>
          </cell>
        </row>
        <row r="1506">
          <cell r="A1506">
            <v>458</v>
          </cell>
          <cell r="B1506" t="str">
            <v>Malaysia</v>
          </cell>
          <cell r="C1506">
            <v>1997</v>
          </cell>
          <cell r="D1506">
            <v>90</v>
          </cell>
          <cell r="E1506">
            <v>4099</v>
          </cell>
          <cell r="F1506">
            <v>90</v>
          </cell>
          <cell r="G1506">
            <v>4885500</v>
          </cell>
          <cell r="H1506" t="str">
            <v>;;=SUM(F47:G47);</v>
          </cell>
          <cell r="I1506" t="str">
            <v>.</v>
          </cell>
        </row>
        <row r="1507">
          <cell r="A1507">
            <v>458</v>
          </cell>
          <cell r="B1507" t="str">
            <v>Malaysia</v>
          </cell>
          <cell r="C1507">
            <v>1997</v>
          </cell>
          <cell r="D1507">
            <v>90</v>
          </cell>
          <cell r="E1507">
            <v>990000</v>
          </cell>
          <cell r="F1507">
            <v>90</v>
          </cell>
          <cell r="G1507">
            <v>0</v>
          </cell>
          <cell r="H1507" t="str">
            <v>n;</v>
          </cell>
          <cell r="I1507" t="str">
            <v>n</v>
          </cell>
        </row>
        <row r="1508">
          <cell r="A1508">
            <v>600</v>
          </cell>
          <cell r="B1508" t="str">
            <v>Paraguay</v>
          </cell>
          <cell r="C1508">
            <v>1997</v>
          </cell>
          <cell r="D1508">
            <v>90</v>
          </cell>
          <cell r="E1508">
            <v>900000</v>
          </cell>
          <cell r="F1508">
            <v>90</v>
          </cell>
          <cell r="G1508">
            <v>5085328</v>
          </cell>
          <cell r="H1508" t="str">
            <v>;;=SUM(F11:G11);</v>
          </cell>
          <cell r="I1508" t="str">
            <v>.</v>
          </cell>
        </row>
        <row r="1509">
          <cell r="A1509">
            <v>600</v>
          </cell>
          <cell r="B1509" t="str">
            <v>Paraguay</v>
          </cell>
          <cell r="C1509">
            <v>1997</v>
          </cell>
          <cell r="D1509">
            <v>90</v>
          </cell>
          <cell r="E1509">
            <v>300</v>
          </cell>
          <cell r="F1509">
            <v>90</v>
          </cell>
          <cell r="G1509">
            <v>456892</v>
          </cell>
          <cell r="H1509" t="str">
            <v>;;=SUM(F12:G12);</v>
          </cell>
          <cell r="I1509" t="str">
            <v>.</v>
          </cell>
        </row>
        <row r="1510">
          <cell r="A1510">
            <v>600</v>
          </cell>
          <cell r="B1510" t="str">
            <v>Paraguay</v>
          </cell>
          <cell r="C1510">
            <v>1997</v>
          </cell>
          <cell r="D1510">
            <v>90</v>
          </cell>
          <cell r="E1510">
            <v>303</v>
          </cell>
          <cell r="F1510">
            <v>90</v>
          </cell>
          <cell r="G1510">
            <v>147082</v>
          </cell>
          <cell r="H1510" t="str">
            <v>;;=SUM(F13:G13);</v>
          </cell>
          <cell r="I1510" t="str">
            <v>.</v>
          </cell>
        </row>
        <row r="1511">
          <cell r="A1511">
            <v>600</v>
          </cell>
          <cell r="B1511" t="str">
            <v>Paraguay</v>
          </cell>
          <cell r="C1511">
            <v>1997</v>
          </cell>
          <cell r="D1511">
            <v>90</v>
          </cell>
          <cell r="E1511">
            <v>404</v>
          </cell>
          <cell r="F1511">
            <v>90</v>
          </cell>
          <cell r="G1511">
            <v>144739</v>
          </cell>
          <cell r="H1511" t="str">
            <v>;;=SUM(F14:G14);</v>
          </cell>
          <cell r="I1511" t="str">
            <v>.</v>
          </cell>
        </row>
        <row r="1512">
          <cell r="A1512">
            <v>600</v>
          </cell>
          <cell r="B1512" t="str">
            <v>Paraguay</v>
          </cell>
          <cell r="C1512">
            <v>1997</v>
          </cell>
          <cell r="D1512">
            <v>90</v>
          </cell>
          <cell r="E1512">
            <v>505</v>
          </cell>
          <cell r="F1512">
            <v>90</v>
          </cell>
          <cell r="G1512">
            <v>143110</v>
          </cell>
          <cell r="H1512" t="str">
            <v>;;=SUM(F15:G15);</v>
          </cell>
          <cell r="I1512" t="str">
            <v>.</v>
          </cell>
        </row>
        <row r="1513">
          <cell r="A1513">
            <v>600</v>
          </cell>
          <cell r="B1513" t="str">
            <v>Paraguay</v>
          </cell>
          <cell r="C1513">
            <v>1997</v>
          </cell>
          <cell r="D1513">
            <v>90</v>
          </cell>
          <cell r="E1513">
            <v>606</v>
          </cell>
          <cell r="F1513">
            <v>90</v>
          </cell>
          <cell r="G1513">
            <v>140976</v>
          </cell>
          <cell r="H1513" t="str">
            <v>;;=SUM(F16:G16);</v>
          </cell>
          <cell r="I1513" t="str">
            <v>.</v>
          </cell>
        </row>
        <row r="1514">
          <cell r="A1514">
            <v>600</v>
          </cell>
          <cell r="B1514" t="str">
            <v>Paraguay</v>
          </cell>
          <cell r="C1514">
            <v>1997</v>
          </cell>
          <cell r="D1514">
            <v>90</v>
          </cell>
          <cell r="E1514">
            <v>707</v>
          </cell>
          <cell r="F1514">
            <v>90</v>
          </cell>
          <cell r="G1514">
            <v>138797</v>
          </cell>
          <cell r="H1514" t="str">
            <v>;;=SUM(F17:G17);</v>
          </cell>
          <cell r="I1514" t="str">
            <v>.</v>
          </cell>
        </row>
        <row r="1515">
          <cell r="A1515">
            <v>600</v>
          </cell>
          <cell r="B1515" t="str">
            <v>Paraguay</v>
          </cell>
          <cell r="C1515">
            <v>1997</v>
          </cell>
          <cell r="D1515">
            <v>90</v>
          </cell>
          <cell r="E1515">
            <v>808</v>
          </cell>
          <cell r="F1515">
            <v>90</v>
          </cell>
          <cell r="G1515">
            <v>136539</v>
          </cell>
          <cell r="H1515" t="str">
            <v>;;=SUM(F18:G18);</v>
          </cell>
          <cell r="I1515" t="str">
            <v>.</v>
          </cell>
        </row>
        <row r="1516">
          <cell r="A1516">
            <v>600</v>
          </cell>
          <cell r="B1516" t="str">
            <v>Paraguay</v>
          </cell>
          <cell r="C1516">
            <v>1997</v>
          </cell>
          <cell r="D1516">
            <v>90</v>
          </cell>
          <cell r="E1516">
            <v>909</v>
          </cell>
          <cell r="F1516">
            <v>90</v>
          </cell>
          <cell r="G1516">
            <v>134159</v>
          </cell>
          <cell r="H1516" t="str">
            <v>;;=SUM(F19:G19);</v>
          </cell>
          <cell r="I1516" t="str">
            <v>.</v>
          </cell>
        </row>
        <row r="1517">
          <cell r="A1517">
            <v>600</v>
          </cell>
          <cell r="B1517" t="str">
            <v>Paraguay</v>
          </cell>
          <cell r="C1517">
            <v>1997</v>
          </cell>
          <cell r="D1517">
            <v>90</v>
          </cell>
          <cell r="E1517">
            <v>509</v>
          </cell>
          <cell r="F1517">
            <v>90</v>
          </cell>
          <cell r="G1517">
            <v>693581</v>
          </cell>
          <cell r="H1517" t="str">
            <v>;;=SUM(F20:G20);</v>
          </cell>
          <cell r="I1517" t="str">
            <v>.</v>
          </cell>
        </row>
        <row r="1518">
          <cell r="A1518">
            <v>600</v>
          </cell>
          <cell r="B1518" t="str">
            <v>Paraguay</v>
          </cell>
          <cell r="C1518">
            <v>1997</v>
          </cell>
          <cell r="D1518">
            <v>90</v>
          </cell>
          <cell r="E1518">
            <v>1010</v>
          </cell>
          <cell r="F1518">
            <v>90</v>
          </cell>
          <cell r="G1518">
            <v>131741</v>
          </cell>
          <cell r="H1518" t="str">
            <v>;;=SUM(F21:G21);</v>
          </cell>
          <cell r="I1518" t="str">
            <v>.</v>
          </cell>
        </row>
        <row r="1519">
          <cell r="A1519">
            <v>600</v>
          </cell>
          <cell r="B1519" t="str">
            <v>Paraguay</v>
          </cell>
          <cell r="C1519">
            <v>1997</v>
          </cell>
          <cell r="D1519">
            <v>90</v>
          </cell>
          <cell r="E1519">
            <v>1111</v>
          </cell>
          <cell r="F1519">
            <v>90</v>
          </cell>
          <cell r="G1519">
            <v>129359</v>
          </cell>
          <cell r="H1519" t="str">
            <v>;;=SUM(F22:G22);</v>
          </cell>
          <cell r="I1519" t="str">
            <v>.</v>
          </cell>
        </row>
        <row r="1520">
          <cell r="A1520">
            <v>600</v>
          </cell>
          <cell r="B1520" t="str">
            <v>Paraguay</v>
          </cell>
          <cell r="C1520">
            <v>1997</v>
          </cell>
          <cell r="D1520">
            <v>90</v>
          </cell>
          <cell r="E1520">
            <v>1212</v>
          </cell>
          <cell r="F1520">
            <v>90</v>
          </cell>
          <cell r="G1520">
            <v>126394</v>
          </cell>
          <cell r="H1520" t="str">
            <v>;;=SUM(F23:G23);</v>
          </cell>
          <cell r="I1520" t="str">
            <v>.</v>
          </cell>
        </row>
        <row r="1521">
          <cell r="A1521">
            <v>600</v>
          </cell>
          <cell r="B1521" t="str">
            <v>Paraguay</v>
          </cell>
          <cell r="C1521">
            <v>1997</v>
          </cell>
          <cell r="D1521">
            <v>90</v>
          </cell>
          <cell r="E1521">
            <v>1313</v>
          </cell>
          <cell r="F1521">
            <v>90</v>
          </cell>
          <cell r="G1521">
            <v>122572</v>
          </cell>
          <cell r="H1521" t="str">
            <v>;;=SUM(F24:G24);</v>
          </cell>
          <cell r="I1521" t="str">
            <v>.</v>
          </cell>
        </row>
        <row r="1522">
          <cell r="A1522">
            <v>600</v>
          </cell>
          <cell r="B1522" t="str">
            <v>Paraguay</v>
          </cell>
          <cell r="C1522">
            <v>1997</v>
          </cell>
          <cell r="D1522">
            <v>90</v>
          </cell>
          <cell r="E1522">
            <v>1414</v>
          </cell>
          <cell r="F1522">
            <v>90</v>
          </cell>
          <cell r="G1522">
            <v>118207</v>
          </cell>
          <cell r="H1522" t="str">
            <v>;;=SUM(F25:G25);</v>
          </cell>
          <cell r="I1522" t="str">
            <v>.</v>
          </cell>
        </row>
        <row r="1523">
          <cell r="A1523">
            <v>600</v>
          </cell>
          <cell r="B1523" t="str">
            <v>Paraguay</v>
          </cell>
          <cell r="C1523">
            <v>1997</v>
          </cell>
          <cell r="D1523">
            <v>90</v>
          </cell>
          <cell r="E1523">
            <v>1014</v>
          </cell>
          <cell r="F1523">
            <v>90</v>
          </cell>
          <cell r="G1523">
            <v>628273</v>
          </cell>
          <cell r="H1523" t="str">
            <v>;;=SUM(F26:G26);</v>
          </cell>
          <cell r="I1523" t="str">
            <v>.</v>
          </cell>
        </row>
        <row r="1524">
          <cell r="A1524">
            <v>600</v>
          </cell>
          <cell r="B1524" t="str">
            <v>Paraguay</v>
          </cell>
          <cell r="C1524">
            <v>1997</v>
          </cell>
          <cell r="D1524">
            <v>90</v>
          </cell>
          <cell r="E1524">
            <v>1515</v>
          </cell>
          <cell r="F1524">
            <v>90</v>
          </cell>
          <cell r="G1524">
            <v>113915</v>
          </cell>
          <cell r="H1524" t="str">
            <v>;;=SUM(F27:G27);</v>
          </cell>
          <cell r="I1524" t="str">
            <v>.</v>
          </cell>
        </row>
        <row r="1525">
          <cell r="A1525">
            <v>600</v>
          </cell>
          <cell r="B1525" t="str">
            <v>Paraguay</v>
          </cell>
          <cell r="C1525">
            <v>1997</v>
          </cell>
          <cell r="D1525">
            <v>90</v>
          </cell>
          <cell r="E1525">
            <v>1616</v>
          </cell>
          <cell r="F1525">
            <v>90</v>
          </cell>
          <cell r="G1525">
            <v>109612</v>
          </cell>
          <cell r="H1525" t="str">
            <v>;;=SUM(F28:G28);</v>
          </cell>
          <cell r="I1525" t="str">
            <v>.</v>
          </cell>
        </row>
        <row r="1526">
          <cell r="A1526">
            <v>600</v>
          </cell>
          <cell r="B1526" t="str">
            <v>Paraguay</v>
          </cell>
          <cell r="C1526">
            <v>1997</v>
          </cell>
          <cell r="D1526">
            <v>90</v>
          </cell>
          <cell r="E1526">
            <v>1717</v>
          </cell>
          <cell r="F1526">
            <v>90</v>
          </cell>
          <cell r="G1526">
            <v>105493</v>
          </cell>
          <cell r="H1526" t="str">
            <v>;;=SUM(F29:G29);</v>
          </cell>
          <cell r="I1526" t="str">
            <v>.</v>
          </cell>
        </row>
        <row r="1527">
          <cell r="A1527">
            <v>600</v>
          </cell>
          <cell r="B1527" t="str">
            <v>Paraguay</v>
          </cell>
          <cell r="C1527">
            <v>1997</v>
          </cell>
          <cell r="D1527">
            <v>90</v>
          </cell>
          <cell r="E1527">
            <v>1818</v>
          </cell>
          <cell r="F1527">
            <v>90</v>
          </cell>
          <cell r="G1527">
            <v>101727</v>
          </cell>
          <cell r="H1527" t="str">
            <v>;;=SUM(F30:G30);</v>
          </cell>
          <cell r="I1527" t="str">
            <v>.</v>
          </cell>
        </row>
        <row r="1528">
          <cell r="A1528">
            <v>600</v>
          </cell>
          <cell r="B1528" t="str">
            <v>Paraguay</v>
          </cell>
          <cell r="C1528">
            <v>1997</v>
          </cell>
          <cell r="D1528">
            <v>90</v>
          </cell>
          <cell r="E1528">
            <v>1919</v>
          </cell>
          <cell r="F1528">
            <v>90</v>
          </cell>
          <cell r="G1528">
            <v>98256</v>
          </cell>
          <cell r="H1528" t="str">
            <v>;;=SUM(F31:G31);</v>
          </cell>
          <cell r="I1528" t="str">
            <v>.</v>
          </cell>
        </row>
        <row r="1529">
          <cell r="A1529">
            <v>600</v>
          </cell>
          <cell r="B1529" t="str">
            <v>Paraguay</v>
          </cell>
          <cell r="C1529">
            <v>1997</v>
          </cell>
          <cell r="D1529">
            <v>90</v>
          </cell>
          <cell r="E1529">
            <v>1519</v>
          </cell>
          <cell r="F1529">
            <v>90</v>
          </cell>
          <cell r="G1529">
            <v>529003</v>
          </cell>
          <cell r="H1529" t="str">
            <v>;;=SUM(F32:G32);</v>
          </cell>
          <cell r="I1529" t="str">
            <v>.</v>
          </cell>
        </row>
        <row r="1530">
          <cell r="A1530">
            <v>600</v>
          </cell>
          <cell r="B1530" t="str">
            <v>Paraguay</v>
          </cell>
          <cell r="C1530">
            <v>1997</v>
          </cell>
          <cell r="D1530">
            <v>90</v>
          </cell>
          <cell r="E1530">
            <v>2020</v>
          </cell>
          <cell r="F1530">
            <v>90</v>
          </cell>
          <cell r="G1530">
            <v>94800</v>
          </cell>
          <cell r="H1530" t="str">
            <v>;;=SUM(F33:G33);</v>
          </cell>
          <cell r="I1530" t="str">
            <v>.</v>
          </cell>
        </row>
        <row r="1531">
          <cell r="A1531">
            <v>600</v>
          </cell>
          <cell r="B1531" t="str">
            <v>Paraguay</v>
          </cell>
          <cell r="C1531">
            <v>1997</v>
          </cell>
          <cell r="D1531">
            <v>90</v>
          </cell>
          <cell r="E1531">
            <v>2121</v>
          </cell>
          <cell r="F1531">
            <v>90</v>
          </cell>
          <cell r="G1531">
            <v>91356</v>
          </cell>
          <cell r="H1531" t="str">
            <v>;;=SUM(F34:G34);</v>
          </cell>
          <cell r="I1531" t="str">
            <v>.</v>
          </cell>
        </row>
        <row r="1532">
          <cell r="A1532">
            <v>600</v>
          </cell>
          <cell r="B1532" t="str">
            <v>Paraguay</v>
          </cell>
          <cell r="C1532">
            <v>1997</v>
          </cell>
          <cell r="D1532">
            <v>90</v>
          </cell>
          <cell r="E1532">
            <v>2222</v>
          </cell>
          <cell r="F1532">
            <v>90</v>
          </cell>
          <cell r="G1532">
            <v>88407</v>
          </cell>
          <cell r="H1532" t="str">
            <v>;;=SUM(F35:G35);</v>
          </cell>
          <cell r="I1532" t="str">
            <v>.</v>
          </cell>
        </row>
        <row r="1533">
          <cell r="A1533">
            <v>600</v>
          </cell>
          <cell r="B1533" t="str">
            <v>Paraguay</v>
          </cell>
          <cell r="C1533">
            <v>1997</v>
          </cell>
          <cell r="D1533">
            <v>90</v>
          </cell>
          <cell r="E1533">
            <v>2323</v>
          </cell>
          <cell r="F1533">
            <v>90</v>
          </cell>
          <cell r="G1533">
            <v>86148</v>
          </cell>
          <cell r="H1533" t="str">
            <v>;;=SUM(F36:G36);</v>
          </cell>
          <cell r="I1533" t="str">
            <v>.</v>
          </cell>
        </row>
        <row r="1534">
          <cell r="A1534">
            <v>600</v>
          </cell>
          <cell r="B1534" t="str">
            <v>Paraguay</v>
          </cell>
          <cell r="C1534">
            <v>1997</v>
          </cell>
          <cell r="D1534">
            <v>90</v>
          </cell>
          <cell r="E1534">
            <v>2424</v>
          </cell>
          <cell r="F1534">
            <v>90</v>
          </cell>
          <cell r="G1534">
            <v>84370</v>
          </cell>
          <cell r="H1534" t="str">
            <v>;;=SUM(F37:G37);</v>
          </cell>
          <cell r="I1534" t="str">
            <v>.</v>
          </cell>
        </row>
        <row r="1535">
          <cell r="A1535">
            <v>600</v>
          </cell>
          <cell r="B1535" t="str">
            <v>Paraguay</v>
          </cell>
          <cell r="C1535">
            <v>1997</v>
          </cell>
          <cell r="D1535">
            <v>90</v>
          </cell>
          <cell r="E1535">
            <v>2024</v>
          </cell>
          <cell r="F1535">
            <v>90</v>
          </cell>
          <cell r="G1535">
            <v>445081</v>
          </cell>
          <cell r="H1535" t="str">
            <v>;;=SUM(F38:G38);</v>
          </cell>
          <cell r="I1535" t="str">
            <v>.</v>
          </cell>
        </row>
        <row r="1536">
          <cell r="A1536">
            <v>600</v>
          </cell>
          <cell r="B1536" t="str">
            <v>Paraguay</v>
          </cell>
          <cell r="C1536">
            <v>1997</v>
          </cell>
          <cell r="D1536">
            <v>90</v>
          </cell>
          <cell r="E1536">
            <v>2525</v>
          </cell>
          <cell r="F1536">
            <v>90</v>
          </cell>
          <cell r="G1536">
            <v>82653</v>
          </cell>
          <cell r="H1536" t="str">
            <v>;;=SUM(F39:G39);</v>
          </cell>
          <cell r="I1536" t="str">
            <v>.</v>
          </cell>
        </row>
        <row r="1537">
          <cell r="A1537">
            <v>600</v>
          </cell>
          <cell r="B1537" t="str">
            <v>Paraguay</v>
          </cell>
          <cell r="C1537">
            <v>1997</v>
          </cell>
          <cell r="D1537">
            <v>90</v>
          </cell>
          <cell r="E1537">
            <v>2626</v>
          </cell>
          <cell r="F1537">
            <v>90</v>
          </cell>
          <cell r="G1537">
            <v>81067</v>
          </cell>
          <cell r="H1537" t="str">
            <v>;;=SUM(F40:G40);</v>
          </cell>
          <cell r="I1537" t="str">
            <v>.</v>
          </cell>
        </row>
        <row r="1538">
          <cell r="A1538">
            <v>600</v>
          </cell>
          <cell r="B1538" t="str">
            <v>Paraguay</v>
          </cell>
          <cell r="C1538">
            <v>1997</v>
          </cell>
          <cell r="D1538">
            <v>90</v>
          </cell>
          <cell r="E1538">
            <v>2727</v>
          </cell>
          <cell r="F1538">
            <v>90</v>
          </cell>
          <cell r="G1538">
            <v>79468</v>
          </cell>
          <cell r="H1538" t="str">
            <v>;;=SUM(F41:G41);</v>
          </cell>
          <cell r="I1538" t="str">
            <v>.</v>
          </cell>
        </row>
        <row r="1539">
          <cell r="A1539">
            <v>600</v>
          </cell>
          <cell r="B1539" t="str">
            <v>Paraguay</v>
          </cell>
          <cell r="C1539">
            <v>1997</v>
          </cell>
          <cell r="D1539">
            <v>90</v>
          </cell>
          <cell r="E1539">
            <v>2828</v>
          </cell>
          <cell r="F1539">
            <v>90</v>
          </cell>
          <cell r="G1539">
            <v>77738</v>
          </cell>
          <cell r="H1539" t="str">
            <v>;;=SUM(F42:G42);</v>
          </cell>
          <cell r="I1539" t="str">
            <v>.</v>
          </cell>
        </row>
        <row r="1540">
          <cell r="A1540">
            <v>600</v>
          </cell>
          <cell r="B1540" t="str">
            <v>Paraguay</v>
          </cell>
          <cell r="C1540">
            <v>1997</v>
          </cell>
          <cell r="D1540">
            <v>90</v>
          </cell>
          <cell r="E1540">
            <v>2929</v>
          </cell>
          <cell r="F1540">
            <v>90</v>
          </cell>
          <cell r="G1540">
            <v>75933</v>
          </cell>
          <cell r="H1540" t="str">
            <v>;;=SUM(F43:G43);</v>
          </cell>
          <cell r="I1540" t="str">
            <v>.</v>
          </cell>
        </row>
        <row r="1541">
          <cell r="A1541">
            <v>600</v>
          </cell>
          <cell r="B1541" t="str">
            <v>Paraguay</v>
          </cell>
          <cell r="C1541">
            <v>1997</v>
          </cell>
          <cell r="D1541">
            <v>90</v>
          </cell>
          <cell r="E1541">
            <v>2529</v>
          </cell>
          <cell r="F1541">
            <v>90</v>
          </cell>
          <cell r="G1541">
            <v>396859</v>
          </cell>
          <cell r="H1541" t="str">
            <v>;;=SUM(F44:G44);</v>
          </cell>
          <cell r="I1541" t="str">
            <v>.</v>
          </cell>
        </row>
        <row r="1542">
          <cell r="A1542">
            <v>600</v>
          </cell>
          <cell r="B1542" t="str">
            <v>Paraguay</v>
          </cell>
          <cell r="C1542">
            <v>1997</v>
          </cell>
          <cell r="D1542">
            <v>90</v>
          </cell>
          <cell r="E1542">
            <v>3034</v>
          </cell>
          <cell r="F1542">
            <v>90</v>
          </cell>
          <cell r="G1542">
            <v>354186</v>
          </cell>
          <cell r="H1542" t="str">
            <v>;;=SUM(F45:G45);</v>
          </cell>
          <cell r="I1542" t="str">
            <v>.</v>
          </cell>
        </row>
        <row r="1543">
          <cell r="A1543">
            <v>600</v>
          </cell>
          <cell r="B1543" t="str">
            <v>Paraguay</v>
          </cell>
          <cell r="C1543">
            <v>1997</v>
          </cell>
          <cell r="D1543">
            <v>90</v>
          </cell>
          <cell r="E1543">
            <v>3539</v>
          </cell>
          <cell r="F1543">
            <v>90</v>
          </cell>
          <cell r="G1543">
            <v>308855</v>
          </cell>
          <cell r="H1543" t="str">
            <v>;;=SUM(F46:G46);</v>
          </cell>
          <cell r="I1543" t="str">
            <v>.</v>
          </cell>
        </row>
        <row r="1544">
          <cell r="A1544">
            <v>600</v>
          </cell>
          <cell r="B1544" t="str">
            <v>Paraguay</v>
          </cell>
          <cell r="C1544">
            <v>1997</v>
          </cell>
          <cell r="D1544">
            <v>90</v>
          </cell>
          <cell r="E1544">
            <v>4099</v>
          </cell>
          <cell r="F1544">
            <v>90</v>
          </cell>
          <cell r="G1544">
            <v>980777</v>
          </cell>
          <cell r="H1544" t="str">
            <v>;;=SUM(F47:G47);</v>
          </cell>
          <cell r="I1544" t="str">
            <v>.</v>
          </cell>
        </row>
        <row r="1545">
          <cell r="A1545">
            <v>600</v>
          </cell>
          <cell r="B1545" t="str">
            <v>Paraguay</v>
          </cell>
          <cell r="C1545">
            <v>1997</v>
          </cell>
          <cell r="D1545">
            <v>90</v>
          </cell>
          <cell r="E1545">
            <v>990000</v>
          </cell>
          <cell r="F1545">
            <v>90</v>
          </cell>
          <cell r="G1545">
            <v>0</v>
          </cell>
          <cell r="H1545" t="str">
            <v>n;</v>
          </cell>
          <cell r="I1545" t="str">
            <v>n</v>
          </cell>
        </row>
        <row r="1546">
          <cell r="A1546">
            <v>608</v>
          </cell>
          <cell r="B1546" t="str">
            <v>Philippines</v>
          </cell>
          <cell r="C1546">
            <v>1997</v>
          </cell>
          <cell r="D1546">
            <v>90</v>
          </cell>
          <cell r="E1546">
            <v>900000</v>
          </cell>
          <cell r="F1546">
            <v>90</v>
          </cell>
          <cell r="G1546">
            <v>69951808</v>
          </cell>
          <cell r="H1546" t="str">
            <v>;;=SUM(F11:G11);</v>
          </cell>
          <cell r="I1546" t="str">
            <v>.</v>
          </cell>
        </row>
        <row r="1547">
          <cell r="A1547">
            <v>608</v>
          </cell>
          <cell r="B1547" t="str">
            <v>Philippines</v>
          </cell>
          <cell r="C1547">
            <v>1997</v>
          </cell>
          <cell r="D1547">
            <v>90</v>
          </cell>
          <cell r="E1547">
            <v>300</v>
          </cell>
          <cell r="F1547">
            <v>90</v>
          </cell>
          <cell r="G1547">
            <v>5769677</v>
          </cell>
          <cell r="H1547" t="str">
            <v>;;=SUM(F12:G12);</v>
          </cell>
          <cell r="I1547" t="str">
            <v>.</v>
          </cell>
        </row>
        <row r="1548">
          <cell r="A1548">
            <v>608</v>
          </cell>
          <cell r="B1548" t="str">
            <v>Philippines</v>
          </cell>
          <cell r="C1548">
            <v>1997</v>
          </cell>
          <cell r="D1548">
            <v>90</v>
          </cell>
          <cell r="E1548">
            <v>303</v>
          </cell>
          <cell r="F1548">
            <v>90</v>
          </cell>
          <cell r="G1548">
            <v>1875403</v>
          </cell>
          <cell r="H1548" t="str">
            <v>;;=SUM(F13:G13);</v>
          </cell>
          <cell r="I1548" t="str">
            <v>.</v>
          </cell>
        </row>
        <row r="1549">
          <cell r="A1549">
            <v>608</v>
          </cell>
          <cell r="B1549" t="str">
            <v>Philippines</v>
          </cell>
          <cell r="C1549">
            <v>1997</v>
          </cell>
          <cell r="D1549">
            <v>90</v>
          </cell>
          <cell r="E1549">
            <v>404</v>
          </cell>
          <cell r="F1549">
            <v>90</v>
          </cell>
          <cell r="G1549">
            <v>1849834</v>
          </cell>
          <cell r="H1549" t="str">
            <v>;;=SUM(F14:G14);</v>
          </cell>
          <cell r="I1549" t="str">
            <v>.</v>
          </cell>
        </row>
        <row r="1550">
          <cell r="A1550">
            <v>608</v>
          </cell>
          <cell r="B1550" t="str">
            <v>Philippines</v>
          </cell>
          <cell r="C1550">
            <v>1997</v>
          </cell>
          <cell r="D1550">
            <v>90</v>
          </cell>
          <cell r="E1550">
            <v>505</v>
          </cell>
          <cell r="F1550">
            <v>90</v>
          </cell>
          <cell r="G1550">
            <v>1823390</v>
          </cell>
          <cell r="H1550" t="str">
            <v>;;=SUM(F15:G15);</v>
          </cell>
          <cell r="I1550" t="str">
            <v>.</v>
          </cell>
        </row>
        <row r="1551">
          <cell r="A1551">
            <v>608</v>
          </cell>
          <cell r="B1551" t="str">
            <v>Philippines</v>
          </cell>
          <cell r="C1551">
            <v>1997</v>
          </cell>
          <cell r="D1551">
            <v>90</v>
          </cell>
          <cell r="E1551">
            <v>606</v>
          </cell>
          <cell r="F1551">
            <v>90</v>
          </cell>
          <cell r="G1551">
            <v>1796150</v>
          </cell>
          <cell r="H1551" t="str">
            <v>;;=SUM(F16:G16);</v>
          </cell>
          <cell r="I1551" t="str">
            <v>.</v>
          </cell>
        </row>
        <row r="1552">
          <cell r="A1552">
            <v>608</v>
          </cell>
          <cell r="B1552" t="str">
            <v>Philippines</v>
          </cell>
          <cell r="C1552">
            <v>1997</v>
          </cell>
          <cell r="D1552">
            <v>90</v>
          </cell>
          <cell r="E1552">
            <v>707</v>
          </cell>
          <cell r="F1552">
            <v>90</v>
          </cell>
          <cell r="G1552">
            <v>1768196</v>
          </cell>
          <cell r="H1552" t="str">
            <v>;;=SUM(F17:G17);</v>
          </cell>
          <cell r="I1552" t="str">
            <v>.</v>
          </cell>
        </row>
        <row r="1553">
          <cell r="A1553">
            <v>608</v>
          </cell>
          <cell r="B1553" t="str">
            <v>Philippines</v>
          </cell>
          <cell r="C1553">
            <v>1997</v>
          </cell>
          <cell r="D1553">
            <v>90</v>
          </cell>
          <cell r="E1553">
            <v>808</v>
          </cell>
          <cell r="F1553">
            <v>90</v>
          </cell>
          <cell r="G1553">
            <v>1739605</v>
          </cell>
          <cell r="H1553" t="str">
            <v>;;=SUM(F18:G18);</v>
          </cell>
          <cell r="I1553" t="str">
            <v>.</v>
          </cell>
        </row>
        <row r="1554">
          <cell r="A1554">
            <v>608</v>
          </cell>
          <cell r="B1554" t="str">
            <v>Philippines</v>
          </cell>
          <cell r="C1554">
            <v>1997</v>
          </cell>
          <cell r="D1554">
            <v>90</v>
          </cell>
          <cell r="E1554">
            <v>909</v>
          </cell>
          <cell r="F1554">
            <v>90</v>
          </cell>
          <cell r="G1554">
            <v>1710459</v>
          </cell>
          <cell r="H1554" t="str">
            <v>;;=SUM(F19:G19);</v>
          </cell>
          <cell r="I1554" t="str">
            <v>.</v>
          </cell>
        </row>
        <row r="1555">
          <cell r="A1555">
            <v>608</v>
          </cell>
          <cell r="B1555" t="str">
            <v>Philippines</v>
          </cell>
          <cell r="C1555">
            <v>1997</v>
          </cell>
          <cell r="D1555">
            <v>90</v>
          </cell>
          <cell r="E1555">
            <v>509</v>
          </cell>
          <cell r="F1555">
            <v>90</v>
          </cell>
          <cell r="G1555">
            <v>8837800</v>
          </cell>
          <cell r="H1555" t="str">
            <v>;;=SUM(F20:G20);</v>
          </cell>
          <cell r="I1555" t="str">
            <v>.</v>
          </cell>
        </row>
        <row r="1556">
          <cell r="A1556">
            <v>608</v>
          </cell>
          <cell r="B1556" t="str">
            <v>Philippines</v>
          </cell>
          <cell r="C1556">
            <v>1997</v>
          </cell>
          <cell r="D1556">
            <v>90</v>
          </cell>
          <cell r="E1556">
            <v>1010</v>
          </cell>
          <cell r="F1556">
            <v>90</v>
          </cell>
          <cell r="G1556">
            <v>1680775</v>
          </cell>
          <cell r="H1556" t="str">
            <v>;;=SUM(F21:G21);</v>
          </cell>
          <cell r="I1556" t="str">
            <v>.</v>
          </cell>
        </row>
        <row r="1557">
          <cell r="A1557">
            <v>608</v>
          </cell>
          <cell r="B1557" t="str">
            <v>Philippines</v>
          </cell>
          <cell r="C1557">
            <v>1997</v>
          </cell>
          <cell r="D1557">
            <v>90</v>
          </cell>
          <cell r="E1557">
            <v>1111</v>
          </cell>
          <cell r="F1557">
            <v>90</v>
          </cell>
          <cell r="G1557">
            <v>1650570</v>
          </cell>
          <cell r="H1557" t="str">
            <v>;;=SUM(F22:G22);</v>
          </cell>
          <cell r="I1557" t="str">
            <v>.</v>
          </cell>
        </row>
        <row r="1558">
          <cell r="A1558">
            <v>608</v>
          </cell>
          <cell r="B1558" t="str">
            <v>Philippines</v>
          </cell>
          <cell r="C1558">
            <v>1997</v>
          </cell>
          <cell r="D1558">
            <v>90</v>
          </cell>
          <cell r="E1558">
            <v>1212</v>
          </cell>
          <cell r="F1558">
            <v>90</v>
          </cell>
          <cell r="G1558">
            <v>1620234</v>
          </cell>
          <cell r="H1558" t="str">
            <v>;;=SUM(F23:G23);</v>
          </cell>
          <cell r="I1558" t="str">
            <v>.</v>
          </cell>
        </row>
        <row r="1559">
          <cell r="A1559">
            <v>608</v>
          </cell>
          <cell r="B1559" t="str">
            <v>Philippines</v>
          </cell>
          <cell r="C1559">
            <v>1997</v>
          </cell>
          <cell r="D1559">
            <v>90</v>
          </cell>
          <cell r="E1559">
            <v>1313</v>
          </cell>
          <cell r="F1559">
            <v>90</v>
          </cell>
          <cell r="G1559">
            <v>1589972</v>
          </cell>
          <cell r="H1559" t="str">
            <v>;;=SUM(F24:G24);</v>
          </cell>
          <cell r="I1559" t="str">
            <v>.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gure5.1"/>
      <sheetName val="Data5.1"/>
      <sheetName val="Figure5.2"/>
      <sheetName val="Sheet1"/>
      <sheetName val="Data5.3a"/>
      <sheetName val="Data5.3b"/>
      <sheetName val="Figure5.4"/>
      <sheetName val="Figure5.5new"/>
      <sheetName val="Figure5.5old"/>
      <sheetName val="Figure5.6"/>
      <sheetName val="Table5.7a"/>
      <sheetName val="Figure5.7b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2">
          <cell r="B2" t="str">
            <v>COUNTRY</v>
          </cell>
          <cell r="C2" t="str">
            <v>SEC1GIRP</v>
          </cell>
          <cell r="D2" t="str">
            <v>Girls regular readers</v>
          </cell>
          <cell r="E2" t="str">
            <v>Boys regular readers</v>
          </cell>
          <cell r="G2" t="str">
            <v>C2GIRPCT</v>
          </cell>
          <cell r="H2" t="str">
            <v>SEC2GIRP</v>
          </cell>
          <cell r="I2" t="str">
            <v>C3GIRPCT</v>
          </cell>
          <cell r="J2" t="str">
            <v>SEC3GIRP</v>
          </cell>
          <cell r="K2" t="str">
            <v>C4GIRPCT</v>
          </cell>
          <cell r="L2" t="str">
            <v>SEC4GIRP</v>
          </cell>
          <cell r="M2" t="str">
            <v>C5GIRPCT</v>
          </cell>
          <cell r="N2" t="str">
            <v>SEC5GIRP</v>
          </cell>
          <cell r="O2" t="str">
            <v>C1BOYPCT</v>
          </cell>
          <cell r="P2" t="str">
            <v>SEC1BOYP</v>
          </cell>
          <cell r="Q2" t="str">
            <v>C2BOYPCT</v>
          </cell>
          <cell r="R2" t="str">
            <v>SEC2BOYP</v>
          </cell>
          <cell r="S2" t="str">
            <v>C3BOYPCT</v>
          </cell>
          <cell r="T2" t="str">
            <v>SEC3BOYP</v>
          </cell>
          <cell r="U2" t="str">
            <v>C4BOYPCT</v>
          </cell>
          <cell r="V2" t="str">
            <v>SEC4BOYP</v>
          </cell>
          <cell r="W2" t="str">
            <v>C5BOYPCT</v>
          </cell>
          <cell r="X2" t="str">
            <v>SEC5BOYP</v>
          </cell>
        </row>
        <row r="3">
          <cell r="B3" t="str">
            <v>0036</v>
          </cell>
          <cell r="C3">
            <v>0.48099999999999998</v>
          </cell>
          <cell r="D3">
            <v>62.091999999999999</v>
          </cell>
          <cell r="E3">
            <v>62.125</v>
          </cell>
          <cell r="G3">
            <v>14.53</v>
          </cell>
          <cell r="H3">
            <v>0.92300000000000004</v>
          </cell>
          <cell r="I3">
            <v>20.71</v>
          </cell>
          <cell r="J3">
            <v>1.026</v>
          </cell>
          <cell r="K3">
            <v>36.270000000000003</v>
          </cell>
          <cell r="L3">
            <v>1.272</v>
          </cell>
          <cell r="M3">
            <v>24.55</v>
          </cell>
          <cell r="N3">
            <v>1.1679999999999999</v>
          </cell>
          <cell r="O3">
            <v>8.36</v>
          </cell>
          <cell r="P3">
            <v>0.79300000000000004</v>
          </cell>
          <cell r="Q3">
            <v>14.03</v>
          </cell>
          <cell r="R3">
            <v>0.84499999999999997</v>
          </cell>
          <cell r="S3">
            <v>16.86</v>
          </cell>
          <cell r="T3">
            <v>0.98</v>
          </cell>
          <cell r="U3">
            <v>33.43</v>
          </cell>
          <cell r="V3">
            <v>1.375</v>
          </cell>
          <cell r="W3">
            <v>27.32</v>
          </cell>
          <cell r="X3">
            <v>1.2</v>
          </cell>
        </row>
        <row r="4">
          <cell r="B4" t="str">
            <v>0040</v>
          </cell>
          <cell r="C4">
            <v>0.33300000000000002</v>
          </cell>
          <cell r="D4">
            <v>68.372</v>
          </cell>
          <cell r="E4">
            <v>70.251000000000005</v>
          </cell>
          <cell r="G4">
            <v>9.15</v>
          </cell>
          <cell r="H4">
            <v>0.96699999999999997</v>
          </cell>
          <cell r="I4">
            <v>20.29</v>
          </cell>
          <cell r="J4">
            <v>0.80400000000000005</v>
          </cell>
          <cell r="K4">
            <v>35.89</v>
          </cell>
          <cell r="L4">
            <v>0.80200000000000005</v>
          </cell>
          <cell r="M4">
            <v>31.68</v>
          </cell>
          <cell r="N4">
            <v>1.18</v>
          </cell>
          <cell r="O4">
            <v>4.59</v>
          </cell>
          <cell r="P4">
            <v>0.42899999999999999</v>
          </cell>
          <cell r="Q4">
            <v>8.0399999999999991</v>
          </cell>
          <cell r="R4">
            <v>0.69799999999999995</v>
          </cell>
          <cell r="S4">
            <v>18.02</v>
          </cell>
          <cell r="T4">
            <v>0.87</v>
          </cell>
          <cell r="U4">
            <v>32.450000000000003</v>
          </cell>
          <cell r="V4">
            <v>0.90100000000000002</v>
          </cell>
          <cell r="W4">
            <v>36.9</v>
          </cell>
          <cell r="X4">
            <v>1.236</v>
          </cell>
        </row>
        <row r="5">
          <cell r="B5" t="str">
            <v>0056</v>
          </cell>
          <cell r="C5">
            <v>0.68300000000000005</v>
          </cell>
          <cell r="D5">
            <v>62.745000000000005</v>
          </cell>
          <cell r="E5">
            <v>64.038000000000011</v>
          </cell>
          <cell r="G5">
            <v>9.84</v>
          </cell>
          <cell r="H5">
            <v>0.68200000000000005</v>
          </cell>
          <cell r="I5">
            <v>22.27</v>
          </cell>
          <cell r="J5">
            <v>0.93200000000000005</v>
          </cell>
          <cell r="K5">
            <v>33.06</v>
          </cell>
          <cell r="L5">
            <v>1.2050000000000001</v>
          </cell>
          <cell r="M5">
            <v>28.48</v>
          </cell>
          <cell r="N5">
            <v>0.95899999999999996</v>
          </cell>
          <cell r="O5">
            <v>9.8800000000000008</v>
          </cell>
          <cell r="P5">
            <v>0.75800000000000001</v>
          </cell>
          <cell r="Q5">
            <v>9.4600000000000009</v>
          </cell>
          <cell r="R5">
            <v>0.60099999999999998</v>
          </cell>
          <cell r="S5">
            <v>17.63</v>
          </cell>
          <cell r="T5">
            <v>0.89400000000000002</v>
          </cell>
          <cell r="U5">
            <v>28.66</v>
          </cell>
          <cell r="V5">
            <v>0.998</v>
          </cell>
          <cell r="W5">
            <v>34.380000000000003</v>
          </cell>
          <cell r="X5">
            <v>1.0569999999999999</v>
          </cell>
        </row>
        <row r="6">
          <cell r="B6" t="str">
            <v>0076</v>
          </cell>
          <cell r="C6">
            <v>0.61499999999999999</v>
          </cell>
          <cell r="D6">
            <v>74.875999999999991</v>
          </cell>
          <cell r="E6">
            <v>64.326999999999998</v>
          </cell>
          <cell r="G6">
            <v>6.79</v>
          </cell>
          <cell r="H6">
            <v>0.89</v>
          </cell>
          <cell r="I6">
            <v>16.829999999999998</v>
          </cell>
          <cell r="J6">
            <v>1.024</v>
          </cell>
          <cell r="K6">
            <v>36.119999999999997</v>
          </cell>
          <cell r="L6">
            <v>1.5960000000000001</v>
          </cell>
          <cell r="M6">
            <v>37.159999999999997</v>
          </cell>
          <cell r="N6">
            <v>1.4810000000000001</v>
          </cell>
          <cell r="O6">
            <v>9.68</v>
          </cell>
          <cell r="P6">
            <v>1.046</v>
          </cell>
          <cell r="Q6">
            <v>11.7</v>
          </cell>
          <cell r="R6">
            <v>1.022</v>
          </cell>
          <cell r="S6">
            <v>16.079999999999998</v>
          </cell>
          <cell r="T6">
            <v>1.1639999999999999</v>
          </cell>
          <cell r="U6">
            <v>27.5</v>
          </cell>
          <cell r="V6">
            <v>1.7869999999999999</v>
          </cell>
          <cell r="W6">
            <v>35.04</v>
          </cell>
          <cell r="X6">
            <v>1.3260000000000001</v>
          </cell>
        </row>
        <row r="7">
          <cell r="B7" t="str">
            <v>0100</v>
          </cell>
          <cell r="C7">
            <v>0.33200000000000002</v>
          </cell>
          <cell r="D7">
            <v>85.975999999999999</v>
          </cell>
          <cell r="E7">
            <v>69.307000000000002</v>
          </cell>
          <cell r="G7">
            <v>4.1500000000000004</v>
          </cell>
          <cell r="H7">
            <v>0.58399999999999996</v>
          </cell>
          <cell r="I7">
            <v>9.83</v>
          </cell>
          <cell r="J7">
            <v>0.60199999999999998</v>
          </cell>
          <cell r="K7">
            <v>38.770000000000003</v>
          </cell>
          <cell r="L7">
            <v>1.3959999999999999</v>
          </cell>
          <cell r="M7">
            <v>45.81</v>
          </cell>
          <cell r="N7">
            <v>1.129</v>
          </cell>
          <cell r="O7">
            <v>5.86</v>
          </cell>
          <cell r="P7">
            <v>0.70699999999999996</v>
          </cell>
          <cell r="Q7">
            <v>9.57</v>
          </cell>
          <cell r="R7">
            <v>1.115</v>
          </cell>
          <cell r="S7">
            <v>16.64</v>
          </cell>
          <cell r="T7">
            <v>1.038</v>
          </cell>
          <cell r="U7">
            <v>35.03</v>
          </cell>
          <cell r="V7">
            <v>1.387</v>
          </cell>
          <cell r="W7">
            <v>32.89</v>
          </cell>
          <cell r="X7">
            <v>1.294</v>
          </cell>
        </row>
        <row r="8">
          <cell r="B8" t="str">
            <v>0124</v>
          </cell>
          <cell r="C8">
            <v>0.14399999999999999</v>
          </cell>
          <cell r="D8">
            <v>83.662999999999997</v>
          </cell>
          <cell r="E8">
            <v>76.305000000000007</v>
          </cell>
          <cell r="G8">
            <v>4.6399999999999997</v>
          </cell>
          <cell r="H8">
            <v>0.35399999999999998</v>
          </cell>
          <cell r="I8">
            <v>11.77</v>
          </cell>
          <cell r="J8">
            <v>0.70599999999999996</v>
          </cell>
          <cell r="K8">
            <v>36.68</v>
          </cell>
          <cell r="L8">
            <v>0.873</v>
          </cell>
          <cell r="M8">
            <v>46.11</v>
          </cell>
          <cell r="N8">
            <v>1.121</v>
          </cell>
          <cell r="O8">
            <v>3.46</v>
          </cell>
          <cell r="P8">
            <v>0.47299999999999998</v>
          </cell>
          <cell r="Q8">
            <v>7.76</v>
          </cell>
          <cell r="R8">
            <v>0.621</v>
          </cell>
          <cell r="S8">
            <v>13.41</v>
          </cell>
          <cell r="T8">
            <v>0.77200000000000002</v>
          </cell>
          <cell r="U8">
            <v>32.19</v>
          </cell>
          <cell r="V8">
            <v>0.93500000000000005</v>
          </cell>
          <cell r="W8">
            <v>43.18</v>
          </cell>
          <cell r="X8">
            <v>1.04</v>
          </cell>
        </row>
        <row r="9">
          <cell r="B9" t="str">
            <v>0156</v>
          </cell>
          <cell r="C9">
            <v>0.53300000000000003</v>
          </cell>
          <cell r="D9">
            <v>66.676999999999992</v>
          </cell>
          <cell r="E9">
            <v>64.335999999999999</v>
          </cell>
          <cell r="G9">
            <v>10.15</v>
          </cell>
          <cell r="H9">
            <v>0.73599999999999999</v>
          </cell>
          <cell r="I9">
            <v>19.350000000000001</v>
          </cell>
          <cell r="J9">
            <v>0.95699999999999996</v>
          </cell>
          <cell r="K9">
            <v>32.18</v>
          </cell>
          <cell r="L9">
            <v>1.2070000000000001</v>
          </cell>
          <cell r="M9">
            <v>33.29</v>
          </cell>
          <cell r="N9">
            <v>1.353</v>
          </cell>
          <cell r="O9">
            <v>11.09</v>
          </cell>
          <cell r="P9">
            <v>0.90200000000000002</v>
          </cell>
          <cell r="Q9">
            <v>10.61</v>
          </cell>
          <cell r="R9">
            <v>0.80500000000000005</v>
          </cell>
          <cell r="S9">
            <v>15.04</v>
          </cell>
          <cell r="T9">
            <v>0.93700000000000006</v>
          </cell>
          <cell r="U9">
            <v>26.95</v>
          </cell>
          <cell r="V9">
            <v>1.0860000000000001</v>
          </cell>
          <cell r="W9">
            <v>36.299999999999997</v>
          </cell>
          <cell r="X9">
            <v>1.175</v>
          </cell>
        </row>
        <row r="10">
          <cell r="B10" t="str">
            <v>0203</v>
          </cell>
          <cell r="C10">
            <v>0.46700000000000003</v>
          </cell>
          <cell r="D10">
            <v>38.375999999999998</v>
          </cell>
          <cell r="E10">
            <v>41.713999999999999</v>
          </cell>
          <cell r="G10">
            <v>30.7</v>
          </cell>
          <cell r="H10">
            <v>1.2130000000000001</v>
          </cell>
          <cell r="I10">
            <v>26.16</v>
          </cell>
          <cell r="J10">
            <v>0.92200000000000004</v>
          </cell>
          <cell r="K10">
            <v>27.4</v>
          </cell>
          <cell r="L10">
            <v>0.996</v>
          </cell>
          <cell r="M10">
            <v>9.98</v>
          </cell>
          <cell r="N10">
            <v>0.65900000000000003</v>
          </cell>
          <cell r="O10">
            <v>15.64</v>
          </cell>
          <cell r="P10">
            <v>0.82299999999999995</v>
          </cell>
          <cell r="Q10">
            <v>23.06</v>
          </cell>
          <cell r="R10">
            <v>1.0409999999999999</v>
          </cell>
          <cell r="S10">
            <v>20.5</v>
          </cell>
          <cell r="T10">
            <v>0.72099999999999997</v>
          </cell>
          <cell r="U10">
            <v>26.22</v>
          </cell>
          <cell r="V10">
            <v>0.92400000000000004</v>
          </cell>
          <cell r="W10">
            <v>14.57</v>
          </cell>
          <cell r="X10">
            <v>0.72299999999999998</v>
          </cell>
        </row>
        <row r="11">
          <cell r="B11" t="str">
            <v>0208</v>
          </cell>
          <cell r="C11">
            <v>0.24199999999999999</v>
          </cell>
          <cell r="D11">
            <v>84.061000000000007</v>
          </cell>
          <cell r="E11">
            <v>67.801999999999992</v>
          </cell>
          <cell r="G11">
            <v>3.8</v>
          </cell>
          <cell r="H11">
            <v>0.504</v>
          </cell>
          <cell r="I11">
            <v>11.72</v>
          </cell>
          <cell r="J11">
            <v>0.60199999999999998</v>
          </cell>
          <cell r="K11">
            <v>39.58</v>
          </cell>
          <cell r="L11">
            <v>1.091</v>
          </cell>
          <cell r="M11">
            <v>43.39</v>
          </cell>
          <cell r="N11">
            <v>1.127</v>
          </cell>
          <cell r="O11">
            <v>5.22</v>
          </cell>
          <cell r="P11">
            <v>0.434</v>
          </cell>
          <cell r="Q11">
            <v>9.4</v>
          </cell>
          <cell r="R11">
            <v>0.621</v>
          </cell>
          <cell r="S11">
            <v>18.62</v>
          </cell>
          <cell r="T11">
            <v>0.84099999999999997</v>
          </cell>
          <cell r="U11">
            <v>36.229999999999997</v>
          </cell>
          <cell r="V11">
            <v>1.042</v>
          </cell>
          <cell r="W11">
            <v>30.53</v>
          </cell>
          <cell r="X11">
            <v>1.212</v>
          </cell>
        </row>
        <row r="12">
          <cell r="B12" t="str">
            <v>0246</v>
          </cell>
          <cell r="C12">
            <v>0.63300000000000001</v>
          </cell>
          <cell r="D12">
            <v>76.158000000000001</v>
          </cell>
          <cell r="E12">
            <v>68.25</v>
          </cell>
          <cell r="G12">
            <v>5.66</v>
          </cell>
          <cell r="H12">
            <v>0.69</v>
          </cell>
          <cell r="I12">
            <v>14.42</v>
          </cell>
          <cell r="J12">
            <v>0.94699999999999995</v>
          </cell>
          <cell r="K12">
            <v>34.61</v>
          </cell>
          <cell r="L12">
            <v>1.488</v>
          </cell>
          <cell r="M12">
            <v>40.06</v>
          </cell>
          <cell r="N12">
            <v>1.4550000000000001</v>
          </cell>
          <cell r="O12">
            <v>9.9600000000000009</v>
          </cell>
          <cell r="P12">
            <v>0.877</v>
          </cell>
          <cell r="Q12">
            <v>9.4600000000000009</v>
          </cell>
          <cell r="R12">
            <v>0.72799999999999998</v>
          </cell>
          <cell r="S12">
            <v>13.58</v>
          </cell>
          <cell r="T12">
            <v>0.83</v>
          </cell>
          <cell r="U12">
            <v>26.68</v>
          </cell>
          <cell r="V12">
            <v>1.25</v>
          </cell>
          <cell r="W12">
            <v>40.32</v>
          </cell>
          <cell r="X12">
            <v>1.67</v>
          </cell>
        </row>
        <row r="13">
          <cell r="B13" t="str">
            <v>0250</v>
          </cell>
          <cell r="C13">
            <v>0.41599999999999998</v>
          </cell>
          <cell r="D13">
            <v>70.406000000000006</v>
          </cell>
          <cell r="E13">
            <v>75.094999999999999</v>
          </cell>
          <cell r="G13">
            <v>7.73</v>
          </cell>
          <cell r="H13">
            <v>0.58199999999999996</v>
          </cell>
          <cell r="I13">
            <v>19.3</v>
          </cell>
          <cell r="J13">
            <v>0.93400000000000005</v>
          </cell>
          <cell r="K13">
            <v>36.119999999999997</v>
          </cell>
          <cell r="L13">
            <v>1.216</v>
          </cell>
          <cell r="M13">
            <v>33.07</v>
          </cell>
          <cell r="N13">
            <v>1.1659999999999999</v>
          </cell>
          <cell r="O13">
            <v>5.29</v>
          </cell>
          <cell r="P13">
            <v>0.51300000000000001</v>
          </cell>
          <cell r="Q13">
            <v>7.64</v>
          </cell>
          <cell r="R13">
            <v>0.748</v>
          </cell>
          <cell r="S13">
            <v>13.22</v>
          </cell>
          <cell r="T13">
            <v>0.79</v>
          </cell>
          <cell r="U13">
            <v>32.72</v>
          </cell>
          <cell r="V13">
            <v>1.2450000000000001</v>
          </cell>
          <cell r="W13">
            <v>41.13</v>
          </cell>
          <cell r="X13">
            <v>1.159</v>
          </cell>
        </row>
        <row r="14">
          <cell r="B14" t="str">
            <v>0276</v>
          </cell>
          <cell r="C14">
            <v>0.38200000000000001</v>
          </cell>
          <cell r="D14">
            <v>65.771000000000001</v>
          </cell>
          <cell r="E14">
            <v>58.941000000000003</v>
          </cell>
          <cell r="G14">
            <v>9.9499999999999993</v>
          </cell>
          <cell r="H14">
            <v>0.86899999999999999</v>
          </cell>
          <cell r="I14">
            <v>21.93</v>
          </cell>
          <cell r="J14">
            <v>0.88</v>
          </cell>
          <cell r="K14">
            <v>36.19</v>
          </cell>
          <cell r="L14">
            <v>0.88100000000000001</v>
          </cell>
          <cell r="M14">
            <v>28.7</v>
          </cell>
          <cell r="N14">
            <v>1.222</v>
          </cell>
          <cell r="O14">
            <v>8.86</v>
          </cell>
          <cell r="P14">
            <v>0.64700000000000002</v>
          </cell>
          <cell r="Q14">
            <v>13.44</v>
          </cell>
          <cell r="R14">
            <v>0.79200000000000004</v>
          </cell>
          <cell r="S14">
            <v>19.739999999999998</v>
          </cell>
          <cell r="T14">
            <v>1.105</v>
          </cell>
          <cell r="U14">
            <v>33.26</v>
          </cell>
          <cell r="V14">
            <v>0.98099999999999998</v>
          </cell>
          <cell r="W14">
            <v>24.7</v>
          </cell>
          <cell r="X14">
            <v>1.069</v>
          </cell>
        </row>
        <row r="15">
          <cell r="B15" t="str">
            <v>0300</v>
          </cell>
          <cell r="C15">
            <v>0.749</v>
          </cell>
          <cell r="D15">
            <v>73.361000000000004</v>
          </cell>
          <cell r="E15">
            <v>65.010999999999996</v>
          </cell>
          <cell r="G15">
            <v>7.95</v>
          </cell>
          <cell r="H15">
            <v>0.63400000000000001</v>
          </cell>
          <cell r="I15">
            <v>14.22</v>
          </cell>
          <cell r="J15">
            <v>0.84499999999999997</v>
          </cell>
          <cell r="K15">
            <v>33.97</v>
          </cell>
          <cell r="L15">
            <v>1.0109999999999999</v>
          </cell>
          <cell r="M15">
            <v>38.380000000000003</v>
          </cell>
          <cell r="N15">
            <v>1.069</v>
          </cell>
          <cell r="O15">
            <v>10.89</v>
          </cell>
          <cell r="P15">
            <v>0.7</v>
          </cell>
          <cell r="Q15">
            <v>12.15</v>
          </cell>
          <cell r="R15">
            <v>0.66400000000000003</v>
          </cell>
          <cell r="S15">
            <v>12.85</v>
          </cell>
          <cell r="T15">
            <v>0.63500000000000001</v>
          </cell>
          <cell r="U15">
            <v>31.26</v>
          </cell>
          <cell r="V15">
            <v>0.90100000000000002</v>
          </cell>
          <cell r="W15">
            <v>32.85</v>
          </cell>
          <cell r="X15">
            <v>0.73799999999999999</v>
          </cell>
        </row>
        <row r="16">
          <cell r="B16" t="str">
            <v>0348</v>
          </cell>
          <cell r="C16">
            <v>0.28999999999999998</v>
          </cell>
          <cell r="D16">
            <v>79.131</v>
          </cell>
          <cell r="E16">
            <v>65.513000000000005</v>
          </cell>
          <cell r="G16">
            <v>7.03</v>
          </cell>
          <cell r="H16">
            <v>0.52800000000000002</v>
          </cell>
          <cell r="I16">
            <v>13.12</v>
          </cell>
          <cell r="J16">
            <v>0.64700000000000002</v>
          </cell>
          <cell r="K16">
            <v>34.33</v>
          </cell>
          <cell r="L16">
            <v>1.0509999999999999</v>
          </cell>
          <cell r="M16">
            <v>43.75</v>
          </cell>
          <cell r="N16">
            <v>1.1220000000000001</v>
          </cell>
          <cell r="O16">
            <v>8.01</v>
          </cell>
          <cell r="P16">
            <v>0.73</v>
          </cell>
          <cell r="Q16">
            <v>14.45</v>
          </cell>
          <cell r="R16">
            <v>1</v>
          </cell>
          <cell r="S16">
            <v>13.17</v>
          </cell>
          <cell r="T16">
            <v>0.77400000000000002</v>
          </cell>
          <cell r="U16">
            <v>30.43</v>
          </cell>
          <cell r="V16">
            <v>1.143</v>
          </cell>
          <cell r="W16">
            <v>33.94</v>
          </cell>
          <cell r="X16">
            <v>1.169</v>
          </cell>
        </row>
        <row r="17">
          <cell r="B17" t="str">
            <v>0372</v>
          </cell>
          <cell r="C17">
            <v>1.7390000000000001</v>
          </cell>
          <cell r="D17">
            <v>75.646999999999991</v>
          </cell>
          <cell r="E17">
            <v>74.197000000000003</v>
          </cell>
          <cell r="G17">
            <v>7.2</v>
          </cell>
          <cell r="H17">
            <v>2.0819999999999999</v>
          </cell>
          <cell r="I17">
            <v>17.559999999999999</v>
          </cell>
          <cell r="J17">
            <v>3.0579999999999998</v>
          </cell>
          <cell r="K17">
            <v>34.880000000000003</v>
          </cell>
          <cell r="L17">
            <v>3.7170000000000001</v>
          </cell>
          <cell r="M17">
            <v>37.049999999999997</v>
          </cell>
          <cell r="N17">
            <v>3.734</v>
          </cell>
          <cell r="O17">
            <v>8.69</v>
          </cell>
          <cell r="P17">
            <v>2.4889999999999999</v>
          </cell>
          <cell r="Q17">
            <v>8.59</v>
          </cell>
          <cell r="R17">
            <v>2.36</v>
          </cell>
          <cell r="S17">
            <v>12.33</v>
          </cell>
          <cell r="T17">
            <v>2.6840000000000002</v>
          </cell>
          <cell r="U17">
            <v>37.119999999999997</v>
          </cell>
          <cell r="V17">
            <v>3.8069999999999999</v>
          </cell>
          <cell r="W17">
            <v>33.270000000000003</v>
          </cell>
          <cell r="X17">
            <v>3.714</v>
          </cell>
        </row>
        <row r="18">
          <cell r="B18" t="str">
            <v>0380</v>
          </cell>
          <cell r="C18">
            <v>0.47599999999999998</v>
          </cell>
          <cell r="D18">
            <v>73.331999999999994</v>
          </cell>
          <cell r="E18">
            <v>60.401000000000003</v>
          </cell>
          <cell r="G18">
            <v>8.0299999999999994</v>
          </cell>
          <cell r="H18">
            <v>0.59399999999999997</v>
          </cell>
          <cell r="I18">
            <v>15.31</v>
          </cell>
          <cell r="J18">
            <v>0.68200000000000005</v>
          </cell>
          <cell r="K18">
            <v>31.64</v>
          </cell>
          <cell r="L18">
            <v>0.78200000000000003</v>
          </cell>
          <cell r="M18">
            <v>40.909999999999997</v>
          </cell>
          <cell r="N18">
            <v>1.028</v>
          </cell>
          <cell r="O18">
            <v>11.36</v>
          </cell>
          <cell r="P18">
            <v>0.93300000000000005</v>
          </cell>
          <cell r="Q18">
            <v>11.83</v>
          </cell>
          <cell r="R18">
            <v>0.77500000000000002</v>
          </cell>
          <cell r="S18">
            <v>17.27</v>
          </cell>
          <cell r="T18">
            <v>0.80100000000000005</v>
          </cell>
          <cell r="U18">
            <v>25.66</v>
          </cell>
          <cell r="V18">
            <v>0.86099999999999999</v>
          </cell>
          <cell r="W18">
            <v>33.880000000000003</v>
          </cell>
          <cell r="X18">
            <v>1.1060000000000001</v>
          </cell>
        </row>
        <row r="19">
          <cell r="B19" t="str">
            <v>0392</v>
          </cell>
          <cell r="C19">
            <v>0.155</v>
          </cell>
          <cell r="D19">
            <v>72.430999999999997</v>
          </cell>
          <cell r="E19">
            <v>62.707999999999998</v>
          </cell>
          <cell r="G19">
            <v>6.83</v>
          </cell>
          <cell r="H19">
            <v>0.34799999999999998</v>
          </cell>
          <cell r="I19">
            <v>19.64</v>
          </cell>
          <cell r="J19">
            <v>0.48199999999999998</v>
          </cell>
          <cell r="K19">
            <v>37.619999999999997</v>
          </cell>
          <cell r="L19">
            <v>0.64100000000000001</v>
          </cell>
          <cell r="M19">
            <v>34.17</v>
          </cell>
          <cell r="N19">
            <v>0.69899999999999995</v>
          </cell>
          <cell r="O19">
            <v>6.49</v>
          </cell>
          <cell r="P19">
            <v>0.30099999999999999</v>
          </cell>
          <cell r="Q19">
            <v>11.13</v>
          </cell>
          <cell r="R19">
            <v>0.36699999999999999</v>
          </cell>
          <cell r="S19">
            <v>20.18</v>
          </cell>
          <cell r="T19">
            <v>0.48799999999999999</v>
          </cell>
          <cell r="U19">
            <v>33.1</v>
          </cell>
          <cell r="V19">
            <v>0.498</v>
          </cell>
          <cell r="W19">
            <v>29.11</v>
          </cell>
          <cell r="X19">
            <v>0.67700000000000005</v>
          </cell>
        </row>
        <row r="20">
          <cell r="B20" t="str">
            <v>0410</v>
          </cell>
          <cell r="C20">
            <v>0.59</v>
          </cell>
          <cell r="D20">
            <v>86.777000000000001</v>
          </cell>
          <cell r="E20">
            <v>73.92</v>
          </cell>
          <cell r="G20">
            <v>3.82</v>
          </cell>
          <cell r="H20">
            <v>0.65700000000000003</v>
          </cell>
          <cell r="I20">
            <v>8.69</v>
          </cell>
          <cell r="J20">
            <v>1.046</v>
          </cell>
          <cell r="K20">
            <v>37.1</v>
          </cell>
          <cell r="L20">
            <v>1.417</v>
          </cell>
          <cell r="M20">
            <v>48.26</v>
          </cell>
          <cell r="N20">
            <v>1.246</v>
          </cell>
          <cell r="O20">
            <v>10.33</v>
          </cell>
          <cell r="P20">
            <v>1.0549999999999999</v>
          </cell>
          <cell r="Q20">
            <v>6.25</v>
          </cell>
          <cell r="R20">
            <v>0.82799999999999996</v>
          </cell>
          <cell r="S20">
            <v>10.99</v>
          </cell>
          <cell r="T20">
            <v>0.96299999999999997</v>
          </cell>
          <cell r="U20">
            <v>33.729999999999997</v>
          </cell>
          <cell r="V20">
            <v>1.49</v>
          </cell>
          <cell r="W20">
            <v>38.700000000000003</v>
          </cell>
          <cell r="X20">
            <v>1.6679999999999999</v>
          </cell>
        </row>
        <row r="21">
          <cell r="B21" t="str">
            <v>0438</v>
          </cell>
          <cell r="C21">
            <v>0.30199999999999999</v>
          </cell>
          <cell r="D21">
            <v>78.97399999999999</v>
          </cell>
          <cell r="E21">
            <v>62.587000000000003</v>
          </cell>
          <cell r="G21">
            <v>4.04</v>
          </cell>
          <cell r="H21">
            <v>0.49399999999999999</v>
          </cell>
          <cell r="I21">
            <v>16.64</v>
          </cell>
          <cell r="J21">
            <v>0.88400000000000001</v>
          </cell>
          <cell r="K21">
            <v>40.61</v>
          </cell>
          <cell r="L21">
            <v>1.3640000000000001</v>
          </cell>
          <cell r="M21">
            <v>37</v>
          </cell>
          <cell r="N21">
            <v>1.2869999999999999</v>
          </cell>
          <cell r="O21">
            <v>9.2899999999999991</v>
          </cell>
          <cell r="P21">
            <v>0.71799999999999997</v>
          </cell>
          <cell r="Q21">
            <v>11.47</v>
          </cell>
          <cell r="R21">
            <v>0.65400000000000003</v>
          </cell>
          <cell r="S21">
            <v>17.89</v>
          </cell>
          <cell r="T21">
            <v>0.9</v>
          </cell>
          <cell r="U21">
            <v>33.85</v>
          </cell>
          <cell r="V21">
            <v>1.2370000000000001</v>
          </cell>
          <cell r="W21">
            <v>27.5</v>
          </cell>
          <cell r="X21">
            <v>1.3049999999999999</v>
          </cell>
        </row>
        <row r="22">
          <cell r="B22" t="str">
            <v>0442</v>
          </cell>
          <cell r="C22">
            <v>0.41599999999999998</v>
          </cell>
          <cell r="D22">
            <v>67.548000000000002</v>
          </cell>
          <cell r="E22">
            <v>57.097999999999999</v>
          </cell>
          <cell r="G22">
            <v>12.14</v>
          </cell>
          <cell r="H22">
            <v>0.81399999999999995</v>
          </cell>
          <cell r="I22">
            <v>17.690000000000001</v>
          </cell>
          <cell r="J22">
            <v>0.878</v>
          </cell>
          <cell r="K22">
            <v>35.01</v>
          </cell>
          <cell r="L22">
            <v>1.0980000000000001</v>
          </cell>
          <cell r="M22">
            <v>31.44</v>
          </cell>
          <cell r="N22">
            <v>1.2290000000000001</v>
          </cell>
          <cell r="O22">
            <v>11.11</v>
          </cell>
          <cell r="P22">
            <v>0.73699999999999999</v>
          </cell>
          <cell r="Q22">
            <v>15.21</v>
          </cell>
          <cell r="R22">
            <v>0.78100000000000003</v>
          </cell>
          <cell r="S22">
            <v>17.579999999999998</v>
          </cell>
          <cell r="T22">
            <v>0.82099999999999995</v>
          </cell>
          <cell r="U22">
            <v>28.14</v>
          </cell>
          <cell r="V22">
            <v>0.998</v>
          </cell>
          <cell r="W22">
            <v>27.96</v>
          </cell>
          <cell r="X22">
            <v>1.0249999999999999</v>
          </cell>
        </row>
        <row r="23">
          <cell r="B23" t="str">
            <v>0528</v>
          </cell>
          <cell r="C23">
            <v>0.41799999999999998</v>
          </cell>
          <cell r="D23">
            <v>72.592000000000013</v>
          </cell>
          <cell r="E23">
            <v>47.674999999999997</v>
          </cell>
          <cell r="G23">
            <v>13.82</v>
          </cell>
          <cell r="H23">
            <v>0.93</v>
          </cell>
          <cell r="I23">
            <v>11.79</v>
          </cell>
          <cell r="J23">
            <v>0.82699999999999996</v>
          </cell>
          <cell r="K23">
            <v>28.44</v>
          </cell>
          <cell r="L23">
            <v>1.1319999999999999</v>
          </cell>
          <cell r="M23">
            <v>43.02</v>
          </cell>
          <cell r="N23">
            <v>1.298</v>
          </cell>
          <cell r="O23">
            <v>9.81</v>
          </cell>
          <cell r="P23">
            <v>1.004</v>
          </cell>
          <cell r="Q23">
            <v>25.03</v>
          </cell>
          <cell r="R23">
            <v>1.385</v>
          </cell>
          <cell r="S23">
            <v>18.809999999999999</v>
          </cell>
          <cell r="T23">
            <v>1.198</v>
          </cell>
          <cell r="U23">
            <v>27.51</v>
          </cell>
          <cell r="V23">
            <v>1.335</v>
          </cell>
          <cell r="W23">
            <v>18.829999999999998</v>
          </cell>
          <cell r="X23">
            <v>1.2250000000000001</v>
          </cell>
        </row>
        <row r="24">
          <cell r="B24" t="str">
            <v>0554</v>
          </cell>
          <cell r="C24">
            <v>0.90900000000000003</v>
          </cell>
          <cell r="D24">
            <v>49.882999999999996</v>
          </cell>
          <cell r="E24">
            <v>44.83</v>
          </cell>
          <cell r="G24">
            <v>25.17</v>
          </cell>
          <cell r="H24">
            <v>1.03</v>
          </cell>
          <cell r="I24">
            <v>17.190000000000001</v>
          </cell>
          <cell r="J24">
            <v>0.871</v>
          </cell>
          <cell r="K24">
            <v>29.07</v>
          </cell>
          <cell r="L24">
            <v>0.98299999999999998</v>
          </cell>
          <cell r="M24">
            <v>19.829999999999998</v>
          </cell>
          <cell r="N24">
            <v>1.046</v>
          </cell>
          <cell r="O24">
            <v>10.42</v>
          </cell>
          <cell r="P24">
            <v>0.81899999999999995</v>
          </cell>
          <cell r="Q24">
            <v>29.55</v>
          </cell>
          <cell r="R24">
            <v>1.1819999999999999</v>
          </cell>
          <cell r="S24">
            <v>16.28</v>
          </cell>
          <cell r="T24">
            <v>0.92300000000000004</v>
          </cell>
          <cell r="U24">
            <v>26.59</v>
          </cell>
          <cell r="V24">
            <v>1.08</v>
          </cell>
          <cell r="W24">
            <v>17.16</v>
          </cell>
          <cell r="X24">
            <v>0.874</v>
          </cell>
        </row>
        <row r="25">
          <cell r="B25" t="str">
            <v>0578</v>
          </cell>
          <cell r="C25">
            <v>0.46800000000000003</v>
          </cell>
          <cell r="D25">
            <v>77.010999999999996</v>
          </cell>
          <cell r="E25">
            <v>68.73599999999999</v>
          </cell>
          <cell r="G25">
            <v>8</v>
          </cell>
          <cell r="H25">
            <v>0.70799999999999996</v>
          </cell>
          <cell r="I25">
            <v>11.92</v>
          </cell>
          <cell r="J25">
            <v>0.83899999999999997</v>
          </cell>
          <cell r="K25">
            <v>33.909999999999997</v>
          </cell>
          <cell r="L25">
            <v>1.101</v>
          </cell>
          <cell r="M25">
            <v>42</v>
          </cell>
          <cell r="N25">
            <v>1.389</v>
          </cell>
          <cell r="O25">
            <v>9.7100000000000009</v>
          </cell>
          <cell r="P25">
            <v>0.96799999999999997</v>
          </cell>
          <cell r="Q25">
            <v>10.029999999999999</v>
          </cell>
          <cell r="R25">
            <v>0.68100000000000005</v>
          </cell>
          <cell r="S25">
            <v>12.43</v>
          </cell>
          <cell r="T25">
            <v>0.66600000000000004</v>
          </cell>
          <cell r="U25">
            <v>25.96</v>
          </cell>
          <cell r="V25">
            <v>0.90600000000000003</v>
          </cell>
          <cell r="W25">
            <v>41.87</v>
          </cell>
          <cell r="X25">
            <v>1.302</v>
          </cell>
        </row>
        <row r="26">
          <cell r="B26" t="str">
            <v>0643</v>
          </cell>
          <cell r="C26">
            <v>0.374</v>
          </cell>
          <cell r="D26">
            <v>76.427999999999997</v>
          </cell>
          <cell r="E26">
            <v>62.471000000000004</v>
          </cell>
          <cell r="G26">
            <v>6.11</v>
          </cell>
          <cell r="H26">
            <v>0.50900000000000001</v>
          </cell>
          <cell r="I26">
            <v>15.83</v>
          </cell>
          <cell r="J26">
            <v>0.82099999999999995</v>
          </cell>
          <cell r="K26">
            <v>40.619999999999997</v>
          </cell>
          <cell r="L26">
            <v>1.038</v>
          </cell>
          <cell r="M26">
            <v>34.770000000000003</v>
          </cell>
          <cell r="N26">
            <v>1.0589999999999999</v>
          </cell>
          <cell r="O26">
            <v>12.45</v>
          </cell>
          <cell r="P26">
            <v>0.72</v>
          </cell>
          <cell r="Q26">
            <v>9.85</v>
          </cell>
          <cell r="R26">
            <v>0.73299999999999998</v>
          </cell>
          <cell r="S26">
            <v>16.190000000000001</v>
          </cell>
          <cell r="T26">
            <v>0.80800000000000005</v>
          </cell>
          <cell r="U26">
            <v>28.08</v>
          </cell>
          <cell r="V26">
            <v>0.97099999999999997</v>
          </cell>
          <cell r="W26">
            <v>33.42</v>
          </cell>
          <cell r="X26">
            <v>1.071</v>
          </cell>
        </row>
        <row r="27">
          <cell r="B27" t="str">
            <v>0724</v>
          </cell>
          <cell r="C27">
            <v>0.28699999999999998</v>
          </cell>
          <cell r="D27">
            <v>80.432999999999993</v>
          </cell>
          <cell r="E27">
            <v>70.543000000000006</v>
          </cell>
          <cell r="G27">
            <v>5.32</v>
          </cell>
          <cell r="H27">
            <v>0.48799999999999999</v>
          </cell>
          <cell r="I27">
            <v>13.6</v>
          </cell>
          <cell r="J27">
            <v>0.93300000000000005</v>
          </cell>
          <cell r="K27">
            <v>42.25</v>
          </cell>
          <cell r="L27">
            <v>1.353</v>
          </cell>
          <cell r="M27">
            <v>36.83</v>
          </cell>
          <cell r="N27">
            <v>1.268</v>
          </cell>
          <cell r="O27">
            <v>8.07</v>
          </cell>
          <cell r="P27">
            <v>0.67200000000000004</v>
          </cell>
          <cell r="Q27">
            <v>8.86</v>
          </cell>
          <cell r="R27">
            <v>0.69299999999999995</v>
          </cell>
          <cell r="S27">
            <v>13.93</v>
          </cell>
          <cell r="T27">
            <v>0.91900000000000004</v>
          </cell>
          <cell r="U27">
            <v>38.07</v>
          </cell>
          <cell r="V27">
            <v>1.393</v>
          </cell>
          <cell r="W27">
            <v>31.08</v>
          </cell>
          <cell r="X27">
            <v>1.3819999999999999</v>
          </cell>
        </row>
        <row r="28">
          <cell r="B28" t="str">
            <v>0752</v>
          </cell>
          <cell r="C28">
            <v>0.35299999999999998</v>
          </cell>
          <cell r="D28">
            <v>81.865000000000009</v>
          </cell>
          <cell r="E28">
            <v>83.534999999999997</v>
          </cell>
          <cell r="G28">
            <v>3.92</v>
          </cell>
          <cell r="H28">
            <v>0.46300000000000002</v>
          </cell>
          <cell r="I28">
            <v>11.5</v>
          </cell>
          <cell r="J28">
            <v>0.65700000000000003</v>
          </cell>
          <cell r="K28">
            <v>31.14</v>
          </cell>
          <cell r="L28">
            <v>0.90500000000000003</v>
          </cell>
          <cell r="M28">
            <v>49.82</v>
          </cell>
          <cell r="N28">
            <v>1.1830000000000001</v>
          </cell>
          <cell r="O28">
            <v>5.71</v>
          </cell>
          <cell r="P28">
            <v>0.56899999999999995</v>
          </cell>
          <cell r="Q28">
            <v>4.1399999999999997</v>
          </cell>
          <cell r="R28">
            <v>0.41199999999999998</v>
          </cell>
          <cell r="S28">
            <v>7.46</v>
          </cell>
          <cell r="T28">
            <v>0.53</v>
          </cell>
          <cell r="U28">
            <v>25.42</v>
          </cell>
          <cell r="V28">
            <v>0.83499999999999996</v>
          </cell>
          <cell r="W28">
            <v>57.28</v>
          </cell>
          <cell r="X28">
            <v>1.1120000000000001</v>
          </cell>
        </row>
        <row r="29">
          <cell r="B29" t="str">
            <v>0826</v>
          </cell>
          <cell r="C29">
            <v>0.46700000000000003</v>
          </cell>
          <cell r="D29">
            <v>69.33</v>
          </cell>
          <cell r="E29">
            <v>64.243000000000009</v>
          </cell>
          <cell r="G29">
            <v>9.41</v>
          </cell>
          <cell r="H29">
            <v>0.63</v>
          </cell>
          <cell r="I29">
            <v>18.09</v>
          </cell>
          <cell r="J29">
            <v>0.81299999999999994</v>
          </cell>
          <cell r="K29">
            <v>37.56</v>
          </cell>
          <cell r="L29">
            <v>1.07</v>
          </cell>
          <cell r="M29">
            <v>30.7</v>
          </cell>
          <cell r="N29">
            <v>1.175</v>
          </cell>
          <cell r="O29">
            <v>9.31</v>
          </cell>
          <cell r="P29">
            <v>0.76500000000000001</v>
          </cell>
          <cell r="Q29">
            <v>9.7799999999999994</v>
          </cell>
          <cell r="R29">
            <v>0.69899999999999995</v>
          </cell>
          <cell r="S29">
            <v>17.75</v>
          </cell>
          <cell r="T29">
            <v>1.35</v>
          </cell>
          <cell r="U29">
            <v>34.28</v>
          </cell>
          <cell r="V29">
            <v>1.093</v>
          </cell>
          <cell r="W29">
            <v>28.87</v>
          </cell>
          <cell r="X29">
            <v>1.1559999999999999</v>
          </cell>
        </row>
        <row r="30">
          <cell r="B30" t="str">
            <v>0840</v>
          </cell>
          <cell r="C30">
            <v>0.33400000000000002</v>
          </cell>
          <cell r="D30">
            <v>71.323999999999998</v>
          </cell>
          <cell r="E30">
            <v>71.74199999999999</v>
          </cell>
          <cell r="G30">
            <v>7.38</v>
          </cell>
          <cell r="H30">
            <v>0.60699999999999998</v>
          </cell>
          <cell r="I30">
            <v>20.97</v>
          </cell>
          <cell r="J30">
            <v>1.071</v>
          </cell>
          <cell r="K30">
            <v>39.29</v>
          </cell>
          <cell r="L30">
            <v>1.234</v>
          </cell>
          <cell r="M30">
            <v>30.8</v>
          </cell>
          <cell r="N30">
            <v>1.2310000000000001</v>
          </cell>
          <cell r="O30">
            <v>4.29</v>
          </cell>
          <cell r="P30">
            <v>0.53600000000000003</v>
          </cell>
          <cell r="Q30">
            <v>9.18</v>
          </cell>
          <cell r="R30">
            <v>0.69399999999999995</v>
          </cell>
          <cell r="S30">
            <v>16.04</v>
          </cell>
          <cell r="T30">
            <v>0.84299999999999997</v>
          </cell>
          <cell r="U30">
            <v>36.659999999999997</v>
          </cell>
          <cell r="V30">
            <v>1.252</v>
          </cell>
          <cell r="W30">
            <v>33.83</v>
          </cell>
          <cell r="X30">
            <v>1.347</v>
          </cell>
        </row>
      </sheetData>
      <sheetData sheetId="10"/>
      <sheetData sheetId="1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"/>
      <sheetName val="Fig 5.1"/>
      <sheetName val="DataFig5.1"/>
      <sheetName val="Fig 5.2"/>
      <sheetName val="DataFig5.2"/>
      <sheetName val="Fig 5.3"/>
      <sheetName val="Data5.3"/>
      <sheetName val="Fig 5.4"/>
      <sheetName val="DataFig5.4"/>
      <sheetName val="Fig 5.5ab"/>
      <sheetName val="Data5.5a"/>
      <sheetName val="Data5.5b"/>
      <sheetName val="Fig 5.6"/>
      <sheetName val="Data Fig5.6"/>
      <sheetName val="Fig 5.7"/>
      <sheetName val="DataFig 5.7"/>
      <sheetName val="Fig 5.8"/>
      <sheetName val="DataFig 5.8"/>
      <sheetName val="Fig 5.9"/>
      <sheetName val="DataFig5.9"/>
      <sheetName val="Fig 5.10"/>
      <sheetName val="DataFig5.10"/>
      <sheetName val="Fig 5.11ab "/>
      <sheetName val="Data5.11a"/>
      <sheetName val="Data5.11b"/>
      <sheetName val="Fig 5.12"/>
      <sheetName val="DataFig 5.12"/>
      <sheetName val="Plan1"/>
      <sheetName val="Plan3"/>
      <sheetName val="Plan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>
        <row r="3">
          <cell r="B3">
            <v>-0.11</v>
          </cell>
          <cell r="C3">
            <v>512.65</v>
          </cell>
        </row>
        <row r="4">
          <cell r="B4">
            <v>-0.15</v>
          </cell>
          <cell r="C4">
            <v>494.65</v>
          </cell>
        </row>
        <row r="5">
          <cell r="B5">
            <v>-0.24</v>
          </cell>
          <cell r="C5">
            <v>492.39</v>
          </cell>
        </row>
        <row r="6">
          <cell r="B6">
            <v>-0.45</v>
          </cell>
          <cell r="C6">
            <v>472.64</v>
          </cell>
        </row>
        <row r="7">
          <cell r="B7">
            <v>0.2</v>
          </cell>
          <cell r="C7">
            <v>485.41</v>
          </cell>
        </row>
        <row r="8">
          <cell r="B8">
            <v>-0.28000000000000003</v>
          </cell>
          <cell r="C8">
            <v>520.12</v>
          </cell>
        </row>
        <row r="9">
          <cell r="B9">
            <v>-0.34</v>
          </cell>
          <cell r="C9">
            <v>467.55</v>
          </cell>
        </row>
        <row r="10">
          <cell r="B10">
            <v>-0.3</v>
          </cell>
          <cell r="C10">
            <v>464.54</v>
          </cell>
        </row>
        <row r="11">
          <cell r="B11">
            <v>-0.15</v>
          </cell>
          <cell r="C11">
            <v>488.45</v>
          </cell>
        </row>
        <row r="12">
          <cell r="B12">
            <v>0.2</v>
          </cell>
          <cell r="C12">
            <v>512.84</v>
          </cell>
        </row>
        <row r="13">
          <cell r="B13">
            <v>0.08</v>
          </cell>
          <cell r="C13">
            <v>469.2</v>
          </cell>
        </row>
        <row r="14">
          <cell r="B14">
            <v>-0.34</v>
          </cell>
          <cell r="C14">
            <v>518.5</v>
          </cell>
        </row>
        <row r="15">
          <cell r="B15">
            <v>0.06</v>
          </cell>
          <cell r="C15">
            <v>428.83</v>
          </cell>
        </row>
        <row r="16">
          <cell r="B16">
            <v>-0.1</v>
          </cell>
          <cell r="C16">
            <v>411.48</v>
          </cell>
        </row>
        <row r="17">
          <cell r="B17">
            <v>-0.26</v>
          </cell>
          <cell r="C17">
            <v>506.79</v>
          </cell>
        </row>
        <row r="18">
          <cell r="B18">
            <v>-0.23</v>
          </cell>
          <cell r="C18">
            <v>485.62</v>
          </cell>
        </row>
        <row r="19">
          <cell r="B19">
            <v>-0.23</v>
          </cell>
          <cell r="C19">
            <v>457.7</v>
          </cell>
        </row>
        <row r="20">
          <cell r="B20">
            <v>-0.11</v>
          </cell>
          <cell r="C20">
            <v>498.63</v>
          </cell>
        </row>
        <row r="21">
          <cell r="B21">
            <v>-0.2</v>
          </cell>
          <cell r="C21">
            <v>480.05</v>
          </cell>
        </row>
        <row r="22">
          <cell r="B22">
            <v>0.05</v>
          </cell>
          <cell r="C22">
            <v>489.68</v>
          </cell>
        </row>
        <row r="23">
          <cell r="B23">
            <v>-0.11</v>
          </cell>
          <cell r="C23">
            <v>319</v>
          </cell>
        </row>
        <row r="24">
          <cell r="B24">
            <v>0.11</v>
          </cell>
          <cell r="C24">
            <v>387.64</v>
          </cell>
        </row>
        <row r="25">
          <cell r="B25">
            <v>-0.21</v>
          </cell>
          <cell r="C25">
            <v>407</v>
          </cell>
        </row>
        <row r="26">
          <cell r="B26">
            <v>-0.1</v>
          </cell>
          <cell r="C26">
            <v>396</v>
          </cell>
        </row>
        <row r="27">
          <cell r="B27">
            <v>-0.39</v>
          </cell>
          <cell r="C27">
            <v>518</v>
          </cell>
        </row>
        <row r="28">
          <cell r="B28">
            <v>-0.17</v>
          </cell>
          <cell r="C28">
            <v>444</v>
          </cell>
        </row>
        <row r="29">
          <cell r="B29">
            <v>0.36</v>
          </cell>
          <cell r="C29">
            <v>431.92</v>
          </cell>
        </row>
        <row r="30">
          <cell r="B30">
            <v>0.08</v>
          </cell>
          <cell r="C30">
            <v>468.45</v>
          </cell>
        </row>
        <row r="31">
          <cell r="B31">
            <v>0.17</v>
          </cell>
          <cell r="C31">
            <v>348</v>
          </cell>
        </row>
        <row r="32">
          <cell r="B32">
            <v>0.37</v>
          </cell>
          <cell r="C32">
            <v>442.83</v>
          </cell>
        </row>
        <row r="33">
          <cell r="B33">
            <v>-0.2</v>
          </cell>
          <cell r="C33">
            <v>406</v>
          </cell>
        </row>
        <row r="34">
          <cell r="B34">
            <v>0.13</v>
          </cell>
          <cell r="C34">
            <v>517</v>
          </cell>
        </row>
      </sheetData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://oe.cd/disclaimer" TargetMode="External"/><Relationship Id="rId1" Type="http://schemas.openxmlformats.org/officeDocument/2006/relationships/hyperlink" Target="https://doi.org/10.1787/b5fd1b8f-en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http://oe.cd/disclaimer" TargetMode="External"/><Relationship Id="rId1" Type="http://schemas.openxmlformats.org/officeDocument/2006/relationships/hyperlink" Target="https://doi.org/10.1787/b5fd1b8f-en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hyperlink" Target="http://oe.cd/disclaimer" TargetMode="External"/><Relationship Id="rId1" Type="http://schemas.openxmlformats.org/officeDocument/2006/relationships/hyperlink" Target="https://doi.org/10.1787/b5fd1b8f-en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.bin"/><Relationship Id="rId2" Type="http://schemas.openxmlformats.org/officeDocument/2006/relationships/hyperlink" Target="http://oe.cd/disclaimer" TargetMode="External"/><Relationship Id="rId1" Type="http://schemas.openxmlformats.org/officeDocument/2006/relationships/hyperlink" Target="https://doi.org/10.1787/b5fd1b8f-en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.bin"/><Relationship Id="rId2" Type="http://schemas.openxmlformats.org/officeDocument/2006/relationships/hyperlink" Target="http://oe.cd/disclaimer" TargetMode="External"/><Relationship Id="rId1" Type="http://schemas.openxmlformats.org/officeDocument/2006/relationships/hyperlink" Target="https://doi.org/10.1787/b5fd1b8f-en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hyperlink" Target="http://oe.cd/disclaimer" TargetMode="External"/><Relationship Id="rId1" Type="http://schemas.openxmlformats.org/officeDocument/2006/relationships/hyperlink" Target="https://doi.org/10.1787/b5fd1b8f-en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6.bin"/><Relationship Id="rId2" Type="http://schemas.openxmlformats.org/officeDocument/2006/relationships/hyperlink" Target="http://oe.cd/disclaimer" TargetMode="External"/><Relationship Id="rId1" Type="http://schemas.openxmlformats.org/officeDocument/2006/relationships/hyperlink" Target="https://doi.org/10.1787/b5fd1b8f-en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7.bin"/><Relationship Id="rId2" Type="http://schemas.openxmlformats.org/officeDocument/2006/relationships/hyperlink" Target="http://oe.cd/disclaimer" TargetMode="External"/><Relationship Id="rId1" Type="http://schemas.openxmlformats.org/officeDocument/2006/relationships/hyperlink" Target="https://doi.org/10.1787/b5fd1b8f-en" TargetMode="Externa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8.bin"/><Relationship Id="rId2" Type="http://schemas.openxmlformats.org/officeDocument/2006/relationships/hyperlink" Target="http://oe.cd/disclaimer" TargetMode="External"/><Relationship Id="rId1" Type="http://schemas.openxmlformats.org/officeDocument/2006/relationships/hyperlink" Target="https://doi.org/10.1787/b5fd1b8f-en" TargetMode="Externa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9.bin"/><Relationship Id="rId2" Type="http://schemas.openxmlformats.org/officeDocument/2006/relationships/hyperlink" Target="http://oe.cd/disclaimer" TargetMode="External"/><Relationship Id="rId1" Type="http://schemas.openxmlformats.org/officeDocument/2006/relationships/hyperlink" Target="https://doi.org/10.1787/b5fd1b8f-en" TargetMode="Externa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0.bin"/><Relationship Id="rId2" Type="http://schemas.openxmlformats.org/officeDocument/2006/relationships/hyperlink" Target="http://oe.cd/disclaimer" TargetMode="External"/><Relationship Id="rId1" Type="http://schemas.openxmlformats.org/officeDocument/2006/relationships/hyperlink" Target="https://doi.org/10.1787/b5fd1b8f-en" TargetMode="Externa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1.bin"/><Relationship Id="rId2" Type="http://schemas.openxmlformats.org/officeDocument/2006/relationships/hyperlink" Target="http://oe.cd/disclaimer" TargetMode="External"/><Relationship Id="rId1" Type="http://schemas.openxmlformats.org/officeDocument/2006/relationships/hyperlink" Target="https://doi.org/10.1787/b5fd1b8f-e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Views>
    <sheetView showGridLines="0" tabSelected="1" zoomScaleNormal="100" workbookViewId="0"/>
  </sheetViews>
  <sheetFormatPr defaultRowHeight="13.2" x14ac:dyDescent="0.25"/>
  <cols>
    <col min="1" max="1" width="33" customWidth="1"/>
    <col min="2" max="2" width="17.6640625" customWidth="1"/>
  </cols>
  <sheetData>
    <row r="1" spans="1:2" s="115" customFormat="1" x14ac:dyDescent="0.25">
      <c r="A1" s="116" t="s">
        <v>232</v>
      </c>
    </row>
    <row r="2" spans="1:2" s="115" customFormat="1" x14ac:dyDescent="0.25">
      <c r="A2" s="115" t="s">
        <v>233</v>
      </c>
      <c r="B2" s="115" t="s">
        <v>234</v>
      </c>
    </row>
    <row r="3" spans="1:2" s="115" customFormat="1" x14ac:dyDescent="0.25">
      <c r="A3" s="115" t="s">
        <v>235</v>
      </c>
    </row>
    <row r="4" spans="1:2" s="115" customFormat="1" x14ac:dyDescent="0.25">
      <c r="A4" s="116" t="s">
        <v>236</v>
      </c>
    </row>
    <row r="5" spans="1:2" s="115" customFormat="1" x14ac:dyDescent="0.25"/>
    <row r="6" spans="1:2" x14ac:dyDescent="0.25">
      <c r="A6" t="s">
        <v>108</v>
      </c>
      <c r="B6" s="23" t="s">
        <v>18</v>
      </c>
    </row>
    <row r="8" spans="1:2" x14ac:dyDescent="0.25">
      <c r="A8" s="23" t="s">
        <v>225</v>
      </c>
      <c r="B8" s="23" t="s">
        <v>19</v>
      </c>
    </row>
    <row r="9" spans="1:2" x14ac:dyDescent="0.25">
      <c r="A9" s="24" t="s">
        <v>15</v>
      </c>
    </row>
    <row r="11" spans="1:2" x14ac:dyDescent="0.25">
      <c r="A11" s="25" t="str">
        <f>'Table II.B1.9.1'!A6</f>
        <v>Table II.B1.9.1</v>
      </c>
      <c r="B11" t="str">
        <f>'Table II.B1.9.1'!$A$7</f>
        <v>Socio-economic status, by immigrant background</v>
      </c>
    </row>
    <row r="12" spans="1:2" x14ac:dyDescent="0.25">
      <c r="A12" s="25" t="str">
        <f>'Table II.B1.9.2'!A6</f>
        <v>Table II.B1.9.2</v>
      </c>
      <c r="B12" t="str">
        <f>'Table II.B1.9.2'!$A$7</f>
        <v>Language spoken at home, by immigrant background</v>
      </c>
    </row>
    <row r="13" spans="1:2" x14ac:dyDescent="0.25">
      <c r="A13" s="25" t="str">
        <f>'Table II.B1.9.3'!A6</f>
        <v>Table II.B1.9.3</v>
      </c>
      <c r="B13" t="str">
        <f>'Table II.B1.9.3'!$A$7</f>
        <v>Mean reading performance and academic resilience, by immigrant background</v>
      </c>
    </row>
    <row r="14" spans="1:2" x14ac:dyDescent="0.25">
      <c r="A14" s="25" t="str">
        <f>'Table II.B1.9.4'!A6</f>
        <v>Table II.B1.9.4</v>
      </c>
      <c r="B14" t="str">
        <f>'Table II.B1.9.4'!$A$7</f>
        <v>Low performance in reading, by immigrant background</v>
      </c>
    </row>
    <row r="15" spans="1:2" x14ac:dyDescent="0.25">
      <c r="A15" s="25" t="str">
        <f>'Table II.B1.9.5'!A6</f>
        <v>Table II.B1.9.5</v>
      </c>
      <c r="B15" t="str">
        <f>'Table II.B1.9.5'!$A$7</f>
        <v>Students who expect to complete tertiary education, by immigrant background</v>
      </c>
    </row>
    <row r="16" spans="1:2" x14ac:dyDescent="0.25">
      <c r="A16" s="25" t="str">
        <f>'Table II.B1.9.6'!A6</f>
        <v>Table II.B1.9.6</v>
      </c>
      <c r="B16" t="str">
        <f>'Table II.B1.9.6'!$A$7</f>
        <v>Percentage of academically resilient immigrant students, by quarter of key indices</v>
      </c>
    </row>
    <row r="17" spans="1:9" x14ac:dyDescent="0.25">
      <c r="A17" s="25" t="str">
        <f>'Table II.B1.9.7'!A6</f>
        <v>Table II.B1.9.7</v>
      </c>
      <c r="B17" t="str">
        <f>'Table II.B1.9.7'!$A$7</f>
        <v xml:space="preserve">Average of key student attitudes, by academic resilience </v>
      </c>
    </row>
    <row r="18" spans="1:9" x14ac:dyDescent="0.25">
      <c r="A18" s="25" t="str">
        <f>'Table II.B1.9.8'!A6</f>
        <v>Table II.B1.9.8</v>
      </c>
      <c r="B18" t="str">
        <f>'Table II.B1.9.8'!$A$7</f>
        <v>Students' well-being, by immigrant background</v>
      </c>
    </row>
    <row r="19" spans="1:9" x14ac:dyDescent="0.25">
      <c r="A19" s="25" t="str">
        <f>'Table II.B1.9.9'!A6</f>
        <v>Table II.B1.9.9</v>
      </c>
      <c r="B19" t="str">
        <f>'Table II.B1.9.9'!$A$7</f>
        <v>Change between 2009 and 2018 in the percentage of students with an immigrant background</v>
      </c>
    </row>
    <row r="20" spans="1:9" x14ac:dyDescent="0.25">
      <c r="A20" s="25" t="str">
        <f>'Table II.B1.9.10'!A6</f>
        <v>Table II.B1.9.10</v>
      </c>
      <c r="B20" t="str">
        <f>'Table II.B1.9.10'!$A$7</f>
        <v>Change between 2009 and 2018 in the reading performance of students with an immigrant background</v>
      </c>
    </row>
    <row r="21" spans="1:9" x14ac:dyDescent="0.25">
      <c r="A21" s="25" t="str">
        <f>'Table II.B1.9.11'!A6</f>
        <v>Table II.B1.9.11</v>
      </c>
      <c r="B21" t="str">
        <f>'Table II.B1.9.11'!$A$7</f>
        <v>Concentration of immigrant students in schools</v>
      </c>
    </row>
    <row r="22" spans="1:9" x14ac:dyDescent="0.25">
      <c r="A22" s="25"/>
    </row>
    <row r="25" spans="1:9" x14ac:dyDescent="0.25">
      <c r="A25" s="23" t="s">
        <v>112</v>
      </c>
    </row>
    <row r="26" spans="1:9" x14ac:dyDescent="0.25">
      <c r="A26" t="s">
        <v>113</v>
      </c>
    </row>
    <row r="27" spans="1:9" x14ac:dyDescent="0.25">
      <c r="A27" t="s">
        <v>213</v>
      </c>
    </row>
    <row r="28" spans="1:9" x14ac:dyDescent="0.25">
      <c r="A28" t="s">
        <v>114</v>
      </c>
    </row>
    <row r="30" spans="1:9" x14ac:dyDescent="0.25">
      <c r="A30" s="23" t="s">
        <v>115</v>
      </c>
    </row>
    <row r="31" spans="1:9" x14ac:dyDescent="0.25">
      <c r="A31" s="58" t="s">
        <v>214</v>
      </c>
      <c r="B31" s="50" t="s">
        <v>221</v>
      </c>
      <c r="D31" s="50"/>
      <c r="E31" s="50"/>
      <c r="F31" s="50"/>
      <c r="H31" s="50"/>
      <c r="I31" s="50"/>
    </row>
    <row r="32" spans="1:9" x14ac:dyDescent="0.25">
      <c r="A32" s="50" t="s">
        <v>166</v>
      </c>
      <c r="B32" s="50" t="s">
        <v>222</v>
      </c>
      <c r="D32" s="50"/>
      <c r="E32" s="50"/>
      <c r="F32" s="50"/>
      <c r="H32" s="50"/>
      <c r="I32" s="50"/>
    </row>
    <row r="33" spans="1:9" x14ac:dyDescent="0.25">
      <c r="A33" s="50" t="s">
        <v>167</v>
      </c>
      <c r="B33" s="50" t="s">
        <v>223</v>
      </c>
      <c r="D33" s="50"/>
      <c r="E33" s="50"/>
      <c r="F33" s="50"/>
      <c r="H33" s="50"/>
      <c r="I33" s="50"/>
    </row>
    <row r="34" spans="1:9" x14ac:dyDescent="0.25">
      <c r="A34" s="50" t="s">
        <v>165</v>
      </c>
      <c r="B34" s="50" t="s">
        <v>224</v>
      </c>
      <c r="D34" s="50"/>
      <c r="E34" s="50"/>
      <c r="F34" s="50"/>
      <c r="H34" s="50"/>
      <c r="I34" s="50"/>
    </row>
    <row r="35" spans="1:9" x14ac:dyDescent="0.25">
      <c r="A35" s="50"/>
      <c r="B35" s="50"/>
      <c r="D35" s="50"/>
      <c r="E35" s="50"/>
      <c r="F35" s="50"/>
      <c r="H35" s="50"/>
      <c r="I35" s="50"/>
    </row>
    <row r="36" spans="1:9" x14ac:dyDescent="0.25">
      <c r="A36" s="49" t="s">
        <v>22</v>
      </c>
      <c r="B36" s="50"/>
      <c r="D36" s="50"/>
      <c r="E36" s="50"/>
      <c r="F36" s="50"/>
      <c r="H36" s="50"/>
      <c r="I36" s="50"/>
    </row>
    <row r="37" spans="1:9" x14ac:dyDescent="0.25">
      <c r="A37" s="58" t="s">
        <v>116</v>
      </c>
      <c r="B37" s="50"/>
      <c r="D37" s="50"/>
      <c r="E37" s="50"/>
      <c r="F37" s="50"/>
      <c r="H37" s="50"/>
      <c r="I37" s="50"/>
    </row>
  </sheetData>
  <hyperlinks>
    <hyperlink ref="A11" location="'Table II.B1.9.1'!A1" display="'Table II.B1.9.1'!A1"/>
    <hyperlink ref="A12" location="'Table II.B1.9.2'!A1" display="'Table II.B1.9.2'!A1"/>
    <hyperlink ref="A13" location="'Table II.B1.9.3'!A1" display="'Table II.B1.9.3'!A1"/>
    <hyperlink ref="A14" location="'Table II.B1.9.4'!A1" display="'Table II.B1.9.4'!A1"/>
    <hyperlink ref="A15" location="'Table II.B1.9.5'!A1" display="'Table II.B1.9.5'!A1"/>
    <hyperlink ref="A16" location="'Table II.B1.9.6'!A1" display="'Table II.B1.9.6'!A1"/>
    <hyperlink ref="A17" location="'Table II.B1.9.7'!A1" display="'Table II.B1.9.7'!A1"/>
    <hyperlink ref="A18" location="'Table II.B1.9.8'!A1" display="'Table II.B1.9.8'!A1"/>
    <hyperlink ref="A19" location="'Table II.B1.9.9'!A1" display="'Table II.B1.9.9'!A1"/>
    <hyperlink ref="A20" location="'Table II.B1.9.10'!A1" display="'Table II.B1.9.10'!A1"/>
    <hyperlink ref="A21" location="'Table II.B1.9.11'!A1" display="'Table II.B1.9.11'!A1"/>
    <hyperlink ref="A1" r:id="rId1" display="https://doi.org/10.1787/b5fd1b8f-en"/>
    <hyperlink ref="A4" r:id="rId2"/>
  </hyperlinks>
  <pageMargins left="0.7" right="0.7" top="0.75" bottom="0.75" header="0.3" footer="0.3"/>
  <pageSetup paperSize="9"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108"/>
  <sheetViews>
    <sheetView showGridLines="0" zoomScale="80" zoomScaleNormal="80" workbookViewId="0"/>
  </sheetViews>
  <sheetFormatPr defaultRowHeight="13.2" x14ac:dyDescent="0.25"/>
  <cols>
    <col min="1" max="1" width="28.33203125" customWidth="1"/>
    <col min="2" max="3" width="9" customWidth="1"/>
    <col min="4" max="4" width="2.44140625" customWidth="1"/>
    <col min="5" max="6" width="9" customWidth="1"/>
    <col min="7" max="7" width="2.44140625" customWidth="1"/>
    <col min="8" max="9" width="9" customWidth="1"/>
    <col min="10" max="10" width="2.44140625" customWidth="1"/>
    <col min="11" max="12" width="9" customWidth="1"/>
    <col min="13" max="13" width="2.44140625" customWidth="1"/>
    <col min="14" max="15" width="9" customWidth="1"/>
    <col min="16" max="16" width="2.44140625" customWidth="1"/>
    <col min="17" max="18" width="9" customWidth="1"/>
    <col min="19" max="19" width="2.44140625" customWidth="1"/>
    <col min="20" max="21" width="9" customWidth="1"/>
    <col min="22" max="22" width="2.44140625" customWidth="1"/>
    <col min="23" max="24" width="9" customWidth="1"/>
    <col min="25" max="25" width="2.44140625" customWidth="1"/>
    <col min="26" max="27" width="9" customWidth="1"/>
    <col min="28" max="28" width="2.44140625" customWidth="1"/>
    <col min="29" max="30" width="9" customWidth="1"/>
    <col min="31" max="31" width="2.44140625" customWidth="1"/>
    <col min="32" max="33" width="9" customWidth="1"/>
    <col min="34" max="34" width="2.44140625" customWidth="1"/>
    <col min="35" max="36" width="9" customWidth="1"/>
    <col min="37" max="37" width="2.44140625" customWidth="1"/>
    <col min="38" max="39" width="9" customWidth="1"/>
    <col min="40" max="40" width="2.44140625" customWidth="1"/>
  </cols>
  <sheetData>
    <row r="1" spans="1:40" s="115" customFormat="1" x14ac:dyDescent="0.25">
      <c r="A1" s="116" t="s">
        <v>232</v>
      </c>
    </row>
    <row r="2" spans="1:40" s="115" customFormat="1" x14ac:dyDescent="0.25">
      <c r="A2" s="115" t="s">
        <v>233</v>
      </c>
      <c r="B2" s="115" t="s">
        <v>234</v>
      </c>
    </row>
    <row r="3" spans="1:40" s="115" customFormat="1" x14ac:dyDescent="0.25">
      <c r="A3" s="115" t="s">
        <v>235</v>
      </c>
    </row>
    <row r="4" spans="1:40" s="115" customFormat="1" x14ac:dyDescent="0.25">
      <c r="A4" s="116" t="s">
        <v>236</v>
      </c>
    </row>
    <row r="5" spans="1:40" s="115" customFormat="1" x14ac:dyDescent="0.25"/>
    <row r="6" spans="1:40" x14ac:dyDescent="0.25">
      <c r="A6" s="2" t="s">
        <v>118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S6" s="2"/>
      <c r="T6" s="2"/>
      <c r="U6" s="2"/>
      <c r="W6" s="2"/>
      <c r="AC6" s="1"/>
      <c r="AE6" s="6"/>
      <c r="AF6" s="2"/>
      <c r="AG6" s="2"/>
      <c r="AI6" s="2"/>
    </row>
    <row r="7" spans="1:40" x14ac:dyDescent="0.25">
      <c r="A7" s="6" t="s">
        <v>20</v>
      </c>
      <c r="B7" s="6"/>
      <c r="C7" s="6"/>
      <c r="D7" s="6"/>
      <c r="E7" s="6"/>
      <c r="F7" s="2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S7" s="2"/>
      <c r="T7" s="2"/>
      <c r="U7" s="2"/>
      <c r="V7" s="2"/>
      <c r="W7" s="2"/>
      <c r="AC7" s="6"/>
      <c r="AF7" s="2"/>
      <c r="AG7" s="2"/>
      <c r="AH7" s="2"/>
      <c r="AI7" s="2"/>
    </row>
    <row r="8" spans="1:40" x14ac:dyDescent="0.25">
      <c r="A8" s="28" t="s">
        <v>27</v>
      </c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S8" s="2"/>
      <c r="T8" s="2"/>
      <c r="U8" s="2"/>
      <c r="V8" s="2"/>
      <c r="W8" s="2"/>
      <c r="AC8" s="7"/>
      <c r="AE8" s="7"/>
      <c r="AF8" s="2"/>
      <c r="AG8" s="2"/>
      <c r="AH8" s="2"/>
      <c r="AI8" s="2"/>
    </row>
    <row r="9" spans="1:40" x14ac:dyDescent="0.25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6"/>
      <c r="T9" s="2"/>
      <c r="U9" s="2"/>
      <c r="V9" s="2"/>
      <c r="W9" s="2"/>
      <c r="AC9" s="7"/>
      <c r="AD9" s="7"/>
      <c r="AE9" s="7"/>
      <c r="AF9" s="2"/>
      <c r="AG9" s="2"/>
      <c r="AH9" s="2"/>
      <c r="AI9" s="2"/>
    </row>
    <row r="10" spans="1:40" x14ac:dyDescent="0.25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2"/>
      <c r="U10" s="2"/>
      <c r="V10" s="2"/>
      <c r="W10" s="2"/>
      <c r="AC10" s="7"/>
      <c r="AD10" s="7"/>
      <c r="AE10" s="7"/>
      <c r="AF10" s="2"/>
      <c r="AG10" s="2"/>
      <c r="AH10" s="2"/>
      <c r="AI10" s="2"/>
    </row>
    <row r="11" spans="1:40" ht="13.8" thickBot="1" x14ac:dyDescent="0.3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1:40" ht="15.75" customHeight="1" x14ac:dyDescent="0.25">
      <c r="A12" s="22"/>
      <c r="B12" s="71" t="s">
        <v>8</v>
      </c>
      <c r="C12" s="72"/>
      <c r="D12" s="73"/>
      <c r="E12" s="77" t="s">
        <v>9</v>
      </c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8"/>
      <c r="Q12" s="83" t="s">
        <v>21</v>
      </c>
      <c r="R12" s="77"/>
      <c r="S12" s="77"/>
      <c r="T12" s="77"/>
      <c r="U12" s="77"/>
      <c r="V12" s="77"/>
      <c r="W12" s="77"/>
      <c r="X12" s="77"/>
      <c r="Y12" s="77"/>
      <c r="Z12" s="77"/>
      <c r="AA12" s="77"/>
      <c r="AB12" s="78"/>
      <c r="AC12" s="77" t="s">
        <v>29</v>
      </c>
      <c r="AD12" s="77"/>
      <c r="AE12" s="77"/>
      <c r="AF12" s="77"/>
      <c r="AG12" s="77"/>
      <c r="AH12" s="77"/>
      <c r="AI12" s="77"/>
      <c r="AJ12" s="77"/>
      <c r="AK12" s="77"/>
      <c r="AL12" s="77"/>
      <c r="AM12" s="77"/>
      <c r="AN12" s="79"/>
    </row>
    <row r="13" spans="1:40" ht="45.75" customHeight="1" x14ac:dyDescent="0.25">
      <c r="A13" s="9"/>
      <c r="B13" s="74"/>
      <c r="C13" s="75"/>
      <c r="D13" s="76"/>
      <c r="E13" s="80" t="s">
        <v>5</v>
      </c>
      <c r="F13" s="80"/>
      <c r="G13" s="81"/>
      <c r="H13" s="82" t="s">
        <v>6</v>
      </c>
      <c r="I13" s="80"/>
      <c r="J13" s="81"/>
      <c r="K13" s="82" t="s">
        <v>47</v>
      </c>
      <c r="L13" s="80"/>
      <c r="M13" s="81"/>
      <c r="N13" s="82" t="s">
        <v>48</v>
      </c>
      <c r="O13" s="80"/>
      <c r="P13" s="81"/>
      <c r="Q13" s="67" t="s">
        <v>66</v>
      </c>
      <c r="R13" s="68"/>
      <c r="S13" s="69"/>
      <c r="T13" s="67" t="s">
        <v>67</v>
      </c>
      <c r="U13" s="68"/>
      <c r="V13" s="69"/>
      <c r="W13" s="67" t="s">
        <v>45</v>
      </c>
      <c r="X13" s="68"/>
      <c r="Y13" s="69"/>
      <c r="Z13" s="67" t="s">
        <v>46</v>
      </c>
      <c r="AA13" s="68"/>
      <c r="AB13" s="69"/>
      <c r="AC13" s="68" t="s">
        <v>66</v>
      </c>
      <c r="AD13" s="68"/>
      <c r="AE13" s="69"/>
      <c r="AF13" s="67" t="s">
        <v>67</v>
      </c>
      <c r="AG13" s="68"/>
      <c r="AH13" s="69"/>
      <c r="AI13" s="67" t="s">
        <v>45</v>
      </c>
      <c r="AJ13" s="68"/>
      <c r="AK13" s="69"/>
      <c r="AL13" s="67" t="s">
        <v>46</v>
      </c>
      <c r="AM13" s="68"/>
      <c r="AN13" s="70"/>
    </row>
    <row r="14" spans="1:40" ht="26.4" x14ac:dyDescent="0.25">
      <c r="A14" s="10"/>
      <c r="B14" s="11" t="s">
        <v>0</v>
      </c>
      <c r="C14" s="12" t="s">
        <v>1</v>
      </c>
      <c r="D14" s="13" t="s">
        <v>2</v>
      </c>
      <c r="E14" s="11" t="s">
        <v>10</v>
      </c>
      <c r="F14" s="12" t="s">
        <v>1</v>
      </c>
      <c r="G14" s="13" t="s">
        <v>2</v>
      </c>
      <c r="H14" s="11" t="s">
        <v>10</v>
      </c>
      <c r="I14" s="12" t="s">
        <v>1</v>
      </c>
      <c r="J14" s="13" t="s">
        <v>2</v>
      </c>
      <c r="K14" s="11" t="s">
        <v>10</v>
      </c>
      <c r="L14" s="12" t="s">
        <v>1</v>
      </c>
      <c r="M14" s="13" t="s">
        <v>2</v>
      </c>
      <c r="N14" s="11" t="s">
        <v>10</v>
      </c>
      <c r="O14" s="12" t="s">
        <v>1</v>
      </c>
      <c r="P14" s="13" t="s">
        <v>2</v>
      </c>
      <c r="Q14" s="11" t="s">
        <v>0</v>
      </c>
      <c r="R14" s="12" t="s">
        <v>1</v>
      </c>
      <c r="S14" s="13" t="s">
        <v>2</v>
      </c>
      <c r="T14" s="11" t="s">
        <v>0</v>
      </c>
      <c r="U14" s="12" t="s">
        <v>1</v>
      </c>
      <c r="V14" s="13" t="s">
        <v>2</v>
      </c>
      <c r="W14" s="11" t="s">
        <v>0</v>
      </c>
      <c r="X14" s="12" t="s">
        <v>1</v>
      </c>
      <c r="Y14" s="13" t="s">
        <v>2</v>
      </c>
      <c r="Z14" s="11" t="s">
        <v>0</v>
      </c>
      <c r="AA14" s="12" t="s">
        <v>1</v>
      </c>
      <c r="AB14" s="13" t="s">
        <v>2</v>
      </c>
      <c r="AC14" s="11" t="s">
        <v>0</v>
      </c>
      <c r="AD14" s="12" t="s">
        <v>1</v>
      </c>
      <c r="AE14" s="13" t="s">
        <v>2</v>
      </c>
      <c r="AF14" s="11" t="s">
        <v>0</v>
      </c>
      <c r="AG14" s="12" t="s">
        <v>1</v>
      </c>
      <c r="AH14" s="13" t="s">
        <v>2</v>
      </c>
      <c r="AI14" s="11" t="s">
        <v>0</v>
      </c>
      <c r="AJ14" s="12" t="s">
        <v>1</v>
      </c>
      <c r="AK14" s="13" t="s">
        <v>2</v>
      </c>
      <c r="AL14" s="11" t="s">
        <v>0</v>
      </c>
      <c r="AM14" s="12" t="s">
        <v>1</v>
      </c>
      <c r="AN14" s="14" t="s">
        <v>2</v>
      </c>
    </row>
    <row r="15" spans="1:40" x14ac:dyDescent="0.25">
      <c r="A15" s="63" t="s">
        <v>210</v>
      </c>
      <c r="B15" s="59"/>
      <c r="C15" s="60"/>
      <c r="D15" s="61"/>
      <c r="E15" s="59"/>
      <c r="F15" s="60"/>
      <c r="G15" s="61"/>
      <c r="H15" s="59"/>
      <c r="I15" s="60"/>
      <c r="J15" s="61"/>
      <c r="K15" s="59"/>
      <c r="L15" s="60"/>
      <c r="M15" s="61"/>
      <c r="N15" s="59"/>
      <c r="O15" s="60"/>
      <c r="P15" s="61"/>
      <c r="Q15" s="59"/>
      <c r="R15" s="60"/>
      <c r="S15" s="61"/>
      <c r="T15" s="59"/>
      <c r="U15" s="60"/>
      <c r="V15" s="61"/>
      <c r="W15" s="59"/>
      <c r="X15" s="60"/>
      <c r="Y15" s="61"/>
      <c r="Z15" s="59"/>
      <c r="AA15" s="60"/>
      <c r="AB15" s="61"/>
      <c r="AC15" s="59"/>
      <c r="AD15" s="60"/>
      <c r="AE15" s="61"/>
      <c r="AF15" s="59"/>
      <c r="AG15" s="60"/>
      <c r="AH15" s="61"/>
      <c r="AI15" s="59"/>
      <c r="AJ15" s="60"/>
      <c r="AK15" s="61"/>
      <c r="AL15" s="59"/>
      <c r="AM15" s="60"/>
      <c r="AN15" s="62"/>
    </row>
    <row r="16" spans="1:40" ht="13.5" customHeight="1" x14ac:dyDescent="0.25">
      <c r="A16" s="15" t="s">
        <v>130</v>
      </c>
      <c r="B16" s="36">
        <v>27.70876328155763</v>
      </c>
      <c r="C16" s="37">
        <v>0.84465675737519963</v>
      </c>
      <c r="D16" s="38" t="s">
        <v>53</v>
      </c>
      <c r="E16" s="16">
        <v>0.32305746888794001</v>
      </c>
      <c r="F16" s="17">
        <v>1.4593513392846813E-2</v>
      </c>
      <c r="G16" s="38" t="s">
        <v>53</v>
      </c>
      <c r="H16" s="16">
        <v>0.30979035863526599</v>
      </c>
      <c r="I16" s="17">
        <v>3.1466424529577187E-2</v>
      </c>
      <c r="J16" s="38" t="s">
        <v>53</v>
      </c>
      <c r="K16" s="16">
        <v>0.30290286583978271</v>
      </c>
      <c r="L16" s="17">
        <v>3.4974923778958625E-2</v>
      </c>
      <c r="M16" s="38" t="s">
        <v>53</v>
      </c>
      <c r="N16" s="16">
        <v>0.31634007387823809</v>
      </c>
      <c r="O16" s="17">
        <v>3.9017975434878963E-2</v>
      </c>
      <c r="P16" s="38" t="s">
        <v>53</v>
      </c>
      <c r="Q16" s="36">
        <v>24.655072345779441</v>
      </c>
      <c r="R16" s="37">
        <v>0.65623097378179263</v>
      </c>
      <c r="S16" s="38" t="s">
        <v>53</v>
      </c>
      <c r="T16" s="36">
        <v>25.357487443702109</v>
      </c>
      <c r="U16" s="37">
        <v>1.3676532875934484</v>
      </c>
      <c r="V16" s="38" t="s">
        <v>53</v>
      </c>
      <c r="W16" s="36">
        <v>26.844218948850013</v>
      </c>
      <c r="X16" s="37">
        <v>1.7040072816344576</v>
      </c>
      <c r="Y16" s="38" t="s">
        <v>53</v>
      </c>
      <c r="Z16" s="36">
        <v>23.94366846913131</v>
      </c>
      <c r="AA16" s="37">
        <v>1.5230140542337991</v>
      </c>
      <c r="AB16" s="38" t="s">
        <v>53</v>
      </c>
      <c r="AC16" s="36">
        <v>25.142158100473427</v>
      </c>
      <c r="AD16" s="37">
        <v>0.60488735180513897</v>
      </c>
      <c r="AE16" s="38" t="s">
        <v>53</v>
      </c>
      <c r="AF16" s="36">
        <v>25.14736670878268</v>
      </c>
      <c r="AG16" s="37">
        <v>0.9561384740077592</v>
      </c>
      <c r="AH16" s="38" t="s">
        <v>53</v>
      </c>
      <c r="AI16" s="36">
        <v>23.374674176772889</v>
      </c>
      <c r="AJ16" s="37">
        <v>1.116029431557215</v>
      </c>
      <c r="AK16" s="38" t="s">
        <v>53</v>
      </c>
      <c r="AL16" s="36">
        <v>26.833122562584983</v>
      </c>
      <c r="AM16" s="37">
        <v>1.3861304477749792</v>
      </c>
      <c r="AN16" s="39" t="s">
        <v>53</v>
      </c>
    </row>
    <row r="17" spans="1:40" x14ac:dyDescent="0.25">
      <c r="A17" s="15" t="s">
        <v>131</v>
      </c>
      <c r="B17" s="36">
        <v>22.686235321470399</v>
      </c>
      <c r="C17" s="37">
        <v>1.1527352979062462</v>
      </c>
      <c r="D17" s="38" t="s">
        <v>53</v>
      </c>
      <c r="E17" s="16">
        <v>0.16765103875854601</v>
      </c>
      <c r="F17" s="17">
        <v>1.6702574114470462E-2</v>
      </c>
      <c r="G17" s="38" t="s">
        <v>53</v>
      </c>
      <c r="H17" s="16">
        <v>-0.50710657106835166</v>
      </c>
      <c r="I17" s="17">
        <v>2.854478269970161E-2</v>
      </c>
      <c r="J17" s="38" t="s">
        <v>53</v>
      </c>
      <c r="K17" s="16">
        <v>-0.53410088860619187</v>
      </c>
      <c r="L17" s="17">
        <v>3.0701665525026876E-2</v>
      </c>
      <c r="M17" s="38" t="s">
        <v>53</v>
      </c>
      <c r="N17" s="16">
        <v>-0.45519889040147149</v>
      </c>
      <c r="O17" s="17">
        <v>5.6809488168181044E-2</v>
      </c>
      <c r="P17" s="38" t="s">
        <v>53</v>
      </c>
      <c r="Q17" s="36">
        <v>17.883371268612681</v>
      </c>
      <c r="R17" s="37">
        <v>0.71961570740404823</v>
      </c>
      <c r="S17" s="38" t="s">
        <v>53</v>
      </c>
      <c r="T17" s="36">
        <v>49.029746534580497</v>
      </c>
      <c r="U17" s="37">
        <v>1.5566679508501098</v>
      </c>
      <c r="V17" s="38" t="s">
        <v>53</v>
      </c>
      <c r="W17" s="36">
        <v>48.688817039316412</v>
      </c>
      <c r="X17" s="37">
        <v>1.8527655874244529</v>
      </c>
      <c r="Y17" s="38" t="s">
        <v>53</v>
      </c>
      <c r="Z17" s="36">
        <v>49.68532374431296</v>
      </c>
      <c r="AA17" s="37">
        <v>2.6902116051096008</v>
      </c>
      <c r="AB17" s="38" t="s">
        <v>53</v>
      </c>
      <c r="AC17" s="36">
        <v>28.830309811367609</v>
      </c>
      <c r="AD17" s="37">
        <v>0.88622769165576409</v>
      </c>
      <c r="AE17" s="38" t="s">
        <v>53</v>
      </c>
      <c r="AF17" s="36">
        <v>11.71071807598147</v>
      </c>
      <c r="AG17" s="37">
        <v>0.86812377565658794</v>
      </c>
      <c r="AH17" s="38" t="s">
        <v>53</v>
      </c>
      <c r="AI17" s="36">
        <v>9.0780124391618795</v>
      </c>
      <c r="AJ17" s="37">
        <v>0.91000044030618354</v>
      </c>
      <c r="AK17" s="38" t="s">
        <v>53</v>
      </c>
      <c r="AL17" s="36">
        <v>16.77317773232814</v>
      </c>
      <c r="AM17" s="37">
        <v>1.6790542184889738</v>
      </c>
      <c r="AN17" s="39" t="s">
        <v>53</v>
      </c>
    </row>
    <row r="18" spans="1:40" x14ac:dyDescent="0.25">
      <c r="A18" s="15" t="s">
        <v>132</v>
      </c>
      <c r="B18" s="36">
        <v>18.059454688726909</v>
      </c>
      <c r="C18" s="37">
        <v>0.85847510420573059</v>
      </c>
      <c r="D18" s="38" t="s">
        <v>53</v>
      </c>
      <c r="E18" s="16">
        <v>0.19328489693050721</v>
      </c>
      <c r="F18" s="17">
        <v>1.7423470485552848E-2</v>
      </c>
      <c r="G18" s="38" t="s">
        <v>53</v>
      </c>
      <c r="H18" s="16">
        <v>-0.45160942781499591</v>
      </c>
      <c r="I18" s="17">
        <v>3.7686550997044994E-2</v>
      </c>
      <c r="J18" s="38" t="s">
        <v>53</v>
      </c>
      <c r="K18" s="16">
        <v>-0.42801681815731929</v>
      </c>
      <c r="L18" s="17">
        <v>3.2413064084525239E-2</v>
      </c>
      <c r="M18" s="38" t="s">
        <v>53</v>
      </c>
      <c r="N18" s="16">
        <v>-0.48241614021388968</v>
      </c>
      <c r="O18" s="17">
        <v>6.9575586843665507E-2</v>
      </c>
      <c r="P18" s="38" t="s">
        <v>53</v>
      </c>
      <c r="Q18" s="36">
        <v>20.482619346773301</v>
      </c>
      <c r="R18" s="37">
        <v>0.68197041823787707</v>
      </c>
      <c r="S18" s="38" t="s">
        <v>53</v>
      </c>
      <c r="T18" s="36">
        <v>43.933764933015567</v>
      </c>
      <c r="U18" s="37">
        <v>1.7468383620483079</v>
      </c>
      <c r="V18" s="38" t="s">
        <v>53</v>
      </c>
      <c r="W18" s="36">
        <v>42.739279890842852</v>
      </c>
      <c r="X18" s="37">
        <v>1.8778163206338478</v>
      </c>
      <c r="Y18" s="38" t="s">
        <v>53</v>
      </c>
      <c r="Z18" s="36">
        <v>45.493497310778288</v>
      </c>
      <c r="AA18" s="37">
        <v>2.7941706066066483</v>
      </c>
      <c r="AB18" s="38" t="s">
        <v>53</v>
      </c>
      <c r="AC18" s="36">
        <v>28.199494649030072</v>
      </c>
      <c r="AD18" s="37">
        <v>0.74988365662932055</v>
      </c>
      <c r="AE18" s="38" t="s">
        <v>53</v>
      </c>
      <c r="AF18" s="36">
        <v>11.58040682803238</v>
      </c>
      <c r="AG18" s="37">
        <v>1.0472457730169324</v>
      </c>
      <c r="AH18" s="38" t="s">
        <v>53</v>
      </c>
      <c r="AI18" s="36">
        <v>10.815190086009959</v>
      </c>
      <c r="AJ18" s="37">
        <v>1.0382241833810388</v>
      </c>
      <c r="AK18" s="38" t="s">
        <v>53</v>
      </c>
      <c r="AL18" s="36">
        <v>12.57961007160543</v>
      </c>
      <c r="AM18" s="37">
        <v>1.6698536729609395</v>
      </c>
      <c r="AN18" s="39" t="s">
        <v>53</v>
      </c>
    </row>
    <row r="19" spans="1:40" x14ac:dyDescent="0.25">
      <c r="A19" s="15" t="s">
        <v>133</v>
      </c>
      <c r="B19" s="36">
        <v>34.969966286453818</v>
      </c>
      <c r="C19" s="37">
        <v>1.4227690605278804</v>
      </c>
      <c r="D19" s="38" t="s">
        <v>53</v>
      </c>
      <c r="E19" s="16">
        <v>0.4510342275756673</v>
      </c>
      <c r="F19" s="17">
        <v>1.4122474331108702E-2</v>
      </c>
      <c r="G19" s="38" t="s">
        <v>53</v>
      </c>
      <c r="H19" s="16">
        <v>0.36883744975902472</v>
      </c>
      <c r="I19" s="17">
        <v>2.8165720249103927E-2</v>
      </c>
      <c r="J19" s="38" t="s">
        <v>53</v>
      </c>
      <c r="K19" s="16">
        <v>0.35929271308155508</v>
      </c>
      <c r="L19" s="17">
        <v>3.3258817714545558E-2</v>
      </c>
      <c r="M19" s="38" t="s">
        <v>53</v>
      </c>
      <c r="N19" s="16">
        <v>0.37884378860370099</v>
      </c>
      <c r="O19" s="17">
        <v>3.3311323250174774E-2</v>
      </c>
      <c r="P19" s="38" t="s">
        <v>53</v>
      </c>
      <c r="Q19" s="36">
        <v>23.39801707222286</v>
      </c>
      <c r="R19" s="37">
        <v>0.59086281990144307</v>
      </c>
      <c r="S19" s="38" t="s">
        <v>53</v>
      </c>
      <c r="T19" s="36">
        <v>27.312400329338832</v>
      </c>
      <c r="U19" s="37">
        <v>1.3005911034696354</v>
      </c>
      <c r="V19" s="38" t="s">
        <v>53</v>
      </c>
      <c r="W19" s="36">
        <v>28.277232623443588</v>
      </c>
      <c r="X19" s="37">
        <v>1.678224997394375</v>
      </c>
      <c r="Y19" s="38" t="s">
        <v>53</v>
      </c>
      <c r="Z19" s="36">
        <v>26.300906855046552</v>
      </c>
      <c r="AA19" s="37">
        <v>1.4297832895673399</v>
      </c>
      <c r="AB19" s="38" t="s">
        <v>53</v>
      </c>
      <c r="AC19" s="36">
        <v>25.78976219036322</v>
      </c>
      <c r="AD19" s="37">
        <v>0.75471729393829179</v>
      </c>
      <c r="AE19" s="38" t="s">
        <v>53</v>
      </c>
      <c r="AF19" s="36">
        <v>23.59764944792698</v>
      </c>
      <c r="AG19" s="37">
        <v>1.0451170983179006</v>
      </c>
      <c r="AH19" s="38" t="s">
        <v>53</v>
      </c>
      <c r="AI19" s="36">
        <v>23.655934824611748</v>
      </c>
      <c r="AJ19" s="37">
        <v>1.3959772196168843</v>
      </c>
      <c r="AK19" s="38" t="s">
        <v>53</v>
      </c>
      <c r="AL19" s="36">
        <v>23.53654527622426</v>
      </c>
      <c r="AM19" s="37">
        <v>1.2496227213208753</v>
      </c>
      <c r="AN19" s="39" t="s">
        <v>53</v>
      </c>
    </row>
    <row r="20" spans="1:40" x14ac:dyDescent="0.25">
      <c r="A20" s="15" t="s">
        <v>134</v>
      </c>
      <c r="B20" s="36">
        <v>3.3908614801180597</v>
      </c>
      <c r="C20" s="37">
        <v>0.38959486833610874</v>
      </c>
      <c r="D20" s="38" t="s">
        <v>53</v>
      </c>
      <c r="E20" s="16">
        <v>-0.56648428169698073</v>
      </c>
      <c r="F20" s="17">
        <v>2.7851756997824276E-2</v>
      </c>
      <c r="G20" s="38" t="s">
        <v>53</v>
      </c>
      <c r="H20" s="16">
        <v>-0.77108255127728942</v>
      </c>
      <c r="I20" s="17">
        <v>8.9456020990502066E-2</v>
      </c>
      <c r="J20" s="38" t="s">
        <v>53</v>
      </c>
      <c r="K20" s="16">
        <v>-0.24022538775658239</v>
      </c>
      <c r="L20" s="17">
        <v>0.18771125932967389</v>
      </c>
      <c r="M20" s="38" t="s">
        <v>53</v>
      </c>
      <c r="N20" s="16">
        <v>-0.90727907447837486</v>
      </c>
      <c r="O20" s="17">
        <v>0.10591561540776977</v>
      </c>
      <c r="P20" s="38" t="s">
        <v>53</v>
      </c>
      <c r="Q20" s="36">
        <v>24.243654230072988</v>
      </c>
      <c r="R20" s="37">
        <v>1.0042866387829383</v>
      </c>
      <c r="S20" s="38" t="s">
        <v>53</v>
      </c>
      <c r="T20" s="36">
        <v>37.74999860221822</v>
      </c>
      <c r="U20" s="37">
        <v>3.818648856815257</v>
      </c>
      <c r="V20" s="38" t="s">
        <v>53</v>
      </c>
      <c r="W20" s="36">
        <v>21.506954067704758</v>
      </c>
      <c r="X20" s="37">
        <v>8.1504853412105582</v>
      </c>
      <c r="Y20" s="38" t="s">
        <v>53</v>
      </c>
      <c r="Z20" s="36">
        <v>41.917308273861799</v>
      </c>
      <c r="AA20" s="37">
        <v>5.2318526947741493</v>
      </c>
      <c r="AB20" s="38" t="s">
        <v>53</v>
      </c>
      <c r="AC20" s="36">
        <v>25.54092301392042</v>
      </c>
      <c r="AD20" s="37">
        <v>1.0155963525607676</v>
      </c>
      <c r="AE20" s="38" t="s">
        <v>53</v>
      </c>
      <c r="AF20" s="36">
        <v>21.475546748599669</v>
      </c>
      <c r="AG20" s="37">
        <v>3.2364166197644679</v>
      </c>
      <c r="AH20" s="38" t="s">
        <v>53</v>
      </c>
      <c r="AI20" s="36">
        <v>35.774059833142488</v>
      </c>
      <c r="AJ20" s="37">
        <v>7.3700242373375371</v>
      </c>
      <c r="AK20" s="38" t="s">
        <v>53</v>
      </c>
      <c r="AL20" s="36">
        <v>17.807125367329192</v>
      </c>
      <c r="AM20" s="37">
        <v>3.4562251582855676</v>
      </c>
      <c r="AN20" s="39" t="s">
        <v>53</v>
      </c>
    </row>
    <row r="21" spans="1:40" x14ac:dyDescent="0.25">
      <c r="A21" s="15" t="s">
        <v>135</v>
      </c>
      <c r="B21" s="36">
        <v>0.55659208363787993</v>
      </c>
      <c r="C21" s="37">
        <v>0.12058001255994841</v>
      </c>
      <c r="D21" s="38" t="s">
        <v>53</v>
      </c>
      <c r="E21" s="16">
        <v>-1.1808828874708881</v>
      </c>
      <c r="F21" s="17">
        <v>4.4758797620402489E-2</v>
      </c>
      <c r="G21" s="38" t="s">
        <v>53</v>
      </c>
      <c r="H21" s="16">
        <v>-1.624798429274894</v>
      </c>
      <c r="I21" s="17">
        <v>0.32376165200224027</v>
      </c>
      <c r="J21" s="38" t="s">
        <v>53</v>
      </c>
      <c r="K21" s="16" t="s">
        <v>56</v>
      </c>
      <c r="L21" s="17" t="s">
        <v>56</v>
      </c>
      <c r="M21" s="38" t="s">
        <v>53</v>
      </c>
      <c r="N21" s="16" t="s">
        <v>56</v>
      </c>
      <c r="O21" s="17" t="s">
        <v>56</v>
      </c>
      <c r="P21" s="38" t="s">
        <v>53</v>
      </c>
      <c r="Q21" s="36">
        <v>24.68244614017058</v>
      </c>
      <c r="R21" s="37">
        <v>1.3083262555453961</v>
      </c>
      <c r="S21" s="38" t="s">
        <v>53</v>
      </c>
      <c r="T21" s="36">
        <v>53.771044307902031</v>
      </c>
      <c r="U21" s="37">
        <v>7.8978314297977716</v>
      </c>
      <c r="V21" s="38" t="s">
        <v>53</v>
      </c>
      <c r="W21" s="36" t="s">
        <v>55</v>
      </c>
      <c r="X21" s="37" t="s">
        <v>55</v>
      </c>
      <c r="Y21" s="38" t="s">
        <v>53</v>
      </c>
      <c r="Z21" s="36" t="s">
        <v>55</v>
      </c>
      <c r="AA21" s="37" t="s">
        <v>55</v>
      </c>
      <c r="AB21" s="38" t="s">
        <v>53</v>
      </c>
      <c r="AC21" s="36">
        <v>25.079745313943942</v>
      </c>
      <c r="AD21" s="37">
        <v>1.2171088802308341</v>
      </c>
      <c r="AE21" s="38" t="s">
        <v>53</v>
      </c>
      <c r="AF21" s="36">
        <v>24.081952831659549</v>
      </c>
      <c r="AG21" s="37">
        <v>7.2688285971416429</v>
      </c>
      <c r="AH21" s="38" t="s">
        <v>53</v>
      </c>
      <c r="AI21" s="36" t="s">
        <v>55</v>
      </c>
      <c r="AJ21" s="37" t="s">
        <v>55</v>
      </c>
      <c r="AK21" s="38" t="s">
        <v>53</v>
      </c>
      <c r="AL21" s="36" t="s">
        <v>55</v>
      </c>
      <c r="AM21" s="37" t="s">
        <v>55</v>
      </c>
      <c r="AN21" s="39" t="s">
        <v>53</v>
      </c>
    </row>
    <row r="22" spans="1:40" x14ac:dyDescent="0.25">
      <c r="A22" s="15" t="s">
        <v>136</v>
      </c>
      <c r="B22" s="36">
        <v>4.1464036037107297</v>
      </c>
      <c r="C22" s="37">
        <v>0.38608926670904103</v>
      </c>
      <c r="D22" s="38" t="s">
        <v>53</v>
      </c>
      <c r="E22" s="16">
        <v>-0.19576619553664751</v>
      </c>
      <c r="F22" s="17">
        <v>1.727140971130826E-2</v>
      </c>
      <c r="G22" s="38" t="s">
        <v>53</v>
      </c>
      <c r="H22" s="16">
        <v>-0.48325089980704289</v>
      </c>
      <c r="I22" s="17">
        <v>9.9164074325649679E-2</v>
      </c>
      <c r="J22" s="38" t="s">
        <v>53</v>
      </c>
      <c r="K22" s="16">
        <v>-0.54708770060435796</v>
      </c>
      <c r="L22" s="17">
        <v>0.11841797954905885</v>
      </c>
      <c r="M22" s="38" t="s">
        <v>53</v>
      </c>
      <c r="N22" s="16">
        <v>-0.42262146143349189</v>
      </c>
      <c r="O22" s="17">
        <v>0.16399795900930275</v>
      </c>
      <c r="P22" s="38" t="s">
        <v>53</v>
      </c>
      <c r="Q22" s="36">
        <v>24.1682838712569</v>
      </c>
      <c r="R22" s="37">
        <v>0.81695472882790765</v>
      </c>
      <c r="S22" s="38" t="s">
        <v>53</v>
      </c>
      <c r="T22" s="36">
        <v>41.58472445501318</v>
      </c>
      <c r="U22" s="37">
        <v>3.9161963212093109</v>
      </c>
      <c r="V22" s="38" t="s">
        <v>53</v>
      </c>
      <c r="W22" s="36">
        <v>44.455095897584464</v>
      </c>
      <c r="X22" s="37">
        <v>5.6402945460697955</v>
      </c>
      <c r="Y22" s="38" t="s">
        <v>53</v>
      </c>
      <c r="Z22" s="36">
        <v>38.85856953633035</v>
      </c>
      <c r="AA22" s="37">
        <v>4.617226337063423</v>
      </c>
      <c r="AB22" s="38" t="s">
        <v>53</v>
      </c>
      <c r="AC22" s="36">
        <v>25.222867579153441</v>
      </c>
      <c r="AD22" s="37">
        <v>0.76171315933629269</v>
      </c>
      <c r="AE22" s="38" t="s">
        <v>53</v>
      </c>
      <c r="AF22" s="36">
        <v>19.47754444966662</v>
      </c>
      <c r="AG22" s="37">
        <v>2.9163574425014875</v>
      </c>
      <c r="AH22" s="38" t="s">
        <v>53</v>
      </c>
      <c r="AI22" s="36">
        <v>17.757814595065142</v>
      </c>
      <c r="AJ22" s="37">
        <v>3.9752478569829615</v>
      </c>
      <c r="AK22" s="38" t="s">
        <v>53</v>
      </c>
      <c r="AL22" s="36">
        <v>21.110869646675901</v>
      </c>
      <c r="AM22" s="37">
        <v>3.6254361434724527</v>
      </c>
      <c r="AN22" s="39" t="s">
        <v>53</v>
      </c>
    </row>
    <row r="23" spans="1:40" x14ac:dyDescent="0.25">
      <c r="A23" s="15" t="s">
        <v>137</v>
      </c>
      <c r="B23" s="36">
        <v>10.653250682536131</v>
      </c>
      <c r="C23" s="37">
        <v>0.438296984314206</v>
      </c>
      <c r="D23" s="38" t="s">
        <v>53</v>
      </c>
      <c r="E23" s="16">
        <v>0.59646765074110342</v>
      </c>
      <c r="F23" s="17">
        <v>1.5168410661730872E-2</v>
      </c>
      <c r="G23" s="38" t="s">
        <v>53</v>
      </c>
      <c r="H23" s="16">
        <v>-0.13642186069912729</v>
      </c>
      <c r="I23" s="17">
        <v>3.9013428076314215E-2</v>
      </c>
      <c r="J23" s="38" t="s">
        <v>53</v>
      </c>
      <c r="K23" s="16">
        <v>-0.1491540451104405</v>
      </c>
      <c r="L23" s="17">
        <v>3.8307064472400398E-2</v>
      </c>
      <c r="M23" s="38" t="s">
        <v>53</v>
      </c>
      <c r="N23" s="16">
        <v>-8.9004774987249097E-2</v>
      </c>
      <c r="O23" s="17">
        <v>9.0551901228723336E-2</v>
      </c>
      <c r="P23" s="38" t="s">
        <v>53</v>
      </c>
      <c r="Q23" s="36">
        <v>21.176324786471369</v>
      </c>
      <c r="R23" s="37">
        <v>0.81528609257435947</v>
      </c>
      <c r="S23" s="38" t="s">
        <v>53</v>
      </c>
      <c r="T23" s="36">
        <v>56.514699227196417</v>
      </c>
      <c r="U23" s="37">
        <v>1.9185514718797432</v>
      </c>
      <c r="V23" s="38" t="s">
        <v>53</v>
      </c>
      <c r="W23" s="36">
        <v>57.00278309349509</v>
      </c>
      <c r="X23" s="37">
        <v>1.9926461141807252</v>
      </c>
      <c r="Y23" s="38" t="s">
        <v>53</v>
      </c>
      <c r="Z23" s="36">
        <v>54.696981718934055</v>
      </c>
      <c r="AA23" s="37">
        <v>4.3578405285455108</v>
      </c>
      <c r="AB23" s="38" t="s">
        <v>53</v>
      </c>
      <c r="AC23" s="36">
        <v>26.86917693917993</v>
      </c>
      <c r="AD23" s="37">
        <v>0.84362098759352999</v>
      </c>
      <c r="AE23" s="38" t="s">
        <v>53</v>
      </c>
      <c r="AF23" s="36">
        <v>10.124243330052391</v>
      </c>
      <c r="AG23" s="37">
        <v>1.2232183748684649</v>
      </c>
      <c r="AH23" s="38" t="s">
        <v>53</v>
      </c>
      <c r="AI23" s="36">
        <v>9.7531974696337205</v>
      </c>
      <c r="AJ23" s="37">
        <v>1.3734875342979931</v>
      </c>
      <c r="AK23" s="38" t="s">
        <v>53</v>
      </c>
      <c r="AL23" s="36">
        <v>11.50608895827596</v>
      </c>
      <c r="AM23" s="37">
        <v>2.6406769522612437</v>
      </c>
      <c r="AN23" s="39" t="s">
        <v>53</v>
      </c>
    </row>
    <row r="24" spans="1:40" x14ac:dyDescent="0.25">
      <c r="A24" s="15" t="s">
        <v>138</v>
      </c>
      <c r="B24" s="36">
        <v>10.392582509365699</v>
      </c>
      <c r="C24" s="37">
        <v>0.46505302845390067</v>
      </c>
      <c r="D24" s="38" t="s">
        <v>53</v>
      </c>
      <c r="E24" s="16">
        <v>7.8719498623703005E-2</v>
      </c>
      <c r="F24" s="17">
        <v>1.6363206911634738E-2</v>
      </c>
      <c r="G24" s="38" t="s">
        <v>53</v>
      </c>
      <c r="H24" s="16">
        <v>9.26346690828692E-2</v>
      </c>
      <c r="I24" s="17">
        <v>4.0518433764957854E-2</v>
      </c>
      <c r="J24" s="38" t="s">
        <v>53</v>
      </c>
      <c r="K24" s="16">
        <v>7.5662067984529999E-2</v>
      </c>
      <c r="L24" s="17">
        <v>3.7559692461657919E-2</v>
      </c>
      <c r="M24" s="38" t="s">
        <v>53</v>
      </c>
      <c r="N24" s="16">
        <v>0.3150826778919476</v>
      </c>
      <c r="O24" s="17">
        <v>0.19726477898495542</v>
      </c>
      <c r="P24" s="38" t="s">
        <v>53</v>
      </c>
      <c r="Q24" s="36">
        <v>25.177321009838373</v>
      </c>
      <c r="R24" s="37">
        <v>0.7697760447863341</v>
      </c>
      <c r="S24" s="38" t="s">
        <v>53</v>
      </c>
      <c r="T24" s="36">
        <v>23.97891534806358</v>
      </c>
      <c r="U24" s="37">
        <v>2.1484896752188312</v>
      </c>
      <c r="V24" s="38" t="s">
        <v>53</v>
      </c>
      <c r="W24" s="36">
        <v>24.538680221008399</v>
      </c>
      <c r="X24" s="37">
        <v>2.1540912771293068</v>
      </c>
      <c r="Y24" s="38" t="s">
        <v>53</v>
      </c>
      <c r="Z24" s="36">
        <v>16.642468761804821</v>
      </c>
      <c r="AA24" s="37">
        <v>6.3342119182963676</v>
      </c>
      <c r="AB24" s="38" t="s">
        <v>53</v>
      </c>
      <c r="AC24" s="36">
        <v>25.301571582707581</v>
      </c>
      <c r="AD24" s="37">
        <v>0.80265975726978356</v>
      </c>
      <c r="AE24" s="38" t="s">
        <v>53</v>
      </c>
      <c r="AF24" s="36">
        <v>23.055251123351361</v>
      </c>
      <c r="AG24" s="37">
        <v>1.9663178350112096</v>
      </c>
      <c r="AH24" s="38" t="s">
        <v>53</v>
      </c>
      <c r="AI24" s="36">
        <v>21.952654807103471</v>
      </c>
      <c r="AJ24" s="37">
        <v>1.9729350461908817</v>
      </c>
      <c r="AK24" s="38" t="s">
        <v>53</v>
      </c>
      <c r="AL24" s="36">
        <v>37.506209679937456</v>
      </c>
      <c r="AM24" s="37">
        <v>9.3652987755250514</v>
      </c>
      <c r="AN24" s="39" t="s">
        <v>53</v>
      </c>
    </row>
    <row r="25" spans="1:40" x14ac:dyDescent="0.25">
      <c r="A25" s="15" t="s">
        <v>139</v>
      </c>
      <c r="B25" s="36">
        <v>5.7757806421643902</v>
      </c>
      <c r="C25" s="37">
        <v>0.47656616025151088</v>
      </c>
      <c r="D25" s="38" t="s">
        <v>53</v>
      </c>
      <c r="E25" s="16">
        <v>0.33048822861339078</v>
      </c>
      <c r="F25" s="17">
        <v>1.8389489213326414E-2</v>
      </c>
      <c r="G25" s="38" t="s">
        <v>53</v>
      </c>
      <c r="H25" s="16">
        <v>-0.2352783196058581</v>
      </c>
      <c r="I25" s="17">
        <v>7.3514965782754765E-2</v>
      </c>
      <c r="J25" s="38" t="s">
        <v>53</v>
      </c>
      <c r="K25" s="16">
        <v>-0.13689667527845389</v>
      </c>
      <c r="L25" s="17">
        <v>8.1338248660496035E-2</v>
      </c>
      <c r="M25" s="38" t="s">
        <v>53</v>
      </c>
      <c r="N25" s="16">
        <v>-0.30850925848515859</v>
      </c>
      <c r="O25" s="17">
        <v>0.10165930716193775</v>
      </c>
      <c r="P25" s="38" t="s">
        <v>53</v>
      </c>
      <c r="Q25" s="36">
        <v>23.749810957613921</v>
      </c>
      <c r="R25" s="37">
        <v>0.80537355090653051</v>
      </c>
      <c r="S25" s="38" t="s">
        <v>53</v>
      </c>
      <c r="T25" s="36">
        <v>45.332059285650587</v>
      </c>
      <c r="U25" s="37">
        <v>3.2175172483716494</v>
      </c>
      <c r="V25" s="38" t="s">
        <v>53</v>
      </c>
      <c r="W25" s="36">
        <v>42.428378111896208</v>
      </c>
      <c r="X25" s="37">
        <v>4.0437969936988205</v>
      </c>
      <c r="Y25" s="38" t="s">
        <v>53</v>
      </c>
      <c r="Z25" s="36">
        <v>47.493430952224294</v>
      </c>
      <c r="AA25" s="37">
        <v>4.268273998836519</v>
      </c>
      <c r="AB25" s="38" t="s">
        <v>53</v>
      </c>
      <c r="AC25" s="36">
        <v>25.817663743933199</v>
      </c>
      <c r="AD25" s="37">
        <v>1.0404928923283001</v>
      </c>
      <c r="AE25" s="38" t="s">
        <v>53</v>
      </c>
      <c r="AF25" s="36">
        <v>13.054512971831159</v>
      </c>
      <c r="AG25" s="37">
        <v>2.2104778204582649</v>
      </c>
      <c r="AH25" s="38" t="s">
        <v>53</v>
      </c>
      <c r="AI25" s="36">
        <v>13.874951491121671</v>
      </c>
      <c r="AJ25" s="37">
        <v>3.3220124952149628</v>
      </c>
      <c r="AK25" s="38" t="s">
        <v>53</v>
      </c>
      <c r="AL25" s="36">
        <v>12.443814873917269</v>
      </c>
      <c r="AM25" s="37">
        <v>2.8288437707718694</v>
      </c>
      <c r="AN25" s="39" t="s">
        <v>53</v>
      </c>
    </row>
    <row r="26" spans="1:40" x14ac:dyDescent="0.25">
      <c r="A26" s="15" t="s">
        <v>140</v>
      </c>
      <c r="B26" s="36">
        <v>14.292398074125421</v>
      </c>
      <c r="C26" s="37">
        <v>0.93597142687811641</v>
      </c>
      <c r="D26" s="38" t="s">
        <v>53</v>
      </c>
      <c r="E26" s="16">
        <v>6.1388334792901303E-2</v>
      </c>
      <c r="F26" s="17">
        <v>1.8687841960060556E-2</v>
      </c>
      <c r="G26" s="38" t="s">
        <v>53</v>
      </c>
      <c r="H26" s="16">
        <v>-0.58143621044707405</v>
      </c>
      <c r="I26" s="17">
        <v>4.5863494490865762E-2</v>
      </c>
      <c r="J26" s="38" t="s">
        <v>53</v>
      </c>
      <c r="K26" s="16">
        <v>-0.57380790784969748</v>
      </c>
      <c r="L26" s="17">
        <v>5.4998587029634741E-2</v>
      </c>
      <c r="M26" s="38" t="s">
        <v>53</v>
      </c>
      <c r="N26" s="16">
        <v>-0.59721215273950057</v>
      </c>
      <c r="O26" s="17">
        <v>7.4029398958602388E-2</v>
      </c>
      <c r="P26" s="38" t="s">
        <v>53</v>
      </c>
      <c r="Q26" s="36">
        <v>21.227013116424807</v>
      </c>
      <c r="R26" s="37">
        <v>0.86154385907492825</v>
      </c>
      <c r="S26" s="38" t="s">
        <v>53</v>
      </c>
      <c r="T26" s="36">
        <v>46.981045278171798</v>
      </c>
      <c r="U26" s="37">
        <v>2.2374591139924767</v>
      </c>
      <c r="V26" s="38" t="s">
        <v>53</v>
      </c>
      <c r="W26" s="36">
        <v>46.313760073971636</v>
      </c>
      <c r="X26" s="37">
        <v>3.114293054912058</v>
      </c>
      <c r="Y26" s="38" t="s">
        <v>53</v>
      </c>
      <c r="Z26" s="36">
        <v>48.361044660691348</v>
      </c>
      <c r="AA26" s="37">
        <v>3.1262586674949593</v>
      </c>
      <c r="AB26" s="38" t="s">
        <v>53</v>
      </c>
      <c r="AC26" s="36">
        <v>27.192318678908052</v>
      </c>
      <c r="AD26" s="37">
        <v>0.9835303070174094</v>
      </c>
      <c r="AE26" s="38" t="s">
        <v>53</v>
      </c>
      <c r="AF26" s="36">
        <v>12.53225658182876</v>
      </c>
      <c r="AG26" s="37">
        <v>1.3967059723729418</v>
      </c>
      <c r="AH26" s="38" t="s">
        <v>53</v>
      </c>
      <c r="AI26" s="36">
        <v>12.53929936426927</v>
      </c>
      <c r="AJ26" s="37">
        <v>1.6506940021523582</v>
      </c>
      <c r="AK26" s="38" t="s">
        <v>53</v>
      </c>
      <c r="AL26" s="36">
        <v>12.517691542235571</v>
      </c>
      <c r="AM26" s="37">
        <v>2.1930120553573862</v>
      </c>
      <c r="AN26" s="39" t="s">
        <v>53</v>
      </c>
    </row>
    <row r="27" spans="1:40" x14ac:dyDescent="0.25">
      <c r="A27" s="15" t="s">
        <v>141</v>
      </c>
      <c r="B27" s="36">
        <v>22.168807967597882</v>
      </c>
      <c r="C27" s="37">
        <v>1.1487898067601798</v>
      </c>
      <c r="D27" s="38" t="s">
        <v>53</v>
      </c>
      <c r="E27" s="16">
        <v>9.66723208712299E-2</v>
      </c>
      <c r="F27" s="17">
        <v>2.7617644730569567E-2</v>
      </c>
      <c r="G27" s="38" t="s">
        <v>53</v>
      </c>
      <c r="H27" s="16">
        <v>-0.7703443845028104</v>
      </c>
      <c r="I27" s="17">
        <v>3.9479541497837417E-2</v>
      </c>
      <c r="J27" s="38" t="s">
        <v>53</v>
      </c>
      <c r="K27" s="16">
        <v>-0.76375740891474386</v>
      </c>
      <c r="L27" s="17">
        <v>4.6209988325776698E-2</v>
      </c>
      <c r="M27" s="38" t="s">
        <v>53</v>
      </c>
      <c r="N27" s="16">
        <v>-0.78695543076967422</v>
      </c>
      <c r="O27" s="17">
        <v>7.0290490670986389E-2</v>
      </c>
      <c r="P27" s="38" t="s">
        <v>53</v>
      </c>
      <c r="Q27" s="36">
        <v>18.670005749233908</v>
      </c>
      <c r="R27" s="37">
        <v>0.93573647054652331</v>
      </c>
      <c r="S27" s="38" t="s">
        <v>53</v>
      </c>
      <c r="T27" s="36">
        <v>47.289095694311314</v>
      </c>
      <c r="U27" s="37">
        <v>1.6458898993880584</v>
      </c>
      <c r="V27" s="38" t="s">
        <v>53</v>
      </c>
      <c r="W27" s="36">
        <v>48.061027013538585</v>
      </c>
      <c r="X27" s="37">
        <v>2.0675156073711363</v>
      </c>
      <c r="Y27" s="38" t="s">
        <v>53</v>
      </c>
      <c r="Z27" s="36">
        <v>45.342437977565531</v>
      </c>
      <c r="AA27" s="37">
        <v>2.9505509038346371</v>
      </c>
      <c r="AB27" s="38" t="s">
        <v>53</v>
      </c>
      <c r="AC27" s="36">
        <v>29.226831190345294</v>
      </c>
      <c r="AD27" s="37">
        <v>1.2006145399779837</v>
      </c>
      <c r="AE27" s="38" t="s">
        <v>53</v>
      </c>
      <c r="AF27" s="36">
        <v>9.9928889093581699</v>
      </c>
      <c r="AG27" s="37">
        <v>1.1184688003843828</v>
      </c>
      <c r="AH27" s="38" t="s">
        <v>53</v>
      </c>
      <c r="AI27" s="36">
        <v>9.6881311741157496</v>
      </c>
      <c r="AJ27" s="37">
        <v>1.3641603997631904</v>
      </c>
      <c r="AK27" s="38" t="s">
        <v>53</v>
      </c>
      <c r="AL27" s="36">
        <v>10.761427485615819</v>
      </c>
      <c r="AM27" s="37">
        <v>1.7980384904424409</v>
      </c>
      <c r="AN27" s="39" t="s">
        <v>53</v>
      </c>
    </row>
    <row r="28" spans="1:40" x14ac:dyDescent="0.25">
      <c r="A28" s="15" t="s">
        <v>142</v>
      </c>
      <c r="B28" s="36">
        <v>11.69610290505079</v>
      </c>
      <c r="C28" s="37">
        <v>0.66265154560738204</v>
      </c>
      <c r="D28" s="38" t="s">
        <v>53</v>
      </c>
      <c r="E28" s="16">
        <v>-1.9375595412087901E-2</v>
      </c>
      <c r="F28" s="17">
        <v>2.5962438926897501E-2</v>
      </c>
      <c r="G28" s="38" t="s">
        <v>53</v>
      </c>
      <c r="H28" s="16">
        <v>-0.76784830879575738</v>
      </c>
      <c r="I28" s="17">
        <v>3.3997118541332548E-2</v>
      </c>
      <c r="J28" s="38" t="s">
        <v>53</v>
      </c>
      <c r="K28" s="16">
        <v>-0.75820329042804302</v>
      </c>
      <c r="L28" s="17">
        <v>3.2975734591981928E-2</v>
      </c>
      <c r="M28" s="38" t="s">
        <v>53</v>
      </c>
      <c r="N28" s="16">
        <v>-0.79398738669160895</v>
      </c>
      <c r="O28" s="17">
        <v>8.856413928848185E-2</v>
      </c>
      <c r="P28" s="38" t="s">
        <v>53</v>
      </c>
      <c r="Q28" s="36">
        <v>21.006509796174701</v>
      </c>
      <c r="R28" s="37">
        <v>1.0036724869466203</v>
      </c>
      <c r="S28" s="38" t="s">
        <v>53</v>
      </c>
      <c r="T28" s="36">
        <v>54.193293497622221</v>
      </c>
      <c r="U28" s="37">
        <v>1.9499867699866507</v>
      </c>
      <c r="V28" s="38" t="s">
        <v>53</v>
      </c>
      <c r="W28" s="36">
        <v>53.297248381107728</v>
      </c>
      <c r="X28" s="37">
        <v>1.9663905515863815</v>
      </c>
      <c r="Y28" s="38" t="s">
        <v>53</v>
      </c>
      <c r="Z28" s="36">
        <v>56.621675923224615</v>
      </c>
      <c r="AA28" s="37">
        <v>4.3588762758191271</v>
      </c>
      <c r="AB28" s="38" t="s">
        <v>53</v>
      </c>
      <c r="AC28" s="36">
        <v>27.173591718636757</v>
      </c>
      <c r="AD28" s="37">
        <v>1.1444732852575323</v>
      </c>
      <c r="AE28" s="38" t="s">
        <v>53</v>
      </c>
      <c r="AF28" s="36">
        <v>7.9232477842155706</v>
      </c>
      <c r="AG28" s="37">
        <v>1.1222141064803577</v>
      </c>
      <c r="AH28" s="38" t="s">
        <v>53</v>
      </c>
      <c r="AI28" s="36">
        <v>6.7304115996996998</v>
      </c>
      <c r="AJ28" s="37">
        <v>1.2320846524824334</v>
      </c>
      <c r="AK28" s="38" t="s">
        <v>53</v>
      </c>
      <c r="AL28" s="36">
        <v>11.15596717938244</v>
      </c>
      <c r="AM28" s="37">
        <v>2.5481814921735415</v>
      </c>
      <c r="AN28" s="39" t="s">
        <v>53</v>
      </c>
    </row>
    <row r="29" spans="1:40" x14ac:dyDescent="0.25">
      <c r="A29" s="15" t="s">
        <v>143</v>
      </c>
      <c r="B29" s="36">
        <v>2.5521960850758401</v>
      </c>
      <c r="C29" s="37">
        <v>0.30831545416996642</v>
      </c>
      <c r="D29" s="38" t="s">
        <v>53</v>
      </c>
      <c r="E29" s="16">
        <v>-0.1221194354264019</v>
      </c>
      <c r="F29" s="17">
        <v>2.0243655953744638E-2</v>
      </c>
      <c r="G29" s="38" t="s">
        <v>53</v>
      </c>
      <c r="H29" s="16">
        <v>5.1227631073496198E-2</v>
      </c>
      <c r="I29" s="17">
        <v>8.7140991715052643E-2</v>
      </c>
      <c r="J29" s="38" t="s">
        <v>53</v>
      </c>
      <c r="K29" s="16">
        <v>0.25208512234982822</v>
      </c>
      <c r="L29" s="17">
        <v>9.4687415262506638E-2</v>
      </c>
      <c r="M29" s="38" t="s">
        <v>53</v>
      </c>
      <c r="N29" s="16">
        <v>-0.16038312523278461</v>
      </c>
      <c r="O29" s="17">
        <v>0.12222574749436958</v>
      </c>
      <c r="P29" s="38" t="s">
        <v>53</v>
      </c>
      <c r="Q29" s="36">
        <v>25.116796921398283</v>
      </c>
      <c r="R29" s="37">
        <v>0.76398437994201129</v>
      </c>
      <c r="S29" s="38" t="s">
        <v>53</v>
      </c>
      <c r="T29" s="36">
        <v>19.355295764860099</v>
      </c>
      <c r="U29" s="37">
        <v>3.7852998332142951</v>
      </c>
      <c r="V29" s="38" t="s">
        <v>53</v>
      </c>
      <c r="W29" s="36">
        <v>13.268580514424718</v>
      </c>
      <c r="X29" s="37">
        <v>4.0976101073161839</v>
      </c>
      <c r="Y29" s="38" t="s">
        <v>53</v>
      </c>
      <c r="Z29" s="36">
        <v>25.767874202343432</v>
      </c>
      <c r="AA29" s="37">
        <v>5.8616217657360341</v>
      </c>
      <c r="AB29" s="38" t="s">
        <v>53</v>
      </c>
      <c r="AC29" s="36">
        <v>24.918005768996608</v>
      </c>
      <c r="AD29" s="37">
        <v>0.90272418223880224</v>
      </c>
      <c r="AE29" s="38" t="s">
        <v>53</v>
      </c>
      <c r="AF29" s="36">
        <v>30.69990645244517</v>
      </c>
      <c r="AG29" s="37">
        <v>4.7718863314619844</v>
      </c>
      <c r="AH29" s="38" t="s">
        <v>53</v>
      </c>
      <c r="AI29" s="36">
        <v>38.88647190349117</v>
      </c>
      <c r="AJ29" s="37">
        <v>5.9639865084758945</v>
      </c>
      <c r="AK29" s="38" t="s">
        <v>53</v>
      </c>
      <c r="AL29" s="36">
        <v>22.075058578270578</v>
      </c>
      <c r="AM29" s="37">
        <v>7.033004435490013</v>
      </c>
      <c r="AN29" s="39" t="s">
        <v>53</v>
      </c>
    </row>
    <row r="30" spans="1:40" x14ac:dyDescent="0.25">
      <c r="A30" s="15" t="s">
        <v>144</v>
      </c>
      <c r="B30" s="36">
        <v>5.5922790641216604</v>
      </c>
      <c r="C30" s="37">
        <v>0.40139673553959726</v>
      </c>
      <c r="D30" s="38" t="s">
        <v>53</v>
      </c>
      <c r="E30" s="16">
        <v>0.59175626881696319</v>
      </c>
      <c r="F30" s="17">
        <v>1.3391245509745305E-2</v>
      </c>
      <c r="G30" s="38" t="s">
        <v>53</v>
      </c>
      <c r="H30" s="16">
        <v>-0.18158208870468731</v>
      </c>
      <c r="I30" s="17">
        <v>7.8233588798156603E-2</v>
      </c>
      <c r="J30" s="38" t="s">
        <v>53</v>
      </c>
      <c r="K30" s="16">
        <v>-0.130773659085273</v>
      </c>
      <c r="L30" s="17">
        <v>9.1132711160116939E-2</v>
      </c>
      <c r="M30" s="38" t="s">
        <v>53</v>
      </c>
      <c r="N30" s="16">
        <v>-0.22213245185131739</v>
      </c>
      <c r="O30" s="17">
        <v>0.11938550851955285</v>
      </c>
      <c r="P30" s="38" t="s">
        <v>53</v>
      </c>
      <c r="Q30" s="36">
        <v>23.170367277134321</v>
      </c>
      <c r="R30" s="37">
        <v>0.74891366663938497</v>
      </c>
      <c r="S30" s="38" t="s">
        <v>53</v>
      </c>
      <c r="T30" s="36">
        <v>55.219266396481572</v>
      </c>
      <c r="U30" s="37">
        <v>3.8981221484159292</v>
      </c>
      <c r="V30" s="38" t="s">
        <v>53</v>
      </c>
      <c r="W30" s="36">
        <v>57.690040326378401</v>
      </c>
      <c r="X30" s="37">
        <v>5.0810861214194878</v>
      </c>
      <c r="Y30" s="38" t="s">
        <v>53</v>
      </c>
      <c r="Z30" s="36">
        <v>53.247334162774841</v>
      </c>
      <c r="AA30" s="37">
        <v>5.2483674984601079</v>
      </c>
      <c r="AB30" s="38" t="s">
        <v>53</v>
      </c>
      <c r="AC30" s="36">
        <v>26.393145091184227</v>
      </c>
      <c r="AD30" s="37">
        <v>0.84356307644703166</v>
      </c>
      <c r="AE30" s="38" t="s">
        <v>53</v>
      </c>
      <c r="AF30" s="36">
        <v>2.89326930927239</v>
      </c>
      <c r="AG30" s="37">
        <v>0.99531237352076407</v>
      </c>
      <c r="AH30" s="38" t="s">
        <v>53</v>
      </c>
      <c r="AI30" s="36">
        <v>5.0869281011866301</v>
      </c>
      <c r="AJ30" s="37">
        <v>1.7706954015007679</v>
      </c>
      <c r="AK30" s="38" t="s">
        <v>53</v>
      </c>
      <c r="AL30" s="36">
        <v>1.1425035151268799</v>
      </c>
      <c r="AM30" s="37">
        <v>1.1417614014559891</v>
      </c>
      <c r="AN30" s="39" t="s">
        <v>53</v>
      </c>
    </row>
    <row r="31" spans="1:40" x14ac:dyDescent="0.25">
      <c r="A31" s="15" t="s">
        <v>145</v>
      </c>
      <c r="B31" s="36">
        <v>17.860838929942929</v>
      </c>
      <c r="C31" s="37">
        <v>0.91486176844457701</v>
      </c>
      <c r="D31" s="38" t="s">
        <v>53</v>
      </c>
      <c r="E31" s="16">
        <v>0.13175115111207061</v>
      </c>
      <c r="F31" s="17">
        <v>2.5185790864948848E-2</v>
      </c>
      <c r="G31" s="38" t="s">
        <v>53</v>
      </c>
      <c r="H31" s="16">
        <v>9.7630372079230601E-2</v>
      </c>
      <c r="I31" s="17">
        <v>4.2386904054038721E-2</v>
      </c>
      <c r="J31" s="38" t="s">
        <v>53</v>
      </c>
      <c r="K31" s="16">
        <v>0.122235176309792</v>
      </c>
      <c r="L31" s="17">
        <v>5.376044889998273E-2</v>
      </c>
      <c r="M31" s="38" t="s">
        <v>53</v>
      </c>
      <c r="N31" s="16">
        <v>7.75050890564766E-2</v>
      </c>
      <c r="O31" s="17">
        <v>5.6273167903692169E-2</v>
      </c>
      <c r="P31" s="38" t="s">
        <v>53</v>
      </c>
      <c r="Q31" s="36">
        <v>24.952311037650119</v>
      </c>
      <c r="R31" s="37">
        <v>1.0231831539081151</v>
      </c>
      <c r="S31" s="38" t="s">
        <v>53</v>
      </c>
      <c r="T31" s="36">
        <v>25.78178458817354</v>
      </c>
      <c r="U31" s="37">
        <v>1.7741387797762667</v>
      </c>
      <c r="V31" s="38" t="s">
        <v>53</v>
      </c>
      <c r="W31" s="36">
        <v>22.268679911167808</v>
      </c>
      <c r="X31" s="37">
        <v>2.1322932612398593</v>
      </c>
      <c r="Y31" s="38" t="s">
        <v>53</v>
      </c>
      <c r="Z31" s="36">
        <v>28.655297632649717</v>
      </c>
      <c r="AA31" s="37">
        <v>2.5862672650906018</v>
      </c>
      <c r="AB31" s="38" t="s">
        <v>53</v>
      </c>
      <c r="AC31" s="36">
        <v>25.194708478178068</v>
      </c>
      <c r="AD31" s="37">
        <v>1.0896373742292031</v>
      </c>
      <c r="AE31" s="38" t="s">
        <v>53</v>
      </c>
      <c r="AF31" s="36">
        <v>25.036216511774612</v>
      </c>
      <c r="AG31" s="37">
        <v>1.9346301629705049</v>
      </c>
      <c r="AH31" s="38" t="s">
        <v>53</v>
      </c>
      <c r="AI31" s="36">
        <v>22.274962282111311</v>
      </c>
      <c r="AJ31" s="37">
        <v>2.2660463495707477</v>
      </c>
      <c r="AK31" s="38" t="s">
        <v>53</v>
      </c>
      <c r="AL31" s="36">
        <v>27.294760101433663</v>
      </c>
      <c r="AM31" s="37">
        <v>2.8296139405275667</v>
      </c>
      <c r="AN31" s="39" t="s">
        <v>53</v>
      </c>
    </row>
    <row r="32" spans="1:40" x14ac:dyDescent="0.25">
      <c r="A32" s="15" t="s">
        <v>146</v>
      </c>
      <c r="B32" s="36">
        <v>16.416253414977149</v>
      </c>
      <c r="C32" s="37">
        <v>1.0738364165803722</v>
      </c>
      <c r="D32" s="38" t="s">
        <v>53</v>
      </c>
      <c r="E32" s="16">
        <v>0.39927052755460102</v>
      </c>
      <c r="F32" s="17">
        <v>2.6080324274032216E-2</v>
      </c>
      <c r="G32" s="38" t="s">
        <v>53</v>
      </c>
      <c r="H32" s="16">
        <v>0.16857022696561599</v>
      </c>
      <c r="I32" s="17">
        <v>5.2672798243195693E-2</v>
      </c>
      <c r="J32" s="38" t="s">
        <v>53</v>
      </c>
      <c r="K32" s="16">
        <v>0.23041095504886461</v>
      </c>
      <c r="L32" s="17">
        <v>5.7873734887617566E-2</v>
      </c>
      <c r="M32" s="38" t="s">
        <v>53</v>
      </c>
      <c r="N32" s="16">
        <v>-3.1844708797309502E-2</v>
      </c>
      <c r="O32" s="17">
        <v>9.4418429267963969E-2</v>
      </c>
      <c r="P32" s="38" t="s">
        <v>53</v>
      </c>
      <c r="Q32" s="36">
        <v>23.202622468094749</v>
      </c>
      <c r="R32" s="37">
        <v>0.95520564480507353</v>
      </c>
      <c r="S32" s="38" t="s">
        <v>53</v>
      </c>
      <c r="T32" s="36">
        <v>30.482304380650337</v>
      </c>
      <c r="U32" s="37">
        <v>2.0181814414961443</v>
      </c>
      <c r="V32" s="38" t="s">
        <v>53</v>
      </c>
      <c r="W32" s="36">
        <v>28.464834172726238</v>
      </c>
      <c r="X32" s="37">
        <v>2.4150951328710453</v>
      </c>
      <c r="Y32" s="38" t="s">
        <v>53</v>
      </c>
      <c r="Z32" s="36">
        <v>37.020570902681335</v>
      </c>
      <c r="AA32" s="37">
        <v>3.1796250024129198</v>
      </c>
      <c r="AB32" s="38" t="s">
        <v>53</v>
      </c>
      <c r="AC32" s="36">
        <v>26.256318860433332</v>
      </c>
      <c r="AD32" s="37">
        <v>1.1059292530371632</v>
      </c>
      <c r="AE32" s="38" t="s">
        <v>53</v>
      </c>
      <c r="AF32" s="36">
        <v>21.241162821050711</v>
      </c>
      <c r="AG32" s="37">
        <v>1.7464054835646083</v>
      </c>
      <c r="AH32" s="38" t="s">
        <v>53</v>
      </c>
      <c r="AI32" s="36">
        <v>22.098845836317331</v>
      </c>
      <c r="AJ32" s="37">
        <v>1.9572491683004269</v>
      </c>
      <c r="AK32" s="38" t="s">
        <v>53</v>
      </c>
      <c r="AL32" s="36">
        <v>18.46156284321388</v>
      </c>
      <c r="AM32" s="37">
        <v>2.6742075427252994</v>
      </c>
      <c r="AN32" s="39" t="s">
        <v>53</v>
      </c>
    </row>
    <row r="33" spans="1:40" x14ac:dyDescent="0.25">
      <c r="A33" s="15" t="s">
        <v>147</v>
      </c>
      <c r="B33" s="36">
        <v>10.025087167799541</v>
      </c>
      <c r="C33" s="37">
        <v>0.4917084931015509</v>
      </c>
      <c r="D33" s="38" t="s">
        <v>53</v>
      </c>
      <c r="E33" s="16">
        <v>-0.15839002549476899</v>
      </c>
      <c r="F33" s="17">
        <v>2.1438386056840571E-2</v>
      </c>
      <c r="G33" s="38" t="s">
        <v>53</v>
      </c>
      <c r="H33" s="16">
        <v>-0.74113834241090848</v>
      </c>
      <c r="I33" s="17">
        <v>4.4243622916514874E-2</v>
      </c>
      <c r="J33" s="38" t="s">
        <v>53</v>
      </c>
      <c r="K33" s="16">
        <v>-0.67981713318034043</v>
      </c>
      <c r="L33" s="17">
        <v>5.6212531662123109E-2</v>
      </c>
      <c r="M33" s="38" t="s">
        <v>53</v>
      </c>
      <c r="N33" s="16">
        <v>-0.81549731802575021</v>
      </c>
      <c r="O33" s="17">
        <v>6.0441051874499281E-2</v>
      </c>
      <c r="P33" s="38" t="s">
        <v>53</v>
      </c>
      <c r="Q33" s="36">
        <v>22.868039595735159</v>
      </c>
      <c r="R33" s="37">
        <v>0.77650427977516057</v>
      </c>
      <c r="S33" s="38" t="s">
        <v>53</v>
      </c>
      <c r="T33" s="36">
        <v>42.959306601377065</v>
      </c>
      <c r="U33" s="37">
        <v>2.6783329990262321</v>
      </c>
      <c r="V33" s="38" t="s">
        <v>53</v>
      </c>
      <c r="W33" s="36">
        <v>40.83326527473524</v>
      </c>
      <c r="X33" s="37">
        <v>3.3982521796521405</v>
      </c>
      <c r="Y33" s="38" t="s">
        <v>53</v>
      </c>
      <c r="Z33" s="36">
        <v>45.537374730619</v>
      </c>
      <c r="AA33" s="37">
        <v>3.5519074661338164</v>
      </c>
      <c r="AB33" s="38" t="s">
        <v>53</v>
      </c>
      <c r="AC33" s="36">
        <v>26.922778115829221</v>
      </c>
      <c r="AD33" s="37">
        <v>1.0006506928398997</v>
      </c>
      <c r="AE33" s="38" t="s">
        <v>53</v>
      </c>
      <c r="AF33" s="36">
        <v>7.8068416115774006</v>
      </c>
      <c r="AG33" s="37">
        <v>1.3166898441416508</v>
      </c>
      <c r="AH33" s="38" t="s">
        <v>53</v>
      </c>
      <c r="AI33" s="36">
        <v>9.8125837995956999</v>
      </c>
      <c r="AJ33" s="37">
        <v>2.0705683656720022</v>
      </c>
      <c r="AK33" s="38" t="s">
        <v>53</v>
      </c>
      <c r="AL33" s="36">
        <v>5.3746499389095197</v>
      </c>
      <c r="AM33" s="37">
        <v>1.5747608161680255</v>
      </c>
      <c r="AN33" s="39" t="s">
        <v>53</v>
      </c>
    </row>
    <row r="34" spans="1:40" x14ac:dyDescent="0.25">
      <c r="A34" s="15" t="s">
        <v>148</v>
      </c>
      <c r="B34" s="36">
        <v>0.62269075696213994</v>
      </c>
      <c r="C34" s="37">
        <v>0.13447373995918133</v>
      </c>
      <c r="D34" s="38" t="s">
        <v>53</v>
      </c>
      <c r="E34" s="16" t="s">
        <v>128</v>
      </c>
      <c r="F34" s="17" t="s">
        <v>128</v>
      </c>
      <c r="G34" s="38" t="s">
        <v>53</v>
      </c>
      <c r="H34" s="16" t="s">
        <v>128</v>
      </c>
      <c r="I34" s="17" t="s">
        <v>128</v>
      </c>
      <c r="J34" s="38" t="s">
        <v>53</v>
      </c>
      <c r="K34" s="16" t="s">
        <v>128</v>
      </c>
      <c r="L34" s="17" t="s">
        <v>128</v>
      </c>
      <c r="M34" s="38" t="s">
        <v>53</v>
      </c>
      <c r="N34" s="16" t="s">
        <v>128</v>
      </c>
      <c r="O34" s="17" t="s">
        <v>128</v>
      </c>
      <c r="P34" s="38" t="s">
        <v>53</v>
      </c>
      <c r="Q34" s="36" t="s">
        <v>128</v>
      </c>
      <c r="R34" s="37" t="s">
        <v>128</v>
      </c>
      <c r="S34" s="38" t="s">
        <v>53</v>
      </c>
      <c r="T34" s="36" t="s">
        <v>128</v>
      </c>
      <c r="U34" s="37" t="s">
        <v>128</v>
      </c>
      <c r="V34" s="38" t="s">
        <v>53</v>
      </c>
      <c r="W34" s="36" t="s">
        <v>128</v>
      </c>
      <c r="X34" s="37" t="s">
        <v>128</v>
      </c>
      <c r="Y34" s="38" t="s">
        <v>53</v>
      </c>
      <c r="Z34" s="36" t="s">
        <v>128</v>
      </c>
      <c r="AA34" s="37" t="s">
        <v>128</v>
      </c>
      <c r="AB34" s="38" t="s">
        <v>53</v>
      </c>
      <c r="AC34" s="36" t="s">
        <v>128</v>
      </c>
      <c r="AD34" s="37" t="s">
        <v>128</v>
      </c>
      <c r="AE34" s="38" t="s">
        <v>53</v>
      </c>
      <c r="AF34" s="36" t="s">
        <v>128</v>
      </c>
      <c r="AG34" s="37" t="s">
        <v>128</v>
      </c>
      <c r="AH34" s="38" t="s">
        <v>53</v>
      </c>
      <c r="AI34" s="36" t="s">
        <v>128</v>
      </c>
      <c r="AJ34" s="37" t="s">
        <v>128</v>
      </c>
      <c r="AK34" s="38" t="s">
        <v>53</v>
      </c>
      <c r="AL34" s="36" t="s">
        <v>128</v>
      </c>
      <c r="AM34" s="37" t="s">
        <v>128</v>
      </c>
      <c r="AN34" s="39" t="s">
        <v>53</v>
      </c>
    </row>
    <row r="35" spans="1:40" x14ac:dyDescent="0.25">
      <c r="A35" s="15" t="s">
        <v>149</v>
      </c>
      <c r="B35" s="36">
        <v>0.16599464463225999</v>
      </c>
      <c r="C35" s="37">
        <v>8.9871829952017257E-2</v>
      </c>
      <c r="D35" s="38" t="s">
        <v>53</v>
      </c>
      <c r="E35" s="16">
        <v>7.6241976337751496E-2</v>
      </c>
      <c r="F35" s="17">
        <v>2.0022799483235262E-2</v>
      </c>
      <c r="G35" s="38" t="s">
        <v>53</v>
      </c>
      <c r="H35" s="16" t="s">
        <v>56</v>
      </c>
      <c r="I35" s="17" t="s">
        <v>56</v>
      </c>
      <c r="J35" s="38" t="s">
        <v>53</v>
      </c>
      <c r="K35" s="16" t="s">
        <v>56</v>
      </c>
      <c r="L35" s="17" t="s">
        <v>56</v>
      </c>
      <c r="M35" s="38" t="s">
        <v>53</v>
      </c>
      <c r="N35" s="16" t="s">
        <v>56</v>
      </c>
      <c r="O35" s="17" t="s">
        <v>56</v>
      </c>
      <c r="P35" s="38" t="s">
        <v>53</v>
      </c>
      <c r="Q35" s="36">
        <v>24.729441730741389</v>
      </c>
      <c r="R35" s="37">
        <v>0.88304806852340323</v>
      </c>
      <c r="S35" s="38" t="s">
        <v>53</v>
      </c>
      <c r="T35" s="36" t="s">
        <v>55</v>
      </c>
      <c r="U35" s="37" t="s">
        <v>55</v>
      </c>
      <c r="V35" s="38" t="s">
        <v>53</v>
      </c>
      <c r="W35" s="36" t="s">
        <v>55</v>
      </c>
      <c r="X35" s="37" t="s">
        <v>55</v>
      </c>
      <c r="Y35" s="38" t="s">
        <v>53</v>
      </c>
      <c r="Z35" s="36" t="s">
        <v>55</v>
      </c>
      <c r="AA35" s="37" t="s">
        <v>55</v>
      </c>
      <c r="AB35" s="38" t="s">
        <v>53</v>
      </c>
      <c r="AC35" s="36">
        <v>25.146158262743818</v>
      </c>
      <c r="AD35" s="37">
        <v>1.0094778290116422</v>
      </c>
      <c r="AE35" s="38" t="s">
        <v>53</v>
      </c>
      <c r="AF35" s="36" t="s">
        <v>55</v>
      </c>
      <c r="AG35" s="37" t="s">
        <v>55</v>
      </c>
      <c r="AH35" s="38" t="s">
        <v>53</v>
      </c>
      <c r="AI35" s="36" t="s">
        <v>55</v>
      </c>
      <c r="AJ35" s="37" t="s">
        <v>55</v>
      </c>
      <c r="AK35" s="38" t="s">
        <v>53</v>
      </c>
      <c r="AL35" s="36" t="s">
        <v>55</v>
      </c>
      <c r="AM35" s="37" t="s">
        <v>55</v>
      </c>
      <c r="AN35" s="39" t="s">
        <v>53</v>
      </c>
    </row>
    <row r="36" spans="1:40" x14ac:dyDescent="0.25">
      <c r="A36" s="15" t="s">
        <v>150</v>
      </c>
      <c r="B36" s="36">
        <v>4.4397198134590603</v>
      </c>
      <c r="C36" s="37">
        <v>0.33685609843229053</v>
      </c>
      <c r="D36" s="38" t="s">
        <v>53</v>
      </c>
      <c r="E36" s="16">
        <v>-5.0949683294510004E-3</v>
      </c>
      <c r="F36" s="17">
        <v>1.4312396859573801E-2</v>
      </c>
      <c r="G36" s="38" t="s">
        <v>53</v>
      </c>
      <c r="H36" s="16">
        <v>6.5933778756710706E-2</v>
      </c>
      <c r="I36" s="17">
        <v>5.4865449718270731E-2</v>
      </c>
      <c r="J36" s="38" t="s">
        <v>53</v>
      </c>
      <c r="K36" s="16">
        <v>1.1878326065825401E-2</v>
      </c>
      <c r="L36" s="17">
        <v>5.8427920102825846E-2</v>
      </c>
      <c r="M36" s="38" t="s">
        <v>53</v>
      </c>
      <c r="N36" s="16">
        <v>0.29694796130171341</v>
      </c>
      <c r="O36" s="17">
        <v>0.1700938041418063</v>
      </c>
      <c r="P36" s="38" t="s">
        <v>53</v>
      </c>
      <c r="Q36" s="36">
        <v>25.221395678979068</v>
      </c>
      <c r="R36" s="37">
        <v>0.69806337776908622</v>
      </c>
      <c r="S36" s="38" t="s">
        <v>53</v>
      </c>
      <c r="T36" s="36">
        <v>21.79255259530963</v>
      </c>
      <c r="U36" s="37">
        <v>2.6087690021266914</v>
      </c>
      <c r="V36" s="38" t="s">
        <v>53</v>
      </c>
      <c r="W36" s="36">
        <v>24.41319521660844</v>
      </c>
      <c r="X36" s="37">
        <v>3.1354622474744911</v>
      </c>
      <c r="Y36" s="38" t="s">
        <v>53</v>
      </c>
      <c r="Z36" s="36">
        <v>10.59283854677628</v>
      </c>
      <c r="AA36" s="37">
        <v>4.0221864434547347</v>
      </c>
      <c r="AB36" s="38" t="s">
        <v>53</v>
      </c>
      <c r="AC36" s="36">
        <v>24.833534605579622</v>
      </c>
      <c r="AD36" s="37">
        <v>0.60126345059533903</v>
      </c>
      <c r="AE36" s="38" t="s">
        <v>53</v>
      </c>
      <c r="AF36" s="36">
        <v>27.349311034173091</v>
      </c>
      <c r="AG36" s="37">
        <v>2.7901380077615334</v>
      </c>
      <c r="AH36" s="38" t="s">
        <v>53</v>
      </c>
      <c r="AI36" s="36">
        <v>22.988165266608799</v>
      </c>
      <c r="AJ36" s="37">
        <v>2.7850964683102117</v>
      </c>
      <c r="AK36" s="38" t="s">
        <v>53</v>
      </c>
      <c r="AL36" s="36">
        <v>45.987329481909512</v>
      </c>
      <c r="AM36" s="37">
        <v>8.2846168897961761</v>
      </c>
      <c r="AN36" s="39" t="s">
        <v>53</v>
      </c>
    </row>
    <row r="37" spans="1:40" x14ac:dyDescent="0.25">
      <c r="A37" s="15" t="s">
        <v>151</v>
      </c>
      <c r="B37" s="36">
        <v>1.5599249777116999</v>
      </c>
      <c r="C37" s="37">
        <v>0.13051569969861895</v>
      </c>
      <c r="D37" s="38" t="s">
        <v>53</v>
      </c>
      <c r="E37" s="16">
        <v>2.9129700297549199E-2</v>
      </c>
      <c r="F37" s="17">
        <v>1.3576415170386514E-2</v>
      </c>
      <c r="G37" s="38" t="s">
        <v>53</v>
      </c>
      <c r="H37" s="16">
        <v>0.1164210378105844</v>
      </c>
      <c r="I37" s="17">
        <v>0.1189944422446068</v>
      </c>
      <c r="J37" s="38" t="s">
        <v>53</v>
      </c>
      <c r="K37" s="16">
        <v>0.19240008163606279</v>
      </c>
      <c r="L37" s="17">
        <v>8.3318398795581214E-2</v>
      </c>
      <c r="M37" s="38" t="s">
        <v>53</v>
      </c>
      <c r="N37" s="16">
        <v>-0.15603523423923649</v>
      </c>
      <c r="O37" s="17">
        <v>0.37428465306736763</v>
      </c>
      <c r="P37" s="38" t="s">
        <v>53</v>
      </c>
      <c r="Q37" s="36">
        <v>25.051914388186241</v>
      </c>
      <c r="R37" s="37">
        <v>0.62253484992463959</v>
      </c>
      <c r="S37" s="38" t="s">
        <v>53</v>
      </c>
      <c r="T37" s="36">
        <v>16.94570597806856</v>
      </c>
      <c r="U37" s="37">
        <v>3.9796454997107924</v>
      </c>
      <c r="V37" s="38" t="s">
        <v>53</v>
      </c>
      <c r="W37" s="36">
        <v>16.759377443259201</v>
      </c>
      <c r="X37" s="37">
        <v>3.8663835650047571</v>
      </c>
      <c r="Y37" s="38" t="s">
        <v>53</v>
      </c>
      <c r="Z37" s="36">
        <v>17.613868874238587</v>
      </c>
      <c r="AA37" s="37">
        <v>12.76292679558752</v>
      </c>
      <c r="AB37" s="38" t="s">
        <v>53</v>
      </c>
      <c r="AC37" s="36">
        <v>25.114519429576497</v>
      </c>
      <c r="AD37" s="37">
        <v>0.69820993683287791</v>
      </c>
      <c r="AE37" s="38" t="s">
        <v>53</v>
      </c>
      <c r="AF37" s="36">
        <v>28.122751360372021</v>
      </c>
      <c r="AG37" s="37">
        <v>4.1721622212587972</v>
      </c>
      <c r="AH37" s="38" t="s">
        <v>53</v>
      </c>
      <c r="AI37" s="36">
        <v>26.490511890958153</v>
      </c>
      <c r="AJ37" s="37">
        <v>4.5167119784725056</v>
      </c>
      <c r="AK37" s="38" t="s">
        <v>53</v>
      </c>
      <c r="AL37" s="36">
        <v>33.97586372581025</v>
      </c>
      <c r="AM37" s="37">
        <v>9.0002775582186647</v>
      </c>
      <c r="AN37" s="39" t="s">
        <v>53</v>
      </c>
    </row>
    <row r="38" spans="1:40" x14ac:dyDescent="0.25">
      <c r="A38" s="15" t="s">
        <v>152</v>
      </c>
      <c r="B38" s="36">
        <v>54.87180939703277</v>
      </c>
      <c r="C38" s="37">
        <v>0.64370888429344009</v>
      </c>
      <c r="D38" s="38" t="s">
        <v>53</v>
      </c>
      <c r="E38" s="16">
        <v>0.41439208183082088</v>
      </c>
      <c r="F38" s="17">
        <v>1.7410859549059375E-2</v>
      </c>
      <c r="G38" s="38" t="s">
        <v>53</v>
      </c>
      <c r="H38" s="16">
        <v>-0.31101134610391462</v>
      </c>
      <c r="I38" s="17">
        <v>2.0021113173600648E-2</v>
      </c>
      <c r="J38" s="38" t="s">
        <v>53</v>
      </c>
      <c r="K38" s="16">
        <v>-0.37958530138371582</v>
      </c>
      <c r="L38" s="17">
        <v>3.0013721963589927E-2</v>
      </c>
      <c r="M38" s="38" t="s">
        <v>53</v>
      </c>
      <c r="N38" s="16">
        <v>-0.22619842931793779</v>
      </c>
      <c r="O38" s="17">
        <v>3.0453893066988657E-2</v>
      </c>
      <c r="P38" s="38" t="s">
        <v>53</v>
      </c>
      <c r="Q38" s="36">
        <v>9.6611952917188795</v>
      </c>
      <c r="R38" s="37">
        <v>0.59137365836427647</v>
      </c>
      <c r="S38" s="38" t="s">
        <v>53</v>
      </c>
      <c r="T38" s="36">
        <v>37.255010233113211</v>
      </c>
      <c r="U38" s="37">
        <v>0.93898913275287188</v>
      </c>
      <c r="V38" s="38" t="s">
        <v>53</v>
      </c>
      <c r="W38" s="36">
        <v>38.154017399871641</v>
      </c>
      <c r="X38" s="37">
        <v>1.3881067529402151</v>
      </c>
      <c r="Y38" s="38" t="s">
        <v>53</v>
      </c>
      <c r="Z38" s="36">
        <v>36.143109662216169</v>
      </c>
      <c r="AA38" s="37">
        <v>1.4691141053028545</v>
      </c>
      <c r="AB38" s="38" t="s">
        <v>53</v>
      </c>
      <c r="AC38" s="36">
        <v>31.446854118145769</v>
      </c>
      <c r="AD38" s="37">
        <v>1.0385214621564407</v>
      </c>
      <c r="AE38" s="38" t="s">
        <v>53</v>
      </c>
      <c r="AF38" s="36">
        <v>19.828105627004682</v>
      </c>
      <c r="AG38" s="37">
        <v>0.70538310891167111</v>
      </c>
      <c r="AH38" s="38" t="s">
        <v>53</v>
      </c>
      <c r="AI38" s="36">
        <v>16.65377208736561</v>
      </c>
      <c r="AJ38" s="37">
        <v>0.99219947673278086</v>
      </c>
      <c r="AK38" s="38" t="s">
        <v>53</v>
      </c>
      <c r="AL38" s="36">
        <v>23.754151386649593</v>
      </c>
      <c r="AM38" s="37">
        <v>1.0216551041068378</v>
      </c>
      <c r="AN38" s="39" t="s">
        <v>53</v>
      </c>
    </row>
    <row r="39" spans="1:40" x14ac:dyDescent="0.25">
      <c r="A39" s="15" t="s">
        <v>153</v>
      </c>
      <c r="B39" s="36">
        <v>1.56142115515159</v>
      </c>
      <c r="C39" s="37">
        <v>0.26845505611360826</v>
      </c>
      <c r="D39" s="38" t="s">
        <v>53</v>
      </c>
      <c r="E39" s="16">
        <v>-1.1750488320188079</v>
      </c>
      <c r="F39" s="17">
        <v>3.90485390371344E-2</v>
      </c>
      <c r="G39" s="38" t="s">
        <v>53</v>
      </c>
      <c r="H39" s="16">
        <v>-1.528351478760493</v>
      </c>
      <c r="I39" s="17">
        <v>0.15223524190806137</v>
      </c>
      <c r="J39" s="38" t="s">
        <v>53</v>
      </c>
      <c r="K39" s="16">
        <v>-1.8177299937388249</v>
      </c>
      <c r="L39" s="17">
        <v>0.18361518578312461</v>
      </c>
      <c r="M39" s="38" t="s">
        <v>53</v>
      </c>
      <c r="N39" s="16">
        <v>-1.171149456348701</v>
      </c>
      <c r="O39" s="17">
        <v>0.2391187214410013</v>
      </c>
      <c r="P39" s="38" t="s">
        <v>53</v>
      </c>
      <c r="Q39" s="36">
        <v>24.59250347615977</v>
      </c>
      <c r="R39" s="37">
        <v>1.1172697649286545</v>
      </c>
      <c r="S39" s="38" t="s">
        <v>53</v>
      </c>
      <c r="T39" s="36">
        <v>36.512785442033604</v>
      </c>
      <c r="U39" s="37">
        <v>6.1991778061876239</v>
      </c>
      <c r="V39" s="38" t="s">
        <v>53</v>
      </c>
      <c r="W39" s="36">
        <v>46.879686838997905</v>
      </c>
      <c r="X39" s="37">
        <v>8.0855045561309709</v>
      </c>
      <c r="Y39" s="38" t="s">
        <v>53</v>
      </c>
      <c r="Z39" s="36">
        <v>23.716126555949522</v>
      </c>
      <c r="AA39" s="37">
        <v>6.9625294151146893</v>
      </c>
      <c r="AB39" s="38" t="s">
        <v>53</v>
      </c>
      <c r="AC39" s="36">
        <v>25.30389802034523</v>
      </c>
      <c r="AD39" s="37">
        <v>1.1294978619373341</v>
      </c>
      <c r="AE39" s="38" t="s">
        <v>53</v>
      </c>
      <c r="AF39" s="36">
        <v>18.441507445076418</v>
      </c>
      <c r="AG39" s="37">
        <v>5.9947739473125212</v>
      </c>
      <c r="AH39" s="38" t="s">
        <v>53</v>
      </c>
      <c r="AI39" s="36">
        <v>8.7975584658325996</v>
      </c>
      <c r="AJ39" s="37">
        <v>5.8817430854947164</v>
      </c>
      <c r="AK39" s="38" t="s">
        <v>53</v>
      </c>
      <c r="AL39" s="36">
        <v>30.345770896286599</v>
      </c>
      <c r="AM39" s="37">
        <v>10.089872793004936</v>
      </c>
      <c r="AN39" s="39" t="s">
        <v>53</v>
      </c>
    </row>
    <row r="40" spans="1:40" x14ac:dyDescent="0.25">
      <c r="A40" s="15" t="s">
        <v>226</v>
      </c>
      <c r="B40" s="36">
        <v>13.767365553432789</v>
      </c>
      <c r="C40" s="37">
        <v>1.1613432186534565</v>
      </c>
      <c r="D40" s="38" t="s">
        <v>53</v>
      </c>
      <c r="E40" s="16">
        <v>0.38120049704073528</v>
      </c>
      <c r="F40" s="17">
        <v>2.0448415598137277E-2</v>
      </c>
      <c r="G40" s="38" t="s">
        <v>53</v>
      </c>
      <c r="H40" s="16">
        <v>-0.33505080472528492</v>
      </c>
      <c r="I40" s="17">
        <v>5.0536300392481179E-2</v>
      </c>
      <c r="J40" s="38" t="s">
        <v>53</v>
      </c>
      <c r="K40" s="16">
        <v>-0.32832972158760831</v>
      </c>
      <c r="L40" s="17">
        <v>5.6209470092197567E-2</v>
      </c>
      <c r="M40" s="38" t="s">
        <v>53</v>
      </c>
      <c r="N40" s="16">
        <v>-0.36264607235913793</v>
      </c>
      <c r="O40" s="17">
        <v>0.10606085280310702</v>
      </c>
      <c r="P40" s="38" t="s">
        <v>53</v>
      </c>
      <c r="Q40" s="36">
        <v>21.18473736653311</v>
      </c>
      <c r="R40" s="37">
        <v>0.81478493889986692</v>
      </c>
      <c r="S40" s="38" t="s">
        <v>53</v>
      </c>
      <c r="T40" s="36">
        <v>47.565945868333678</v>
      </c>
      <c r="U40" s="37">
        <v>2.2762372995349418</v>
      </c>
      <c r="V40" s="38" t="s">
        <v>53</v>
      </c>
      <c r="W40" s="36">
        <v>46.60602540371238</v>
      </c>
      <c r="X40" s="37">
        <v>2.5087748988445604</v>
      </c>
      <c r="Y40" s="38" t="s">
        <v>53</v>
      </c>
      <c r="Z40" s="36">
        <v>51.507165101279242</v>
      </c>
      <c r="AA40" s="37">
        <v>4.5727421248790812</v>
      </c>
      <c r="AB40" s="38" t="s">
        <v>53</v>
      </c>
      <c r="AC40" s="36">
        <v>27.527296896275171</v>
      </c>
      <c r="AD40" s="37">
        <v>1.1832416044251077</v>
      </c>
      <c r="AE40" s="38" t="s">
        <v>53</v>
      </c>
      <c r="AF40" s="36">
        <v>10.057071205276751</v>
      </c>
      <c r="AG40" s="37">
        <v>1.0448631302084397</v>
      </c>
      <c r="AH40" s="38" t="s">
        <v>53</v>
      </c>
      <c r="AI40" s="36">
        <v>9.7085297246551203</v>
      </c>
      <c r="AJ40" s="37">
        <v>1.172352050839822</v>
      </c>
      <c r="AK40" s="38" t="s">
        <v>53</v>
      </c>
      <c r="AL40" s="36">
        <v>11.4881047518396</v>
      </c>
      <c r="AM40" s="37">
        <v>2.8318763380033301</v>
      </c>
      <c r="AN40" s="39" t="s">
        <v>53</v>
      </c>
    </row>
    <row r="41" spans="1:40" x14ac:dyDescent="0.25">
      <c r="A41" s="15" t="s">
        <v>154</v>
      </c>
      <c r="B41" s="36">
        <v>26.459841142840613</v>
      </c>
      <c r="C41" s="37">
        <v>1.3482097436076308</v>
      </c>
      <c r="D41" s="38" t="s">
        <v>53</v>
      </c>
      <c r="E41" s="16">
        <v>0.1479623023227673</v>
      </c>
      <c r="F41" s="17">
        <v>2.0239354634285368E-2</v>
      </c>
      <c r="G41" s="38" t="s">
        <v>53</v>
      </c>
      <c r="H41" s="16">
        <v>0.2210940905808669</v>
      </c>
      <c r="I41" s="17">
        <v>3.5602576591388754E-2</v>
      </c>
      <c r="J41" s="38" t="s">
        <v>53</v>
      </c>
      <c r="K41" s="16">
        <v>8.3281697845356398E-2</v>
      </c>
      <c r="L41" s="17">
        <v>4.6200755999680529E-2</v>
      </c>
      <c r="M41" s="38" t="s">
        <v>53</v>
      </c>
      <c r="N41" s="16">
        <v>0.32966129039459552</v>
      </c>
      <c r="O41" s="17">
        <v>3.9176727468136663E-2</v>
      </c>
      <c r="P41" s="38" t="s">
        <v>53</v>
      </c>
      <c r="Q41" s="36">
        <v>25.483246368441257</v>
      </c>
      <c r="R41" s="37">
        <v>0.89596306633726275</v>
      </c>
      <c r="S41" s="38" t="s">
        <v>53</v>
      </c>
      <c r="T41" s="36">
        <v>23.054720033724379</v>
      </c>
      <c r="U41" s="37">
        <v>1.5910333761787423</v>
      </c>
      <c r="V41" s="38" t="s">
        <v>53</v>
      </c>
      <c r="W41" s="36">
        <v>30.260647211063379</v>
      </c>
      <c r="X41" s="37">
        <v>2.2257766790232751</v>
      </c>
      <c r="Y41" s="38" t="s">
        <v>53</v>
      </c>
      <c r="Z41" s="36">
        <v>17.377963972991999</v>
      </c>
      <c r="AA41" s="37">
        <v>1.6618915520759954</v>
      </c>
      <c r="AB41" s="38" t="s">
        <v>53</v>
      </c>
      <c r="AC41" s="36">
        <v>24.727972079183509</v>
      </c>
      <c r="AD41" s="37">
        <v>0.82581727351794354</v>
      </c>
      <c r="AE41" s="38" t="s">
        <v>53</v>
      </c>
      <c r="AF41" s="36">
        <v>27.054961161449942</v>
      </c>
      <c r="AG41" s="37">
        <v>1.1680278364087813</v>
      </c>
      <c r="AH41" s="38" t="s">
        <v>53</v>
      </c>
      <c r="AI41" s="36">
        <v>25.063475877880332</v>
      </c>
      <c r="AJ41" s="37">
        <v>1.6193082733314519</v>
      </c>
      <c r="AK41" s="38" t="s">
        <v>53</v>
      </c>
      <c r="AL41" s="36">
        <v>28.623832990867708</v>
      </c>
      <c r="AM41" s="37">
        <v>1.5093642981658397</v>
      </c>
      <c r="AN41" s="39" t="s">
        <v>53</v>
      </c>
    </row>
    <row r="42" spans="1:40" x14ac:dyDescent="0.25">
      <c r="A42" s="15" t="s">
        <v>155</v>
      </c>
      <c r="B42" s="36">
        <v>12.39989609171765</v>
      </c>
      <c r="C42" s="37">
        <v>0.77280409093371216</v>
      </c>
      <c r="D42" s="38" t="s">
        <v>53</v>
      </c>
      <c r="E42" s="16">
        <v>0.61557496809908585</v>
      </c>
      <c r="F42" s="17">
        <v>1.8201652433096613E-2</v>
      </c>
      <c r="G42" s="38" t="s">
        <v>53</v>
      </c>
      <c r="H42" s="16">
        <v>2.2176607537280901E-2</v>
      </c>
      <c r="I42" s="17">
        <v>4.5118401842045526E-2</v>
      </c>
      <c r="J42" s="38" t="s">
        <v>53</v>
      </c>
      <c r="K42" s="16">
        <v>0.14161689422149029</v>
      </c>
      <c r="L42" s="17">
        <v>5.0352137375930972E-2</v>
      </c>
      <c r="M42" s="38" t="s">
        <v>53</v>
      </c>
      <c r="N42" s="16">
        <v>-9.9116993719990498E-2</v>
      </c>
      <c r="O42" s="17">
        <v>7.217113891843667E-2</v>
      </c>
      <c r="P42" s="38" t="s">
        <v>53</v>
      </c>
      <c r="Q42" s="36">
        <v>21.92126756590531</v>
      </c>
      <c r="R42" s="37">
        <v>0.76176319429899519</v>
      </c>
      <c r="S42" s="38" t="s">
        <v>53</v>
      </c>
      <c r="T42" s="36">
        <v>46.947435412035247</v>
      </c>
      <c r="U42" s="37">
        <v>1.8939482825258129</v>
      </c>
      <c r="V42" s="38" t="s">
        <v>53</v>
      </c>
      <c r="W42" s="36">
        <v>40.926008822470187</v>
      </c>
      <c r="X42" s="37">
        <v>2.5307003514742785</v>
      </c>
      <c r="Y42" s="38" t="s">
        <v>53</v>
      </c>
      <c r="Z42" s="36">
        <v>53.062294443524763</v>
      </c>
      <c r="AA42" s="37">
        <v>3.2150361402685004</v>
      </c>
      <c r="AB42" s="38" t="s">
        <v>53</v>
      </c>
      <c r="AC42" s="36">
        <v>26.44204222466157</v>
      </c>
      <c r="AD42" s="37">
        <v>1.0843949650316649</v>
      </c>
      <c r="AE42" s="38" t="s">
        <v>53</v>
      </c>
      <c r="AF42" s="36">
        <v>14.166923010967301</v>
      </c>
      <c r="AG42" s="37">
        <v>1.2781092751682213</v>
      </c>
      <c r="AH42" s="38" t="s">
        <v>53</v>
      </c>
      <c r="AI42" s="36">
        <v>15.290972569580569</v>
      </c>
      <c r="AJ42" s="37">
        <v>1.7188842277899814</v>
      </c>
      <c r="AK42" s="38" t="s">
        <v>53</v>
      </c>
      <c r="AL42" s="36">
        <v>13.025431955136851</v>
      </c>
      <c r="AM42" s="37">
        <v>1.8439777994858921</v>
      </c>
      <c r="AN42" s="39" t="s">
        <v>53</v>
      </c>
    </row>
    <row r="43" spans="1:40" x14ac:dyDescent="0.25">
      <c r="A43" s="15" t="s">
        <v>156</v>
      </c>
      <c r="B43" s="36">
        <v>0.64312078856707999</v>
      </c>
      <c r="C43" s="37">
        <v>0.19031100288588151</v>
      </c>
      <c r="D43" s="38" t="s">
        <v>53</v>
      </c>
      <c r="E43" s="16">
        <v>-0.14265448595470531</v>
      </c>
      <c r="F43" s="17">
        <v>2.3659598184115747E-2</v>
      </c>
      <c r="G43" s="38" t="s">
        <v>53</v>
      </c>
      <c r="H43" s="16" t="s">
        <v>56</v>
      </c>
      <c r="I43" s="17" t="s">
        <v>56</v>
      </c>
      <c r="J43" s="38" t="s">
        <v>53</v>
      </c>
      <c r="K43" s="16" t="s">
        <v>56</v>
      </c>
      <c r="L43" s="17" t="s">
        <v>56</v>
      </c>
      <c r="M43" s="38" t="s">
        <v>53</v>
      </c>
      <c r="N43" s="16" t="s">
        <v>56</v>
      </c>
      <c r="O43" s="17" t="s">
        <v>56</v>
      </c>
      <c r="P43" s="38" t="s">
        <v>53</v>
      </c>
      <c r="Q43" s="36">
        <v>24.841030009431158</v>
      </c>
      <c r="R43" s="37">
        <v>0.89468432436870426</v>
      </c>
      <c r="S43" s="38" t="s">
        <v>53</v>
      </c>
      <c r="T43" s="36" t="s">
        <v>55</v>
      </c>
      <c r="U43" s="37" t="s">
        <v>55</v>
      </c>
      <c r="V43" s="38" t="s">
        <v>53</v>
      </c>
      <c r="W43" s="36" t="s">
        <v>55</v>
      </c>
      <c r="X43" s="37" t="s">
        <v>55</v>
      </c>
      <c r="Y43" s="38" t="s">
        <v>53</v>
      </c>
      <c r="Z43" s="36" t="s">
        <v>55</v>
      </c>
      <c r="AA43" s="37" t="s">
        <v>55</v>
      </c>
      <c r="AB43" s="38" t="s">
        <v>53</v>
      </c>
      <c r="AC43" s="36">
        <v>25.03430971507661</v>
      </c>
      <c r="AD43" s="37">
        <v>1.0642874192791341</v>
      </c>
      <c r="AE43" s="38" t="s">
        <v>53</v>
      </c>
      <c r="AF43" s="36" t="s">
        <v>55</v>
      </c>
      <c r="AG43" s="37" t="s">
        <v>55</v>
      </c>
      <c r="AH43" s="38" t="s">
        <v>53</v>
      </c>
      <c r="AI43" s="36" t="s">
        <v>55</v>
      </c>
      <c r="AJ43" s="37" t="s">
        <v>55</v>
      </c>
      <c r="AK43" s="38" t="s">
        <v>53</v>
      </c>
      <c r="AL43" s="36" t="s">
        <v>55</v>
      </c>
      <c r="AM43" s="37" t="s">
        <v>55</v>
      </c>
      <c r="AN43" s="39" t="s">
        <v>53</v>
      </c>
    </row>
    <row r="44" spans="1:40" x14ac:dyDescent="0.25">
      <c r="A44" s="15" t="s">
        <v>227</v>
      </c>
      <c r="B44" s="36">
        <v>6.9632335887591799</v>
      </c>
      <c r="C44" s="37">
        <v>0.57149006614731868</v>
      </c>
      <c r="D44" s="38" t="s">
        <v>53</v>
      </c>
      <c r="E44" s="16">
        <v>-0.37297474810934622</v>
      </c>
      <c r="F44" s="17">
        <v>3.4704883881781917E-2</v>
      </c>
      <c r="G44" s="38" t="s">
        <v>53</v>
      </c>
      <c r="H44" s="16">
        <v>-0.56613710624956914</v>
      </c>
      <c r="I44" s="17">
        <v>9.0928647937714283E-2</v>
      </c>
      <c r="J44" s="38" t="s">
        <v>53</v>
      </c>
      <c r="K44" s="16">
        <v>-0.45387287685972311</v>
      </c>
      <c r="L44" s="17">
        <v>0.10101740488639599</v>
      </c>
      <c r="M44" s="38" t="s">
        <v>53</v>
      </c>
      <c r="N44" s="16">
        <v>-0.71955727548160797</v>
      </c>
      <c r="O44" s="17">
        <v>0.13822711452716641</v>
      </c>
      <c r="P44" s="38" t="s">
        <v>53</v>
      </c>
      <c r="Q44" s="36">
        <v>24.80699468618036</v>
      </c>
      <c r="R44" s="37">
        <v>1.0246634516377606</v>
      </c>
      <c r="S44" s="38" t="s">
        <v>53</v>
      </c>
      <c r="T44" s="36">
        <v>26.15481069891743</v>
      </c>
      <c r="U44" s="37">
        <v>3.0679988116555643</v>
      </c>
      <c r="V44" s="38" t="s">
        <v>53</v>
      </c>
      <c r="W44" s="36">
        <v>24.181710424625319</v>
      </c>
      <c r="X44" s="37">
        <v>3.7659305106039072</v>
      </c>
      <c r="Y44" s="38" t="s">
        <v>53</v>
      </c>
      <c r="Z44" s="36">
        <v>28.851247307790263</v>
      </c>
      <c r="AA44" s="37">
        <v>4.9989636104646147</v>
      </c>
      <c r="AB44" s="38" t="s">
        <v>53</v>
      </c>
      <c r="AC44" s="36">
        <v>25.666307031736789</v>
      </c>
      <c r="AD44" s="37">
        <v>1.2894509876521254</v>
      </c>
      <c r="AE44" s="38" t="s">
        <v>53</v>
      </c>
      <c r="AF44" s="36">
        <v>17.807964882157957</v>
      </c>
      <c r="AG44" s="37">
        <v>2.4723271459372005</v>
      </c>
      <c r="AH44" s="38" t="s">
        <v>53</v>
      </c>
      <c r="AI44" s="36">
        <v>22.27215534583307</v>
      </c>
      <c r="AJ44" s="37">
        <v>3.3979394655531237</v>
      </c>
      <c r="AK44" s="38" t="s">
        <v>53</v>
      </c>
      <c r="AL44" s="36">
        <v>11.707207230825119</v>
      </c>
      <c r="AM44" s="37">
        <v>3.1143235237201083</v>
      </c>
      <c r="AN44" s="39" t="s">
        <v>53</v>
      </c>
    </row>
    <row r="45" spans="1:40" x14ac:dyDescent="0.25">
      <c r="A45" s="15" t="s">
        <v>157</v>
      </c>
      <c r="B45" s="36">
        <v>1.18853098725919</v>
      </c>
      <c r="C45" s="37">
        <v>0.16842230016552609</v>
      </c>
      <c r="D45" s="38" t="s">
        <v>53</v>
      </c>
      <c r="E45" s="16">
        <v>-0.2021853237858616</v>
      </c>
      <c r="F45" s="17">
        <v>2.0909896287486764E-2</v>
      </c>
      <c r="G45" s="38" t="s">
        <v>53</v>
      </c>
      <c r="H45" s="16">
        <v>-0.38702767395129661</v>
      </c>
      <c r="I45" s="17">
        <v>0.1661065427543168</v>
      </c>
      <c r="J45" s="38" t="s">
        <v>53</v>
      </c>
      <c r="K45" s="16">
        <v>-0.18274945784141541</v>
      </c>
      <c r="L45" s="17">
        <v>0.17608239822658897</v>
      </c>
      <c r="M45" s="38" t="s">
        <v>53</v>
      </c>
      <c r="N45" s="16">
        <v>-0.61738678968993344</v>
      </c>
      <c r="O45" s="17">
        <v>0.22650764734022413</v>
      </c>
      <c r="P45" s="38" t="s">
        <v>53</v>
      </c>
      <c r="Q45" s="36">
        <v>24.756727346432132</v>
      </c>
      <c r="R45" s="37">
        <v>0.8690829990673884</v>
      </c>
      <c r="S45" s="38" t="s">
        <v>53</v>
      </c>
      <c r="T45" s="36">
        <v>28.758757329859009</v>
      </c>
      <c r="U45" s="37">
        <v>6.4973990840309801</v>
      </c>
      <c r="V45" s="38" t="s">
        <v>53</v>
      </c>
      <c r="W45" s="36">
        <v>18.999876447575581</v>
      </c>
      <c r="X45" s="37">
        <v>7.1826978182791041</v>
      </c>
      <c r="Y45" s="38" t="s">
        <v>53</v>
      </c>
      <c r="Z45" s="36">
        <v>39.763587964527751</v>
      </c>
      <c r="AA45" s="37">
        <v>9.244750265658535</v>
      </c>
      <c r="AB45" s="38" t="s">
        <v>53</v>
      </c>
      <c r="AC45" s="36">
        <v>25.268030482827907</v>
      </c>
      <c r="AD45" s="37">
        <v>0.78406884329503546</v>
      </c>
      <c r="AE45" s="38" t="s">
        <v>53</v>
      </c>
      <c r="AF45" s="36">
        <v>21.423822110931471</v>
      </c>
      <c r="AG45" s="37">
        <v>5.4780957110908499</v>
      </c>
      <c r="AH45" s="38" t="s">
        <v>53</v>
      </c>
      <c r="AI45" s="36">
        <v>26.367207912218159</v>
      </c>
      <c r="AJ45" s="37">
        <v>7.5832092674342366</v>
      </c>
      <c r="AK45" s="38" t="s">
        <v>53</v>
      </c>
      <c r="AL45" s="36">
        <v>15.849297310270391</v>
      </c>
      <c r="AM45" s="37">
        <v>6.8627651512437131</v>
      </c>
      <c r="AN45" s="39" t="s">
        <v>53</v>
      </c>
    </row>
    <row r="46" spans="1:40" x14ac:dyDescent="0.25">
      <c r="A46" s="15" t="s">
        <v>158</v>
      </c>
      <c r="B46" s="36">
        <v>8.8801416636658708</v>
      </c>
      <c r="C46" s="37">
        <v>0.31167440261340096</v>
      </c>
      <c r="D46" s="38" t="s">
        <v>53</v>
      </c>
      <c r="E46" s="16">
        <v>0.13662697588256401</v>
      </c>
      <c r="F46" s="17">
        <v>1.2391128383794237E-2</v>
      </c>
      <c r="G46" s="38" t="s">
        <v>53</v>
      </c>
      <c r="H46" s="16">
        <v>-0.56965832031053143</v>
      </c>
      <c r="I46" s="17">
        <v>4.4112160433932526E-2</v>
      </c>
      <c r="J46" s="38" t="s">
        <v>53</v>
      </c>
      <c r="K46" s="16">
        <v>-0.45885995422214387</v>
      </c>
      <c r="L46" s="17">
        <v>6.6649822600452768E-2</v>
      </c>
      <c r="M46" s="38" t="s">
        <v>53</v>
      </c>
      <c r="N46" s="16">
        <v>-0.64605142097774082</v>
      </c>
      <c r="O46" s="17">
        <v>6.005001605432727E-2</v>
      </c>
      <c r="P46" s="38" t="s">
        <v>53</v>
      </c>
      <c r="Q46" s="36">
        <v>21.988646722042578</v>
      </c>
      <c r="R46" s="37">
        <v>0.61507607138757137</v>
      </c>
      <c r="S46" s="38" t="s">
        <v>53</v>
      </c>
      <c r="T46" s="36">
        <v>55.273919673847018</v>
      </c>
      <c r="U46" s="37">
        <v>2.9479413462730553</v>
      </c>
      <c r="V46" s="38" t="s">
        <v>53</v>
      </c>
      <c r="W46" s="36">
        <v>50.638960343479589</v>
      </c>
      <c r="X46" s="37">
        <v>4.6100499581612553</v>
      </c>
      <c r="Y46" s="38" t="s">
        <v>53</v>
      </c>
      <c r="Z46" s="36">
        <v>58.469624874325518</v>
      </c>
      <c r="AA46" s="37">
        <v>3.8508390536898176</v>
      </c>
      <c r="AB46" s="38" t="s">
        <v>53</v>
      </c>
      <c r="AC46" s="36">
        <v>26.660913483931708</v>
      </c>
      <c r="AD46" s="37">
        <v>0.74982348024195988</v>
      </c>
      <c r="AE46" s="38" t="s">
        <v>53</v>
      </c>
      <c r="AF46" s="36">
        <v>8.3490665959462191</v>
      </c>
      <c r="AG46" s="37">
        <v>1.5874247167945938</v>
      </c>
      <c r="AH46" s="38" t="s">
        <v>53</v>
      </c>
      <c r="AI46" s="36">
        <v>8.4170469076542602</v>
      </c>
      <c r="AJ46" s="37">
        <v>2.2442455823446146</v>
      </c>
      <c r="AK46" s="38" t="s">
        <v>53</v>
      </c>
      <c r="AL46" s="36">
        <v>8.3021956268241794</v>
      </c>
      <c r="AM46" s="37">
        <v>1.8927798041238504</v>
      </c>
      <c r="AN46" s="39" t="s">
        <v>53</v>
      </c>
    </row>
    <row r="47" spans="1:40" x14ac:dyDescent="0.25">
      <c r="A47" s="15" t="s">
        <v>159</v>
      </c>
      <c r="B47" s="36">
        <v>12.188161728613951</v>
      </c>
      <c r="C47" s="37">
        <v>0.47645498721799551</v>
      </c>
      <c r="D47" s="38" t="s">
        <v>53</v>
      </c>
      <c r="E47" s="16">
        <v>-4.0276270657502999E-2</v>
      </c>
      <c r="F47" s="17">
        <v>1.8332184595614014E-2</v>
      </c>
      <c r="G47" s="38" t="s">
        <v>53</v>
      </c>
      <c r="H47" s="16">
        <v>-0.68300709802088344</v>
      </c>
      <c r="I47" s="17">
        <v>2.5969772606514157E-2</v>
      </c>
      <c r="J47" s="38" t="s">
        <v>53</v>
      </c>
      <c r="K47" s="16">
        <v>-0.68708797443303049</v>
      </c>
      <c r="L47" s="17">
        <v>4.0441265208548023E-2</v>
      </c>
      <c r="M47" s="38" t="s">
        <v>53</v>
      </c>
      <c r="N47" s="16">
        <v>-0.68025149529965756</v>
      </c>
      <c r="O47" s="17">
        <v>2.8439820520824353E-2</v>
      </c>
      <c r="P47" s="38" t="s">
        <v>53</v>
      </c>
      <c r="Q47" s="36">
        <v>22.304234123644932</v>
      </c>
      <c r="R47" s="37">
        <v>0.59656375865490074</v>
      </c>
      <c r="S47" s="38" t="s">
        <v>53</v>
      </c>
      <c r="T47" s="36">
        <v>42.696400568450585</v>
      </c>
      <c r="U47" s="37">
        <v>1.0815257981152473</v>
      </c>
      <c r="V47" s="38" t="s">
        <v>53</v>
      </c>
      <c r="W47" s="36">
        <v>42.98082937554171</v>
      </c>
      <c r="X47" s="37">
        <v>1.8110396592682036</v>
      </c>
      <c r="Y47" s="38" t="s">
        <v>53</v>
      </c>
      <c r="Z47" s="36">
        <v>42.504340649046412</v>
      </c>
      <c r="AA47" s="37">
        <v>1.2907404466525982</v>
      </c>
      <c r="AB47" s="38" t="s">
        <v>53</v>
      </c>
      <c r="AC47" s="36">
        <v>27.387105028491998</v>
      </c>
      <c r="AD47" s="37">
        <v>0.6642394030883203</v>
      </c>
      <c r="AE47" s="38" t="s">
        <v>53</v>
      </c>
      <c r="AF47" s="36">
        <v>8.9362416125369695</v>
      </c>
      <c r="AG47" s="37">
        <v>0.81847785264658646</v>
      </c>
      <c r="AH47" s="38" t="s">
        <v>53</v>
      </c>
      <c r="AI47" s="36">
        <v>8.9126496984696502</v>
      </c>
      <c r="AJ47" s="37">
        <v>1.0485556291487554</v>
      </c>
      <c r="AK47" s="38" t="s">
        <v>53</v>
      </c>
      <c r="AL47" s="36">
        <v>8.9521720000413101</v>
      </c>
      <c r="AM47" s="37">
        <v>0.87004120182591571</v>
      </c>
      <c r="AN47" s="39" t="s">
        <v>53</v>
      </c>
    </row>
    <row r="48" spans="1:40" x14ac:dyDescent="0.25">
      <c r="A48" s="15" t="s">
        <v>160</v>
      </c>
      <c r="B48" s="36">
        <v>20.473115864425338</v>
      </c>
      <c r="C48" s="37">
        <v>1.3408865697378713</v>
      </c>
      <c r="D48" s="38" t="s">
        <v>53</v>
      </c>
      <c r="E48" s="16">
        <v>0.49874152111055248</v>
      </c>
      <c r="F48" s="17">
        <v>2.4883184711832974E-2</v>
      </c>
      <c r="G48" s="38" t="s">
        <v>53</v>
      </c>
      <c r="H48" s="16">
        <v>-0.16859691141118771</v>
      </c>
      <c r="I48" s="17">
        <v>4.2534624180291726E-2</v>
      </c>
      <c r="J48" s="38" t="s">
        <v>53</v>
      </c>
      <c r="K48" s="16">
        <v>-2.9862463908060601E-2</v>
      </c>
      <c r="L48" s="17">
        <v>5.3539743852856356E-2</v>
      </c>
      <c r="M48" s="38" t="s">
        <v>53</v>
      </c>
      <c r="N48" s="16">
        <v>-0.32834358299658373</v>
      </c>
      <c r="O48" s="17">
        <v>5.9801910866095001E-2</v>
      </c>
      <c r="P48" s="38" t="s">
        <v>53</v>
      </c>
      <c r="Q48" s="36">
        <v>19.60324649687773</v>
      </c>
      <c r="R48" s="37">
        <v>0.86558841727801505</v>
      </c>
      <c r="S48" s="38" t="s">
        <v>53</v>
      </c>
      <c r="T48" s="36">
        <v>45.643008240811398</v>
      </c>
      <c r="U48" s="37">
        <v>1.8212549463860965</v>
      </c>
      <c r="V48" s="38" t="s">
        <v>53</v>
      </c>
      <c r="W48" s="36">
        <v>41.515687848170316</v>
      </c>
      <c r="X48" s="37">
        <v>2.3550080123578057</v>
      </c>
      <c r="Y48" s="38" t="s">
        <v>53</v>
      </c>
      <c r="Z48" s="36">
        <v>50.395437843964466</v>
      </c>
      <c r="AA48" s="37">
        <v>2.5421600151497521</v>
      </c>
      <c r="AB48" s="38" t="s">
        <v>53</v>
      </c>
      <c r="AC48" s="36">
        <v>28.26412104564972</v>
      </c>
      <c r="AD48" s="37">
        <v>1.3391145538953386</v>
      </c>
      <c r="AE48" s="38" t="s">
        <v>53</v>
      </c>
      <c r="AF48" s="36">
        <v>12.44260371711832</v>
      </c>
      <c r="AG48" s="37">
        <v>1.4993281425903049</v>
      </c>
      <c r="AH48" s="38" t="s">
        <v>53</v>
      </c>
      <c r="AI48" s="36">
        <v>14.688368240661109</v>
      </c>
      <c r="AJ48" s="37">
        <v>2.4704064370282821</v>
      </c>
      <c r="AK48" s="38" t="s">
        <v>53</v>
      </c>
      <c r="AL48" s="36">
        <v>9.85670371710256</v>
      </c>
      <c r="AM48" s="37">
        <v>1.513270775989829</v>
      </c>
      <c r="AN48" s="39" t="s">
        <v>53</v>
      </c>
    </row>
    <row r="49" spans="1:40" x14ac:dyDescent="0.25">
      <c r="A49" s="15" t="s">
        <v>161</v>
      </c>
      <c r="B49" s="36">
        <v>33.868233035169411</v>
      </c>
      <c r="C49" s="37">
        <v>1.4103551478288376</v>
      </c>
      <c r="D49" s="38" t="s">
        <v>53</v>
      </c>
      <c r="E49" s="16">
        <v>0.21284617802106429</v>
      </c>
      <c r="F49" s="17">
        <v>2.3993780227355387E-2</v>
      </c>
      <c r="G49" s="38" t="s">
        <v>53</v>
      </c>
      <c r="H49" s="16">
        <v>-0.44186267101285831</v>
      </c>
      <c r="I49" s="17">
        <v>4.330926028612464E-2</v>
      </c>
      <c r="J49" s="38" t="s">
        <v>53</v>
      </c>
      <c r="K49" s="16">
        <v>-0.47179755459859007</v>
      </c>
      <c r="L49" s="17">
        <v>4.2597789218628689E-2</v>
      </c>
      <c r="M49" s="38" t="s">
        <v>53</v>
      </c>
      <c r="N49" s="16">
        <v>-0.3870330646736293</v>
      </c>
      <c r="O49" s="17">
        <v>6.3337204191189406E-2</v>
      </c>
      <c r="P49" s="38" t="s">
        <v>53</v>
      </c>
      <c r="Q49" s="36">
        <v>15.002931306838791</v>
      </c>
      <c r="R49" s="37">
        <v>0.82128444493608599</v>
      </c>
      <c r="S49" s="38" t="s">
        <v>53</v>
      </c>
      <c r="T49" s="36">
        <v>44.149377890332907</v>
      </c>
      <c r="U49" s="37">
        <v>1.758180996414042</v>
      </c>
      <c r="V49" s="38" t="s">
        <v>53</v>
      </c>
      <c r="W49" s="36">
        <v>45.145029381455018</v>
      </c>
      <c r="X49" s="37">
        <v>1.8950844658126114</v>
      </c>
      <c r="Y49" s="38" t="s">
        <v>53</v>
      </c>
      <c r="Z49" s="36">
        <v>42.325713563964477</v>
      </c>
      <c r="AA49" s="37">
        <v>2.6063328969966535</v>
      </c>
      <c r="AB49" s="38" t="s">
        <v>53</v>
      </c>
      <c r="AC49" s="36">
        <v>29.957009089250146</v>
      </c>
      <c r="AD49" s="37">
        <v>1.3897159239632111</v>
      </c>
      <c r="AE49" s="38" t="s">
        <v>53</v>
      </c>
      <c r="AF49" s="36">
        <v>15.725823427046102</v>
      </c>
      <c r="AG49" s="37">
        <v>1.3435619152917204</v>
      </c>
      <c r="AH49" s="38" t="s">
        <v>53</v>
      </c>
      <c r="AI49" s="36">
        <v>13.062853836987021</v>
      </c>
      <c r="AJ49" s="37">
        <v>1.2244168126850832</v>
      </c>
      <c r="AK49" s="38" t="s">
        <v>53</v>
      </c>
      <c r="AL49" s="36">
        <v>20.6033962393176</v>
      </c>
      <c r="AM49" s="37">
        <v>2.151249868738085</v>
      </c>
      <c r="AN49" s="39" t="s">
        <v>53</v>
      </c>
    </row>
    <row r="50" spans="1:40" x14ac:dyDescent="0.25">
      <c r="A50" s="15" t="s">
        <v>162</v>
      </c>
      <c r="B50" s="36">
        <v>0.85430183715388996</v>
      </c>
      <c r="C50" s="37">
        <v>0.14058186011809648</v>
      </c>
      <c r="D50" s="38" t="s">
        <v>53</v>
      </c>
      <c r="E50" s="16">
        <v>-1.154707539379294</v>
      </c>
      <c r="F50" s="17">
        <v>4.3617570301074382E-2</v>
      </c>
      <c r="G50" s="38" t="s">
        <v>53</v>
      </c>
      <c r="H50" s="16">
        <v>-0.36666153916806049</v>
      </c>
      <c r="I50" s="17">
        <v>0.19696885719556737</v>
      </c>
      <c r="J50" s="38" t="s">
        <v>53</v>
      </c>
      <c r="K50" s="16">
        <v>-0.32918926370609602</v>
      </c>
      <c r="L50" s="17">
        <v>0.24127126520115749</v>
      </c>
      <c r="M50" s="38" t="s">
        <v>53</v>
      </c>
      <c r="N50" s="16" t="s">
        <v>56</v>
      </c>
      <c r="O50" s="17" t="s">
        <v>56</v>
      </c>
      <c r="P50" s="38" t="s">
        <v>53</v>
      </c>
      <c r="Q50" s="36">
        <v>25.282579041948889</v>
      </c>
      <c r="R50" s="37">
        <v>1.011692587394869</v>
      </c>
      <c r="S50" s="38" t="s">
        <v>53</v>
      </c>
      <c r="T50" s="36">
        <v>11.687158393287451</v>
      </c>
      <c r="U50" s="37">
        <v>5.7992865409220498</v>
      </c>
      <c r="V50" s="38" t="s">
        <v>53</v>
      </c>
      <c r="W50" s="36">
        <v>11.518111714676159</v>
      </c>
      <c r="X50" s="37">
        <v>7.6664970730031827</v>
      </c>
      <c r="Y50" s="38" t="s">
        <v>53</v>
      </c>
      <c r="Z50" s="36" t="s">
        <v>55</v>
      </c>
      <c r="AA50" s="37" t="s">
        <v>55</v>
      </c>
      <c r="AB50" s="38" t="s">
        <v>53</v>
      </c>
      <c r="AC50" s="36">
        <v>24.931557362184382</v>
      </c>
      <c r="AD50" s="37">
        <v>1.4056335803351239</v>
      </c>
      <c r="AE50" s="38" t="s">
        <v>53</v>
      </c>
      <c r="AF50" s="36">
        <v>49.299132486657079</v>
      </c>
      <c r="AG50" s="37">
        <v>7.6916534856997867</v>
      </c>
      <c r="AH50" s="38" t="s">
        <v>53</v>
      </c>
      <c r="AI50" s="36">
        <v>49.209984087819478</v>
      </c>
      <c r="AJ50" s="37">
        <v>9.0669198119940813</v>
      </c>
      <c r="AK50" s="38" t="s">
        <v>53</v>
      </c>
      <c r="AL50" s="36" t="s">
        <v>55</v>
      </c>
      <c r="AM50" s="37" t="s">
        <v>55</v>
      </c>
      <c r="AN50" s="39" t="s">
        <v>53</v>
      </c>
    </row>
    <row r="51" spans="1:40" x14ac:dyDescent="0.25">
      <c r="A51" s="15" t="s">
        <v>163</v>
      </c>
      <c r="B51" s="36">
        <v>19.760951782508652</v>
      </c>
      <c r="C51" s="37">
        <v>1.1769923779338967</v>
      </c>
      <c r="D51" s="38" t="s">
        <v>53</v>
      </c>
      <c r="E51" s="16">
        <v>0.33310548565968978</v>
      </c>
      <c r="F51" s="17">
        <v>2.5491200821534721E-2</v>
      </c>
      <c r="G51" s="38" t="s">
        <v>53</v>
      </c>
      <c r="H51" s="16">
        <v>3.1262379068270799E-2</v>
      </c>
      <c r="I51" s="17">
        <v>4.1940060252508071E-2</v>
      </c>
      <c r="J51" s="38" t="s">
        <v>53</v>
      </c>
      <c r="K51" s="16">
        <v>7.87774820607995E-2</v>
      </c>
      <c r="L51" s="17">
        <v>4.6404641676422623E-2</v>
      </c>
      <c r="M51" s="38" t="s">
        <v>53</v>
      </c>
      <c r="N51" s="16">
        <v>-3.17917094909295E-2</v>
      </c>
      <c r="O51" s="17">
        <v>6.9639297317148727E-2</v>
      </c>
      <c r="P51" s="38" t="s">
        <v>53</v>
      </c>
      <c r="Q51" s="36">
        <v>22.793480124941158</v>
      </c>
      <c r="R51" s="37">
        <v>1.0590904917186958</v>
      </c>
      <c r="S51" s="38" t="s">
        <v>53</v>
      </c>
      <c r="T51" s="36">
        <v>33.097047378200912</v>
      </c>
      <c r="U51" s="37">
        <v>1.8124551924592063</v>
      </c>
      <c r="V51" s="38" t="s">
        <v>53</v>
      </c>
      <c r="W51" s="36">
        <v>31.166849945138196</v>
      </c>
      <c r="X51" s="37">
        <v>2.0747281018860444</v>
      </c>
      <c r="Y51" s="38" t="s">
        <v>53</v>
      </c>
      <c r="Z51" s="36">
        <v>35.658482210831153</v>
      </c>
      <c r="AA51" s="37">
        <v>2.4765918741027821</v>
      </c>
      <c r="AB51" s="38" t="s">
        <v>53</v>
      </c>
      <c r="AC51" s="36">
        <v>26.851352314246661</v>
      </c>
      <c r="AD51" s="37">
        <v>1.0166837035805267</v>
      </c>
      <c r="AE51" s="38" t="s">
        <v>53</v>
      </c>
      <c r="AF51" s="36">
        <v>17.897401891221719</v>
      </c>
      <c r="AG51" s="37">
        <v>1.4617076239559577</v>
      </c>
      <c r="AH51" s="38" t="s">
        <v>53</v>
      </c>
      <c r="AI51" s="36">
        <v>19.545243741440292</v>
      </c>
      <c r="AJ51" s="37">
        <v>1.7578500310843139</v>
      </c>
      <c r="AK51" s="38" t="s">
        <v>53</v>
      </c>
      <c r="AL51" s="36">
        <v>15.71066210931329</v>
      </c>
      <c r="AM51" s="37">
        <v>3.0757718270287957</v>
      </c>
      <c r="AN51" s="39" t="s">
        <v>53</v>
      </c>
    </row>
    <row r="52" spans="1:40" x14ac:dyDescent="0.25">
      <c r="A52" s="15" t="s">
        <v>228</v>
      </c>
      <c r="B52" s="36">
        <v>23.012325770304379</v>
      </c>
      <c r="C52" s="37">
        <v>1.519881538268582</v>
      </c>
      <c r="D52" s="38" t="s">
        <v>53</v>
      </c>
      <c r="E52" s="16">
        <v>0.24504462715744971</v>
      </c>
      <c r="F52" s="17">
        <v>3.6994575779448771E-2</v>
      </c>
      <c r="G52" s="38" t="s">
        <v>53</v>
      </c>
      <c r="H52" s="16">
        <v>-0.28074891333605678</v>
      </c>
      <c r="I52" s="17">
        <v>8.5331005783201935E-2</v>
      </c>
      <c r="J52" s="38" t="s">
        <v>53</v>
      </c>
      <c r="K52" s="16">
        <v>-0.30669538328353058</v>
      </c>
      <c r="L52" s="17">
        <v>9.956687421010163E-2</v>
      </c>
      <c r="M52" s="38" t="s">
        <v>53</v>
      </c>
      <c r="N52" s="16">
        <v>-0.20627096023825739</v>
      </c>
      <c r="O52" s="17">
        <v>8.0799529435671369E-2</v>
      </c>
      <c r="P52" s="38" t="s">
        <v>53</v>
      </c>
      <c r="Q52" s="36">
        <v>19.61559559031199</v>
      </c>
      <c r="R52" s="37">
        <v>1.0741999906281041</v>
      </c>
      <c r="S52" s="38" t="s">
        <v>53</v>
      </c>
      <c r="T52" s="36">
        <v>40.593289908945181</v>
      </c>
      <c r="U52" s="37">
        <v>3.3065017083764756</v>
      </c>
      <c r="V52" s="38" t="s">
        <v>53</v>
      </c>
      <c r="W52" s="36">
        <v>42.071199491533825</v>
      </c>
      <c r="X52" s="37">
        <v>3.8256145334525717</v>
      </c>
      <c r="Y52" s="38" t="s">
        <v>53</v>
      </c>
      <c r="Z52" s="36">
        <v>36.351029563023154</v>
      </c>
      <c r="AA52" s="37">
        <v>3.4587846577768859</v>
      </c>
      <c r="AB52" s="38" t="s">
        <v>53</v>
      </c>
      <c r="AC52" s="36">
        <v>27.179274954521681</v>
      </c>
      <c r="AD52" s="37">
        <v>1.5857124045646258</v>
      </c>
      <c r="AE52" s="38" t="s">
        <v>53</v>
      </c>
      <c r="AF52" s="36">
        <v>19.519893715346079</v>
      </c>
      <c r="AG52" s="37">
        <v>1.9956190868642172</v>
      </c>
      <c r="AH52" s="38" t="s">
        <v>53</v>
      </c>
      <c r="AI52" s="36">
        <v>19.772656618768501</v>
      </c>
      <c r="AJ52" s="37">
        <v>2.5465628551379349</v>
      </c>
      <c r="AK52" s="38" t="s">
        <v>53</v>
      </c>
      <c r="AL52" s="36">
        <v>18.794351331196399</v>
      </c>
      <c r="AM52" s="37">
        <v>1.9539606946385524</v>
      </c>
      <c r="AN52" s="39" t="s">
        <v>53</v>
      </c>
    </row>
    <row r="53" spans="1:40" x14ac:dyDescent="0.25">
      <c r="A53" s="15" t="s">
        <v>164</v>
      </c>
      <c r="B53" s="36">
        <v>13.04390904777839</v>
      </c>
      <c r="C53" s="37">
        <v>0.13102265205554489</v>
      </c>
      <c r="D53" s="38" t="s">
        <v>53</v>
      </c>
      <c r="E53" s="16">
        <v>3.2679092715719699E-2</v>
      </c>
      <c r="F53" s="17">
        <v>3.9908737409356998E-3</v>
      </c>
      <c r="G53" s="38" t="s">
        <v>53</v>
      </c>
      <c r="H53" s="16">
        <v>-0.33365978400322699</v>
      </c>
      <c r="I53" s="17">
        <v>1.6026305804915202E-2</v>
      </c>
      <c r="J53" s="38" t="s">
        <v>53</v>
      </c>
      <c r="K53" s="16">
        <v>-0.25869871145728168</v>
      </c>
      <c r="L53" s="17">
        <v>1.5776225931668698E-2</v>
      </c>
      <c r="M53" s="38" t="s">
        <v>53</v>
      </c>
      <c r="N53" s="16">
        <v>-0.3122029305566954</v>
      </c>
      <c r="O53" s="17">
        <v>2.2281150291858801E-2</v>
      </c>
      <c r="P53" s="38" t="s">
        <v>53</v>
      </c>
      <c r="Q53" s="36">
        <v>22.46310428627703</v>
      </c>
      <c r="R53" s="37">
        <v>0.14366946490030791</v>
      </c>
      <c r="S53" s="38" t="s">
        <v>53</v>
      </c>
      <c r="T53" s="36">
        <v>37.792769362164677</v>
      </c>
      <c r="U53" s="37">
        <v>0.56146209335805219</v>
      </c>
      <c r="V53" s="38" t="s">
        <v>53</v>
      </c>
      <c r="W53" s="36">
        <v>36.330184511223372</v>
      </c>
      <c r="X53" s="37">
        <v>0.68107960607911644</v>
      </c>
      <c r="Y53" s="38" t="s">
        <v>53</v>
      </c>
      <c r="Z53" s="36">
        <v>38.4349561546695</v>
      </c>
      <c r="AA53" s="37">
        <v>0.82457644686196452</v>
      </c>
      <c r="AB53" s="38" t="s">
        <v>53</v>
      </c>
      <c r="AC53" s="36">
        <v>26.467045193639251</v>
      </c>
      <c r="AD53" s="37">
        <v>0.17036181167646161</v>
      </c>
      <c r="AE53" s="38" t="s">
        <v>53</v>
      </c>
      <c r="AF53" s="36">
        <v>18.172163640608499</v>
      </c>
      <c r="AG53" s="37">
        <v>0.50690046500473551</v>
      </c>
      <c r="AH53" s="38" t="s">
        <v>53</v>
      </c>
      <c r="AI53" s="36">
        <v>18.193796244125529</v>
      </c>
      <c r="AJ53" s="37">
        <v>0.60253322427538702</v>
      </c>
      <c r="AK53" s="38" t="s">
        <v>53</v>
      </c>
      <c r="AL53" s="36">
        <v>18.308020503326809</v>
      </c>
      <c r="AM53" s="37">
        <v>0.74433005949225406</v>
      </c>
      <c r="AN53" s="39" t="s">
        <v>53</v>
      </c>
    </row>
    <row r="54" spans="1:40" x14ac:dyDescent="0.25">
      <c r="A54" s="57" t="s">
        <v>211</v>
      </c>
      <c r="B54" s="36"/>
      <c r="C54" s="37"/>
      <c r="D54" s="38"/>
      <c r="E54" s="16"/>
      <c r="F54" s="17"/>
      <c r="G54" s="38"/>
      <c r="H54" s="16"/>
      <c r="I54" s="17"/>
      <c r="J54" s="38"/>
      <c r="K54" s="16"/>
      <c r="L54" s="17"/>
      <c r="M54" s="38"/>
      <c r="N54" s="16"/>
      <c r="O54" s="17"/>
      <c r="P54" s="38"/>
      <c r="Q54" s="36"/>
      <c r="R54" s="37"/>
      <c r="S54" s="38"/>
      <c r="T54" s="36"/>
      <c r="U54" s="37"/>
      <c r="V54" s="38"/>
      <c r="W54" s="36"/>
      <c r="X54" s="37"/>
      <c r="Y54" s="38"/>
      <c r="Z54" s="36"/>
      <c r="AA54" s="37"/>
      <c r="AB54" s="38"/>
      <c r="AC54" s="36"/>
      <c r="AD54" s="37"/>
      <c r="AE54" s="38"/>
      <c r="AF54" s="36"/>
      <c r="AG54" s="37"/>
      <c r="AH54" s="38"/>
      <c r="AI54" s="36"/>
      <c r="AJ54" s="37"/>
      <c r="AK54" s="38"/>
      <c r="AL54" s="36"/>
      <c r="AM54" s="37"/>
      <c r="AN54" s="39"/>
    </row>
    <row r="55" spans="1:40" x14ac:dyDescent="0.25">
      <c r="A55" s="15" t="s">
        <v>169</v>
      </c>
      <c r="B55" s="36">
        <v>0.62059781455420004</v>
      </c>
      <c r="C55" s="37">
        <v>0.12271048399013314</v>
      </c>
      <c r="D55" s="38" t="s">
        <v>53</v>
      </c>
      <c r="E55" s="16">
        <v>-0.86980494459858526</v>
      </c>
      <c r="F55" s="17">
        <v>2.5455698430908922E-2</v>
      </c>
      <c r="G55" s="38" t="s">
        <v>53</v>
      </c>
      <c r="H55" s="16">
        <v>-0.80411359361895818</v>
      </c>
      <c r="I55" s="17">
        <v>0.28357247123855805</v>
      </c>
      <c r="J55" s="38" t="s">
        <v>53</v>
      </c>
      <c r="K55" s="16" t="s">
        <v>56</v>
      </c>
      <c r="L55" s="17" t="s">
        <v>56</v>
      </c>
      <c r="M55" s="38" t="s">
        <v>53</v>
      </c>
      <c r="N55" s="16" t="s">
        <v>56</v>
      </c>
      <c r="O55" s="17" t="s">
        <v>56</v>
      </c>
      <c r="P55" s="38" t="s">
        <v>53</v>
      </c>
      <c r="Q55" s="36">
        <v>24.798867551421019</v>
      </c>
      <c r="R55" s="37">
        <v>0.8762918360219939</v>
      </c>
      <c r="S55" s="38" t="s">
        <v>53</v>
      </c>
      <c r="T55" s="36">
        <v>30.090839988235818</v>
      </c>
      <c r="U55" s="37">
        <v>8.5313382861367622</v>
      </c>
      <c r="V55" s="38" t="s">
        <v>53</v>
      </c>
      <c r="W55" s="36" t="s">
        <v>55</v>
      </c>
      <c r="X55" s="37" t="s">
        <v>55</v>
      </c>
      <c r="Y55" s="38" t="s">
        <v>53</v>
      </c>
      <c r="Z55" s="36" t="s">
        <v>55</v>
      </c>
      <c r="AA55" s="37" t="s">
        <v>55</v>
      </c>
      <c r="AB55" s="38" t="s">
        <v>53</v>
      </c>
      <c r="AC55" s="36">
        <v>25.054743396949391</v>
      </c>
      <c r="AD55" s="37">
        <v>1.0161621548732225</v>
      </c>
      <c r="AE55" s="38" t="s">
        <v>53</v>
      </c>
      <c r="AF55" s="36">
        <v>28.521204996427041</v>
      </c>
      <c r="AG55" s="37">
        <v>10.441616337157759</v>
      </c>
      <c r="AH55" s="38" t="s">
        <v>53</v>
      </c>
      <c r="AI55" s="36" t="s">
        <v>55</v>
      </c>
      <c r="AJ55" s="37" t="s">
        <v>55</v>
      </c>
      <c r="AK55" s="38" t="s">
        <v>53</v>
      </c>
      <c r="AL55" s="36" t="s">
        <v>55</v>
      </c>
      <c r="AM55" s="37" t="s">
        <v>55</v>
      </c>
      <c r="AN55" s="39" t="s">
        <v>53</v>
      </c>
    </row>
    <row r="56" spans="1:40" x14ac:dyDescent="0.25">
      <c r="A56" s="15" t="s">
        <v>170</v>
      </c>
      <c r="B56" s="36">
        <v>4.5581922113720896</v>
      </c>
      <c r="C56" s="37">
        <v>0.3258858226592739</v>
      </c>
      <c r="D56" s="38" t="s">
        <v>53</v>
      </c>
      <c r="E56" s="16">
        <v>-0.92831414335297069</v>
      </c>
      <c r="F56" s="17">
        <v>3.5239853878562856E-2</v>
      </c>
      <c r="G56" s="38" t="s">
        <v>53</v>
      </c>
      <c r="H56" s="16">
        <v>-1.314395827783936</v>
      </c>
      <c r="I56" s="17">
        <v>7.6314516846795397E-2</v>
      </c>
      <c r="J56" s="38" t="s">
        <v>53</v>
      </c>
      <c r="K56" s="16">
        <v>-1.362913650775905</v>
      </c>
      <c r="L56" s="17">
        <v>8.5408569747094626E-2</v>
      </c>
      <c r="M56" s="38" t="s">
        <v>53</v>
      </c>
      <c r="N56" s="16">
        <v>-1.2612292259477149</v>
      </c>
      <c r="O56" s="17">
        <v>0.11687956210884538</v>
      </c>
      <c r="P56" s="38" t="s">
        <v>53</v>
      </c>
      <c r="Q56" s="36">
        <v>24.54310020892968</v>
      </c>
      <c r="R56" s="37">
        <v>1.0023702498331606</v>
      </c>
      <c r="S56" s="38" t="s">
        <v>53</v>
      </c>
      <c r="T56" s="36">
        <v>33.648724401597505</v>
      </c>
      <c r="U56" s="37">
        <v>2.9438807937136522</v>
      </c>
      <c r="V56" s="38" t="s">
        <v>53</v>
      </c>
      <c r="W56" s="36">
        <v>32.677662432302292</v>
      </c>
      <c r="X56" s="37">
        <v>3.3462110697340375</v>
      </c>
      <c r="Y56" s="38" t="s">
        <v>53</v>
      </c>
      <c r="Z56" s="36">
        <v>34.712829546800819</v>
      </c>
      <c r="AA56" s="37">
        <v>4.3001488980882758</v>
      </c>
      <c r="AB56" s="38" t="s">
        <v>53</v>
      </c>
      <c r="AC56" s="36">
        <v>25.891582517882288</v>
      </c>
      <c r="AD56" s="37">
        <v>1.0844432790020464</v>
      </c>
      <c r="AE56" s="38" t="s">
        <v>53</v>
      </c>
      <c r="AF56" s="36">
        <v>14.279711058995431</v>
      </c>
      <c r="AG56" s="37">
        <v>2.6131542037840814</v>
      </c>
      <c r="AH56" s="38" t="s">
        <v>53</v>
      </c>
      <c r="AI56" s="36">
        <v>11.75391575856001</v>
      </c>
      <c r="AJ56" s="37">
        <v>2.7839297664606422</v>
      </c>
      <c r="AK56" s="38" t="s">
        <v>53</v>
      </c>
      <c r="AL56" s="36">
        <v>17.047517707704298</v>
      </c>
      <c r="AM56" s="37">
        <v>3.3453911057352523</v>
      </c>
      <c r="AN56" s="39" t="s">
        <v>53</v>
      </c>
    </row>
    <row r="57" spans="1:40" x14ac:dyDescent="0.25">
      <c r="A57" s="15" t="s">
        <v>171</v>
      </c>
      <c r="B57" s="36">
        <v>5.2006981077612595</v>
      </c>
      <c r="C57" s="37">
        <v>0.37027052060356908</v>
      </c>
      <c r="D57" s="38" t="s">
        <v>53</v>
      </c>
      <c r="E57" s="16">
        <v>-0.54645594605935777</v>
      </c>
      <c r="F57" s="17">
        <v>2.5807987647572337E-2</v>
      </c>
      <c r="G57" s="38" t="s">
        <v>53</v>
      </c>
      <c r="H57" s="16">
        <v>-0.64783568614469211</v>
      </c>
      <c r="I57" s="17">
        <v>5.2665223653517335E-2</v>
      </c>
      <c r="J57" s="38" t="s">
        <v>53</v>
      </c>
      <c r="K57" s="16">
        <v>-0.52822606673122185</v>
      </c>
      <c r="L57" s="17">
        <v>6.7047329359794974E-2</v>
      </c>
      <c r="M57" s="38" t="s">
        <v>53</v>
      </c>
      <c r="N57" s="16">
        <v>-0.81563479370422209</v>
      </c>
      <c r="O57" s="17">
        <v>6.5658942103190107E-2</v>
      </c>
      <c r="P57" s="38" t="s">
        <v>53</v>
      </c>
      <c r="Q57" s="36">
        <v>24.904990269660772</v>
      </c>
      <c r="R57" s="37">
        <v>0.88505179933511913</v>
      </c>
      <c r="S57" s="38" t="s">
        <v>53</v>
      </c>
      <c r="T57" s="36">
        <v>26.015098157188994</v>
      </c>
      <c r="U57" s="37">
        <v>2.5036110845151653</v>
      </c>
      <c r="V57" s="38" t="s">
        <v>53</v>
      </c>
      <c r="W57" s="36">
        <v>22.042434343014829</v>
      </c>
      <c r="X57" s="37">
        <v>2.8972184061198196</v>
      </c>
      <c r="Y57" s="38" t="s">
        <v>53</v>
      </c>
      <c r="Z57" s="36">
        <v>31.588307451903869</v>
      </c>
      <c r="AA57" s="37">
        <v>4.251193955216249</v>
      </c>
      <c r="AB57" s="38" t="s">
        <v>53</v>
      </c>
      <c r="AC57" s="36">
        <v>25.483738531855238</v>
      </c>
      <c r="AD57" s="37">
        <v>1.1288025212321566</v>
      </c>
      <c r="AE57" s="38" t="s">
        <v>53</v>
      </c>
      <c r="AF57" s="36">
        <v>19.357028153543471</v>
      </c>
      <c r="AG57" s="37">
        <v>2.4436757414332608</v>
      </c>
      <c r="AH57" s="38" t="s">
        <v>53</v>
      </c>
      <c r="AI57" s="36">
        <v>24.301454939502378</v>
      </c>
      <c r="AJ57" s="37">
        <v>3.4733662294908672</v>
      </c>
      <c r="AK57" s="38" t="s">
        <v>53</v>
      </c>
      <c r="AL57" s="36">
        <v>12.42054255860724</v>
      </c>
      <c r="AM57" s="37">
        <v>3.1521253436747485</v>
      </c>
      <c r="AN57" s="39" t="s">
        <v>53</v>
      </c>
    </row>
    <row r="58" spans="1:40" x14ac:dyDescent="0.25">
      <c r="A58" s="15" t="s">
        <v>172</v>
      </c>
      <c r="B58" s="36">
        <v>4.1471741637499493</v>
      </c>
      <c r="C58" s="37">
        <v>0.3187600924711777</v>
      </c>
      <c r="D58" s="38" t="s">
        <v>53</v>
      </c>
      <c r="E58" s="16">
        <v>-0.1187071067122745</v>
      </c>
      <c r="F58" s="17">
        <v>1.7637317218512749E-2</v>
      </c>
      <c r="G58" s="38" t="s">
        <v>53</v>
      </c>
      <c r="H58" s="16">
        <v>-0.25243346661197008</v>
      </c>
      <c r="I58" s="17">
        <v>6.0362382657495064E-2</v>
      </c>
      <c r="J58" s="38" t="s">
        <v>53</v>
      </c>
      <c r="K58" s="16">
        <v>-0.1881250570019993</v>
      </c>
      <c r="L58" s="17">
        <v>6.3802346942070889E-2</v>
      </c>
      <c r="M58" s="38" t="s">
        <v>53</v>
      </c>
      <c r="N58" s="16">
        <v>-0.40115526441360949</v>
      </c>
      <c r="O58" s="17">
        <v>0.11402364724527154</v>
      </c>
      <c r="P58" s="38" t="s">
        <v>53</v>
      </c>
      <c r="Q58" s="36">
        <v>24.341166369186691</v>
      </c>
      <c r="R58" s="37">
        <v>0.73440629384593392</v>
      </c>
      <c r="S58" s="38" t="s">
        <v>53</v>
      </c>
      <c r="T58" s="36">
        <v>32.849461213860629</v>
      </c>
      <c r="U58" s="37">
        <v>4.1250238420866383</v>
      </c>
      <c r="V58" s="38" t="s">
        <v>53</v>
      </c>
      <c r="W58" s="36">
        <v>29.257801215504749</v>
      </c>
      <c r="X58" s="37">
        <v>4.7071640660362029</v>
      </c>
      <c r="Y58" s="38" t="s">
        <v>53</v>
      </c>
      <c r="Z58" s="36">
        <v>41.15565530709631</v>
      </c>
      <c r="AA58" s="37">
        <v>6.433489596041321</v>
      </c>
      <c r="AB58" s="38" t="s">
        <v>53</v>
      </c>
      <c r="AC58" s="36">
        <v>25.490722545755261</v>
      </c>
      <c r="AD58" s="37">
        <v>0.99067227321384266</v>
      </c>
      <c r="AE58" s="38" t="s">
        <v>53</v>
      </c>
      <c r="AF58" s="36">
        <v>19.732203435027152</v>
      </c>
      <c r="AG58" s="37">
        <v>2.5377689250041557</v>
      </c>
      <c r="AH58" s="38" t="s">
        <v>53</v>
      </c>
      <c r="AI58" s="36">
        <v>20.150451309348462</v>
      </c>
      <c r="AJ58" s="37">
        <v>3.1032024476649394</v>
      </c>
      <c r="AK58" s="38" t="s">
        <v>53</v>
      </c>
      <c r="AL58" s="36">
        <v>18.76494928937127</v>
      </c>
      <c r="AM58" s="37">
        <v>4.9699333074430623</v>
      </c>
      <c r="AN58" s="39" t="s">
        <v>53</v>
      </c>
    </row>
    <row r="59" spans="1:40" x14ac:dyDescent="0.25">
      <c r="A59" s="15" t="s">
        <v>173</v>
      </c>
      <c r="B59" s="36">
        <v>2.8167785120561701</v>
      </c>
      <c r="C59" s="37">
        <v>0.32525593627930094</v>
      </c>
      <c r="D59" s="38" t="s">
        <v>53</v>
      </c>
      <c r="E59" s="16">
        <v>-0.55926698226751959</v>
      </c>
      <c r="F59" s="17">
        <v>2.2403423947062032E-2</v>
      </c>
      <c r="G59" s="38" t="s">
        <v>53</v>
      </c>
      <c r="H59" s="16">
        <v>-0.39955808791454428</v>
      </c>
      <c r="I59" s="17">
        <v>8.0664841897224671E-2</v>
      </c>
      <c r="J59" s="38" t="s">
        <v>53</v>
      </c>
      <c r="K59" s="16">
        <v>-0.37826000053635561</v>
      </c>
      <c r="L59" s="17">
        <v>0.13261036978873736</v>
      </c>
      <c r="M59" s="38" t="s">
        <v>53</v>
      </c>
      <c r="N59" s="16">
        <v>-0.42106519481859012</v>
      </c>
      <c r="O59" s="17">
        <v>9.8236165321585203E-2</v>
      </c>
      <c r="P59" s="38" t="s">
        <v>53</v>
      </c>
      <c r="Q59" s="36">
        <v>24.88143951061322</v>
      </c>
      <c r="R59" s="37">
        <v>0.90073889623904835</v>
      </c>
      <c r="S59" s="38" t="s">
        <v>53</v>
      </c>
      <c r="T59" s="36">
        <v>18.982004793428981</v>
      </c>
      <c r="U59" s="37">
        <v>2.913206605716121</v>
      </c>
      <c r="V59" s="38" t="s">
        <v>53</v>
      </c>
      <c r="W59" s="36">
        <v>18.079964876836428</v>
      </c>
      <c r="X59" s="37">
        <v>4.4964241765579054</v>
      </c>
      <c r="Y59" s="38" t="s">
        <v>53</v>
      </c>
      <c r="Z59" s="36">
        <v>19.89289733384275</v>
      </c>
      <c r="AA59" s="37">
        <v>4.3755569309458693</v>
      </c>
      <c r="AB59" s="38" t="s">
        <v>53</v>
      </c>
      <c r="AC59" s="36">
        <v>24.92597581517331</v>
      </c>
      <c r="AD59" s="37">
        <v>1.0615536893026523</v>
      </c>
      <c r="AE59" s="38" t="s">
        <v>53</v>
      </c>
      <c r="AF59" s="36">
        <v>30.394558898078628</v>
      </c>
      <c r="AG59" s="37">
        <v>4.0844662984218516</v>
      </c>
      <c r="AH59" s="38" t="s">
        <v>53</v>
      </c>
      <c r="AI59" s="36">
        <v>32.748342599053657</v>
      </c>
      <c r="AJ59" s="37">
        <v>6.1472889669837301</v>
      </c>
      <c r="AK59" s="38" t="s">
        <v>53</v>
      </c>
      <c r="AL59" s="36">
        <v>28.01767515321648</v>
      </c>
      <c r="AM59" s="37">
        <v>5.1457664588255412</v>
      </c>
      <c r="AN59" s="39" t="s">
        <v>53</v>
      </c>
    </row>
    <row r="60" spans="1:40" x14ac:dyDescent="0.25">
      <c r="A60" s="15" t="s">
        <v>174</v>
      </c>
      <c r="B60" s="36">
        <v>0.60093706095619004</v>
      </c>
      <c r="C60" s="37">
        <v>9.1503247379800104E-2</v>
      </c>
      <c r="D60" s="38" t="s">
        <v>53</v>
      </c>
      <c r="E60" s="16">
        <v>-1.0919496791785219</v>
      </c>
      <c r="F60" s="17">
        <v>2.9989700276037513E-2</v>
      </c>
      <c r="G60" s="38" t="s">
        <v>53</v>
      </c>
      <c r="H60" s="16">
        <v>-1.0596785786127469</v>
      </c>
      <c r="I60" s="17">
        <v>0.16960807783152368</v>
      </c>
      <c r="J60" s="38" t="s">
        <v>53</v>
      </c>
      <c r="K60" s="16">
        <v>-0.80313763309336206</v>
      </c>
      <c r="L60" s="17">
        <v>0.19861242353440794</v>
      </c>
      <c r="M60" s="38" t="s">
        <v>53</v>
      </c>
      <c r="N60" s="16" t="s">
        <v>56</v>
      </c>
      <c r="O60" s="17" t="s">
        <v>56</v>
      </c>
      <c r="P60" s="38" t="s">
        <v>53</v>
      </c>
      <c r="Q60" s="36">
        <v>24.82933810651577</v>
      </c>
      <c r="R60" s="37">
        <v>0.79273876349138772</v>
      </c>
      <c r="S60" s="38" t="s">
        <v>53</v>
      </c>
      <c r="T60" s="36">
        <v>26.355309436476347</v>
      </c>
      <c r="U60" s="37">
        <v>6.2145521156929204</v>
      </c>
      <c r="V60" s="38" t="s">
        <v>53</v>
      </c>
      <c r="W60" s="36">
        <v>18.819530851887791</v>
      </c>
      <c r="X60" s="37">
        <v>6.9959124479321817</v>
      </c>
      <c r="Y60" s="38" t="s">
        <v>53</v>
      </c>
      <c r="Z60" s="36" t="s">
        <v>55</v>
      </c>
      <c r="AA60" s="37" t="s">
        <v>55</v>
      </c>
      <c r="AB60" s="38" t="s">
        <v>53</v>
      </c>
      <c r="AC60" s="36">
        <v>25.33231933248684</v>
      </c>
      <c r="AD60" s="37">
        <v>0.89707001336404357</v>
      </c>
      <c r="AE60" s="38" t="s">
        <v>53</v>
      </c>
      <c r="AF60" s="36">
        <v>27.403319557355939</v>
      </c>
      <c r="AG60" s="37">
        <v>6.2002724176628341</v>
      </c>
      <c r="AH60" s="38" t="s">
        <v>53</v>
      </c>
      <c r="AI60" s="36">
        <v>33.472241886411389</v>
      </c>
      <c r="AJ60" s="37">
        <v>7.6928146400280477</v>
      </c>
      <c r="AK60" s="38" t="s">
        <v>53</v>
      </c>
      <c r="AL60" s="36" t="s">
        <v>55</v>
      </c>
      <c r="AM60" s="37" t="s">
        <v>55</v>
      </c>
      <c r="AN60" s="39" t="s">
        <v>53</v>
      </c>
    </row>
    <row r="61" spans="1:40" x14ac:dyDescent="0.25">
      <c r="A61" s="15" t="s">
        <v>175</v>
      </c>
      <c r="B61" s="36">
        <v>8.1815056453733295</v>
      </c>
      <c r="C61" s="37">
        <v>0.28326741362616487</v>
      </c>
      <c r="D61" s="38" t="s">
        <v>53</v>
      </c>
      <c r="E61" s="16">
        <v>-0.28959818823621702</v>
      </c>
      <c r="F61" s="17">
        <v>1.1063851254013499E-2</v>
      </c>
      <c r="G61" s="38" t="s">
        <v>53</v>
      </c>
      <c r="H61" s="16">
        <v>3.2636055929127099E-2</v>
      </c>
      <c r="I61" s="17">
        <v>4.223229481541789E-2</v>
      </c>
      <c r="J61" s="38" t="s">
        <v>53</v>
      </c>
      <c r="K61" s="16">
        <v>-7.9412635062273904E-2</v>
      </c>
      <c r="L61" s="17">
        <v>8.1703458717217362E-2</v>
      </c>
      <c r="M61" s="38" t="s">
        <v>53</v>
      </c>
      <c r="N61" s="16">
        <v>9.5932458944979995E-2</v>
      </c>
      <c r="O61" s="17">
        <v>4.9640962604257072E-2</v>
      </c>
      <c r="P61" s="38" t="s">
        <v>53</v>
      </c>
      <c r="Q61" s="36">
        <v>25.44953564920155</v>
      </c>
      <c r="R61" s="37">
        <v>0.52497503101794651</v>
      </c>
      <c r="S61" s="38" t="s">
        <v>53</v>
      </c>
      <c r="T61" s="36">
        <v>18.576235015228541</v>
      </c>
      <c r="U61" s="37">
        <v>1.8409816010874154</v>
      </c>
      <c r="V61" s="38" t="s">
        <v>53</v>
      </c>
      <c r="W61" s="36">
        <v>22.70381497090327</v>
      </c>
      <c r="X61" s="37">
        <v>3.2890381655766325</v>
      </c>
      <c r="Y61" s="38" t="s">
        <v>53</v>
      </c>
      <c r="Z61" s="36">
        <v>16.24456150755146</v>
      </c>
      <c r="AA61" s="37">
        <v>2.1127156612667708</v>
      </c>
      <c r="AB61" s="38" t="s">
        <v>53</v>
      </c>
      <c r="AC61" s="36">
        <v>23.794122436296661</v>
      </c>
      <c r="AD61" s="37">
        <v>0.46814763355681649</v>
      </c>
      <c r="AE61" s="38" t="s">
        <v>53</v>
      </c>
      <c r="AF61" s="36">
        <v>39.096064450429466</v>
      </c>
      <c r="AG61" s="37">
        <v>1.8492495481884494</v>
      </c>
      <c r="AH61" s="38" t="s">
        <v>53</v>
      </c>
      <c r="AI61" s="36">
        <v>34.472221502079172</v>
      </c>
      <c r="AJ61" s="37">
        <v>3.1056544770653534</v>
      </c>
      <c r="AK61" s="38" t="s">
        <v>53</v>
      </c>
      <c r="AL61" s="36">
        <v>41.708077354384336</v>
      </c>
      <c r="AM61" s="37">
        <v>2.5472782377723608</v>
      </c>
      <c r="AN61" s="39" t="s">
        <v>53</v>
      </c>
    </row>
    <row r="62" spans="1:40" x14ac:dyDescent="0.25">
      <c r="A62" s="15" t="s">
        <v>176</v>
      </c>
      <c r="B62" s="36">
        <v>0.15768377421082</v>
      </c>
      <c r="C62" s="37">
        <v>6.2805617268880135E-2</v>
      </c>
      <c r="D62" s="38" t="s">
        <v>53</v>
      </c>
      <c r="E62" s="16">
        <v>-0.66363773209195975</v>
      </c>
      <c r="F62" s="17">
        <v>3.466491809299016E-2</v>
      </c>
      <c r="G62" s="38" t="s">
        <v>53</v>
      </c>
      <c r="H62" s="16" t="s">
        <v>56</v>
      </c>
      <c r="I62" s="17" t="s">
        <v>56</v>
      </c>
      <c r="J62" s="38" t="s">
        <v>53</v>
      </c>
      <c r="K62" s="16" t="s">
        <v>56</v>
      </c>
      <c r="L62" s="17" t="s">
        <v>56</v>
      </c>
      <c r="M62" s="38" t="s">
        <v>53</v>
      </c>
      <c r="N62" s="16" t="s">
        <v>56</v>
      </c>
      <c r="O62" s="17" t="s">
        <v>56</v>
      </c>
      <c r="P62" s="38" t="s">
        <v>53</v>
      </c>
      <c r="Q62" s="36">
        <v>24.93040499352351</v>
      </c>
      <c r="R62" s="37">
        <v>1.1900546349285996</v>
      </c>
      <c r="S62" s="38" t="s">
        <v>53</v>
      </c>
      <c r="T62" s="36" t="s">
        <v>55</v>
      </c>
      <c r="U62" s="37" t="s">
        <v>55</v>
      </c>
      <c r="V62" s="38" t="s">
        <v>53</v>
      </c>
      <c r="W62" s="36" t="s">
        <v>55</v>
      </c>
      <c r="X62" s="37" t="s">
        <v>55</v>
      </c>
      <c r="Y62" s="38" t="s">
        <v>53</v>
      </c>
      <c r="Z62" s="36" t="s">
        <v>55</v>
      </c>
      <c r="AA62" s="37" t="s">
        <v>55</v>
      </c>
      <c r="AB62" s="38" t="s">
        <v>53</v>
      </c>
      <c r="AC62" s="36">
        <v>25.04672245597629</v>
      </c>
      <c r="AD62" s="37">
        <v>1.1890166566876579</v>
      </c>
      <c r="AE62" s="38" t="s">
        <v>53</v>
      </c>
      <c r="AF62" s="36" t="s">
        <v>55</v>
      </c>
      <c r="AG62" s="37" t="s">
        <v>55</v>
      </c>
      <c r="AH62" s="38" t="s">
        <v>53</v>
      </c>
      <c r="AI62" s="36" t="s">
        <v>55</v>
      </c>
      <c r="AJ62" s="37" t="s">
        <v>55</v>
      </c>
      <c r="AK62" s="38" t="s">
        <v>53</v>
      </c>
      <c r="AL62" s="36" t="s">
        <v>55</v>
      </c>
      <c r="AM62" s="37" t="s">
        <v>55</v>
      </c>
      <c r="AN62" s="39" t="s">
        <v>53</v>
      </c>
    </row>
    <row r="63" spans="1:40" x14ac:dyDescent="0.25">
      <c r="A63" s="15" t="s">
        <v>177</v>
      </c>
      <c r="B63" s="36">
        <v>1.1491597012677</v>
      </c>
      <c r="C63" s="37">
        <v>0.16216895878777934</v>
      </c>
      <c r="D63" s="38" t="s">
        <v>53</v>
      </c>
      <c r="E63" s="16">
        <v>-0.24464236791552821</v>
      </c>
      <c r="F63" s="17">
        <v>3.6194243066990352E-2</v>
      </c>
      <c r="G63" s="38" t="s">
        <v>53</v>
      </c>
      <c r="H63" s="16">
        <v>-0.25299930333344262</v>
      </c>
      <c r="I63" s="17">
        <v>0.1612593885662143</v>
      </c>
      <c r="J63" s="38" t="s">
        <v>53</v>
      </c>
      <c r="K63" s="16" t="s">
        <v>56</v>
      </c>
      <c r="L63" s="17" t="s">
        <v>56</v>
      </c>
      <c r="M63" s="38" t="s">
        <v>53</v>
      </c>
      <c r="N63" s="16" t="s">
        <v>56</v>
      </c>
      <c r="O63" s="17" t="s">
        <v>56</v>
      </c>
      <c r="P63" s="38" t="s">
        <v>53</v>
      </c>
      <c r="Q63" s="36">
        <v>24.62984856237955</v>
      </c>
      <c r="R63" s="37">
        <v>1.5003965959348395</v>
      </c>
      <c r="S63" s="38" t="s">
        <v>53</v>
      </c>
      <c r="T63" s="36">
        <v>24.47297900574209</v>
      </c>
      <c r="U63" s="37">
        <v>6.3532419097160826</v>
      </c>
      <c r="V63" s="38" t="s">
        <v>53</v>
      </c>
      <c r="W63" s="36" t="s">
        <v>55</v>
      </c>
      <c r="X63" s="37" t="s">
        <v>55</v>
      </c>
      <c r="Y63" s="38" t="s">
        <v>53</v>
      </c>
      <c r="Z63" s="36" t="s">
        <v>55</v>
      </c>
      <c r="AA63" s="37" t="s">
        <v>55</v>
      </c>
      <c r="AB63" s="38" t="s">
        <v>53</v>
      </c>
      <c r="AC63" s="36">
        <v>25.36053147414405</v>
      </c>
      <c r="AD63" s="37">
        <v>1.0284758932803761</v>
      </c>
      <c r="AE63" s="38" t="s">
        <v>53</v>
      </c>
      <c r="AF63" s="36">
        <v>20.592235892563128</v>
      </c>
      <c r="AG63" s="37">
        <v>6.0559654406819234</v>
      </c>
      <c r="AH63" s="38" t="s">
        <v>53</v>
      </c>
      <c r="AI63" s="36" t="s">
        <v>55</v>
      </c>
      <c r="AJ63" s="37" t="s">
        <v>55</v>
      </c>
      <c r="AK63" s="38" t="s">
        <v>53</v>
      </c>
      <c r="AL63" s="36" t="s">
        <v>55</v>
      </c>
      <c r="AM63" s="37" t="s">
        <v>55</v>
      </c>
      <c r="AN63" s="39" t="s">
        <v>53</v>
      </c>
    </row>
    <row r="64" spans="1:40" x14ac:dyDescent="0.25">
      <c r="A64" s="15" t="s">
        <v>178</v>
      </c>
      <c r="B64" s="36">
        <v>10.01996666433617</v>
      </c>
      <c r="C64" s="37">
        <v>0.67284872877412782</v>
      </c>
      <c r="D64" s="38" t="s">
        <v>53</v>
      </c>
      <c r="E64" s="16">
        <v>-0.89487939169182928</v>
      </c>
      <c r="F64" s="17">
        <v>4.2241095685089658E-2</v>
      </c>
      <c r="G64" s="38" t="s">
        <v>53</v>
      </c>
      <c r="H64" s="16">
        <v>-1.49893301976269</v>
      </c>
      <c r="I64" s="17">
        <v>9.6837616646581373E-2</v>
      </c>
      <c r="J64" s="38" t="s">
        <v>53</v>
      </c>
      <c r="K64" s="16">
        <v>-1.568405767552336</v>
      </c>
      <c r="L64" s="17">
        <v>9.9861522050250895E-2</v>
      </c>
      <c r="M64" s="38" t="s">
        <v>53</v>
      </c>
      <c r="N64" s="16">
        <v>-1.353452289259133</v>
      </c>
      <c r="O64" s="17">
        <v>0.17051769326438757</v>
      </c>
      <c r="P64" s="38" t="s">
        <v>53</v>
      </c>
      <c r="Q64" s="36">
        <v>23.39995854640356</v>
      </c>
      <c r="R64" s="37">
        <v>0.9826725857722427</v>
      </c>
      <c r="S64" s="38" t="s">
        <v>53</v>
      </c>
      <c r="T64" s="36">
        <v>38.940841016437673</v>
      </c>
      <c r="U64" s="37">
        <v>2.9746796879537447</v>
      </c>
      <c r="V64" s="38" t="s">
        <v>53</v>
      </c>
      <c r="W64" s="36">
        <v>39.437628255890573</v>
      </c>
      <c r="X64" s="37">
        <v>3.4713155132984572</v>
      </c>
      <c r="Y64" s="38" t="s">
        <v>53</v>
      </c>
      <c r="Z64" s="36">
        <v>37.900534237162361</v>
      </c>
      <c r="AA64" s="37">
        <v>4.945288664126406</v>
      </c>
      <c r="AB64" s="38" t="s">
        <v>53</v>
      </c>
      <c r="AC64" s="36">
        <v>26.37416163059731</v>
      </c>
      <c r="AD64" s="37">
        <v>1.3202642105295954</v>
      </c>
      <c r="AE64" s="38" t="s">
        <v>53</v>
      </c>
      <c r="AF64" s="36">
        <v>14.808821567516601</v>
      </c>
      <c r="AG64" s="37">
        <v>2.0983285165331411</v>
      </c>
      <c r="AH64" s="38" t="s">
        <v>53</v>
      </c>
      <c r="AI64" s="36">
        <v>10.826663673953011</v>
      </c>
      <c r="AJ64" s="37">
        <v>1.6383718134055234</v>
      </c>
      <c r="AK64" s="38" t="s">
        <v>53</v>
      </c>
      <c r="AL64" s="36">
        <v>23.147735138205743</v>
      </c>
      <c r="AM64" s="37">
        <v>4.7936772358664674</v>
      </c>
      <c r="AN64" s="39" t="s">
        <v>53</v>
      </c>
    </row>
    <row r="65" spans="1:40" x14ac:dyDescent="0.25">
      <c r="A65" s="15" t="s">
        <v>179</v>
      </c>
      <c r="B65" s="36">
        <v>9.0899092610287795</v>
      </c>
      <c r="C65" s="37">
        <v>0.48598879590199862</v>
      </c>
      <c r="D65" s="38" t="s">
        <v>53</v>
      </c>
      <c r="E65" s="16">
        <v>-0.2069982725714051</v>
      </c>
      <c r="F65" s="17">
        <v>1.3452957358352042E-2</v>
      </c>
      <c r="G65" s="38" t="s">
        <v>53</v>
      </c>
      <c r="H65" s="16">
        <v>-0.46663285926394332</v>
      </c>
      <c r="I65" s="17">
        <v>3.6260892054093309E-2</v>
      </c>
      <c r="J65" s="38" t="s">
        <v>53</v>
      </c>
      <c r="K65" s="16">
        <v>-0.4753496851846275</v>
      </c>
      <c r="L65" s="17">
        <v>4.0682699508498892E-2</v>
      </c>
      <c r="M65" s="38" t="s">
        <v>53</v>
      </c>
      <c r="N65" s="16">
        <v>-0.4166804270817791</v>
      </c>
      <c r="O65" s="17">
        <v>8.3061092572216624E-2</v>
      </c>
      <c r="P65" s="38" t="s">
        <v>53</v>
      </c>
      <c r="Q65" s="36">
        <v>23.848473089294909</v>
      </c>
      <c r="R65" s="37">
        <v>0.68556016941913323</v>
      </c>
      <c r="S65" s="38" t="s">
        <v>53</v>
      </c>
      <c r="T65" s="36">
        <v>36.905786844977428</v>
      </c>
      <c r="U65" s="37">
        <v>2.2808860581651973</v>
      </c>
      <c r="V65" s="38" t="s">
        <v>53</v>
      </c>
      <c r="W65" s="36">
        <v>36.352726718904471</v>
      </c>
      <c r="X65" s="37">
        <v>2.565021580267802</v>
      </c>
      <c r="Y65" s="38" t="s">
        <v>53</v>
      </c>
      <c r="Z65" s="36">
        <v>40.075139851645048</v>
      </c>
      <c r="AA65" s="37">
        <v>5.3433112472181348</v>
      </c>
      <c r="AB65" s="38" t="s">
        <v>53</v>
      </c>
      <c r="AC65" s="36">
        <v>25.67012808434923</v>
      </c>
      <c r="AD65" s="37">
        <v>0.65200174034670999</v>
      </c>
      <c r="AE65" s="38" t="s">
        <v>53</v>
      </c>
      <c r="AF65" s="36">
        <v>18.193422902817922</v>
      </c>
      <c r="AG65" s="37">
        <v>1.589309100815478</v>
      </c>
      <c r="AH65" s="38" t="s">
        <v>53</v>
      </c>
      <c r="AI65" s="36">
        <v>17.425079333377099</v>
      </c>
      <c r="AJ65" s="37">
        <v>1.7083017064167272</v>
      </c>
      <c r="AK65" s="38" t="s">
        <v>53</v>
      </c>
      <c r="AL65" s="36">
        <v>22.596474012743208</v>
      </c>
      <c r="AM65" s="37">
        <v>4.7938752652394463</v>
      </c>
      <c r="AN65" s="39" t="s">
        <v>53</v>
      </c>
    </row>
    <row r="66" spans="1:40" x14ac:dyDescent="0.25">
      <c r="A66" s="15" t="s">
        <v>180</v>
      </c>
      <c r="B66" s="36">
        <v>14.787024402440979</v>
      </c>
      <c r="C66" s="37">
        <v>0.51722412147373786</v>
      </c>
      <c r="D66" s="38" t="s">
        <v>53</v>
      </c>
      <c r="E66" s="16">
        <v>0.34406722684432928</v>
      </c>
      <c r="F66" s="17">
        <v>1.2062361691669575E-2</v>
      </c>
      <c r="G66" s="38" t="s">
        <v>53</v>
      </c>
      <c r="H66" s="16">
        <v>4.4809272608290499E-2</v>
      </c>
      <c r="I66" s="17">
        <v>4.6021080983902507E-2</v>
      </c>
      <c r="J66" s="38" t="s">
        <v>53</v>
      </c>
      <c r="K66" s="16">
        <v>1.3677304864290101E-2</v>
      </c>
      <c r="L66" s="17">
        <v>7.2603203896577068E-2</v>
      </c>
      <c r="M66" s="38" t="s">
        <v>53</v>
      </c>
      <c r="N66" s="16">
        <v>6.1729216594205202E-2</v>
      </c>
      <c r="O66" s="17">
        <v>5.6268852383957582E-2</v>
      </c>
      <c r="P66" s="38" t="s">
        <v>53</v>
      </c>
      <c r="Q66" s="36">
        <v>22.957177701329339</v>
      </c>
      <c r="R66" s="37">
        <v>0.60591536789812073</v>
      </c>
      <c r="S66" s="38" t="s">
        <v>53</v>
      </c>
      <c r="T66" s="36">
        <v>36.043301473807958</v>
      </c>
      <c r="U66" s="37">
        <v>2.1932601641867837</v>
      </c>
      <c r="V66" s="38" t="s">
        <v>53</v>
      </c>
      <c r="W66" s="36">
        <v>35.589459035664561</v>
      </c>
      <c r="X66" s="37">
        <v>3.3095850451828466</v>
      </c>
      <c r="Y66" s="38" t="s">
        <v>53</v>
      </c>
      <c r="Z66" s="36">
        <v>36.289960750052941</v>
      </c>
      <c r="AA66" s="37">
        <v>2.8796594407196356</v>
      </c>
      <c r="AB66" s="38" t="s">
        <v>53</v>
      </c>
      <c r="AC66" s="36">
        <v>26.068350110454141</v>
      </c>
      <c r="AD66" s="37">
        <v>0.63480290333711831</v>
      </c>
      <c r="AE66" s="38" t="s">
        <v>53</v>
      </c>
      <c r="AF66" s="36">
        <v>19.032608940930469</v>
      </c>
      <c r="AG66" s="37">
        <v>1.557217773661248</v>
      </c>
      <c r="AH66" s="38" t="s">
        <v>53</v>
      </c>
      <c r="AI66" s="36">
        <v>15.493744077295121</v>
      </c>
      <c r="AJ66" s="37">
        <v>2.2039657989903447</v>
      </c>
      <c r="AK66" s="38" t="s">
        <v>53</v>
      </c>
      <c r="AL66" s="36">
        <v>20.95595011097171</v>
      </c>
      <c r="AM66" s="37">
        <v>2.1332064149262955</v>
      </c>
      <c r="AN66" s="39" t="s">
        <v>53</v>
      </c>
    </row>
    <row r="67" spans="1:40" x14ac:dyDescent="0.25">
      <c r="A67" s="15" t="s">
        <v>181</v>
      </c>
      <c r="B67" s="36">
        <v>2.92205315239196</v>
      </c>
      <c r="C67" s="37">
        <v>0.26890329558328008</v>
      </c>
      <c r="D67" s="38" t="s">
        <v>53</v>
      </c>
      <c r="E67" s="16">
        <v>-1.0546904739500289</v>
      </c>
      <c r="F67" s="17">
        <v>3.638070094170659E-2</v>
      </c>
      <c r="G67" s="38" t="s">
        <v>53</v>
      </c>
      <c r="H67" s="16">
        <v>-1.236375257234299</v>
      </c>
      <c r="I67" s="17">
        <v>0.12419112148705365</v>
      </c>
      <c r="J67" s="38" t="s">
        <v>53</v>
      </c>
      <c r="K67" s="16">
        <v>-1.4480810264992561</v>
      </c>
      <c r="L67" s="17">
        <v>0.18179542334578863</v>
      </c>
      <c r="M67" s="38" t="s">
        <v>53</v>
      </c>
      <c r="N67" s="16">
        <v>-0.97827009753445326</v>
      </c>
      <c r="O67" s="17">
        <v>0.15959366634054856</v>
      </c>
      <c r="P67" s="38" t="s">
        <v>53</v>
      </c>
      <c r="Q67" s="36">
        <v>25.127658671364113</v>
      </c>
      <c r="R67" s="37">
        <v>1.2841182593676979</v>
      </c>
      <c r="S67" s="38" t="s">
        <v>53</v>
      </c>
      <c r="T67" s="36">
        <v>28.896142670355591</v>
      </c>
      <c r="U67" s="37">
        <v>3.9411009241878037</v>
      </c>
      <c r="V67" s="38" t="s">
        <v>53</v>
      </c>
      <c r="W67" s="36">
        <v>37.155532862415292</v>
      </c>
      <c r="X67" s="37">
        <v>6.1775062977069854</v>
      </c>
      <c r="Y67" s="38" t="s">
        <v>53</v>
      </c>
      <c r="Z67" s="36">
        <v>18.826548289689988</v>
      </c>
      <c r="AA67" s="37">
        <v>4.7842649525198206</v>
      </c>
      <c r="AB67" s="38" t="s">
        <v>53</v>
      </c>
      <c r="AC67" s="36">
        <v>25.411475468879392</v>
      </c>
      <c r="AD67" s="37">
        <v>1.1112298791876223</v>
      </c>
      <c r="AE67" s="38" t="s">
        <v>53</v>
      </c>
      <c r="AF67" s="36">
        <v>21.3976134497624</v>
      </c>
      <c r="AG67" s="37">
        <v>4.1780335515788085</v>
      </c>
      <c r="AH67" s="38" t="s">
        <v>53</v>
      </c>
      <c r="AI67" s="36">
        <v>17.057568907469189</v>
      </c>
      <c r="AJ67" s="37">
        <v>4.3487978303871628</v>
      </c>
      <c r="AK67" s="38" t="s">
        <v>53</v>
      </c>
      <c r="AL67" s="36">
        <v>26.688862212525571</v>
      </c>
      <c r="AM67" s="37">
        <v>6.3177398859629363</v>
      </c>
      <c r="AN67" s="39" t="s">
        <v>53</v>
      </c>
    </row>
    <row r="68" spans="1:40" x14ac:dyDescent="0.25">
      <c r="A68" s="15" t="s">
        <v>182</v>
      </c>
      <c r="B68" s="36">
        <v>1.36463088083532</v>
      </c>
      <c r="C68" s="37">
        <v>0.19590177383249022</v>
      </c>
      <c r="D68" s="38" t="s">
        <v>53</v>
      </c>
      <c r="E68" s="16">
        <v>-0.39622642796426349</v>
      </c>
      <c r="F68" s="17">
        <v>2.1090337743437885E-2</v>
      </c>
      <c r="G68" s="38" t="s">
        <v>53</v>
      </c>
      <c r="H68" s="16">
        <v>-0.47009259534516751</v>
      </c>
      <c r="I68" s="17">
        <v>0.14453873959775035</v>
      </c>
      <c r="J68" s="38" t="s">
        <v>53</v>
      </c>
      <c r="K68" s="16">
        <v>-0.36539299530628278</v>
      </c>
      <c r="L68" s="17">
        <v>0.16722238988587096</v>
      </c>
      <c r="M68" s="38" t="s">
        <v>53</v>
      </c>
      <c r="N68" s="16" t="s">
        <v>56</v>
      </c>
      <c r="O68" s="17" t="s">
        <v>56</v>
      </c>
      <c r="P68" s="38" t="s">
        <v>53</v>
      </c>
      <c r="Q68" s="36">
        <v>24.642844097886123</v>
      </c>
      <c r="R68" s="37">
        <v>0.86042018724882052</v>
      </c>
      <c r="S68" s="38" t="s">
        <v>53</v>
      </c>
      <c r="T68" s="36">
        <v>30.600996558904043</v>
      </c>
      <c r="U68" s="37">
        <v>6.2925883615340048</v>
      </c>
      <c r="V68" s="38" t="s">
        <v>53</v>
      </c>
      <c r="W68" s="36">
        <v>31.111390804508808</v>
      </c>
      <c r="X68" s="37">
        <v>7.9990653237899192</v>
      </c>
      <c r="Y68" s="38" t="s">
        <v>53</v>
      </c>
      <c r="Z68" s="36" t="s">
        <v>55</v>
      </c>
      <c r="AA68" s="37" t="s">
        <v>55</v>
      </c>
      <c r="AB68" s="38" t="s">
        <v>53</v>
      </c>
      <c r="AC68" s="36">
        <v>25.524991393776919</v>
      </c>
      <c r="AD68" s="37">
        <v>0.95721197229667221</v>
      </c>
      <c r="AE68" s="38" t="s">
        <v>53</v>
      </c>
      <c r="AF68" s="36">
        <v>24.103148953037522</v>
      </c>
      <c r="AG68" s="37">
        <v>5.9918637619833461</v>
      </c>
      <c r="AH68" s="38" t="s">
        <v>53</v>
      </c>
      <c r="AI68" s="36">
        <v>27.933406499801812</v>
      </c>
      <c r="AJ68" s="37">
        <v>8.4138626837070998</v>
      </c>
      <c r="AK68" s="38" t="s">
        <v>53</v>
      </c>
      <c r="AL68" s="36" t="s">
        <v>55</v>
      </c>
      <c r="AM68" s="37" t="s">
        <v>55</v>
      </c>
      <c r="AN68" s="39" t="s">
        <v>53</v>
      </c>
    </row>
    <row r="69" spans="1:40" x14ac:dyDescent="0.25">
      <c r="A69" s="15" t="s">
        <v>229</v>
      </c>
      <c r="B69" s="36">
        <v>37.911634723302051</v>
      </c>
      <c r="C69" s="37">
        <v>1.3286600569122331</v>
      </c>
      <c r="D69" s="38" t="s">
        <v>53</v>
      </c>
      <c r="E69" s="16">
        <v>-0.27962630167311092</v>
      </c>
      <c r="F69" s="17">
        <v>3.1644303579062796E-2</v>
      </c>
      <c r="G69" s="38" t="s">
        <v>53</v>
      </c>
      <c r="H69" s="16">
        <v>-0.87329049647986889</v>
      </c>
      <c r="I69" s="17">
        <v>4.0598859489275448E-2</v>
      </c>
      <c r="J69" s="38" t="s">
        <v>53</v>
      </c>
      <c r="K69" s="16">
        <v>-0.85301012586277436</v>
      </c>
      <c r="L69" s="17">
        <v>3.0934530210640389E-2</v>
      </c>
      <c r="M69" s="38" t="s">
        <v>53</v>
      </c>
      <c r="N69" s="16">
        <v>-0.91257027528073176</v>
      </c>
      <c r="O69" s="17">
        <v>9.4599493827586686E-2</v>
      </c>
      <c r="P69" s="38" t="s">
        <v>53</v>
      </c>
      <c r="Q69" s="36">
        <v>16.646059512499008</v>
      </c>
      <c r="R69" s="37">
        <v>0.87985518018835962</v>
      </c>
      <c r="S69" s="38" t="s">
        <v>53</v>
      </c>
      <c r="T69" s="36">
        <v>38.298351172691284</v>
      </c>
      <c r="U69" s="37">
        <v>1.1607753051790166</v>
      </c>
      <c r="V69" s="38" t="s">
        <v>53</v>
      </c>
      <c r="W69" s="36">
        <v>35.973206390364695</v>
      </c>
      <c r="X69" s="37">
        <v>1.2789048237189347</v>
      </c>
      <c r="Y69" s="38" t="s">
        <v>53</v>
      </c>
      <c r="Z69" s="36">
        <v>42.801778375978351</v>
      </c>
      <c r="AA69" s="37">
        <v>2.6646850082432927</v>
      </c>
      <c r="AB69" s="38" t="s">
        <v>53</v>
      </c>
      <c r="AC69" s="36">
        <v>31.00357921440537</v>
      </c>
      <c r="AD69" s="37">
        <v>1.3380896151813402</v>
      </c>
      <c r="AE69" s="38" t="s">
        <v>53</v>
      </c>
      <c r="AF69" s="36">
        <v>15.433092080591452</v>
      </c>
      <c r="AG69" s="37">
        <v>1.5923088542196657</v>
      </c>
      <c r="AH69" s="38" t="s">
        <v>53</v>
      </c>
      <c r="AI69" s="36">
        <v>14.505112328438971</v>
      </c>
      <c r="AJ69" s="37">
        <v>1.2921535448689843</v>
      </c>
      <c r="AK69" s="38" t="s">
        <v>53</v>
      </c>
      <c r="AL69" s="36">
        <v>17.230437902541251</v>
      </c>
      <c r="AM69" s="37">
        <v>3.2495949289472281</v>
      </c>
      <c r="AN69" s="39" t="s">
        <v>53</v>
      </c>
    </row>
    <row r="70" spans="1:40" x14ac:dyDescent="0.25">
      <c r="A70" s="15" t="s">
        <v>183</v>
      </c>
      <c r="B70" s="36">
        <v>0.25111855353339002</v>
      </c>
      <c r="C70" s="37">
        <v>6.652373962470863E-2</v>
      </c>
      <c r="D70" s="38" t="s">
        <v>53</v>
      </c>
      <c r="E70" s="16">
        <v>-1.5704174446329771</v>
      </c>
      <c r="F70" s="17">
        <v>5.3362509635179023E-2</v>
      </c>
      <c r="G70" s="38" t="s">
        <v>53</v>
      </c>
      <c r="H70" s="16">
        <v>-0.61275089218357515</v>
      </c>
      <c r="I70" s="17">
        <v>0.28916281645427072</v>
      </c>
      <c r="J70" s="38" t="s">
        <v>53</v>
      </c>
      <c r="K70" s="16" t="s">
        <v>56</v>
      </c>
      <c r="L70" s="17" t="s">
        <v>56</v>
      </c>
      <c r="M70" s="38" t="s">
        <v>53</v>
      </c>
      <c r="N70" s="16" t="s">
        <v>56</v>
      </c>
      <c r="O70" s="17" t="s">
        <v>56</v>
      </c>
      <c r="P70" s="38" t="s">
        <v>53</v>
      </c>
      <c r="Q70" s="36">
        <v>24.97799514502319</v>
      </c>
      <c r="R70" s="37">
        <v>1.7137450927496829</v>
      </c>
      <c r="S70" s="38" t="s">
        <v>53</v>
      </c>
      <c r="T70" s="36">
        <v>7.61106810095787</v>
      </c>
      <c r="U70" s="37">
        <v>6.4214320730284493</v>
      </c>
      <c r="V70" s="38" t="s">
        <v>53</v>
      </c>
      <c r="W70" s="36" t="s">
        <v>55</v>
      </c>
      <c r="X70" s="37" t="s">
        <v>55</v>
      </c>
      <c r="Y70" s="38" t="s">
        <v>53</v>
      </c>
      <c r="Z70" s="36" t="s">
        <v>55</v>
      </c>
      <c r="AA70" s="37" t="s">
        <v>55</v>
      </c>
      <c r="AB70" s="38" t="s">
        <v>53</v>
      </c>
      <c r="AC70" s="36">
        <v>24.86218617088851</v>
      </c>
      <c r="AD70" s="37">
        <v>1.8547634657613066</v>
      </c>
      <c r="AE70" s="38" t="s">
        <v>53</v>
      </c>
      <c r="AF70" s="36">
        <v>62.097349969226499</v>
      </c>
      <c r="AG70" s="37">
        <v>16.352762584087746</v>
      </c>
      <c r="AH70" s="38" t="s">
        <v>53</v>
      </c>
      <c r="AI70" s="36" t="s">
        <v>55</v>
      </c>
      <c r="AJ70" s="37" t="s">
        <v>55</v>
      </c>
      <c r="AK70" s="38" t="s">
        <v>53</v>
      </c>
      <c r="AL70" s="36" t="s">
        <v>55</v>
      </c>
      <c r="AM70" s="37" t="s">
        <v>55</v>
      </c>
      <c r="AN70" s="39" t="s">
        <v>53</v>
      </c>
    </row>
    <row r="71" spans="1:40" x14ac:dyDescent="0.25">
      <c r="A71" s="15" t="s">
        <v>184</v>
      </c>
      <c r="B71" s="36">
        <v>11.560156863178021</v>
      </c>
      <c r="C71" s="37">
        <v>0.53282256980001497</v>
      </c>
      <c r="D71" s="38" t="s">
        <v>53</v>
      </c>
      <c r="E71" s="16">
        <v>-0.65400385769550773</v>
      </c>
      <c r="F71" s="17">
        <v>3.1498653885917237E-2</v>
      </c>
      <c r="G71" s="38" t="s">
        <v>53</v>
      </c>
      <c r="H71" s="16">
        <v>-0.69789883910170825</v>
      </c>
      <c r="I71" s="17">
        <v>6.5006718211341283E-2</v>
      </c>
      <c r="J71" s="38" t="s">
        <v>53</v>
      </c>
      <c r="K71" s="16">
        <v>-0.49991837101451198</v>
      </c>
      <c r="L71" s="17">
        <v>6.5037096053093157E-2</v>
      </c>
      <c r="M71" s="38" t="s">
        <v>53</v>
      </c>
      <c r="N71" s="16">
        <v>-0.94917871229904893</v>
      </c>
      <c r="O71" s="17">
        <v>0.1078252536812119</v>
      </c>
      <c r="P71" s="38" t="s">
        <v>53</v>
      </c>
      <c r="Q71" s="36">
        <v>24.660216852061151</v>
      </c>
      <c r="R71" s="37">
        <v>1.0423572918726827</v>
      </c>
      <c r="S71" s="38" t="s">
        <v>53</v>
      </c>
      <c r="T71" s="36">
        <v>26.634018833278311</v>
      </c>
      <c r="U71" s="37">
        <v>1.8421316239199379</v>
      </c>
      <c r="V71" s="38" t="s">
        <v>53</v>
      </c>
      <c r="W71" s="36">
        <v>17.626767536303888</v>
      </c>
      <c r="X71" s="37">
        <v>2.179186649184139</v>
      </c>
      <c r="Y71" s="38" t="s">
        <v>53</v>
      </c>
      <c r="Z71" s="36">
        <v>38.066161537191277</v>
      </c>
      <c r="AA71" s="37">
        <v>2.9367073635613057</v>
      </c>
      <c r="AB71" s="38" t="s">
        <v>53</v>
      </c>
      <c r="AC71" s="36">
        <v>24.684368861374182</v>
      </c>
      <c r="AD71" s="37">
        <v>0.98905241540287991</v>
      </c>
      <c r="AE71" s="38" t="s">
        <v>53</v>
      </c>
      <c r="AF71" s="36">
        <v>26.591455958054379</v>
      </c>
      <c r="AG71" s="37">
        <v>2.0283222243477548</v>
      </c>
      <c r="AH71" s="38" t="s">
        <v>53</v>
      </c>
      <c r="AI71" s="36">
        <v>28.294793151463072</v>
      </c>
      <c r="AJ71" s="37">
        <v>2.536951888832109</v>
      </c>
      <c r="AK71" s="38" t="s">
        <v>53</v>
      </c>
      <c r="AL71" s="36">
        <v>24.429554038600688</v>
      </c>
      <c r="AM71" s="37">
        <v>3.4199004602558349</v>
      </c>
      <c r="AN71" s="39" t="s">
        <v>53</v>
      </c>
    </row>
    <row r="72" spans="1:40" x14ac:dyDescent="0.25">
      <c r="A72" s="15" t="s">
        <v>185</v>
      </c>
      <c r="B72" s="36">
        <v>8.2053827048399288</v>
      </c>
      <c r="C72" s="37">
        <v>0.44928776108302504</v>
      </c>
      <c r="D72" s="38" t="s">
        <v>53</v>
      </c>
      <c r="E72" s="16">
        <v>-0.42007609732912288</v>
      </c>
      <c r="F72" s="17">
        <v>1.6547184277252228E-2</v>
      </c>
      <c r="G72" s="38" t="s">
        <v>53</v>
      </c>
      <c r="H72" s="16">
        <v>-0.63894033623456614</v>
      </c>
      <c r="I72" s="17">
        <v>3.5027822673736643E-2</v>
      </c>
      <c r="J72" s="38" t="s">
        <v>53</v>
      </c>
      <c r="K72" s="16">
        <v>-0.58517390483040865</v>
      </c>
      <c r="L72" s="17">
        <v>4.888564396957925E-2</v>
      </c>
      <c r="M72" s="38" t="s">
        <v>53</v>
      </c>
      <c r="N72" s="16">
        <v>-0.69454427262778962</v>
      </c>
      <c r="O72" s="17">
        <v>4.3284299619934415E-2</v>
      </c>
      <c r="P72" s="38" t="s">
        <v>53</v>
      </c>
      <c r="Q72" s="36">
        <v>24.198428124357697</v>
      </c>
      <c r="R72" s="37">
        <v>0.63681650198187867</v>
      </c>
      <c r="S72" s="38" t="s">
        <v>53</v>
      </c>
      <c r="T72" s="36">
        <v>33.854330159078884</v>
      </c>
      <c r="U72" s="37">
        <v>1.9999215586650749</v>
      </c>
      <c r="V72" s="38" t="s">
        <v>53</v>
      </c>
      <c r="W72" s="36">
        <v>34.017815298344971</v>
      </c>
      <c r="X72" s="37">
        <v>3.0699737523112964</v>
      </c>
      <c r="Y72" s="38" t="s">
        <v>53</v>
      </c>
      <c r="Z72" s="36">
        <v>33.685257802078702</v>
      </c>
      <c r="AA72" s="37">
        <v>2.4668255450046153</v>
      </c>
      <c r="AB72" s="38" t="s">
        <v>53</v>
      </c>
      <c r="AC72" s="36">
        <v>25.631628621454599</v>
      </c>
      <c r="AD72" s="37">
        <v>0.70213016143299778</v>
      </c>
      <c r="AE72" s="38" t="s">
        <v>53</v>
      </c>
      <c r="AF72" s="36">
        <v>17.87540691812632</v>
      </c>
      <c r="AG72" s="37">
        <v>1.2407721236810509</v>
      </c>
      <c r="AH72" s="38" t="s">
        <v>53</v>
      </c>
      <c r="AI72" s="36">
        <v>19.554023063766298</v>
      </c>
      <c r="AJ72" s="37">
        <v>1.9548099800123282</v>
      </c>
      <c r="AK72" s="38" t="s">
        <v>53</v>
      </c>
      <c r="AL72" s="36">
        <v>16.13942290443584</v>
      </c>
      <c r="AM72" s="37">
        <v>1.7476412473637453</v>
      </c>
      <c r="AN72" s="39" t="s">
        <v>53</v>
      </c>
    </row>
    <row r="73" spans="1:40" x14ac:dyDescent="0.25">
      <c r="A73" s="15" t="s">
        <v>186</v>
      </c>
      <c r="B73" s="36">
        <v>1.14746077693674</v>
      </c>
      <c r="C73" s="37">
        <v>0.19367278405325103</v>
      </c>
      <c r="D73" s="38" t="s">
        <v>53</v>
      </c>
      <c r="E73" s="16">
        <v>-0.46442410986874277</v>
      </c>
      <c r="F73" s="17">
        <v>1.5602760558542572E-2</v>
      </c>
      <c r="G73" s="38" t="s">
        <v>53</v>
      </c>
      <c r="H73" s="16">
        <v>-0.1072065390077966</v>
      </c>
      <c r="I73" s="17">
        <v>0.12537286686774024</v>
      </c>
      <c r="J73" s="38" t="s">
        <v>53</v>
      </c>
      <c r="K73" s="16">
        <v>-0.26214919408500009</v>
      </c>
      <c r="L73" s="17">
        <v>0.13944094415656935</v>
      </c>
      <c r="M73" s="38" t="s">
        <v>53</v>
      </c>
      <c r="N73" s="16" t="s">
        <v>56</v>
      </c>
      <c r="O73" s="17" t="s">
        <v>56</v>
      </c>
      <c r="P73" s="38" t="s">
        <v>53</v>
      </c>
      <c r="Q73" s="36">
        <v>24.989672576803439</v>
      </c>
      <c r="R73" s="37">
        <v>0.72491867629866169</v>
      </c>
      <c r="S73" s="38" t="s">
        <v>53</v>
      </c>
      <c r="T73" s="36">
        <v>17.771071155947951</v>
      </c>
      <c r="U73" s="37">
        <v>4.9476427824584528</v>
      </c>
      <c r="V73" s="38" t="s">
        <v>53</v>
      </c>
      <c r="W73" s="36">
        <v>19.553938193321461</v>
      </c>
      <c r="X73" s="37">
        <v>6.2290891579352383</v>
      </c>
      <c r="Y73" s="38" t="s">
        <v>53</v>
      </c>
      <c r="Z73" s="36" t="s">
        <v>55</v>
      </c>
      <c r="AA73" s="37" t="s">
        <v>55</v>
      </c>
      <c r="AB73" s="38" t="s">
        <v>53</v>
      </c>
      <c r="AC73" s="36">
        <v>25.086171381391072</v>
      </c>
      <c r="AD73" s="37">
        <v>0.70865357650587057</v>
      </c>
      <c r="AE73" s="38" t="s">
        <v>53</v>
      </c>
      <c r="AF73" s="36">
        <v>37.33088400523377</v>
      </c>
      <c r="AG73" s="37">
        <v>8.0081043664911142</v>
      </c>
      <c r="AH73" s="38" t="s">
        <v>53</v>
      </c>
      <c r="AI73" s="36">
        <v>30.71746548338443</v>
      </c>
      <c r="AJ73" s="37">
        <v>8.952529174479988</v>
      </c>
      <c r="AK73" s="38" t="s">
        <v>53</v>
      </c>
      <c r="AL73" s="36" t="s">
        <v>55</v>
      </c>
      <c r="AM73" s="37" t="s">
        <v>55</v>
      </c>
      <c r="AN73" s="39" t="s">
        <v>53</v>
      </c>
    </row>
    <row r="74" spans="1:40" x14ac:dyDescent="0.25">
      <c r="A74" s="15" t="s">
        <v>187</v>
      </c>
      <c r="B74" s="36">
        <v>5.9837011847694299</v>
      </c>
      <c r="C74" s="37">
        <v>0.46419035772446388</v>
      </c>
      <c r="D74" s="38" t="s">
        <v>53</v>
      </c>
      <c r="E74" s="16">
        <v>-0.53050192938702745</v>
      </c>
      <c r="F74" s="17">
        <v>3.3282698847179847E-2</v>
      </c>
      <c r="G74" s="38" t="s">
        <v>53</v>
      </c>
      <c r="H74" s="16">
        <v>-0.71975380983944448</v>
      </c>
      <c r="I74" s="17">
        <v>9.5757831149795566E-2</v>
      </c>
      <c r="J74" s="38" t="s">
        <v>53</v>
      </c>
      <c r="K74" s="16">
        <v>-0.24204729178649309</v>
      </c>
      <c r="L74" s="17">
        <v>0.1243302366081659</v>
      </c>
      <c r="M74" s="38" t="s">
        <v>53</v>
      </c>
      <c r="N74" s="16">
        <v>-0.96454454042418847</v>
      </c>
      <c r="O74" s="17">
        <v>0.11701386277469927</v>
      </c>
      <c r="P74" s="38" t="s">
        <v>53</v>
      </c>
      <c r="Q74" s="36">
        <v>23.671790316419649</v>
      </c>
      <c r="R74" s="37">
        <v>1.0800973059558145</v>
      </c>
      <c r="S74" s="38" t="s">
        <v>53</v>
      </c>
      <c r="T74" s="36">
        <v>32.35869977464943</v>
      </c>
      <c r="U74" s="37">
        <v>3.5240758735380227</v>
      </c>
      <c r="V74" s="38" t="s">
        <v>53</v>
      </c>
      <c r="W74" s="36">
        <v>18.39767353968384</v>
      </c>
      <c r="X74" s="37">
        <v>3.8061411194043306</v>
      </c>
      <c r="Y74" s="38" t="s">
        <v>53</v>
      </c>
      <c r="Z74" s="36">
        <v>39.512736160209471</v>
      </c>
      <c r="AA74" s="37">
        <v>4.7019838107089162</v>
      </c>
      <c r="AB74" s="38" t="s">
        <v>53</v>
      </c>
      <c r="AC74" s="36">
        <v>25.883203331570549</v>
      </c>
      <c r="AD74" s="37">
        <v>1.0309325737240944</v>
      </c>
      <c r="AE74" s="38" t="s">
        <v>53</v>
      </c>
      <c r="AF74" s="36">
        <v>22.026589023051223</v>
      </c>
      <c r="AG74" s="37">
        <v>3.2082572826790461</v>
      </c>
      <c r="AH74" s="38" t="s">
        <v>53</v>
      </c>
      <c r="AI74" s="36">
        <v>29.56140572525301</v>
      </c>
      <c r="AJ74" s="37">
        <v>5.4440688215595214</v>
      </c>
      <c r="AK74" s="38" t="s">
        <v>53</v>
      </c>
      <c r="AL74" s="36">
        <v>18.165529532232931</v>
      </c>
      <c r="AM74" s="37">
        <v>4.0747539124285348</v>
      </c>
      <c r="AN74" s="39" t="s">
        <v>53</v>
      </c>
    </row>
    <row r="75" spans="1:40" x14ac:dyDescent="0.25">
      <c r="A75" s="15" t="s">
        <v>188</v>
      </c>
      <c r="B75" s="36">
        <v>62.874218024546593</v>
      </c>
      <c r="C75" s="37">
        <v>0.67146253797098432</v>
      </c>
      <c r="D75" s="38" t="s">
        <v>53</v>
      </c>
      <c r="E75" s="16">
        <v>-0.40716044451041961</v>
      </c>
      <c r="F75" s="17">
        <v>2.1977616159566313E-2</v>
      </c>
      <c r="G75" s="38" t="s">
        <v>53</v>
      </c>
      <c r="H75" s="16">
        <v>-0.57698692935713103</v>
      </c>
      <c r="I75" s="17">
        <v>1.5449118449067427E-2</v>
      </c>
      <c r="J75" s="38" t="s">
        <v>53</v>
      </c>
      <c r="K75" s="16">
        <v>-0.58100508323404754</v>
      </c>
      <c r="L75" s="17">
        <v>2.4453622335776946E-2</v>
      </c>
      <c r="M75" s="38" t="s">
        <v>53</v>
      </c>
      <c r="N75" s="16">
        <v>-0.57133502251076318</v>
      </c>
      <c r="O75" s="17">
        <v>2.5323784366085254E-2</v>
      </c>
      <c r="P75" s="38" t="s">
        <v>53</v>
      </c>
      <c r="Q75" s="36">
        <v>20.854677995816619</v>
      </c>
      <c r="R75" s="37">
        <v>0.99963487170002896</v>
      </c>
      <c r="S75" s="38" t="s">
        <v>53</v>
      </c>
      <c r="T75" s="36">
        <v>27.280571975449057</v>
      </c>
      <c r="U75" s="37">
        <v>0.8069571297416499</v>
      </c>
      <c r="V75" s="38" t="s">
        <v>53</v>
      </c>
      <c r="W75" s="36">
        <v>27.324939936322366</v>
      </c>
      <c r="X75" s="37">
        <v>1.2204831444451372</v>
      </c>
      <c r="Y75" s="38" t="s">
        <v>53</v>
      </c>
      <c r="Z75" s="36">
        <v>27.218164315239779</v>
      </c>
      <c r="AA75" s="37">
        <v>1.3814164844133103</v>
      </c>
      <c r="AB75" s="38" t="s">
        <v>53</v>
      </c>
      <c r="AC75" s="36">
        <v>29.98126350990545</v>
      </c>
      <c r="AD75" s="37">
        <v>1.0702420233082124</v>
      </c>
      <c r="AE75" s="38" t="s">
        <v>53</v>
      </c>
      <c r="AF75" s="36">
        <v>22.227278918735948</v>
      </c>
      <c r="AG75" s="37">
        <v>0.74985442087407694</v>
      </c>
      <c r="AH75" s="38" t="s">
        <v>53</v>
      </c>
      <c r="AI75" s="36">
        <v>22.781829544680541</v>
      </c>
      <c r="AJ75" s="37">
        <v>1.1288243320478555</v>
      </c>
      <c r="AK75" s="38" t="s">
        <v>53</v>
      </c>
      <c r="AL75" s="36">
        <v>21.447251927375671</v>
      </c>
      <c r="AM75" s="37">
        <v>1.2732609186253785</v>
      </c>
      <c r="AN75" s="39" t="s">
        <v>53</v>
      </c>
    </row>
    <row r="76" spans="1:40" x14ac:dyDescent="0.25">
      <c r="A76" s="15" t="s">
        <v>189</v>
      </c>
      <c r="B76" s="36">
        <v>1.64809151960093</v>
      </c>
      <c r="C76" s="37">
        <v>0.22052586057016099</v>
      </c>
      <c r="D76" s="38" t="s">
        <v>53</v>
      </c>
      <c r="E76" s="16">
        <v>-0.75235434207109675</v>
      </c>
      <c r="F76" s="17">
        <v>3.4854349144919118E-2</v>
      </c>
      <c r="G76" s="38" t="s">
        <v>53</v>
      </c>
      <c r="H76" s="16">
        <v>-1.1047887784914521</v>
      </c>
      <c r="I76" s="17">
        <v>0.126645228851269</v>
      </c>
      <c r="J76" s="38" t="s">
        <v>53</v>
      </c>
      <c r="K76" s="16">
        <v>-1.40074550465794</v>
      </c>
      <c r="L76" s="17">
        <v>0.10987509321760951</v>
      </c>
      <c r="M76" s="38" t="s">
        <v>53</v>
      </c>
      <c r="N76" s="16" t="s">
        <v>56</v>
      </c>
      <c r="O76" s="17" t="s">
        <v>56</v>
      </c>
      <c r="P76" s="38" t="s">
        <v>53</v>
      </c>
      <c r="Q76" s="36">
        <v>24.71674340047289</v>
      </c>
      <c r="R76" s="37">
        <v>1.1853715146156039</v>
      </c>
      <c r="S76" s="38" t="s">
        <v>53</v>
      </c>
      <c r="T76" s="36">
        <v>35.222817174128117</v>
      </c>
      <c r="U76" s="37">
        <v>4.7637552035152915</v>
      </c>
      <c r="V76" s="38" t="s">
        <v>53</v>
      </c>
      <c r="W76" s="36">
        <v>44.019631134906142</v>
      </c>
      <c r="X76" s="37">
        <v>5.9105044325750118</v>
      </c>
      <c r="Y76" s="38" t="s">
        <v>53</v>
      </c>
      <c r="Z76" s="36" t="s">
        <v>55</v>
      </c>
      <c r="AA76" s="37" t="s">
        <v>55</v>
      </c>
      <c r="AB76" s="38" t="s">
        <v>53</v>
      </c>
      <c r="AC76" s="36">
        <v>25.462215422518891</v>
      </c>
      <c r="AD76" s="37">
        <v>1.3164167002543505</v>
      </c>
      <c r="AE76" s="38" t="s">
        <v>53</v>
      </c>
      <c r="AF76" s="36">
        <v>15.644617519249021</v>
      </c>
      <c r="AG76" s="37">
        <v>4.95649053054305</v>
      </c>
      <c r="AH76" s="38" t="s">
        <v>53</v>
      </c>
      <c r="AI76" s="36">
        <v>6.1145826180749703</v>
      </c>
      <c r="AJ76" s="37">
        <v>2.9826615521565381</v>
      </c>
      <c r="AK76" s="38" t="s">
        <v>53</v>
      </c>
      <c r="AL76" s="36" t="s">
        <v>55</v>
      </c>
      <c r="AM76" s="37" t="s">
        <v>55</v>
      </c>
      <c r="AN76" s="39" t="s">
        <v>53</v>
      </c>
    </row>
    <row r="77" spans="1:40" x14ac:dyDescent="0.25">
      <c r="A77" s="15" t="s">
        <v>190</v>
      </c>
      <c r="B77" s="36">
        <v>8.7884460025211002</v>
      </c>
      <c r="C77" s="37">
        <v>0.43858351153635072</v>
      </c>
      <c r="D77" s="38" t="s">
        <v>53</v>
      </c>
      <c r="E77" s="16">
        <v>5.2611437615130499E-2</v>
      </c>
      <c r="F77" s="17">
        <v>1.4643390112923906E-2</v>
      </c>
      <c r="G77" s="38" t="s">
        <v>53</v>
      </c>
      <c r="H77" s="16">
        <v>0.19133171687389769</v>
      </c>
      <c r="I77" s="17">
        <v>5.2151188340964195E-2</v>
      </c>
      <c r="J77" s="38" t="s">
        <v>53</v>
      </c>
      <c r="K77" s="16">
        <v>7.4091823762607506E-2</v>
      </c>
      <c r="L77" s="17">
        <v>0.13946940840882949</v>
      </c>
      <c r="M77" s="38" t="s">
        <v>53</v>
      </c>
      <c r="N77" s="16">
        <v>0.2300382557803051</v>
      </c>
      <c r="O77" s="17">
        <v>5.9962026900969273E-2</v>
      </c>
      <c r="P77" s="38" t="s">
        <v>53</v>
      </c>
      <c r="Q77" s="36">
        <v>25.377581946979127</v>
      </c>
      <c r="R77" s="37">
        <v>0.77038416593697168</v>
      </c>
      <c r="S77" s="38" t="s">
        <v>53</v>
      </c>
      <c r="T77" s="36">
        <v>19.28606022310456</v>
      </c>
      <c r="U77" s="37">
        <v>2.3884755995423483</v>
      </c>
      <c r="V77" s="38" t="s">
        <v>53</v>
      </c>
      <c r="W77" s="36">
        <v>30.199682561579699</v>
      </c>
      <c r="X77" s="37">
        <v>6.1800617863293299</v>
      </c>
      <c r="Y77" s="38" t="s">
        <v>53</v>
      </c>
      <c r="Z77" s="36">
        <v>15.682947524485561</v>
      </c>
      <c r="AA77" s="37">
        <v>2.3900523240022737</v>
      </c>
      <c r="AB77" s="38" t="s">
        <v>53</v>
      </c>
      <c r="AC77" s="36">
        <v>24.699304806267779</v>
      </c>
      <c r="AD77" s="37">
        <v>0.71612015181921085</v>
      </c>
      <c r="AE77" s="38" t="s">
        <v>53</v>
      </c>
      <c r="AF77" s="36">
        <v>29.67410054511188</v>
      </c>
      <c r="AG77" s="37">
        <v>2.3031090339882812</v>
      </c>
      <c r="AH77" s="38" t="s">
        <v>53</v>
      </c>
      <c r="AI77" s="36">
        <v>29.548224225898661</v>
      </c>
      <c r="AJ77" s="37">
        <v>5.1014879531320645</v>
      </c>
      <c r="AK77" s="38" t="s">
        <v>53</v>
      </c>
      <c r="AL77" s="36">
        <v>29.71565838449337</v>
      </c>
      <c r="AM77" s="37">
        <v>2.7037726221057703</v>
      </c>
      <c r="AN77" s="39" t="s">
        <v>53</v>
      </c>
    </row>
    <row r="78" spans="1:40" x14ac:dyDescent="0.25">
      <c r="A78" s="15" t="s">
        <v>191</v>
      </c>
      <c r="B78" s="36">
        <v>1.44652346304573</v>
      </c>
      <c r="C78" s="37">
        <v>0.16410339723422637</v>
      </c>
      <c r="D78" s="38" t="s">
        <v>53</v>
      </c>
      <c r="E78" s="16">
        <v>-0.58196977984801823</v>
      </c>
      <c r="F78" s="17">
        <v>2.459395346451184E-2</v>
      </c>
      <c r="G78" s="38" t="s">
        <v>53</v>
      </c>
      <c r="H78" s="16">
        <v>-0.23032944553377219</v>
      </c>
      <c r="I78" s="17">
        <v>0.13987880412862883</v>
      </c>
      <c r="J78" s="38" t="s">
        <v>53</v>
      </c>
      <c r="K78" s="16">
        <v>-0.23900238551906261</v>
      </c>
      <c r="L78" s="17">
        <v>0.14418643745782764</v>
      </c>
      <c r="M78" s="38" t="s">
        <v>53</v>
      </c>
      <c r="N78" s="16" t="s">
        <v>56</v>
      </c>
      <c r="O78" s="17" t="s">
        <v>56</v>
      </c>
      <c r="P78" s="38" t="s">
        <v>53</v>
      </c>
      <c r="Q78" s="36">
        <v>24.533148856640409</v>
      </c>
      <c r="R78" s="37">
        <v>0.85314261871693098</v>
      </c>
      <c r="S78" s="38" t="s">
        <v>53</v>
      </c>
      <c r="T78" s="36">
        <v>18.799349182800061</v>
      </c>
      <c r="U78" s="37">
        <v>5.1381223521905559</v>
      </c>
      <c r="V78" s="38" t="s">
        <v>53</v>
      </c>
      <c r="W78" s="36">
        <v>14.62609927914969</v>
      </c>
      <c r="X78" s="37">
        <v>4.7066880207604749</v>
      </c>
      <c r="Y78" s="38" t="s">
        <v>53</v>
      </c>
      <c r="Z78" s="36" t="s">
        <v>55</v>
      </c>
      <c r="AA78" s="37" t="s">
        <v>55</v>
      </c>
      <c r="AB78" s="38" t="s">
        <v>53</v>
      </c>
      <c r="AC78" s="36">
        <v>25.490008085616552</v>
      </c>
      <c r="AD78" s="37">
        <v>1.1285933271907664</v>
      </c>
      <c r="AE78" s="38" t="s">
        <v>53</v>
      </c>
      <c r="AF78" s="36">
        <v>34.288236413057071</v>
      </c>
      <c r="AG78" s="37">
        <v>5.016270803928526</v>
      </c>
      <c r="AH78" s="38" t="s">
        <v>53</v>
      </c>
      <c r="AI78" s="36">
        <v>32.582948127878645</v>
      </c>
      <c r="AJ78" s="37">
        <v>5.1162385623683928</v>
      </c>
      <c r="AK78" s="38" t="s">
        <v>53</v>
      </c>
      <c r="AL78" s="36" t="s">
        <v>55</v>
      </c>
      <c r="AM78" s="37" t="s">
        <v>55</v>
      </c>
      <c r="AN78" s="39" t="s">
        <v>53</v>
      </c>
    </row>
    <row r="79" spans="1:40" x14ac:dyDescent="0.25">
      <c r="A79" s="15" t="s">
        <v>192</v>
      </c>
      <c r="B79" s="36">
        <v>5.7995230908142004</v>
      </c>
      <c r="C79" s="37">
        <v>0.29347800153195563</v>
      </c>
      <c r="D79" s="38" t="s">
        <v>53</v>
      </c>
      <c r="E79" s="16">
        <v>-0.1924962216921316</v>
      </c>
      <c r="F79" s="17">
        <v>1.0520923674681073E-2</v>
      </c>
      <c r="G79" s="38" t="s">
        <v>53</v>
      </c>
      <c r="H79" s="16">
        <v>-1.03975259648456E-2</v>
      </c>
      <c r="I79" s="17">
        <v>4.5846552315199338E-2</v>
      </c>
      <c r="J79" s="38" t="s">
        <v>53</v>
      </c>
      <c r="K79" s="16">
        <v>-4.0877689086207501E-2</v>
      </c>
      <c r="L79" s="17">
        <v>5.7220783281637648E-2</v>
      </c>
      <c r="M79" s="38" t="s">
        <v>53</v>
      </c>
      <c r="N79" s="16">
        <v>3.9854467673080402E-2</v>
      </c>
      <c r="O79" s="17">
        <v>7.9246151357720979E-2</v>
      </c>
      <c r="P79" s="38" t="s">
        <v>53</v>
      </c>
      <c r="Q79" s="36">
        <v>25.321207984078182</v>
      </c>
      <c r="R79" s="37">
        <v>0.63167709790147741</v>
      </c>
      <c r="S79" s="38" t="s">
        <v>53</v>
      </c>
      <c r="T79" s="36">
        <v>20.211958549670339</v>
      </c>
      <c r="U79" s="37">
        <v>1.9054366518892085</v>
      </c>
      <c r="V79" s="38" t="s">
        <v>53</v>
      </c>
      <c r="W79" s="36">
        <v>23.246344638324409</v>
      </c>
      <c r="X79" s="37">
        <v>2.8058856574996871</v>
      </c>
      <c r="Y79" s="38" t="s">
        <v>53</v>
      </c>
      <c r="Z79" s="36">
        <v>15.209231044082038</v>
      </c>
      <c r="AA79" s="37">
        <v>3.0282055745362442</v>
      </c>
      <c r="AB79" s="38" t="s">
        <v>53</v>
      </c>
      <c r="AC79" s="36">
        <v>24.398142302066638</v>
      </c>
      <c r="AD79" s="37">
        <v>0.47172199520226266</v>
      </c>
      <c r="AE79" s="38" t="s">
        <v>53</v>
      </c>
      <c r="AF79" s="36">
        <v>34.268577675676632</v>
      </c>
      <c r="AG79" s="37">
        <v>2.1872383014232422</v>
      </c>
      <c r="AH79" s="38" t="s">
        <v>53</v>
      </c>
      <c r="AI79" s="36">
        <v>32.473979284996716</v>
      </c>
      <c r="AJ79" s="37">
        <v>2.8393889003018038</v>
      </c>
      <c r="AK79" s="38" t="s">
        <v>53</v>
      </c>
      <c r="AL79" s="36">
        <v>37.227293695404065</v>
      </c>
      <c r="AM79" s="37">
        <v>3.8130522361274579</v>
      </c>
      <c r="AN79" s="39" t="s">
        <v>53</v>
      </c>
    </row>
    <row r="80" spans="1:40" x14ac:dyDescent="0.25">
      <c r="A80" s="15" t="s">
        <v>193</v>
      </c>
      <c r="B80" s="36">
        <v>0.78286569411312001</v>
      </c>
      <c r="C80" s="37">
        <v>0.10751898920898106</v>
      </c>
      <c r="D80" s="38" t="s">
        <v>53</v>
      </c>
      <c r="E80" s="16">
        <v>-1.8960608957773879</v>
      </c>
      <c r="F80" s="17">
        <v>6.1673150150539424E-2</v>
      </c>
      <c r="G80" s="38" t="s">
        <v>53</v>
      </c>
      <c r="H80" s="16">
        <v>-0.76279928949375531</v>
      </c>
      <c r="I80" s="17">
        <v>0.18573044576620723</v>
      </c>
      <c r="J80" s="38" t="s">
        <v>53</v>
      </c>
      <c r="K80" s="16" t="s">
        <v>56</v>
      </c>
      <c r="L80" s="17" t="s">
        <v>56</v>
      </c>
      <c r="M80" s="38" t="s">
        <v>53</v>
      </c>
      <c r="N80" s="16" t="s">
        <v>56</v>
      </c>
      <c r="O80" s="17" t="s">
        <v>56</v>
      </c>
      <c r="P80" s="38" t="s">
        <v>53</v>
      </c>
      <c r="Q80" s="36">
        <v>25.225749793631479</v>
      </c>
      <c r="R80" s="37">
        <v>1.4876160600561052</v>
      </c>
      <c r="S80" s="38" t="s">
        <v>53</v>
      </c>
      <c r="T80" s="36">
        <v>2.6640099161313002</v>
      </c>
      <c r="U80" s="37">
        <v>2.0742698757428109</v>
      </c>
      <c r="V80" s="38" t="s">
        <v>53</v>
      </c>
      <c r="W80" s="36" t="s">
        <v>55</v>
      </c>
      <c r="X80" s="37" t="s">
        <v>55</v>
      </c>
      <c r="Y80" s="38" t="s">
        <v>53</v>
      </c>
      <c r="Z80" s="36" t="s">
        <v>55</v>
      </c>
      <c r="AA80" s="37" t="s">
        <v>55</v>
      </c>
      <c r="AB80" s="38" t="s">
        <v>53</v>
      </c>
      <c r="AC80" s="36">
        <v>24.902586380547039</v>
      </c>
      <c r="AD80" s="37">
        <v>1.5932940451470603</v>
      </c>
      <c r="AE80" s="38" t="s">
        <v>53</v>
      </c>
      <c r="AF80" s="36">
        <v>50.814635647119367</v>
      </c>
      <c r="AG80" s="37">
        <v>7.0059517676128378</v>
      </c>
      <c r="AH80" s="38" t="s">
        <v>53</v>
      </c>
      <c r="AI80" s="36" t="s">
        <v>55</v>
      </c>
      <c r="AJ80" s="37" t="s">
        <v>55</v>
      </c>
      <c r="AK80" s="38" t="s">
        <v>53</v>
      </c>
      <c r="AL80" s="36" t="s">
        <v>55</v>
      </c>
      <c r="AM80" s="37" t="s">
        <v>55</v>
      </c>
      <c r="AN80" s="39" t="s">
        <v>53</v>
      </c>
    </row>
    <row r="81" spans="1:40" x14ac:dyDescent="0.25">
      <c r="A81" s="15" t="s">
        <v>194</v>
      </c>
      <c r="B81" s="36">
        <v>1.6242813171113197</v>
      </c>
      <c r="C81" s="37">
        <v>0.22955526457296968</v>
      </c>
      <c r="D81" s="38" t="s">
        <v>53</v>
      </c>
      <c r="E81" s="16">
        <v>-0.31415203308157041</v>
      </c>
      <c r="F81" s="17">
        <v>1.1404017777417416E-2</v>
      </c>
      <c r="G81" s="38" t="s">
        <v>53</v>
      </c>
      <c r="H81" s="16">
        <v>-0.39280167977095137</v>
      </c>
      <c r="I81" s="17">
        <v>0.13926069310863048</v>
      </c>
      <c r="J81" s="38" t="s">
        <v>53</v>
      </c>
      <c r="K81" s="16">
        <v>-0.52130983346463999</v>
      </c>
      <c r="L81" s="17">
        <v>0.2169173462011838</v>
      </c>
      <c r="M81" s="38" t="s">
        <v>53</v>
      </c>
      <c r="N81" s="16" t="s">
        <v>56</v>
      </c>
      <c r="O81" s="17" t="s">
        <v>56</v>
      </c>
      <c r="P81" s="38" t="s">
        <v>53</v>
      </c>
      <c r="Q81" s="36">
        <v>24.67481966502119</v>
      </c>
      <c r="R81" s="37">
        <v>0.52913288863013508</v>
      </c>
      <c r="S81" s="38" t="s">
        <v>53</v>
      </c>
      <c r="T81" s="36">
        <v>29.291241729803051</v>
      </c>
      <c r="U81" s="37">
        <v>6.8804813252006412</v>
      </c>
      <c r="V81" s="38" t="s">
        <v>53</v>
      </c>
      <c r="W81" s="36">
        <v>30.802578948422131</v>
      </c>
      <c r="X81" s="37">
        <v>9.23553199077271</v>
      </c>
      <c r="Y81" s="38" t="s">
        <v>53</v>
      </c>
      <c r="Z81" s="36" t="s">
        <v>55</v>
      </c>
      <c r="AA81" s="37" t="s">
        <v>55</v>
      </c>
      <c r="AB81" s="38" t="s">
        <v>53</v>
      </c>
      <c r="AC81" s="36">
        <v>25.430108599861139</v>
      </c>
      <c r="AD81" s="37">
        <v>0.57905821030113813</v>
      </c>
      <c r="AE81" s="38" t="s">
        <v>53</v>
      </c>
      <c r="AF81" s="36">
        <v>26.395690717159283</v>
      </c>
      <c r="AG81" s="37">
        <v>5.4218949441284465</v>
      </c>
      <c r="AH81" s="38" t="s">
        <v>53</v>
      </c>
      <c r="AI81" s="36">
        <v>26.28760966448942</v>
      </c>
      <c r="AJ81" s="37">
        <v>7.0400860726259378</v>
      </c>
      <c r="AK81" s="38" t="s">
        <v>53</v>
      </c>
      <c r="AL81" s="36" t="s">
        <v>55</v>
      </c>
      <c r="AM81" s="37" t="s">
        <v>55</v>
      </c>
      <c r="AN81" s="39" t="s">
        <v>53</v>
      </c>
    </row>
    <row r="82" spans="1:40" x14ac:dyDescent="0.25">
      <c r="A82" s="15" t="s">
        <v>195</v>
      </c>
      <c r="B82" s="36">
        <v>5.9699964313614702</v>
      </c>
      <c r="C82" s="37">
        <v>0.73436898142229357</v>
      </c>
      <c r="D82" s="38" t="s">
        <v>53</v>
      </c>
      <c r="E82" s="16">
        <v>-1.0997168586893971</v>
      </c>
      <c r="F82" s="17">
        <v>4.3179961340914799E-2</v>
      </c>
      <c r="G82" s="38" t="s">
        <v>53</v>
      </c>
      <c r="H82" s="16">
        <v>-0.43713456226171787</v>
      </c>
      <c r="I82" s="17">
        <v>0.11647572560543927</v>
      </c>
      <c r="J82" s="38" t="s">
        <v>53</v>
      </c>
      <c r="K82" s="16">
        <v>-0.60897414589555754</v>
      </c>
      <c r="L82" s="17">
        <v>0.18523491175944426</v>
      </c>
      <c r="M82" s="38" t="s">
        <v>53</v>
      </c>
      <c r="N82" s="16">
        <v>-0.34495798578349351</v>
      </c>
      <c r="O82" s="17">
        <v>0.14858057199599775</v>
      </c>
      <c r="P82" s="38" t="s">
        <v>53</v>
      </c>
      <c r="Q82" s="36">
        <v>25.183960924393649</v>
      </c>
      <c r="R82" s="37">
        <v>0.98483991297148632</v>
      </c>
      <c r="S82" s="38" t="s">
        <v>53</v>
      </c>
      <c r="T82" s="36">
        <v>9.4802087426957193</v>
      </c>
      <c r="U82" s="37">
        <v>2.7217572710595102</v>
      </c>
      <c r="V82" s="38" t="s">
        <v>53</v>
      </c>
      <c r="W82" s="36">
        <v>11.630086589575409</v>
      </c>
      <c r="X82" s="37">
        <v>5.5296610478769619</v>
      </c>
      <c r="Y82" s="38" t="s">
        <v>53</v>
      </c>
      <c r="Z82" s="36">
        <v>8.3269914479307996</v>
      </c>
      <c r="AA82" s="37">
        <v>2.576383884728453</v>
      </c>
      <c r="AB82" s="38" t="s">
        <v>53</v>
      </c>
      <c r="AC82" s="36">
        <v>24.92144970378709</v>
      </c>
      <c r="AD82" s="37">
        <v>1.3573704601241898</v>
      </c>
      <c r="AE82" s="38" t="s">
        <v>53</v>
      </c>
      <c r="AF82" s="36">
        <v>42.159667086350275</v>
      </c>
      <c r="AG82" s="37">
        <v>4.7269433013963038</v>
      </c>
      <c r="AH82" s="38" t="s">
        <v>53</v>
      </c>
      <c r="AI82" s="36">
        <v>31.1842561327481</v>
      </c>
      <c r="AJ82" s="37">
        <v>5.2147339355755999</v>
      </c>
      <c r="AK82" s="38" t="s">
        <v>53</v>
      </c>
      <c r="AL82" s="36">
        <v>48.046994009234119</v>
      </c>
      <c r="AM82" s="37">
        <v>6.7372267009361124</v>
      </c>
      <c r="AN82" s="39" t="s">
        <v>53</v>
      </c>
    </row>
    <row r="83" spans="1:40" x14ac:dyDescent="0.25">
      <c r="A83" s="15" t="s">
        <v>196</v>
      </c>
      <c r="B83" s="36">
        <v>0.49027879925130002</v>
      </c>
      <c r="C83" s="37">
        <v>9.9801677578820164E-2</v>
      </c>
      <c r="D83" s="38" t="s">
        <v>53</v>
      </c>
      <c r="E83" s="16">
        <v>-1.116442784709482</v>
      </c>
      <c r="F83" s="17">
        <v>3.8053924657337201E-2</v>
      </c>
      <c r="G83" s="38" t="s">
        <v>53</v>
      </c>
      <c r="H83" s="16" t="s">
        <v>56</v>
      </c>
      <c r="I83" s="17" t="s">
        <v>56</v>
      </c>
      <c r="J83" s="38" t="s">
        <v>53</v>
      </c>
      <c r="K83" s="16" t="s">
        <v>56</v>
      </c>
      <c r="L83" s="17" t="s">
        <v>56</v>
      </c>
      <c r="M83" s="38" t="s">
        <v>53</v>
      </c>
      <c r="N83" s="16" t="s">
        <v>56</v>
      </c>
      <c r="O83" s="17" t="s">
        <v>56</v>
      </c>
      <c r="P83" s="38" t="s">
        <v>53</v>
      </c>
      <c r="Q83" s="36">
        <v>25.035450439984793</v>
      </c>
      <c r="R83" s="37">
        <v>1.1450927134418964</v>
      </c>
      <c r="S83" s="38" t="s">
        <v>53</v>
      </c>
      <c r="T83" s="36" t="s">
        <v>55</v>
      </c>
      <c r="U83" s="37" t="s">
        <v>55</v>
      </c>
      <c r="V83" s="38" t="s">
        <v>53</v>
      </c>
      <c r="W83" s="36" t="s">
        <v>55</v>
      </c>
      <c r="X83" s="37" t="s">
        <v>55</v>
      </c>
      <c r="Y83" s="38" t="s">
        <v>53</v>
      </c>
      <c r="Z83" s="36" t="s">
        <v>55</v>
      </c>
      <c r="AA83" s="37" t="s">
        <v>55</v>
      </c>
      <c r="AB83" s="38" t="s">
        <v>53</v>
      </c>
      <c r="AC83" s="36">
        <v>25.17753385551898</v>
      </c>
      <c r="AD83" s="37">
        <v>1.218177867787958</v>
      </c>
      <c r="AE83" s="38" t="s">
        <v>53</v>
      </c>
      <c r="AF83" s="36" t="s">
        <v>55</v>
      </c>
      <c r="AG83" s="37" t="s">
        <v>55</v>
      </c>
      <c r="AH83" s="38" t="s">
        <v>53</v>
      </c>
      <c r="AI83" s="36" t="s">
        <v>55</v>
      </c>
      <c r="AJ83" s="37" t="s">
        <v>55</v>
      </c>
      <c r="AK83" s="38" t="s">
        <v>53</v>
      </c>
      <c r="AL83" s="36" t="s">
        <v>55</v>
      </c>
      <c r="AM83" s="37" t="s">
        <v>55</v>
      </c>
      <c r="AN83" s="39" t="s">
        <v>53</v>
      </c>
    </row>
    <row r="84" spans="1:40" x14ac:dyDescent="0.25">
      <c r="A84" s="15" t="s">
        <v>197</v>
      </c>
      <c r="B84" s="36">
        <v>1.0367394553478</v>
      </c>
      <c r="C84" s="37">
        <v>0.15659271343211417</v>
      </c>
      <c r="D84" s="38" t="s">
        <v>53</v>
      </c>
      <c r="E84" s="16">
        <v>-1.3992174928703229</v>
      </c>
      <c r="F84" s="17">
        <v>4.2557630514860278E-2</v>
      </c>
      <c r="G84" s="38" t="s">
        <v>53</v>
      </c>
      <c r="H84" s="16">
        <v>-1.199822479544207</v>
      </c>
      <c r="I84" s="17">
        <v>0.15813953984308382</v>
      </c>
      <c r="J84" s="38" t="s">
        <v>53</v>
      </c>
      <c r="K84" s="16" t="s">
        <v>56</v>
      </c>
      <c r="L84" s="17" t="s">
        <v>56</v>
      </c>
      <c r="M84" s="38" t="s">
        <v>53</v>
      </c>
      <c r="N84" s="16">
        <v>-1.244533518996378</v>
      </c>
      <c r="O84" s="17">
        <v>0.19877175996229901</v>
      </c>
      <c r="P84" s="38" t="s">
        <v>53</v>
      </c>
      <c r="Q84" s="36">
        <v>24.400709783026308</v>
      </c>
      <c r="R84" s="37">
        <v>1.1955732479800318</v>
      </c>
      <c r="S84" s="38" t="s">
        <v>53</v>
      </c>
      <c r="T84" s="36">
        <v>18.925230903835491</v>
      </c>
      <c r="U84" s="37">
        <v>4.7437977047897544</v>
      </c>
      <c r="V84" s="38" t="s">
        <v>53</v>
      </c>
      <c r="W84" s="36" t="s">
        <v>55</v>
      </c>
      <c r="X84" s="37" t="s">
        <v>55</v>
      </c>
      <c r="Y84" s="38" t="s">
        <v>53</v>
      </c>
      <c r="Z84" s="36">
        <v>17.77693468450617</v>
      </c>
      <c r="AA84" s="37">
        <v>6.4995749922145976</v>
      </c>
      <c r="AB84" s="38" t="s">
        <v>53</v>
      </c>
      <c r="AC84" s="36">
        <v>25.672277492258527</v>
      </c>
      <c r="AD84" s="37">
        <v>1.4904451919670199</v>
      </c>
      <c r="AE84" s="38" t="s">
        <v>53</v>
      </c>
      <c r="AF84" s="36">
        <v>34.854004615544582</v>
      </c>
      <c r="AG84" s="37">
        <v>7.0204523949654902</v>
      </c>
      <c r="AH84" s="38" t="s">
        <v>53</v>
      </c>
      <c r="AI84" s="36" t="s">
        <v>55</v>
      </c>
      <c r="AJ84" s="37" t="s">
        <v>55</v>
      </c>
      <c r="AK84" s="38" t="s">
        <v>53</v>
      </c>
      <c r="AL84" s="36">
        <v>32.009966411118782</v>
      </c>
      <c r="AM84" s="37">
        <v>8.9054459252542575</v>
      </c>
      <c r="AN84" s="39" t="s">
        <v>53</v>
      </c>
    </row>
    <row r="85" spans="1:40" x14ac:dyDescent="0.25">
      <c r="A85" s="15" t="s">
        <v>198</v>
      </c>
      <c r="B85" s="36">
        <v>56.805347904173566</v>
      </c>
      <c r="C85" s="37">
        <v>0.36922238395152129</v>
      </c>
      <c r="D85" s="38" t="s">
        <v>53</v>
      </c>
      <c r="E85" s="16">
        <v>0.21574801499259591</v>
      </c>
      <c r="F85" s="17">
        <v>1.2300106460046655E-2</v>
      </c>
      <c r="G85" s="38" t="s">
        <v>53</v>
      </c>
      <c r="H85" s="16">
        <v>0.34116710844629328</v>
      </c>
      <c r="I85" s="17">
        <v>8.3842008156003282E-3</v>
      </c>
      <c r="J85" s="38" t="s">
        <v>53</v>
      </c>
      <c r="K85" s="16">
        <v>0.1855902091952025</v>
      </c>
      <c r="L85" s="17">
        <v>1.8319976263373349E-2</v>
      </c>
      <c r="M85" s="38" t="s">
        <v>53</v>
      </c>
      <c r="N85" s="16">
        <v>0.40743628766802081</v>
      </c>
      <c r="O85" s="17">
        <v>8.6599270894339702E-3</v>
      </c>
      <c r="P85" s="38" t="s">
        <v>53</v>
      </c>
      <c r="Q85" s="36">
        <v>29.678410358837692</v>
      </c>
      <c r="R85" s="37">
        <v>0.59741259327911922</v>
      </c>
      <c r="S85" s="38" t="s">
        <v>53</v>
      </c>
      <c r="T85" s="36">
        <v>20.833998204377629</v>
      </c>
      <c r="U85" s="37">
        <v>0.46590390427503442</v>
      </c>
      <c r="V85" s="38" t="s">
        <v>53</v>
      </c>
      <c r="W85" s="36">
        <v>28.800361255102018</v>
      </c>
      <c r="X85" s="37">
        <v>1.0948934306750953</v>
      </c>
      <c r="Y85" s="38" t="s">
        <v>53</v>
      </c>
      <c r="Z85" s="36">
        <v>17.440664468488169</v>
      </c>
      <c r="AA85" s="37">
        <v>0.44450596651709889</v>
      </c>
      <c r="AB85" s="38" t="s">
        <v>53</v>
      </c>
      <c r="AC85" s="36">
        <v>24.614562119063578</v>
      </c>
      <c r="AD85" s="37">
        <v>0.5487252924346544</v>
      </c>
      <c r="AE85" s="38" t="s">
        <v>53</v>
      </c>
      <c r="AF85" s="36">
        <v>25.723760422134262</v>
      </c>
      <c r="AG85" s="37">
        <v>0.49957500490536511</v>
      </c>
      <c r="AH85" s="38" t="s">
        <v>53</v>
      </c>
      <c r="AI85" s="36">
        <v>20.079361222567648</v>
      </c>
      <c r="AJ85" s="37">
        <v>0.91764968710677031</v>
      </c>
      <c r="AK85" s="38" t="s">
        <v>53</v>
      </c>
      <c r="AL85" s="36">
        <v>28.128035760925801</v>
      </c>
      <c r="AM85" s="37">
        <v>0.6062638228822993</v>
      </c>
      <c r="AN85" s="39" t="s">
        <v>53</v>
      </c>
    </row>
    <row r="86" spans="1:40" x14ac:dyDescent="0.25">
      <c r="A86" s="15" t="s">
        <v>199</v>
      </c>
      <c r="B86" s="36">
        <v>0.78033112696899998</v>
      </c>
      <c r="C86" s="37">
        <v>0.17564163445411793</v>
      </c>
      <c r="D86" s="38" t="s">
        <v>54</v>
      </c>
      <c r="E86" s="16">
        <v>-0.4707509801123832</v>
      </c>
      <c r="F86" s="17">
        <v>4.7777869501831376E-2</v>
      </c>
      <c r="G86" s="38" t="s">
        <v>53</v>
      </c>
      <c r="H86" s="16" t="s">
        <v>56</v>
      </c>
      <c r="I86" s="17" t="s">
        <v>56</v>
      </c>
      <c r="J86" s="38" t="s">
        <v>53</v>
      </c>
      <c r="K86" s="16" t="s">
        <v>56</v>
      </c>
      <c r="L86" s="17" t="s">
        <v>56</v>
      </c>
      <c r="M86" s="38" t="s">
        <v>53</v>
      </c>
      <c r="N86" s="16" t="s">
        <v>56</v>
      </c>
      <c r="O86" s="17" t="s">
        <v>56</v>
      </c>
      <c r="P86" s="38" t="s">
        <v>53</v>
      </c>
      <c r="Q86" s="36">
        <v>25.20302016292985</v>
      </c>
      <c r="R86" s="37">
        <v>1.5238817593486629</v>
      </c>
      <c r="S86" s="38" t="s">
        <v>53</v>
      </c>
      <c r="T86" s="36" t="s">
        <v>55</v>
      </c>
      <c r="U86" s="37" t="s">
        <v>55</v>
      </c>
      <c r="V86" s="38" t="s">
        <v>53</v>
      </c>
      <c r="W86" s="36" t="s">
        <v>55</v>
      </c>
      <c r="X86" s="37" t="s">
        <v>55</v>
      </c>
      <c r="Y86" s="38" t="s">
        <v>53</v>
      </c>
      <c r="Z86" s="36" t="s">
        <v>55</v>
      </c>
      <c r="AA86" s="37" t="s">
        <v>55</v>
      </c>
      <c r="AB86" s="38" t="s">
        <v>53</v>
      </c>
      <c r="AC86" s="36">
        <v>25.580366522291044</v>
      </c>
      <c r="AD86" s="37">
        <v>1.9798124088236619</v>
      </c>
      <c r="AE86" s="38" t="s">
        <v>53</v>
      </c>
      <c r="AF86" s="36" t="s">
        <v>55</v>
      </c>
      <c r="AG86" s="37" t="s">
        <v>55</v>
      </c>
      <c r="AH86" s="38" t="s">
        <v>53</v>
      </c>
      <c r="AI86" s="36" t="s">
        <v>55</v>
      </c>
      <c r="AJ86" s="37" t="s">
        <v>55</v>
      </c>
      <c r="AK86" s="38" t="s">
        <v>53</v>
      </c>
      <c r="AL86" s="36" t="s">
        <v>55</v>
      </c>
      <c r="AM86" s="37" t="s">
        <v>55</v>
      </c>
      <c r="AN86" s="39" t="s">
        <v>53</v>
      </c>
    </row>
    <row r="87" spans="1:40" x14ac:dyDescent="0.25">
      <c r="A87" s="15" t="s">
        <v>200</v>
      </c>
      <c r="B87" s="36">
        <v>5.7706009253634898</v>
      </c>
      <c r="C87" s="37">
        <v>0.30960017898992509</v>
      </c>
      <c r="D87" s="38" t="s">
        <v>53</v>
      </c>
      <c r="E87" s="16">
        <v>0.14038957029710489</v>
      </c>
      <c r="F87" s="17">
        <v>2.1474892547887137E-2</v>
      </c>
      <c r="G87" s="38" t="s">
        <v>53</v>
      </c>
      <c r="H87" s="16">
        <v>4.9357550424412297E-2</v>
      </c>
      <c r="I87" s="17">
        <v>4.4904027868748718E-2</v>
      </c>
      <c r="J87" s="38" t="s">
        <v>53</v>
      </c>
      <c r="K87" s="16">
        <v>0.136494251474994</v>
      </c>
      <c r="L87" s="17">
        <v>5.0330149054458949E-2</v>
      </c>
      <c r="M87" s="38" t="s">
        <v>53</v>
      </c>
      <c r="N87" s="16">
        <v>-8.9741226511828698E-2</v>
      </c>
      <c r="O87" s="17">
        <v>7.8708017265636254E-2</v>
      </c>
      <c r="P87" s="38" t="s">
        <v>53</v>
      </c>
      <c r="Q87" s="36">
        <v>24.500868052625041</v>
      </c>
      <c r="R87" s="37">
        <v>1.1336621466505965</v>
      </c>
      <c r="S87" s="38" t="s">
        <v>53</v>
      </c>
      <c r="T87" s="36">
        <v>32.557510091075734</v>
      </c>
      <c r="U87" s="37">
        <v>2.5805161795883191</v>
      </c>
      <c r="V87" s="38" t="s">
        <v>53</v>
      </c>
      <c r="W87" s="36">
        <v>29.854075035586046</v>
      </c>
      <c r="X87" s="37">
        <v>3.1454818111418197</v>
      </c>
      <c r="Y87" s="38" t="s">
        <v>53</v>
      </c>
      <c r="Z87" s="36">
        <v>36.873079824739222</v>
      </c>
      <c r="AA87" s="37">
        <v>3.5823948916509543</v>
      </c>
      <c r="AB87" s="38" t="s">
        <v>53</v>
      </c>
      <c r="AC87" s="36">
        <v>25.198243514186501</v>
      </c>
      <c r="AD87" s="37">
        <v>0.96796691608738139</v>
      </c>
      <c r="AE87" s="38" t="s">
        <v>53</v>
      </c>
      <c r="AF87" s="36">
        <v>23.868473631993851</v>
      </c>
      <c r="AG87" s="37">
        <v>1.6327003666411228</v>
      </c>
      <c r="AH87" s="38" t="s">
        <v>53</v>
      </c>
      <c r="AI87" s="36">
        <v>27.601892556848519</v>
      </c>
      <c r="AJ87" s="37">
        <v>2.542684659826477</v>
      </c>
      <c r="AK87" s="38" t="s">
        <v>53</v>
      </c>
      <c r="AL87" s="36">
        <v>17.908711557268912</v>
      </c>
      <c r="AM87" s="37">
        <v>2.8835346613736506</v>
      </c>
      <c r="AN87" s="39" t="s">
        <v>53</v>
      </c>
    </row>
    <row r="88" spans="1:40" x14ac:dyDescent="0.25">
      <c r="A88" s="15" t="s">
        <v>201</v>
      </c>
      <c r="B88" s="36">
        <v>11.867438614087</v>
      </c>
      <c r="C88" s="37">
        <v>1.0844814315091</v>
      </c>
      <c r="D88" s="38" t="s">
        <v>53</v>
      </c>
      <c r="E88" s="16">
        <v>-0.71328048557446855</v>
      </c>
      <c r="F88" s="17">
        <v>4.646618803801731E-2</v>
      </c>
      <c r="G88" s="38" t="s">
        <v>53</v>
      </c>
      <c r="H88" s="16">
        <v>-0.46866946104511542</v>
      </c>
      <c r="I88" s="17">
        <v>6.0050182036519552E-2</v>
      </c>
      <c r="J88" s="38" t="s">
        <v>53</v>
      </c>
      <c r="K88" s="16">
        <v>-0.52383721199912081</v>
      </c>
      <c r="L88" s="17">
        <v>7.5287332275647961E-2</v>
      </c>
      <c r="M88" s="38" t="s">
        <v>53</v>
      </c>
      <c r="N88" s="16">
        <v>-0.40373702768279057</v>
      </c>
      <c r="O88" s="17">
        <v>7.1421016302344056E-2</v>
      </c>
      <c r="P88" s="38" t="s">
        <v>53</v>
      </c>
      <c r="Q88" s="36">
        <v>25.53496422634327</v>
      </c>
      <c r="R88" s="37">
        <v>1.4046157277370828</v>
      </c>
      <c r="S88" s="38" t="s">
        <v>53</v>
      </c>
      <c r="T88" s="36">
        <v>16.743435311518752</v>
      </c>
      <c r="U88" s="37">
        <v>1.5499780356375403</v>
      </c>
      <c r="V88" s="38" t="s">
        <v>53</v>
      </c>
      <c r="W88" s="36">
        <v>17.557257819070273</v>
      </c>
      <c r="X88" s="37">
        <v>2.2579196359355929</v>
      </c>
      <c r="Y88" s="38" t="s">
        <v>53</v>
      </c>
      <c r="Z88" s="36">
        <v>15.785566360427991</v>
      </c>
      <c r="AA88" s="37">
        <v>1.8888316252749202</v>
      </c>
      <c r="AB88" s="38" t="s">
        <v>53</v>
      </c>
      <c r="AC88" s="36">
        <v>25.424343254454563</v>
      </c>
      <c r="AD88" s="37">
        <v>1.4682764838818001</v>
      </c>
      <c r="AE88" s="38" t="s">
        <v>53</v>
      </c>
      <c r="AF88" s="36">
        <v>28.423545963799164</v>
      </c>
      <c r="AG88" s="37">
        <v>2.5960666851624228</v>
      </c>
      <c r="AH88" s="38" t="s">
        <v>53</v>
      </c>
      <c r="AI88" s="36">
        <v>24.535416359462587</v>
      </c>
      <c r="AJ88" s="37">
        <v>2.5638333095295822</v>
      </c>
      <c r="AK88" s="38" t="s">
        <v>53</v>
      </c>
      <c r="AL88" s="36">
        <v>32.999873837816615</v>
      </c>
      <c r="AM88" s="37">
        <v>3.4750127592648368</v>
      </c>
      <c r="AN88" s="39" t="s">
        <v>53</v>
      </c>
    </row>
    <row r="89" spans="1:40" x14ac:dyDescent="0.25">
      <c r="A89" s="15" t="s">
        <v>202</v>
      </c>
      <c r="B89" s="36">
        <v>9.32128952538792</v>
      </c>
      <c r="C89" s="37">
        <v>0.41176693146583127</v>
      </c>
      <c r="D89" s="38" t="s">
        <v>53</v>
      </c>
      <c r="E89" s="16">
        <v>-0.2354720050275875</v>
      </c>
      <c r="F89" s="17">
        <v>1.6732458965798312E-2</v>
      </c>
      <c r="G89" s="38" t="s">
        <v>53</v>
      </c>
      <c r="H89" s="16">
        <v>-0.22279302327041839</v>
      </c>
      <c r="I89" s="17">
        <v>4.5059792074948271E-2</v>
      </c>
      <c r="J89" s="38" t="s">
        <v>53</v>
      </c>
      <c r="K89" s="16">
        <v>-0.2351536809554392</v>
      </c>
      <c r="L89" s="17">
        <v>4.450525401779562E-2</v>
      </c>
      <c r="M89" s="38" t="s">
        <v>53</v>
      </c>
      <c r="N89" s="16">
        <v>-0.1230483410017589</v>
      </c>
      <c r="O89" s="17">
        <v>0.13457408352471523</v>
      </c>
      <c r="P89" s="38" t="s">
        <v>53</v>
      </c>
      <c r="Q89" s="36">
        <v>25.047863271670501</v>
      </c>
      <c r="R89" s="37">
        <v>0.78562350141790793</v>
      </c>
      <c r="S89" s="38" t="s">
        <v>53</v>
      </c>
      <c r="T89" s="36">
        <v>24.062363842700272</v>
      </c>
      <c r="U89" s="37">
        <v>2.028581006859338</v>
      </c>
      <c r="V89" s="38" t="s">
        <v>53</v>
      </c>
      <c r="W89" s="36">
        <v>24.40395653179462</v>
      </c>
      <c r="X89" s="37">
        <v>2.1493525553032584</v>
      </c>
      <c r="Y89" s="38" t="s">
        <v>53</v>
      </c>
      <c r="Z89" s="36">
        <v>21.305871825264731</v>
      </c>
      <c r="AA89" s="37">
        <v>4.8671389975593504</v>
      </c>
      <c r="AB89" s="38" t="s">
        <v>53</v>
      </c>
      <c r="AC89" s="36">
        <v>25.30456142553243</v>
      </c>
      <c r="AD89" s="37">
        <v>0.80688386722704308</v>
      </c>
      <c r="AE89" s="38" t="s">
        <v>53</v>
      </c>
      <c r="AF89" s="36">
        <v>24.9489557115614</v>
      </c>
      <c r="AG89" s="37">
        <v>2.2734501075708566</v>
      </c>
      <c r="AH89" s="38" t="s">
        <v>53</v>
      </c>
      <c r="AI89" s="36">
        <v>24.487752424103519</v>
      </c>
      <c r="AJ89" s="37">
        <v>2.2291388958927976</v>
      </c>
      <c r="AK89" s="38" t="s">
        <v>53</v>
      </c>
      <c r="AL89" s="36">
        <v>28.670648888494512</v>
      </c>
      <c r="AM89" s="37">
        <v>6.7904881739518492</v>
      </c>
      <c r="AN89" s="39" t="s">
        <v>53</v>
      </c>
    </row>
    <row r="90" spans="1:40" x14ac:dyDescent="0.25">
      <c r="A90" s="15" t="s">
        <v>203</v>
      </c>
      <c r="B90" s="36">
        <v>24.818877754096949</v>
      </c>
      <c r="C90" s="37">
        <v>0.66661225468237328</v>
      </c>
      <c r="D90" s="38" t="s">
        <v>53</v>
      </c>
      <c r="E90" s="16">
        <v>7.2267494922191894E-2</v>
      </c>
      <c r="F90" s="17">
        <v>1.2014220883327214E-2</v>
      </c>
      <c r="G90" s="38" t="s">
        <v>53</v>
      </c>
      <c r="H90" s="16">
        <v>0.47244956471427302</v>
      </c>
      <c r="I90" s="17">
        <v>2.308325423160042E-2</v>
      </c>
      <c r="J90" s="38" t="s">
        <v>53</v>
      </c>
      <c r="K90" s="16">
        <v>0.37045414925894171</v>
      </c>
      <c r="L90" s="17">
        <v>3.4341457354914444E-2</v>
      </c>
      <c r="M90" s="38" t="s">
        <v>53</v>
      </c>
      <c r="N90" s="16">
        <v>0.52186804515950125</v>
      </c>
      <c r="O90" s="17">
        <v>3.0798278846761364E-2</v>
      </c>
      <c r="P90" s="38" t="s">
        <v>53</v>
      </c>
      <c r="Q90" s="36">
        <v>28.276322646529472</v>
      </c>
      <c r="R90" s="37">
        <v>0.61704170520675816</v>
      </c>
      <c r="S90" s="38" t="s">
        <v>53</v>
      </c>
      <c r="T90" s="36">
        <v>14.47981595071815</v>
      </c>
      <c r="U90" s="37">
        <v>0.81387392608489662</v>
      </c>
      <c r="V90" s="38" t="s">
        <v>53</v>
      </c>
      <c r="W90" s="36">
        <v>17.34242474267376</v>
      </c>
      <c r="X90" s="37">
        <v>1.4884153551193227</v>
      </c>
      <c r="Y90" s="38" t="s">
        <v>53</v>
      </c>
      <c r="Z90" s="36">
        <v>13.09283423221579</v>
      </c>
      <c r="AA90" s="37">
        <v>0.97774872257313306</v>
      </c>
      <c r="AB90" s="38" t="s">
        <v>53</v>
      </c>
      <c r="AC90" s="36">
        <v>21.027768643670893</v>
      </c>
      <c r="AD90" s="37">
        <v>0.57292415340399794</v>
      </c>
      <c r="AE90" s="38" t="s">
        <v>53</v>
      </c>
      <c r="AF90" s="36">
        <v>37.143080148863078</v>
      </c>
      <c r="AG90" s="37">
        <v>1.6965170770622096</v>
      </c>
      <c r="AH90" s="38" t="s">
        <v>53</v>
      </c>
      <c r="AI90" s="36">
        <v>33.501453369509647</v>
      </c>
      <c r="AJ90" s="37">
        <v>1.9804638527195428</v>
      </c>
      <c r="AK90" s="38" t="s">
        <v>53</v>
      </c>
      <c r="AL90" s="36">
        <v>38.907509079133121</v>
      </c>
      <c r="AM90" s="37">
        <v>2.4132852601178074</v>
      </c>
      <c r="AN90" s="39" t="s">
        <v>53</v>
      </c>
    </row>
    <row r="91" spans="1:40" x14ac:dyDescent="0.25">
      <c r="A91" s="15" t="s">
        <v>204</v>
      </c>
      <c r="B91" s="36">
        <v>0.70330202002704001</v>
      </c>
      <c r="C91" s="37">
        <v>0.1735356080053608</v>
      </c>
      <c r="D91" s="38" t="s">
        <v>53</v>
      </c>
      <c r="E91" s="16">
        <v>-0.31134325183987049</v>
      </c>
      <c r="F91" s="17">
        <v>2.3252403333874391E-2</v>
      </c>
      <c r="G91" s="38" t="s">
        <v>53</v>
      </c>
      <c r="H91" s="16">
        <v>-0.61630588844524459</v>
      </c>
      <c r="I91" s="17">
        <v>0.33447268590461565</v>
      </c>
      <c r="J91" s="38" t="s">
        <v>53</v>
      </c>
      <c r="K91" s="16" t="s">
        <v>56</v>
      </c>
      <c r="L91" s="17" t="s">
        <v>56</v>
      </c>
      <c r="M91" s="38" t="s">
        <v>53</v>
      </c>
      <c r="N91" s="16" t="s">
        <v>56</v>
      </c>
      <c r="O91" s="17" t="s">
        <v>56</v>
      </c>
      <c r="P91" s="38" t="s">
        <v>53</v>
      </c>
      <c r="Q91" s="36">
        <v>24.885505121770471</v>
      </c>
      <c r="R91" s="37">
        <v>0.81124480786584563</v>
      </c>
      <c r="S91" s="38" t="s">
        <v>53</v>
      </c>
      <c r="T91" s="36">
        <v>40.257441299736371</v>
      </c>
      <c r="U91" s="37">
        <v>14.805468719849044</v>
      </c>
      <c r="V91" s="38" t="s">
        <v>53</v>
      </c>
      <c r="W91" s="36" t="s">
        <v>55</v>
      </c>
      <c r="X91" s="37" t="s">
        <v>55</v>
      </c>
      <c r="Y91" s="38" t="s">
        <v>53</v>
      </c>
      <c r="Z91" s="36" t="s">
        <v>55</v>
      </c>
      <c r="AA91" s="37" t="s">
        <v>55</v>
      </c>
      <c r="AB91" s="38" t="s">
        <v>53</v>
      </c>
      <c r="AC91" s="36">
        <v>24.995127473478441</v>
      </c>
      <c r="AD91" s="37">
        <v>1.003696621053354</v>
      </c>
      <c r="AE91" s="38" t="s">
        <v>53</v>
      </c>
      <c r="AF91" s="36">
        <v>29.594316423782459</v>
      </c>
      <c r="AG91" s="37">
        <v>6.1996672966373678</v>
      </c>
      <c r="AH91" s="38" t="s">
        <v>53</v>
      </c>
      <c r="AI91" s="36" t="s">
        <v>55</v>
      </c>
      <c r="AJ91" s="37" t="s">
        <v>55</v>
      </c>
      <c r="AK91" s="38" t="s">
        <v>53</v>
      </c>
      <c r="AL91" s="36" t="s">
        <v>55</v>
      </c>
      <c r="AM91" s="37" t="s">
        <v>55</v>
      </c>
      <c r="AN91" s="39" t="s">
        <v>53</v>
      </c>
    </row>
    <row r="92" spans="1:40" x14ac:dyDescent="0.25">
      <c r="A92" s="15" t="s">
        <v>205</v>
      </c>
      <c r="B92" s="36">
        <v>1.0713659373244</v>
      </c>
      <c r="C92" s="37">
        <v>0.43149317383496427</v>
      </c>
      <c r="D92" s="38" t="s">
        <v>53</v>
      </c>
      <c r="E92" s="16">
        <v>-1.283438315633322</v>
      </c>
      <c r="F92" s="17">
        <v>4.4502270986607181E-2</v>
      </c>
      <c r="G92" s="38" t="s">
        <v>53</v>
      </c>
      <c r="H92" s="16">
        <v>-2.1943797677700361</v>
      </c>
      <c r="I92" s="17">
        <v>0.15783153517604329</v>
      </c>
      <c r="J92" s="38" t="s">
        <v>53</v>
      </c>
      <c r="K92" s="16">
        <v>-2.0629729847037188</v>
      </c>
      <c r="L92" s="17">
        <v>0.21740422127084078</v>
      </c>
      <c r="M92" s="38" t="s">
        <v>53</v>
      </c>
      <c r="N92" s="16" t="s">
        <v>56</v>
      </c>
      <c r="O92" s="17" t="s">
        <v>56</v>
      </c>
      <c r="P92" s="38" t="s">
        <v>53</v>
      </c>
      <c r="Q92" s="36">
        <v>24.570246449179631</v>
      </c>
      <c r="R92" s="37">
        <v>1.0948835873448657</v>
      </c>
      <c r="S92" s="38" t="s">
        <v>53</v>
      </c>
      <c r="T92" s="36">
        <v>57.146002422763786</v>
      </c>
      <c r="U92" s="37">
        <v>5.4035663091329029</v>
      </c>
      <c r="V92" s="38" t="s">
        <v>53</v>
      </c>
      <c r="W92" s="36">
        <v>50.077976113963842</v>
      </c>
      <c r="X92" s="37">
        <v>5.9429905752800618</v>
      </c>
      <c r="Y92" s="38" t="s">
        <v>53</v>
      </c>
      <c r="Z92" s="36" t="s">
        <v>55</v>
      </c>
      <c r="AA92" s="37" t="s">
        <v>55</v>
      </c>
      <c r="AB92" s="38" t="s">
        <v>53</v>
      </c>
      <c r="AC92" s="36">
        <v>25.22480944081687</v>
      </c>
      <c r="AD92" s="37">
        <v>1.5875725858622018</v>
      </c>
      <c r="AE92" s="38" t="s">
        <v>53</v>
      </c>
      <c r="AF92" s="36">
        <v>17.338749592396301</v>
      </c>
      <c r="AG92" s="37">
        <v>6.9524830819215859</v>
      </c>
      <c r="AH92" s="38" t="s">
        <v>53</v>
      </c>
      <c r="AI92" s="36">
        <v>22.203653092676838</v>
      </c>
      <c r="AJ92" s="37">
        <v>9.7297018858372795</v>
      </c>
      <c r="AK92" s="38" t="s">
        <v>53</v>
      </c>
      <c r="AL92" s="36" t="s">
        <v>55</v>
      </c>
      <c r="AM92" s="37" t="s">
        <v>55</v>
      </c>
      <c r="AN92" s="39" t="s">
        <v>53</v>
      </c>
    </row>
    <row r="93" spans="1:40" x14ac:dyDescent="0.25">
      <c r="A93" s="15" t="s">
        <v>206</v>
      </c>
      <c r="B93" s="36">
        <v>2.3149360382116497</v>
      </c>
      <c r="C93" s="37">
        <v>0.2182451411281752</v>
      </c>
      <c r="D93" s="38" t="s">
        <v>53</v>
      </c>
      <c r="E93" s="16">
        <v>-0.19906349590128569</v>
      </c>
      <c r="F93" s="17">
        <v>2.4952602693639494E-2</v>
      </c>
      <c r="G93" s="38" t="s">
        <v>53</v>
      </c>
      <c r="H93" s="16">
        <v>-9.4447158278692295E-2</v>
      </c>
      <c r="I93" s="17">
        <v>8.2165623638807458E-2</v>
      </c>
      <c r="J93" s="38" t="s">
        <v>53</v>
      </c>
      <c r="K93" s="16">
        <v>3.82984564382228E-2</v>
      </c>
      <c r="L93" s="17">
        <v>8.4167319643510388E-2</v>
      </c>
      <c r="M93" s="38" t="s">
        <v>53</v>
      </c>
      <c r="N93" s="16">
        <v>-0.35938151818977421</v>
      </c>
      <c r="O93" s="17">
        <v>0.17941461624143662</v>
      </c>
      <c r="P93" s="38" t="s">
        <v>53</v>
      </c>
      <c r="Q93" s="36">
        <v>24.672722107129669</v>
      </c>
      <c r="R93" s="37">
        <v>1.1737264575224531</v>
      </c>
      <c r="S93" s="38" t="s">
        <v>53</v>
      </c>
      <c r="T93" s="36">
        <v>23.560226403621602</v>
      </c>
      <c r="U93" s="37">
        <v>4.1223311847688464</v>
      </c>
      <c r="V93" s="38" t="s">
        <v>53</v>
      </c>
      <c r="W93" s="36">
        <v>18.033210036446683</v>
      </c>
      <c r="X93" s="37">
        <v>4.3611442049051607</v>
      </c>
      <c r="Y93" s="38" t="s">
        <v>53</v>
      </c>
      <c r="Z93" s="36">
        <v>34.591073234819945</v>
      </c>
      <c r="AA93" s="37">
        <v>9.1071772393240291</v>
      </c>
      <c r="AB93" s="38" t="s">
        <v>53</v>
      </c>
      <c r="AC93" s="36">
        <v>25.241334094721761</v>
      </c>
      <c r="AD93" s="37">
        <v>1.1570319283125041</v>
      </c>
      <c r="AE93" s="38" t="s">
        <v>53</v>
      </c>
      <c r="AF93" s="36">
        <v>30.356283334112238</v>
      </c>
      <c r="AG93" s="37">
        <v>3.8070417146219047</v>
      </c>
      <c r="AH93" s="38" t="s">
        <v>53</v>
      </c>
      <c r="AI93" s="36">
        <v>33.850465353858212</v>
      </c>
      <c r="AJ93" s="37">
        <v>4.8959335732867784</v>
      </c>
      <c r="AK93" s="38" t="s">
        <v>53</v>
      </c>
      <c r="AL93" s="36">
        <v>23.38257743212549</v>
      </c>
      <c r="AM93" s="37">
        <v>6.3044580690781782</v>
      </c>
      <c r="AN93" s="39" t="s">
        <v>53</v>
      </c>
    </row>
    <row r="94" spans="1:40" x14ac:dyDescent="0.25">
      <c r="A94" s="15" t="s">
        <v>207</v>
      </c>
      <c r="B94" s="36">
        <v>55.781255228227387</v>
      </c>
      <c r="C94" s="37">
        <v>0.78306140903694166</v>
      </c>
      <c r="D94" s="38" t="s">
        <v>53</v>
      </c>
      <c r="E94" s="16">
        <v>0.1092188642608095</v>
      </c>
      <c r="F94" s="17">
        <v>1.1950318430873031E-2</v>
      </c>
      <c r="G94" s="38" t="s">
        <v>53</v>
      </c>
      <c r="H94" s="16">
        <v>0.41853793148671331</v>
      </c>
      <c r="I94" s="17">
        <v>2.2521403048623909E-2</v>
      </c>
      <c r="J94" s="38" t="s">
        <v>53</v>
      </c>
      <c r="K94" s="16">
        <v>0.30319095211212332</v>
      </c>
      <c r="L94" s="17">
        <v>1.9130112748457034E-2</v>
      </c>
      <c r="M94" s="38" t="s">
        <v>53</v>
      </c>
      <c r="N94" s="16">
        <v>0.49979714529057162</v>
      </c>
      <c r="O94" s="17">
        <v>2.8375330682209154E-2</v>
      </c>
      <c r="P94" s="38" t="s">
        <v>53</v>
      </c>
      <c r="Q94" s="36">
        <v>34.421034758499289</v>
      </c>
      <c r="R94" s="37">
        <v>0.61993313296090102</v>
      </c>
      <c r="S94" s="38" t="s">
        <v>53</v>
      </c>
      <c r="T94" s="36">
        <v>17.131149881451591</v>
      </c>
      <c r="U94" s="37">
        <v>0.76204274070520694</v>
      </c>
      <c r="V94" s="38" t="s">
        <v>53</v>
      </c>
      <c r="W94" s="36">
        <v>20.61313832510201</v>
      </c>
      <c r="X94" s="37">
        <v>0.93686458607249945</v>
      </c>
      <c r="Y94" s="38" t="s">
        <v>53</v>
      </c>
      <c r="Z94" s="36">
        <v>14.6781715291855</v>
      </c>
      <c r="AA94" s="37">
        <v>0.88752997112684795</v>
      </c>
      <c r="AB94" s="38" t="s">
        <v>53</v>
      </c>
      <c r="AC94" s="36">
        <v>21.861817227026382</v>
      </c>
      <c r="AD94" s="37">
        <v>0.59006677995231982</v>
      </c>
      <c r="AE94" s="38" t="s">
        <v>53</v>
      </c>
      <c r="AF94" s="36">
        <v>27.702700872425449</v>
      </c>
      <c r="AG94" s="37">
        <v>1.2442651387465298</v>
      </c>
      <c r="AH94" s="38" t="s">
        <v>53</v>
      </c>
      <c r="AI94" s="36">
        <v>21.370783524834991</v>
      </c>
      <c r="AJ94" s="37">
        <v>0.89629630382560865</v>
      </c>
      <c r="AK94" s="38" t="s">
        <v>53</v>
      </c>
      <c r="AL94" s="36">
        <v>32.163386607985842</v>
      </c>
      <c r="AM94" s="37">
        <v>1.8098855607463584</v>
      </c>
      <c r="AN94" s="39" t="s">
        <v>53</v>
      </c>
    </row>
    <row r="95" spans="1:40" x14ac:dyDescent="0.25">
      <c r="A95" s="15" t="s">
        <v>208</v>
      </c>
      <c r="B95" s="36">
        <v>1.2698266694508</v>
      </c>
      <c r="C95" s="37">
        <v>0.18673082341050887</v>
      </c>
      <c r="D95" s="38" t="s">
        <v>53</v>
      </c>
      <c r="E95" s="16">
        <v>-0.9842276416826865</v>
      </c>
      <c r="F95" s="17">
        <v>3.8222643837955449E-2</v>
      </c>
      <c r="G95" s="38" t="s">
        <v>53</v>
      </c>
      <c r="H95" s="16">
        <v>-0.77763412679277633</v>
      </c>
      <c r="I95" s="17">
        <v>0.18198339471982039</v>
      </c>
      <c r="J95" s="38" t="s">
        <v>53</v>
      </c>
      <c r="K95" s="16">
        <v>-1.0515599282517669</v>
      </c>
      <c r="L95" s="17">
        <v>0.18778350179926609</v>
      </c>
      <c r="M95" s="38" t="s">
        <v>53</v>
      </c>
      <c r="N95" s="16">
        <v>-0.50973083976252009</v>
      </c>
      <c r="O95" s="17">
        <v>0.25240337181556588</v>
      </c>
      <c r="P95" s="38" t="s">
        <v>53</v>
      </c>
      <c r="Q95" s="36">
        <v>24.901554875338881</v>
      </c>
      <c r="R95" s="37">
        <v>1.1302982017948588</v>
      </c>
      <c r="S95" s="38" t="s">
        <v>53</v>
      </c>
      <c r="T95" s="36">
        <v>19.699106111510801</v>
      </c>
      <c r="U95" s="37">
        <v>4.4166615481534395</v>
      </c>
      <c r="V95" s="38" t="s">
        <v>53</v>
      </c>
      <c r="W95" s="36">
        <v>22.168604745057728</v>
      </c>
      <c r="X95" s="37">
        <v>5.8354398512889958</v>
      </c>
      <c r="Y95" s="38" t="s">
        <v>53</v>
      </c>
      <c r="Z95" s="36">
        <v>17.283901710464281</v>
      </c>
      <c r="AA95" s="37">
        <v>6.5872374775235789</v>
      </c>
      <c r="AB95" s="38" t="s">
        <v>53</v>
      </c>
      <c r="AC95" s="36">
        <v>25.099692563531821</v>
      </c>
      <c r="AD95" s="37">
        <v>1.259760392106561</v>
      </c>
      <c r="AE95" s="38" t="s">
        <v>53</v>
      </c>
      <c r="AF95" s="36">
        <v>29.638044152374636</v>
      </c>
      <c r="AG95" s="37">
        <v>7.8620139195454586</v>
      </c>
      <c r="AH95" s="38" t="s">
        <v>53</v>
      </c>
      <c r="AI95" s="36">
        <v>13.92181680110181</v>
      </c>
      <c r="AJ95" s="37">
        <v>6.8281629044659731</v>
      </c>
      <c r="AK95" s="38" t="s">
        <v>53</v>
      </c>
      <c r="AL95" s="36">
        <v>45.008735575727684</v>
      </c>
      <c r="AM95" s="37">
        <v>10.247007798139469</v>
      </c>
      <c r="AN95" s="39" t="s">
        <v>53</v>
      </c>
    </row>
    <row r="96" spans="1:40" ht="13.8" thickBot="1" x14ac:dyDescent="0.3">
      <c r="A96" s="18" t="s">
        <v>209</v>
      </c>
      <c r="B96" s="40">
        <v>6.2539118959410001E-2</v>
      </c>
      <c r="C96" s="41">
        <v>3.114434172733371E-2</v>
      </c>
      <c r="D96" s="42" t="s">
        <v>53</v>
      </c>
      <c r="E96" s="19">
        <v>-1.622540029389163</v>
      </c>
      <c r="F96" s="20">
        <v>5.2919140379580752E-2</v>
      </c>
      <c r="G96" s="42" t="s">
        <v>53</v>
      </c>
      <c r="H96" s="19" t="s">
        <v>56</v>
      </c>
      <c r="I96" s="20" t="s">
        <v>56</v>
      </c>
      <c r="J96" s="42" t="s">
        <v>53</v>
      </c>
      <c r="K96" s="19" t="s">
        <v>56</v>
      </c>
      <c r="L96" s="20" t="s">
        <v>56</v>
      </c>
      <c r="M96" s="42" t="s">
        <v>53</v>
      </c>
      <c r="N96" s="19" t="s">
        <v>56</v>
      </c>
      <c r="O96" s="20" t="s">
        <v>56</v>
      </c>
      <c r="P96" s="42" t="s">
        <v>53</v>
      </c>
      <c r="Q96" s="40">
        <v>25.045172572049417</v>
      </c>
      <c r="R96" s="41">
        <v>1.7013743931359084</v>
      </c>
      <c r="S96" s="42" t="s">
        <v>53</v>
      </c>
      <c r="T96" s="40" t="s">
        <v>55</v>
      </c>
      <c r="U96" s="41" t="s">
        <v>55</v>
      </c>
      <c r="V96" s="42" t="s">
        <v>53</v>
      </c>
      <c r="W96" s="40" t="s">
        <v>55</v>
      </c>
      <c r="X96" s="41" t="s">
        <v>55</v>
      </c>
      <c r="Y96" s="42" t="s">
        <v>53</v>
      </c>
      <c r="Z96" s="40" t="s">
        <v>55</v>
      </c>
      <c r="AA96" s="41" t="s">
        <v>55</v>
      </c>
      <c r="AB96" s="42" t="s">
        <v>53</v>
      </c>
      <c r="AC96" s="40">
        <v>24.915267109494422</v>
      </c>
      <c r="AD96" s="41">
        <v>1.7345692969411484</v>
      </c>
      <c r="AE96" s="42" t="s">
        <v>53</v>
      </c>
      <c r="AF96" s="40" t="s">
        <v>55</v>
      </c>
      <c r="AG96" s="41" t="s">
        <v>55</v>
      </c>
      <c r="AH96" s="42" t="s">
        <v>53</v>
      </c>
      <c r="AI96" s="40" t="s">
        <v>55</v>
      </c>
      <c r="AJ96" s="41" t="s">
        <v>55</v>
      </c>
      <c r="AK96" s="42" t="s">
        <v>53</v>
      </c>
      <c r="AL96" s="40" t="s">
        <v>55</v>
      </c>
      <c r="AM96" s="41" t="s">
        <v>55</v>
      </c>
      <c r="AN96" s="43" t="s">
        <v>53</v>
      </c>
    </row>
    <row r="97" spans="1:35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</row>
    <row r="98" spans="1:35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</row>
    <row r="99" spans="1:35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AC99" s="2"/>
      <c r="AD99" s="2"/>
      <c r="AE99" s="2"/>
      <c r="AF99" s="2"/>
      <c r="AG99" s="2"/>
      <c r="AH99" s="2"/>
      <c r="AI99" s="2"/>
    </row>
    <row r="100" spans="1:35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AC100" s="2"/>
      <c r="AD100" s="2"/>
      <c r="AE100" s="2"/>
      <c r="AF100" s="2"/>
      <c r="AG100" s="2"/>
      <c r="AH100" s="2"/>
      <c r="AI100" s="2"/>
    </row>
    <row r="101" spans="1:35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AC101" s="2"/>
      <c r="AD101" s="2"/>
      <c r="AE101" s="2"/>
      <c r="AF101" s="2"/>
      <c r="AG101" s="2"/>
      <c r="AH101" s="2"/>
      <c r="AI101" s="2"/>
    </row>
    <row r="104" spans="1:35" x14ac:dyDescent="0.25">
      <c r="A104" t="s">
        <v>219</v>
      </c>
    </row>
    <row r="105" spans="1:35" x14ac:dyDescent="0.25">
      <c r="A105" s="33" t="s">
        <v>116</v>
      </c>
      <c r="B105" s="33"/>
      <c r="C105" s="33"/>
      <c r="D105" s="33"/>
      <c r="E105" s="33"/>
      <c r="F105" s="33"/>
      <c r="G105" s="33"/>
      <c r="H105" s="33"/>
      <c r="I105" s="33"/>
      <c r="J105" s="33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  <c r="AA105" s="33"/>
      <c r="AB105" s="33"/>
      <c r="AC105" s="33"/>
      <c r="AD105" s="33"/>
      <c r="AE105" s="33"/>
      <c r="AF105" s="33"/>
      <c r="AG105" s="33"/>
      <c r="AH105" s="33"/>
    </row>
    <row r="106" spans="1:35" x14ac:dyDescent="0.25">
      <c r="A106" s="27" t="s">
        <v>23</v>
      </c>
    </row>
    <row r="107" spans="1:35" x14ac:dyDescent="0.25">
      <c r="A107" s="27" t="s">
        <v>30</v>
      </c>
    </row>
    <row r="108" spans="1:35" x14ac:dyDescent="0.25">
      <c r="A108" t="s">
        <v>79</v>
      </c>
    </row>
  </sheetData>
  <sortState ref="A10:AN91">
    <sortCondition ref="T10:T91"/>
  </sortState>
  <mergeCells count="16">
    <mergeCell ref="Z13:AB13"/>
    <mergeCell ref="AI13:AK13"/>
    <mergeCell ref="AL13:AN13"/>
    <mergeCell ref="AC13:AE13"/>
    <mergeCell ref="B12:D13"/>
    <mergeCell ref="E12:P12"/>
    <mergeCell ref="AC12:AN12"/>
    <mergeCell ref="E13:G13"/>
    <mergeCell ref="H13:J13"/>
    <mergeCell ref="K13:M13"/>
    <mergeCell ref="N13:P13"/>
    <mergeCell ref="AF13:AH13"/>
    <mergeCell ref="Q12:AB12"/>
    <mergeCell ref="Q13:S13"/>
    <mergeCell ref="T13:V13"/>
    <mergeCell ref="W13:Y13"/>
  </mergeCells>
  <hyperlinks>
    <hyperlink ref="A1" r:id="rId1" display="https://doi.org/10.1787/b5fd1b8f-en"/>
    <hyperlink ref="A4" r:id="rId2"/>
  </hyperlinks>
  <pageMargins left="0.7" right="0.7" top="0.75" bottom="0.75" header="0.3" footer="0.3"/>
  <pageSetup paperSize="9" orientation="portrait"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07"/>
  <sheetViews>
    <sheetView showGridLines="0" zoomScale="80" zoomScaleNormal="80" workbookViewId="0"/>
  </sheetViews>
  <sheetFormatPr defaultRowHeight="13.2" x14ac:dyDescent="0.25"/>
  <cols>
    <col min="1" max="1" width="28.33203125" customWidth="1"/>
    <col min="2" max="3" width="9" customWidth="1"/>
    <col min="4" max="4" width="2.44140625" customWidth="1"/>
    <col min="5" max="6" width="9" customWidth="1"/>
    <col min="7" max="7" width="2.44140625" customWidth="1"/>
    <col min="8" max="9" width="9" customWidth="1"/>
    <col min="10" max="10" width="2.44140625" customWidth="1"/>
    <col min="11" max="12" width="9" customWidth="1"/>
    <col min="13" max="13" width="2.44140625" customWidth="1"/>
    <col min="14" max="15" width="9" customWidth="1"/>
    <col min="16" max="16" width="2.44140625" customWidth="1"/>
    <col min="17" max="18" width="9" customWidth="1"/>
    <col min="19" max="19" width="2.44140625" customWidth="1"/>
    <col min="20" max="21" width="9" customWidth="1"/>
    <col min="22" max="22" width="2.44140625" customWidth="1"/>
    <col min="23" max="24" width="9" customWidth="1"/>
    <col min="25" max="25" width="2.44140625" customWidth="1"/>
    <col min="26" max="27" width="9" customWidth="1"/>
    <col min="28" max="28" width="2.44140625" customWidth="1"/>
  </cols>
  <sheetData>
    <row r="1" spans="1:28" s="115" customFormat="1" x14ac:dyDescent="0.25">
      <c r="A1" s="116" t="s">
        <v>232</v>
      </c>
    </row>
    <row r="2" spans="1:28" s="115" customFormat="1" x14ac:dyDescent="0.25">
      <c r="A2" s="115" t="s">
        <v>233</v>
      </c>
      <c r="B2" s="115" t="s">
        <v>234</v>
      </c>
    </row>
    <row r="3" spans="1:28" s="115" customFormat="1" x14ac:dyDescent="0.25">
      <c r="A3" s="115" t="s">
        <v>235</v>
      </c>
    </row>
    <row r="4" spans="1:28" s="115" customFormat="1" x14ac:dyDescent="0.25">
      <c r="A4" s="116" t="s">
        <v>236</v>
      </c>
    </row>
    <row r="5" spans="1:28" s="115" customFormat="1" x14ac:dyDescent="0.25"/>
    <row r="6" spans="1:28" x14ac:dyDescent="0.25">
      <c r="A6" s="2" t="s">
        <v>117</v>
      </c>
      <c r="B6" s="1"/>
      <c r="C6" s="1"/>
      <c r="D6" s="1"/>
    </row>
    <row r="7" spans="1:28" x14ac:dyDescent="0.25">
      <c r="A7" s="6" t="s">
        <v>94</v>
      </c>
      <c r="B7" s="6"/>
      <c r="C7" s="6"/>
      <c r="D7" s="6"/>
    </row>
    <row r="8" spans="1:28" x14ac:dyDescent="0.25">
      <c r="A8" s="28" t="s">
        <v>27</v>
      </c>
      <c r="B8" s="7"/>
      <c r="C8" s="7"/>
      <c r="D8" s="7"/>
    </row>
    <row r="9" spans="1:28" x14ac:dyDescent="0.25">
      <c r="A9" s="7"/>
      <c r="B9" s="7"/>
      <c r="C9" s="7"/>
      <c r="D9" s="7"/>
    </row>
    <row r="10" spans="1:28" x14ac:dyDescent="0.25">
      <c r="A10" s="7"/>
      <c r="B10" s="7"/>
      <c r="C10" s="7"/>
      <c r="D10" s="7"/>
    </row>
    <row r="11" spans="1:28" ht="13.8" thickBot="1" x14ac:dyDescent="0.3">
      <c r="A11" s="2"/>
      <c r="B11" s="2"/>
      <c r="C11" s="2"/>
      <c r="D11" s="2"/>
    </row>
    <row r="12" spans="1:28" ht="18.75" customHeight="1" x14ac:dyDescent="0.25">
      <c r="A12" s="22"/>
      <c r="B12" s="71" t="s">
        <v>8</v>
      </c>
      <c r="C12" s="72"/>
      <c r="D12" s="73"/>
      <c r="E12" s="83" t="s">
        <v>24</v>
      </c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7"/>
      <c r="S12" s="77"/>
      <c r="T12" s="83" t="s">
        <v>89</v>
      </c>
      <c r="U12" s="77"/>
      <c r="V12" s="77"/>
      <c r="W12" s="77"/>
      <c r="X12" s="77"/>
      <c r="Y12" s="77"/>
      <c r="Z12" s="77"/>
      <c r="AA12" s="77"/>
      <c r="AB12" s="79"/>
    </row>
    <row r="13" spans="1:28" ht="135" customHeight="1" x14ac:dyDescent="0.25">
      <c r="A13" s="9"/>
      <c r="B13" s="74"/>
      <c r="C13" s="75"/>
      <c r="D13" s="76"/>
      <c r="E13" s="82" t="s">
        <v>26</v>
      </c>
      <c r="F13" s="80"/>
      <c r="G13" s="81"/>
      <c r="H13" s="82" t="s">
        <v>66</v>
      </c>
      <c r="I13" s="80"/>
      <c r="J13" s="81"/>
      <c r="K13" s="82" t="s">
        <v>67</v>
      </c>
      <c r="L13" s="80"/>
      <c r="M13" s="81"/>
      <c r="N13" s="82" t="s">
        <v>45</v>
      </c>
      <c r="O13" s="80"/>
      <c r="P13" s="81"/>
      <c r="Q13" s="82" t="s">
        <v>46</v>
      </c>
      <c r="R13" s="80"/>
      <c r="S13" s="80"/>
      <c r="T13" s="82" t="s">
        <v>90</v>
      </c>
      <c r="U13" s="80"/>
      <c r="V13" s="81"/>
      <c r="W13" s="82" t="s">
        <v>231</v>
      </c>
      <c r="X13" s="80"/>
      <c r="Y13" s="81"/>
      <c r="Z13" s="82" t="s">
        <v>95</v>
      </c>
      <c r="AA13" s="80"/>
      <c r="AB13" s="84"/>
    </row>
    <row r="14" spans="1:28" ht="26.4" x14ac:dyDescent="0.25">
      <c r="A14" s="10"/>
      <c r="B14" s="11" t="s">
        <v>0</v>
      </c>
      <c r="C14" s="12" t="s">
        <v>1</v>
      </c>
      <c r="D14" s="13" t="s">
        <v>2</v>
      </c>
      <c r="E14" s="11" t="s">
        <v>0</v>
      </c>
      <c r="F14" s="12" t="s">
        <v>1</v>
      </c>
      <c r="G14" s="13" t="s">
        <v>2</v>
      </c>
      <c r="H14" s="11" t="s">
        <v>0</v>
      </c>
      <c r="I14" s="12" t="s">
        <v>1</v>
      </c>
      <c r="J14" s="13" t="s">
        <v>2</v>
      </c>
      <c r="K14" s="11" t="s">
        <v>0</v>
      </c>
      <c r="L14" s="12" t="s">
        <v>1</v>
      </c>
      <c r="M14" s="13" t="s">
        <v>2</v>
      </c>
      <c r="N14" s="11" t="s">
        <v>0</v>
      </c>
      <c r="O14" s="12" t="s">
        <v>1</v>
      </c>
      <c r="P14" s="13" t="s">
        <v>2</v>
      </c>
      <c r="Q14" s="11" t="s">
        <v>0</v>
      </c>
      <c r="R14" s="12" t="s">
        <v>1</v>
      </c>
      <c r="S14" s="13" t="s">
        <v>2</v>
      </c>
      <c r="T14" s="11" t="s">
        <v>12</v>
      </c>
      <c r="U14" s="12" t="s">
        <v>1</v>
      </c>
      <c r="V14" s="13" t="s">
        <v>2</v>
      </c>
      <c r="W14" s="11" t="s">
        <v>12</v>
      </c>
      <c r="X14" s="12" t="s">
        <v>1</v>
      </c>
      <c r="Y14" s="13" t="s">
        <v>2</v>
      </c>
      <c r="Z14" s="11" t="s">
        <v>17</v>
      </c>
      <c r="AA14" s="12" t="s">
        <v>1</v>
      </c>
      <c r="AB14" s="14" t="s">
        <v>2</v>
      </c>
    </row>
    <row r="15" spans="1:28" ht="13.5" customHeight="1" x14ac:dyDescent="0.25">
      <c r="A15" s="51" t="s">
        <v>210</v>
      </c>
      <c r="B15" s="52"/>
      <c r="C15" s="53"/>
      <c r="D15" s="54"/>
      <c r="E15" s="52"/>
      <c r="F15" s="53"/>
      <c r="G15" s="54"/>
      <c r="H15" s="52"/>
      <c r="I15" s="53"/>
      <c r="J15" s="54"/>
      <c r="K15" s="52"/>
      <c r="L15" s="53"/>
      <c r="M15" s="54"/>
      <c r="N15" s="55"/>
      <c r="O15" s="54"/>
      <c r="P15" s="54"/>
      <c r="Q15" s="55"/>
      <c r="R15" s="54"/>
      <c r="S15" s="54"/>
      <c r="T15" s="52"/>
      <c r="U15" s="53"/>
      <c r="V15" s="54"/>
      <c r="W15" s="55"/>
      <c r="X15" s="54"/>
      <c r="Y15" s="54"/>
      <c r="Z15" s="55"/>
      <c r="AA15" s="54"/>
      <c r="AB15" s="56"/>
    </row>
    <row r="16" spans="1:28" x14ac:dyDescent="0.25">
      <c r="A16" s="15" t="s">
        <v>130</v>
      </c>
      <c r="B16" s="36">
        <v>27.70876328155763</v>
      </c>
      <c r="C16" s="37">
        <v>0.84465675737519963</v>
      </c>
      <c r="D16" s="38" t="s">
        <v>53</v>
      </c>
      <c r="E16" s="36">
        <v>13.276376516030449</v>
      </c>
      <c r="F16" s="37">
        <v>0.55957713847197543</v>
      </c>
      <c r="G16" s="38" t="s">
        <v>53</v>
      </c>
      <c r="H16" s="36">
        <v>2.687517565080916</v>
      </c>
      <c r="I16" s="37">
        <v>0.19530621634816503</v>
      </c>
      <c r="J16" s="38" t="s">
        <v>53</v>
      </c>
      <c r="K16" s="36">
        <v>40.072203007735972</v>
      </c>
      <c r="L16" s="37">
        <v>1.1336134838897551</v>
      </c>
      <c r="M16" s="38" t="s">
        <v>53</v>
      </c>
      <c r="N16" s="36">
        <v>32.797866188185552</v>
      </c>
      <c r="O16" s="37">
        <v>1.3830896013040821</v>
      </c>
      <c r="P16" s="38" t="s">
        <v>53</v>
      </c>
      <c r="Q16" s="36">
        <v>47.01258859057414</v>
      </c>
      <c r="R16" s="37">
        <v>1.7024635949830669</v>
      </c>
      <c r="S16" s="38" t="s">
        <v>53</v>
      </c>
      <c r="T16" s="44">
        <v>491.63954550986301</v>
      </c>
      <c r="U16" s="37">
        <v>4.446552017160335</v>
      </c>
      <c r="V16" s="38" t="s">
        <v>53</v>
      </c>
      <c r="W16" s="44">
        <v>524.67640628370907</v>
      </c>
      <c r="X16" s="37">
        <v>3.6081609356497375</v>
      </c>
      <c r="Y16" s="38" t="s">
        <v>53</v>
      </c>
      <c r="Z16" s="44">
        <v>33.036860773846058</v>
      </c>
      <c r="AA16" s="37">
        <v>4.4811496930150776</v>
      </c>
      <c r="AB16" s="39" t="s">
        <v>53</v>
      </c>
    </row>
    <row r="17" spans="1:28" x14ac:dyDescent="0.25">
      <c r="A17" s="15" t="s">
        <v>131</v>
      </c>
      <c r="B17" s="36">
        <v>22.686235321470399</v>
      </c>
      <c r="C17" s="37">
        <v>1.1527352979062462</v>
      </c>
      <c r="D17" s="38" t="s">
        <v>53</v>
      </c>
      <c r="E17" s="36">
        <v>20.4964568704927</v>
      </c>
      <c r="F17" s="37">
        <v>0.90151550973362427</v>
      </c>
      <c r="G17" s="38" t="s">
        <v>53</v>
      </c>
      <c r="H17" s="36">
        <v>4.6612943272374547</v>
      </c>
      <c r="I17" s="37">
        <v>0.34233551362845915</v>
      </c>
      <c r="J17" s="38" t="s">
        <v>53</v>
      </c>
      <c r="K17" s="36">
        <v>73.759018201639066</v>
      </c>
      <c r="L17" s="37">
        <v>1.4086764227020703</v>
      </c>
      <c r="M17" s="38" t="s">
        <v>53</v>
      </c>
      <c r="N17" s="36">
        <v>72.4393627928943</v>
      </c>
      <c r="O17" s="37">
        <v>1.7951060666104097</v>
      </c>
      <c r="P17" s="38" t="s">
        <v>53</v>
      </c>
      <c r="Q17" s="36">
        <v>76.276962906464817</v>
      </c>
      <c r="R17" s="37">
        <v>1.9380138391183288</v>
      </c>
      <c r="S17" s="38" t="s">
        <v>53</v>
      </c>
      <c r="T17" s="44">
        <v>425.06291032122465</v>
      </c>
      <c r="U17" s="37">
        <v>3.8596257369265174</v>
      </c>
      <c r="V17" s="38" t="s">
        <v>53</v>
      </c>
      <c r="W17" s="44">
        <v>471.30849241992394</v>
      </c>
      <c r="X17" s="37">
        <v>8.4050868311538398</v>
      </c>
      <c r="Y17" s="38" t="s">
        <v>53</v>
      </c>
      <c r="Z17" s="44">
        <v>46.245582098699359</v>
      </c>
      <c r="AA17" s="37">
        <v>7.7444158133594119</v>
      </c>
      <c r="AB17" s="39" t="s">
        <v>53</v>
      </c>
    </row>
    <row r="18" spans="1:28" x14ac:dyDescent="0.25">
      <c r="A18" s="15" t="s">
        <v>132</v>
      </c>
      <c r="B18" s="36">
        <v>18.059454688726909</v>
      </c>
      <c r="C18" s="37">
        <v>0.85847510420573059</v>
      </c>
      <c r="D18" s="38" t="s">
        <v>53</v>
      </c>
      <c r="E18" s="36">
        <v>17.536607796014241</v>
      </c>
      <c r="F18" s="37">
        <v>0.84811966345817869</v>
      </c>
      <c r="G18" s="38" t="s">
        <v>53</v>
      </c>
      <c r="H18" s="36">
        <v>7.877754734908951</v>
      </c>
      <c r="I18" s="37">
        <v>0.51592839397489676</v>
      </c>
      <c r="J18" s="38" t="s">
        <v>53</v>
      </c>
      <c r="K18" s="36">
        <v>59.317425546709259</v>
      </c>
      <c r="L18" s="37">
        <v>1.6864712820023238</v>
      </c>
      <c r="M18" s="38" t="s">
        <v>53</v>
      </c>
      <c r="N18" s="36">
        <v>55.715897339138458</v>
      </c>
      <c r="O18" s="37">
        <v>2.3306207510111023</v>
      </c>
      <c r="P18" s="38" t="s">
        <v>53</v>
      </c>
      <c r="Q18" s="36">
        <v>64.023922793446005</v>
      </c>
      <c r="R18" s="37">
        <v>3.2771600389347371</v>
      </c>
      <c r="S18" s="38" t="s">
        <v>53</v>
      </c>
      <c r="T18" s="44">
        <v>429.3652077972701</v>
      </c>
      <c r="U18" s="37">
        <v>4.5845279552385341</v>
      </c>
      <c r="V18" s="38" t="s">
        <v>53</v>
      </c>
      <c r="W18" s="44">
        <v>468.01933882677315</v>
      </c>
      <c r="X18" s="37">
        <v>5.1655628305059329</v>
      </c>
      <c r="Y18" s="38" t="s">
        <v>53</v>
      </c>
      <c r="Z18" s="44">
        <v>38.65413102950302</v>
      </c>
      <c r="AA18" s="37">
        <v>6.2110038212709018</v>
      </c>
      <c r="AB18" s="39" t="s">
        <v>53</v>
      </c>
    </row>
    <row r="19" spans="1:28" x14ac:dyDescent="0.25">
      <c r="A19" s="15" t="s">
        <v>133</v>
      </c>
      <c r="B19" s="36">
        <v>34.969966286453818</v>
      </c>
      <c r="C19" s="37">
        <v>1.4227690605278804</v>
      </c>
      <c r="D19" s="38" t="s">
        <v>53</v>
      </c>
      <c r="E19" s="36">
        <v>21.016715667428819</v>
      </c>
      <c r="F19" s="37">
        <v>0.8440864185988427</v>
      </c>
      <c r="G19" s="38" t="s">
        <v>53</v>
      </c>
      <c r="H19" s="36">
        <v>4.3083376364181634</v>
      </c>
      <c r="I19" s="37">
        <v>0.19531991712016716</v>
      </c>
      <c r="J19" s="38" t="s">
        <v>53</v>
      </c>
      <c r="K19" s="36">
        <v>51.706788830504117</v>
      </c>
      <c r="L19" s="37">
        <v>1.1000886884926768</v>
      </c>
      <c r="M19" s="38" t="s">
        <v>53</v>
      </c>
      <c r="N19" s="36">
        <v>37.196486073743209</v>
      </c>
      <c r="O19" s="37">
        <v>1.229362686726472</v>
      </c>
      <c r="P19" s="38" t="s">
        <v>53</v>
      </c>
      <c r="Q19" s="36">
        <v>66.90788066490741</v>
      </c>
      <c r="R19" s="37">
        <v>1.3535904488330557</v>
      </c>
      <c r="S19" s="38" t="s">
        <v>53</v>
      </c>
      <c r="T19" s="44">
        <v>507.97069581548487</v>
      </c>
      <c r="U19" s="37">
        <v>3.3930220059991636</v>
      </c>
      <c r="V19" s="38" t="s">
        <v>53</v>
      </c>
      <c r="W19" s="44">
        <v>536.65251826480198</v>
      </c>
      <c r="X19" s="37">
        <v>3.9991511555536952</v>
      </c>
      <c r="Y19" s="38" t="s">
        <v>53</v>
      </c>
      <c r="Z19" s="44">
        <v>28.681822449317124</v>
      </c>
      <c r="AA19" s="37">
        <v>4.2876732003075757</v>
      </c>
      <c r="AB19" s="39" t="s">
        <v>53</v>
      </c>
    </row>
    <row r="20" spans="1:28" x14ac:dyDescent="0.25">
      <c r="A20" s="15" t="s">
        <v>134</v>
      </c>
      <c r="B20" s="36">
        <v>3.3908614801180597</v>
      </c>
      <c r="C20" s="37">
        <v>0.38959486833610874</v>
      </c>
      <c r="D20" s="38" t="s">
        <v>53</v>
      </c>
      <c r="E20" s="36">
        <v>1.8475887616963209</v>
      </c>
      <c r="F20" s="37">
        <v>0.1757069968592381</v>
      </c>
      <c r="G20" s="38" t="s">
        <v>53</v>
      </c>
      <c r="H20" s="36">
        <v>1.7039417272476209</v>
      </c>
      <c r="I20" s="37">
        <v>0.1672910360073562</v>
      </c>
      <c r="J20" s="38" t="s">
        <v>53</v>
      </c>
      <c r="K20" s="36">
        <v>6.463155875381565</v>
      </c>
      <c r="L20" s="37">
        <v>2.3965378413976168</v>
      </c>
      <c r="M20" s="38" t="s">
        <v>53</v>
      </c>
      <c r="N20" s="36">
        <v>11.57010287659674</v>
      </c>
      <c r="O20" s="37">
        <v>7.2271302879676433</v>
      </c>
      <c r="P20" s="38" t="s">
        <v>53</v>
      </c>
      <c r="Q20" s="36">
        <v>5.1529193870486987</v>
      </c>
      <c r="R20" s="37">
        <v>2.2253519911137323</v>
      </c>
      <c r="S20" s="38" t="s">
        <v>53</v>
      </c>
      <c r="T20" s="44" t="s">
        <v>56</v>
      </c>
      <c r="U20" s="37" t="s">
        <v>56</v>
      </c>
      <c r="V20" s="38" t="s">
        <v>53</v>
      </c>
      <c r="W20" s="44">
        <v>439.51485320664034</v>
      </c>
      <c r="X20" s="37">
        <v>7.9867542380008789</v>
      </c>
      <c r="Y20" s="38" t="s">
        <v>53</v>
      </c>
      <c r="Z20" s="44" t="s">
        <v>56</v>
      </c>
      <c r="AA20" s="37" t="s">
        <v>56</v>
      </c>
      <c r="AB20" s="39" t="s">
        <v>53</v>
      </c>
    </row>
    <row r="21" spans="1:28" x14ac:dyDescent="0.25">
      <c r="A21" s="15" t="s">
        <v>135</v>
      </c>
      <c r="B21" s="36">
        <v>0.55659208363787993</v>
      </c>
      <c r="C21" s="37">
        <v>0.12058001255994841</v>
      </c>
      <c r="D21" s="38" t="s">
        <v>53</v>
      </c>
      <c r="E21" s="36">
        <v>1.650695254514488</v>
      </c>
      <c r="F21" s="37">
        <v>0.17440621192871003</v>
      </c>
      <c r="G21" s="38" t="s">
        <v>53</v>
      </c>
      <c r="H21" s="36">
        <v>1.51308246998318</v>
      </c>
      <c r="I21" s="37">
        <v>0.16281086015301122</v>
      </c>
      <c r="J21" s="38" t="s">
        <v>53</v>
      </c>
      <c r="K21" s="36">
        <v>13.97348101653429</v>
      </c>
      <c r="L21" s="37">
        <v>6.4293773019501472</v>
      </c>
      <c r="M21" s="38" t="s">
        <v>53</v>
      </c>
      <c r="N21" s="36" t="s">
        <v>56</v>
      </c>
      <c r="O21" s="37" t="s">
        <v>56</v>
      </c>
      <c r="P21" s="38" t="s">
        <v>53</v>
      </c>
      <c r="Q21" s="36" t="s">
        <v>56</v>
      </c>
      <c r="R21" s="37" t="s">
        <v>56</v>
      </c>
      <c r="S21" s="38" t="s">
        <v>53</v>
      </c>
      <c r="T21" s="44" t="s">
        <v>56</v>
      </c>
      <c r="U21" s="37" t="s">
        <v>56</v>
      </c>
      <c r="V21" s="38" t="s">
        <v>53</v>
      </c>
      <c r="W21" s="44">
        <v>354.79124783365529</v>
      </c>
      <c r="X21" s="37">
        <v>14.689331844380115</v>
      </c>
      <c r="Y21" s="38" t="s">
        <v>53</v>
      </c>
      <c r="Z21" s="44" t="s">
        <v>56</v>
      </c>
      <c r="AA21" s="37" t="s">
        <v>56</v>
      </c>
      <c r="AB21" s="39" t="s">
        <v>53</v>
      </c>
    </row>
    <row r="22" spans="1:28" x14ac:dyDescent="0.25">
      <c r="A22" s="15" t="s">
        <v>136</v>
      </c>
      <c r="B22" s="36">
        <v>4.1464036037107297</v>
      </c>
      <c r="C22" s="37">
        <v>0.38608926670904103</v>
      </c>
      <c r="D22" s="38" t="s">
        <v>53</v>
      </c>
      <c r="E22" s="36">
        <v>5.7516480399453247</v>
      </c>
      <c r="F22" s="37">
        <v>0.50522541971912094</v>
      </c>
      <c r="G22" s="38" t="s">
        <v>53</v>
      </c>
      <c r="H22" s="36">
        <v>2.767940403756215</v>
      </c>
      <c r="I22" s="37">
        <v>0.31228373923358599</v>
      </c>
      <c r="J22" s="38" t="s">
        <v>53</v>
      </c>
      <c r="K22" s="36">
        <v>71.181172477976389</v>
      </c>
      <c r="L22" s="37">
        <v>3.5088640750270113</v>
      </c>
      <c r="M22" s="38" t="s">
        <v>53</v>
      </c>
      <c r="N22" s="36">
        <v>54.432578163816402</v>
      </c>
      <c r="O22" s="37">
        <v>5.1551818063583603</v>
      </c>
      <c r="P22" s="38" t="s">
        <v>53</v>
      </c>
      <c r="Q22" s="36">
        <v>87.062021022626666</v>
      </c>
      <c r="R22" s="37">
        <v>3.5427723513928497</v>
      </c>
      <c r="S22" s="38" t="s">
        <v>53</v>
      </c>
      <c r="T22" s="44">
        <v>437.39501986162423</v>
      </c>
      <c r="U22" s="37">
        <v>11.486009572632087</v>
      </c>
      <c r="V22" s="38" t="s">
        <v>53</v>
      </c>
      <c r="W22" s="44">
        <v>443.3924133278104</v>
      </c>
      <c r="X22" s="37">
        <v>15.039416569385947</v>
      </c>
      <c r="Y22" s="38" t="s">
        <v>53</v>
      </c>
      <c r="Z22" s="44">
        <v>5.9973934661861623</v>
      </c>
      <c r="AA22" s="37">
        <v>17.915812028186608</v>
      </c>
      <c r="AB22" s="39" t="s">
        <v>53</v>
      </c>
    </row>
    <row r="23" spans="1:28" x14ac:dyDescent="0.25">
      <c r="A23" s="15" t="s">
        <v>137</v>
      </c>
      <c r="B23" s="36">
        <v>10.653250682536131</v>
      </c>
      <c r="C23" s="37">
        <v>0.438296984314206</v>
      </c>
      <c r="D23" s="38" t="s">
        <v>53</v>
      </c>
      <c r="E23" s="36">
        <v>8.0689623844364142</v>
      </c>
      <c r="F23" s="37">
        <v>0.39362100711136422</v>
      </c>
      <c r="G23" s="38" t="s">
        <v>53</v>
      </c>
      <c r="H23" s="36">
        <v>2.870273176606803</v>
      </c>
      <c r="I23" s="37">
        <v>0.26861298696741287</v>
      </c>
      <c r="J23" s="38" t="s">
        <v>53</v>
      </c>
      <c r="K23" s="36">
        <v>50.897214875033512</v>
      </c>
      <c r="L23" s="37">
        <v>1.8385674589043186</v>
      </c>
      <c r="M23" s="38" t="s">
        <v>53</v>
      </c>
      <c r="N23" s="36">
        <v>44.277997035331033</v>
      </c>
      <c r="O23" s="37">
        <v>2.2523433248408398</v>
      </c>
      <c r="P23" s="38" t="s">
        <v>53</v>
      </c>
      <c r="Q23" s="36">
        <v>75.564448663617867</v>
      </c>
      <c r="R23" s="37">
        <v>3.6273680515657682</v>
      </c>
      <c r="S23" s="38" t="s">
        <v>53</v>
      </c>
      <c r="T23" s="44">
        <v>430.28770716178155</v>
      </c>
      <c r="U23" s="37">
        <v>4.9960979711392035</v>
      </c>
      <c r="V23" s="38" t="s">
        <v>53</v>
      </c>
      <c r="W23" s="44">
        <v>459.16827591520672</v>
      </c>
      <c r="X23" s="37">
        <v>4.6016264165903129</v>
      </c>
      <c r="Y23" s="38" t="s">
        <v>53</v>
      </c>
      <c r="Z23" s="44">
        <v>28.880568753425241</v>
      </c>
      <c r="AA23" s="37">
        <v>6.3058125701639725</v>
      </c>
      <c r="AB23" s="39" t="s">
        <v>53</v>
      </c>
    </row>
    <row r="24" spans="1:28" x14ac:dyDescent="0.25">
      <c r="A24" s="15" t="s">
        <v>138</v>
      </c>
      <c r="B24" s="36">
        <v>10.392582509365699</v>
      </c>
      <c r="C24" s="37">
        <v>0.46505302845390067</v>
      </c>
      <c r="D24" s="38" t="s">
        <v>53</v>
      </c>
      <c r="E24" s="36">
        <v>5.3852968091518871</v>
      </c>
      <c r="F24" s="37">
        <v>0.39654397755827331</v>
      </c>
      <c r="G24" s="38" t="s">
        <v>53</v>
      </c>
      <c r="H24" s="36">
        <v>4.5174124254995904</v>
      </c>
      <c r="I24" s="37">
        <v>0.35306225834444177</v>
      </c>
      <c r="J24" s="38" t="s">
        <v>53</v>
      </c>
      <c r="K24" s="36">
        <v>12.65113326855575</v>
      </c>
      <c r="L24" s="37">
        <v>1.706683602972884</v>
      </c>
      <c r="M24" s="38" t="s">
        <v>53</v>
      </c>
      <c r="N24" s="36">
        <v>10.464951958876791</v>
      </c>
      <c r="O24" s="37">
        <v>1.5738927151678486</v>
      </c>
      <c r="P24" s="38" t="s">
        <v>53</v>
      </c>
      <c r="Q24" s="36">
        <v>40.915447865094627</v>
      </c>
      <c r="R24" s="37">
        <v>7.8849202399595404</v>
      </c>
      <c r="S24" s="38" t="s">
        <v>53</v>
      </c>
      <c r="T24" s="44">
        <v>460.10222062355137</v>
      </c>
      <c r="U24" s="37">
        <v>10.087370280799549</v>
      </c>
      <c r="V24" s="38" t="s">
        <v>53</v>
      </c>
      <c r="W24" s="44">
        <v>493.58088985603354</v>
      </c>
      <c r="X24" s="37">
        <v>4.9044651508801369</v>
      </c>
      <c r="Y24" s="38" t="s">
        <v>53</v>
      </c>
      <c r="Z24" s="44">
        <v>33.478669232482133</v>
      </c>
      <c r="AA24" s="37">
        <v>10.858399054078927</v>
      </c>
      <c r="AB24" s="39" t="s">
        <v>53</v>
      </c>
    </row>
    <row r="25" spans="1:28" x14ac:dyDescent="0.25">
      <c r="A25" s="15" t="s">
        <v>139</v>
      </c>
      <c r="B25" s="36">
        <v>5.7757806421643902</v>
      </c>
      <c r="C25" s="37">
        <v>0.47656616025151088</v>
      </c>
      <c r="D25" s="38" t="s">
        <v>53</v>
      </c>
      <c r="E25" s="36">
        <v>7.5785607697517934</v>
      </c>
      <c r="F25" s="37">
        <v>0.49436505487237942</v>
      </c>
      <c r="G25" s="38" t="s">
        <v>53</v>
      </c>
      <c r="H25" s="36">
        <v>3.314634893074885</v>
      </c>
      <c r="I25" s="37">
        <v>0.39888443027748999</v>
      </c>
      <c r="J25" s="38" t="s">
        <v>53</v>
      </c>
      <c r="K25" s="36">
        <v>73.859011224683428</v>
      </c>
      <c r="L25" s="37">
        <v>2.3182347274500916</v>
      </c>
      <c r="M25" s="38" t="s">
        <v>53</v>
      </c>
      <c r="N25" s="36">
        <v>62.849666781653532</v>
      </c>
      <c r="O25" s="37">
        <v>4.8812485081514465</v>
      </c>
      <c r="P25" s="38" t="s">
        <v>53</v>
      </c>
      <c r="Q25" s="36">
        <v>82.046719925544267</v>
      </c>
      <c r="R25" s="37">
        <v>2.4515011376747466</v>
      </c>
      <c r="S25" s="38" t="s">
        <v>53</v>
      </c>
      <c r="T25" s="44">
        <v>425.17147879310119</v>
      </c>
      <c r="U25" s="37">
        <v>8.4533262018885011</v>
      </c>
      <c r="V25" s="38" t="s">
        <v>53</v>
      </c>
      <c r="W25" s="44">
        <v>466.04648033390413</v>
      </c>
      <c r="X25" s="37">
        <v>15.154602481186432</v>
      </c>
      <c r="Y25" s="38" t="s">
        <v>53</v>
      </c>
      <c r="Z25" s="44">
        <v>40.875001540802941</v>
      </c>
      <c r="AA25" s="37">
        <v>17.528553001637881</v>
      </c>
      <c r="AB25" s="39" t="s">
        <v>53</v>
      </c>
    </row>
    <row r="26" spans="1:28" x14ac:dyDescent="0.25">
      <c r="A26" s="15" t="s">
        <v>140</v>
      </c>
      <c r="B26" s="36">
        <v>14.292398074125421</v>
      </c>
      <c r="C26" s="37">
        <v>0.93597142687811641</v>
      </c>
      <c r="D26" s="38" t="s">
        <v>53</v>
      </c>
      <c r="E26" s="36">
        <v>11.54344673119798</v>
      </c>
      <c r="F26" s="37">
        <v>0.66106081255187721</v>
      </c>
      <c r="G26" s="38" t="s">
        <v>53</v>
      </c>
      <c r="H26" s="36">
        <v>5.789937581451289</v>
      </c>
      <c r="I26" s="37">
        <v>0.46340045631091364</v>
      </c>
      <c r="J26" s="38" t="s">
        <v>53</v>
      </c>
      <c r="K26" s="36">
        <v>45.530348543792883</v>
      </c>
      <c r="L26" s="37">
        <v>2.3052973789112028</v>
      </c>
      <c r="M26" s="38" t="s">
        <v>53</v>
      </c>
      <c r="N26" s="36">
        <v>35.609199643904937</v>
      </c>
      <c r="O26" s="37">
        <v>2.2505111244414464</v>
      </c>
      <c r="P26" s="38" t="s">
        <v>53</v>
      </c>
      <c r="Q26" s="36">
        <v>65.944772137706508</v>
      </c>
      <c r="R26" s="37">
        <v>3.1030497559058872</v>
      </c>
      <c r="S26" s="38" t="s">
        <v>53</v>
      </c>
      <c r="T26" s="44">
        <v>434.94700470503943</v>
      </c>
      <c r="U26" s="37">
        <v>6.7647097521866693</v>
      </c>
      <c r="V26" s="38" t="s">
        <v>53</v>
      </c>
      <c r="W26" s="44">
        <v>461.81688948076891</v>
      </c>
      <c r="X26" s="37">
        <v>6.7266162305849653</v>
      </c>
      <c r="Y26" s="38" t="s">
        <v>53</v>
      </c>
      <c r="Z26" s="44">
        <v>26.869884775729503</v>
      </c>
      <c r="AA26" s="37">
        <v>8.3832533941278982</v>
      </c>
      <c r="AB26" s="39" t="s">
        <v>53</v>
      </c>
    </row>
    <row r="27" spans="1:28" x14ac:dyDescent="0.25">
      <c r="A27" s="15" t="s">
        <v>141</v>
      </c>
      <c r="B27" s="36">
        <v>22.168807967597882</v>
      </c>
      <c r="C27" s="37">
        <v>1.1487898067601798</v>
      </c>
      <c r="D27" s="38" t="s">
        <v>53</v>
      </c>
      <c r="E27" s="36">
        <v>17.822175405174399</v>
      </c>
      <c r="F27" s="37">
        <v>0.9515218234957421</v>
      </c>
      <c r="G27" s="38" t="s">
        <v>53</v>
      </c>
      <c r="H27" s="36">
        <v>4.4530642535564144</v>
      </c>
      <c r="I27" s="37">
        <v>0.40075057603724895</v>
      </c>
      <c r="J27" s="38" t="s">
        <v>53</v>
      </c>
      <c r="K27" s="36">
        <v>62.482369511827237</v>
      </c>
      <c r="L27" s="37">
        <v>1.5319131922655715</v>
      </c>
      <c r="M27" s="38" t="s">
        <v>53</v>
      </c>
      <c r="N27" s="36">
        <v>52.910849045168987</v>
      </c>
      <c r="O27" s="37">
        <v>1.9527305176485494</v>
      </c>
      <c r="P27" s="38" t="s">
        <v>53</v>
      </c>
      <c r="Q27" s="36">
        <v>85.974113513654657</v>
      </c>
      <c r="R27" s="37">
        <v>2.4942943435177547</v>
      </c>
      <c r="S27" s="38" t="s">
        <v>53</v>
      </c>
      <c r="T27" s="44">
        <v>430.07769177380391</v>
      </c>
      <c r="U27" s="37">
        <v>6.9167390917031266</v>
      </c>
      <c r="V27" s="38" t="s">
        <v>53</v>
      </c>
      <c r="W27" s="44">
        <v>499.66796857772306</v>
      </c>
      <c r="X27" s="37">
        <v>7.10711683302765</v>
      </c>
      <c r="Y27" s="38" t="s">
        <v>53</v>
      </c>
      <c r="Z27" s="44">
        <v>69.590276803919195</v>
      </c>
      <c r="AA27" s="37">
        <v>7.1968762781282329</v>
      </c>
      <c r="AB27" s="39" t="s">
        <v>53</v>
      </c>
    </row>
    <row r="28" spans="1:28" x14ac:dyDescent="0.25">
      <c r="A28" s="15" t="s">
        <v>142</v>
      </c>
      <c r="B28" s="36">
        <v>11.69610290505079</v>
      </c>
      <c r="C28" s="37">
        <v>0.66265154560738204</v>
      </c>
      <c r="D28" s="38" t="s">
        <v>53</v>
      </c>
      <c r="E28" s="36">
        <v>6.2419355225996993</v>
      </c>
      <c r="F28" s="37">
        <v>0.46735182996619701</v>
      </c>
      <c r="G28" s="38" t="s">
        <v>53</v>
      </c>
      <c r="H28" s="36">
        <v>1.512514293364998</v>
      </c>
      <c r="I28" s="37">
        <v>0.26411779739913138</v>
      </c>
      <c r="J28" s="38" t="s">
        <v>53</v>
      </c>
      <c r="K28" s="36">
        <v>40.933171267225823</v>
      </c>
      <c r="L28" s="37">
        <v>2.4535546104959267</v>
      </c>
      <c r="M28" s="38" t="s">
        <v>53</v>
      </c>
      <c r="N28" s="36">
        <v>33.04171262685712</v>
      </c>
      <c r="O28" s="37">
        <v>2.5887419142467771</v>
      </c>
      <c r="P28" s="38" t="s">
        <v>53</v>
      </c>
      <c r="Q28" s="36">
        <v>62.405866125299667</v>
      </c>
      <c r="R28" s="37">
        <v>4.0673354194379208</v>
      </c>
      <c r="S28" s="38" t="s">
        <v>53</v>
      </c>
      <c r="T28" s="44">
        <v>389.91473005120685</v>
      </c>
      <c r="U28" s="37">
        <v>8.4119626245634027</v>
      </c>
      <c r="V28" s="38" t="s">
        <v>53</v>
      </c>
      <c r="W28" s="44">
        <v>430.86752489240871</v>
      </c>
      <c r="X28" s="37">
        <v>5.9134150782588994</v>
      </c>
      <c r="Y28" s="38" t="s">
        <v>53</v>
      </c>
      <c r="Z28" s="44">
        <v>40.952794841201865</v>
      </c>
      <c r="AA28" s="37">
        <v>8.199363851941273</v>
      </c>
      <c r="AB28" s="39" t="s">
        <v>53</v>
      </c>
    </row>
    <row r="29" spans="1:28" x14ac:dyDescent="0.25">
      <c r="A29" s="15" t="s">
        <v>143</v>
      </c>
      <c r="B29" s="36">
        <v>2.5521960850758401</v>
      </c>
      <c r="C29" s="37">
        <v>0.30831545416996642</v>
      </c>
      <c r="D29" s="38" t="s">
        <v>53</v>
      </c>
      <c r="E29" s="36">
        <v>2.2015820685235759</v>
      </c>
      <c r="F29" s="37">
        <v>0.23297577587536744</v>
      </c>
      <c r="G29" s="38" t="s">
        <v>53</v>
      </c>
      <c r="H29" s="36">
        <v>1.864391847658375</v>
      </c>
      <c r="I29" s="37">
        <v>0.23352282825152831</v>
      </c>
      <c r="J29" s="38" t="s">
        <v>53</v>
      </c>
      <c r="K29" s="36">
        <v>14.10221009876874</v>
      </c>
      <c r="L29" s="37">
        <v>3.0123480053240108</v>
      </c>
      <c r="M29" s="38" t="s">
        <v>53</v>
      </c>
      <c r="N29" s="36">
        <v>15.572293851918401</v>
      </c>
      <c r="O29" s="37">
        <v>3.7356421007787191</v>
      </c>
      <c r="P29" s="38" t="s">
        <v>53</v>
      </c>
      <c r="Q29" s="36">
        <v>12.553422782643199</v>
      </c>
      <c r="R29" s="37">
        <v>5.0092196348927223</v>
      </c>
      <c r="S29" s="38" t="s">
        <v>53</v>
      </c>
      <c r="T29" s="44" t="s">
        <v>56</v>
      </c>
      <c r="U29" s="37" t="s">
        <v>56</v>
      </c>
      <c r="V29" s="38" t="s">
        <v>53</v>
      </c>
      <c r="W29" s="44">
        <v>489.39378525484153</v>
      </c>
      <c r="X29" s="37">
        <v>10.780735018922359</v>
      </c>
      <c r="Y29" s="38" t="s">
        <v>53</v>
      </c>
      <c r="Z29" s="44" t="s">
        <v>56</v>
      </c>
      <c r="AA29" s="37" t="s">
        <v>56</v>
      </c>
      <c r="AB29" s="39" t="s">
        <v>53</v>
      </c>
    </row>
    <row r="30" spans="1:28" x14ac:dyDescent="0.25">
      <c r="A30" s="15" t="s">
        <v>144</v>
      </c>
      <c r="B30" s="36">
        <v>5.5922790641216604</v>
      </c>
      <c r="C30" s="37">
        <v>0.40139673553959726</v>
      </c>
      <c r="D30" s="38" t="s">
        <v>53</v>
      </c>
      <c r="E30" s="36">
        <v>7.167016091270245</v>
      </c>
      <c r="F30" s="37">
        <v>0.44511881868073755</v>
      </c>
      <c r="G30" s="38" t="s">
        <v>53</v>
      </c>
      <c r="H30" s="36">
        <v>2.6969907664353912</v>
      </c>
      <c r="I30" s="37">
        <v>0.29616652991648174</v>
      </c>
      <c r="J30" s="38" t="s">
        <v>53</v>
      </c>
      <c r="K30" s="36">
        <v>81.478624966338344</v>
      </c>
      <c r="L30" s="37">
        <v>2.8630685134620779</v>
      </c>
      <c r="M30" s="38" t="s">
        <v>53</v>
      </c>
      <c r="N30" s="36">
        <v>69.651429605949431</v>
      </c>
      <c r="O30" s="37">
        <v>4.8536031290407626</v>
      </c>
      <c r="P30" s="38" t="s">
        <v>53</v>
      </c>
      <c r="Q30" s="36">
        <v>90.937932022473689</v>
      </c>
      <c r="R30" s="37">
        <v>2.9499813582552008</v>
      </c>
      <c r="S30" s="38" t="s">
        <v>53</v>
      </c>
      <c r="T30" s="44">
        <v>406.02068244585178</v>
      </c>
      <c r="U30" s="37">
        <v>7.8312172648207694</v>
      </c>
      <c r="V30" s="38" t="s">
        <v>53</v>
      </c>
      <c r="W30" s="44">
        <v>410.30904636515402</v>
      </c>
      <c r="X30" s="37">
        <v>20.78404789652798</v>
      </c>
      <c r="Y30" s="38" t="s">
        <v>53</v>
      </c>
      <c r="Z30" s="44">
        <v>4.2883639193022081</v>
      </c>
      <c r="AA30" s="37">
        <v>21.656801084861382</v>
      </c>
      <c r="AB30" s="39" t="s">
        <v>53</v>
      </c>
    </row>
    <row r="31" spans="1:28" x14ac:dyDescent="0.25">
      <c r="A31" s="15" t="s">
        <v>145</v>
      </c>
      <c r="B31" s="36">
        <v>17.860838929942929</v>
      </c>
      <c r="C31" s="37">
        <v>0.91486176844457701</v>
      </c>
      <c r="D31" s="38" t="s">
        <v>53</v>
      </c>
      <c r="E31" s="36">
        <v>9.0837827401418583</v>
      </c>
      <c r="F31" s="37">
        <v>0.59268494278041839</v>
      </c>
      <c r="G31" s="38" t="s">
        <v>53</v>
      </c>
      <c r="H31" s="36">
        <v>0.36131497906277971</v>
      </c>
      <c r="I31" s="37">
        <v>8.6811672925173014E-2</v>
      </c>
      <c r="J31" s="38" t="s">
        <v>53</v>
      </c>
      <c r="K31" s="36">
        <v>49.447428578882061</v>
      </c>
      <c r="L31" s="37">
        <v>1.8763176686433616</v>
      </c>
      <c r="M31" s="38" t="s">
        <v>53</v>
      </c>
      <c r="N31" s="36">
        <v>27.024615391721369</v>
      </c>
      <c r="O31" s="37">
        <v>2.6130646523972616</v>
      </c>
      <c r="P31" s="38" t="s">
        <v>53</v>
      </c>
      <c r="Q31" s="36">
        <v>67.822715366072586</v>
      </c>
      <c r="R31" s="37">
        <v>1.9580723971315896</v>
      </c>
      <c r="S31" s="38" t="s">
        <v>53</v>
      </c>
      <c r="T31" s="44">
        <v>498.48969681583287</v>
      </c>
      <c r="U31" s="37">
        <v>5.3251096175647668</v>
      </c>
      <c r="V31" s="38" t="s">
        <v>53</v>
      </c>
      <c r="W31" s="44">
        <v>518.23340178127864</v>
      </c>
      <c r="X31" s="37">
        <v>5.1686393824575481</v>
      </c>
      <c r="Y31" s="38" t="s">
        <v>53</v>
      </c>
      <c r="Z31" s="44">
        <v>19.743704965445808</v>
      </c>
      <c r="AA31" s="37">
        <v>7.2208630270536851</v>
      </c>
      <c r="AB31" s="39" t="s">
        <v>53</v>
      </c>
    </row>
    <row r="32" spans="1:28" x14ac:dyDescent="0.25">
      <c r="A32" s="15" t="s">
        <v>146</v>
      </c>
      <c r="B32" s="36">
        <v>16.416253414977149</v>
      </c>
      <c r="C32" s="37">
        <v>1.0738364165803722</v>
      </c>
      <c r="D32" s="38" t="s">
        <v>53</v>
      </c>
      <c r="E32" s="36">
        <v>14.0249532589813</v>
      </c>
      <c r="F32" s="37">
        <v>0.85924899718964742</v>
      </c>
      <c r="G32" s="38" t="s">
        <v>53</v>
      </c>
      <c r="H32" s="36">
        <v>6.5283768080655298</v>
      </c>
      <c r="I32" s="37">
        <v>0.69052683671241888</v>
      </c>
      <c r="J32" s="38" t="s">
        <v>53</v>
      </c>
      <c r="K32" s="36">
        <v>51.228787265941648</v>
      </c>
      <c r="L32" s="37">
        <v>1.9877901147131378</v>
      </c>
      <c r="M32" s="38" t="s">
        <v>53</v>
      </c>
      <c r="N32" s="36">
        <v>44.014610469366318</v>
      </c>
      <c r="O32" s="37">
        <v>2.2685563162601481</v>
      </c>
      <c r="P32" s="38" t="s">
        <v>53</v>
      </c>
      <c r="Q32" s="36">
        <v>74.362650040450816</v>
      </c>
      <c r="R32" s="37">
        <v>2.8525617634891933</v>
      </c>
      <c r="S32" s="38" t="s">
        <v>53</v>
      </c>
      <c r="T32" s="44">
        <v>464.04425676516223</v>
      </c>
      <c r="U32" s="37">
        <v>7.6215829999735476</v>
      </c>
      <c r="V32" s="38" t="s">
        <v>53</v>
      </c>
      <c r="W32" s="44">
        <v>479.25167451235598</v>
      </c>
      <c r="X32" s="37">
        <v>6.936961560713498</v>
      </c>
      <c r="Y32" s="38" t="s">
        <v>53</v>
      </c>
      <c r="Z32" s="44">
        <v>15.207417747193659</v>
      </c>
      <c r="AA32" s="37">
        <v>7.0483248732575605</v>
      </c>
      <c r="AB32" s="39" t="s">
        <v>53</v>
      </c>
    </row>
    <row r="33" spans="1:28" x14ac:dyDescent="0.25">
      <c r="A33" s="15" t="s">
        <v>147</v>
      </c>
      <c r="B33" s="36">
        <v>10.025087167799541</v>
      </c>
      <c r="C33" s="37">
        <v>0.4917084931015509</v>
      </c>
      <c r="D33" s="38" t="s">
        <v>53</v>
      </c>
      <c r="E33" s="36">
        <v>18.464271765157111</v>
      </c>
      <c r="F33" s="37">
        <v>0.60983660206836954</v>
      </c>
      <c r="G33" s="38" t="s">
        <v>53</v>
      </c>
      <c r="H33" s="36">
        <v>13.481258204355511</v>
      </c>
      <c r="I33" s="37">
        <v>0.66291822265238154</v>
      </c>
      <c r="J33" s="38" t="s">
        <v>53</v>
      </c>
      <c r="K33" s="36">
        <v>62.239048046640441</v>
      </c>
      <c r="L33" s="37">
        <v>1.9688943556845069</v>
      </c>
      <c r="M33" s="38" t="s">
        <v>53</v>
      </c>
      <c r="N33" s="36">
        <v>55.424855671100367</v>
      </c>
      <c r="O33" s="37">
        <v>2.3807285268722684</v>
      </c>
      <c r="P33" s="38" t="s">
        <v>53</v>
      </c>
      <c r="Q33" s="36">
        <v>70.392223537856353</v>
      </c>
      <c r="R33" s="37">
        <v>3.1384943677543777</v>
      </c>
      <c r="S33" s="38" t="s">
        <v>53</v>
      </c>
      <c r="T33" s="44">
        <v>423.00842052290238</v>
      </c>
      <c r="U33" s="37">
        <v>6.0645142478916281</v>
      </c>
      <c r="V33" s="38" t="s">
        <v>53</v>
      </c>
      <c r="W33" s="44">
        <v>466.88103523520971</v>
      </c>
      <c r="X33" s="37">
        <v>7.2902776085588279</v>
      </c>
      <c r="Y33" s="38" t="s">
        <v>53</v>
      </c>
      <c r="Z33" s="44">
        <v>43.872614712307403</v>
      </c>
      <c r="AA33" s="37">
        <v>9.3770847007598981</v>
      </c>
      <c r="AB33" s="39" t="s">
        <v>53</v>
      </c>
    </row>
    <row r="34" spans="1:28" x14ac:dyDescent="0.25">
      <c r="A34" s="15" t="s">
        <v>148</v>
      </c>
      <c r="B34" s="36">
        <v>0.62269075696213994</v>
      </c>
      <c r="C34" s="37">
        <v>0.13447373995918133</v>
      </c>
      <c r="D34" s="38" t="s">
        <v>53</v>
      </c>
      <c r="E34" s="36">
        <v>0.96766638485328593</v>
      </c>
      <c r="F34" s="37">
        <v>0.17881163726753424</v>
      </c>
      <c r="G34" s="38" t="s">
        <v>53</v>
      </c>
      <c r="H34" s="36" t="s">
        <v>128</v>
      </c>
      <c r="I34" s="37" t="s">
        <v>128</v>
      </c>
      <c r="J34" s="38" t="s">
        <v>53</v>
      </c>
      <c r="K34" s="36" t="s">
        <v>128</v>
      </c>
      <c r="L34" s="37" t="s">
        <v>128</v>
      </c>
      <c r="M34" s="38" t="s">
        <v>53</v>
      </c>
      <c r="N34" s="36" t="s">
        <v>128</v>
      </c>
      <c r="O34" s="37" t="s">
        <v>128</v>
      </c>
      <c r="P34" s="38" t="s">
        <v>53</v>
      </c>
      <c r="Q34" s="36" t="s">
        <v>128</v>
      </c>
      <c r="R34" s="37" t="s">
        <v>128</v>
      </c>
      <c r="S34" s="38" t="s">
        <v>53</v>
      </c>
      <c r="T34" s="44" t="s">
        <v>128</v>
      </c>
      <c r="U34" s="37" t="s">
        <v>128</v>
      </c>
      <c r="V34" s="38" t="s">
        <v>53</v>
      </c>
      <c r="W34" s="44" t="s">
        <v>128</v>
      </c>
      <c r="X34" s="37" t="s">
        <v>128</v>
      </c>
      <c r="Y34" s="38" t="s">
        <v>53</v>
      </c>
      <c r="Z34" s="44" t="s">
        <v>128</v>
      </c>
      <c r="AA34" s="37" t="s">
        <v>128</v>
      </c>
      <c r="AB34" s="39" t="s">
        <v>53</v>
      </c>
    </row>
    <row r="35" spans="1:28" x14ac:dyDescent="0.25">
      <c r="A35" s="15" t="s">
        <v>149</v>
      </c>
      <c r="B35" s="36">
        <v>0.16599464463225999</v>
      </c>
      <c r="C35" s="37">
        <v>8.9871829952017257E-2</v>
      </c>
      <c r="D35" s="38" t="s">
        <v>53</v>
      </c>
      <c r="E35" s="36">
        <v>0.59048557113422195</v>
      </c>
      <c r="F35" s="37">
        <v>8.0897463769127348E-2</v>
      </c>
      <c r="G35" s="38" t="s">
        <v>53</v>
      </c>
      <c r="H35" s="36">
        <v>0.54000671716859505</v>
      </c>
      <c r="I35" s="37">
        <v>8.246934946806786E-2</v>
      </c>
      <c r="J35" s="38" t="s">
        <v>53</v>
      </c>
      <c r="K35" s="36" t="s">
        <v>56</v>
      </c>
      <c r="L35" s="37" t="s">
        <v>56</v>
      </c>
      <c r="M35" s="38" t="s">
        <v>53</v>
      </c>
      <c r="N35" s="36" t="s">
        <v>56</v>
      </c>
      <c r="O35" s="37" t="s">
        <v>56</v>
      </c>
      <c r="P35" s="38" t="s">
        <v>53</v>
      </c>
      <c r="Q35" s="36" t="s">
        <v>56</v>
      </c>
      <c r="R35" s="37" t="s">
        <v>56</v>
      </c>
      <c r="S35" s="38" t="s">
        <v>53</v>
      </c>
      <c r="T35" s="44" t="s">
        <v>56</v>
      </c>
      <c r="U35" s="37" t="s">
        <v>56</v>
      </c>
      <c r="V35" s="38" t="s">
        <v>53</v>
      </c>
      <c r="W35" s="44" t="s">
        <v>56</v>
      </c>
      <c r="X35" s="37" t="s">
        <v>56</v>
      </c>
      <c r="Y35" s="38" t="s">
        <v>53</v>
      </c>
      <c r="Z35" s="44" t="s">
        <v>56</v>
      </c>
      <c r="AA35" s="37" t="s">
        <v>56</v>
      </c>
      <c r="AB35" s="39" t="s">
        <v>53</v>
      </c>
    </row>
    <row r="36" spans="1:28" x14ac:dyDescent="0.25">
      <c r="A36" s="15" t="s">
        <v>150</v>
      </c>
      <c r="B36" s="36">
        <v>4.4397198134590603</v>
      </c>
      <c r="C36" s="37">
        <v>0.33685609843229053</v>
      </c>
      <c r="D36" s="38" t="s">
        <v>53</v>
      </c>
      <c r="E36" s="36">
        <v>10.53232488786441</v>
      </c>
      <c r="F36" s="37">
        <v>0.69999372034733343</v>
      </c>
      <c r="G36" s="38" t="s">
        <v>53</v>
      </c>
      <c r="H36" s="36">
        <v>9.8857404729243044</v>
      </c>
      <c r="I36" s="37">
        <v>0.69126589910601</v>
      </c>
      <c r="J36" s="38" t="s">
        <v>53</v>
      </c>
      <c r="K36" s="36">
        <v>23.503665258153021</v>
      </c>
      <c r="L36" s="37">
        <v>3.0602878834793161</v>
      </c>
      <c r="M36" s="38" t="s">
        <v>53</v>
      </c>
      <c r="N36" s="36">
        <v>23.066354493217329</v>
      </c>
      <c r="O36" s="37">
        <v>3.2977569725108284</v>
      </c>
      <c r="P36" s="38" t="s">
        <v>53</v>
      </c>
      <c r="Q36" s="36">
        <v>25.403326894728419</v>
      </c>
      <c r="R36" s="37">
        <v>7.4271370619261941</v>
      </c>
      <c r="S36" s="38" t="s">
        <v>53</v>
      </c>
      <c r="T36" s="44">
        <v>422.14920725585057</v>
      </c>
      <c r="U36" s="37">
        <v>16.408569298822506</v>
      </c>
      <c r="V36" s="38" t="s">
        <v>53</v>
      </c>
      <c r="W36" s="44">
        <v>491.41145596236203</v>
      </c>
      <c r="X36" s="37">
        <v>10.008557290188566</v>
      </c>
      <c r="Y36" s="38" t="s">
        <v>53</v>
      </c>
      <c r="Z36" s="44">
        <v>69.262248706511386</v>
      </c>
      <c r="AA36" s="37">
        <v>19.39061633659195</v>
      </c>
      <c r="AB36" s="39" t="s">
        <v>53</v>
      </c>
    </row>
    <row r="37" spans="1:28" x14ac:dyDescent="0.25">
      <c r="A37" s="15" t="s">
        <v>151</v>
      </c>
      <c r="B37" s="36">
        <v>1.5599249777116999</v>
      </c>
      <c r="C37" s="37">
        <v>0.13051569969861895</v>
      </c>
      <c r="D37" s="38" t="s">
        <v>53</v>
      </c>
      <c r="E37" s="36">
        <v>5.856548847646291</v>
      </c>
      <c r="F37" s="37">
        <v>0.40841140772946333</v>
      </c>
      <c r="G37" s="38" t="s">
        <v>53</v>
      </c>
      <c r="H37" s="36">
        <v>5.355179408939625</v>
      </c>
      <c r="I37" s="37">
        <v>0.42243152090214153</v>
      </c>
      <c r="J37" s="38" t="s">
        <v>53</v>
      </c>
      <c r="K37" s="36">
        <v>30.254403519684011</v>
      </c>
      <c r="L37" s="37">
        <v>4.4679387169481757</v>
      </c>
      <c r="M37" s="38" t="s">
        <v>53</v>
      </c>
      <c r="N37" s="36">
        <v>28.312078353324889</v>
      </c>
      <c r="O37" s="37">
        <v>4.7586008837925657</v>
      </c>
      <c r="P37" s="38" t="s">
        <v>53</v>
      </c>
      <c r="Q37" s="36">
        <v>37.338158270974269</v>
      </c>
      <c r="R37" s="37">
        <v>11.667119269521804</v>
      </c>
      <c r="S37" s="38" t="s">
        <v>53</v>
      </c>
      <c r="T37" s="44">
        <v>408.04233020828701</v>
      </c>
      <c r="U37" s="37">
        <v>26.606316906604409</v>
      </c>
      <c r="V37" s="38" t="s">
        <v>53</v>
      </c>
      <c r="W37" s="44">
        <v>478.27753203488214</v>
      </c>
      <c r="X37" s="37">
        <v>12.207892973998321</v>
      </c>
      <c r="Y37" s="38" t="s">
        <v>53</v>
      </c>
      <c r="Z37" s="44">
        <v>70.235201826595187</v>
      </c>
      <c r="AA37" s="37">
        <v>31.116166371603711</v>
      </c>
      <c r="AB37" s="39" t="s">
        <v>53</v>
      </c>
    </row>
    <row r="38" spans="1:28" x14ac:dyDescent="0.25">
      <c r="A38" s="15" t="s">
        <v>152</v>
      </c>
      <c r="B38" s="36">
        <v>54.87180939703277</v>
      </c>
      <c r="C38" s="37">
        <v>0.64370888429344009</v>
      </c>
      <c r="D38" s="38" t="s">
        <v>53</v>
      </c>
      <c r="E38" s="36">
        <v>82.883376321854158</v>
      </c>
      <c r="F38" s="37">
        <v>0.4186730188553448</v>
      </c>
      <c r="G38" s="38" t="s">
        <v>53</v>
      </c>
      <c r="H38" s="36">
        <v>91.995827231215486</v>
      </c>
      <c r="I38" s="37">
        <v>0.53684889943574399</v>
      </c>
      <c r="J38" s="38" t="s">
        <v>53</v>
      </c>
      <c r="K38" s="36">
        <v>75.585094427017239</v>
      </c>
      <c r="L38" s="37">
        <v>0.72848825674375262</v>
      </c>
      <c r="M38" s="38" t="s">
        <v>53</v>
      </c>
      <c r="N38" s="36">
        <v>77.182531942471314</v>
      </c>
      <c r="O38" s="37">
        <v>1.0343731767759985</v>
      </c>
      <c r="P38" s="38" t="s">
        <v>53</v>
      </c>
      <c r="Q38" s="36">
        <v>73.605344689588065</v>
      </c>
      <c r="R38" s="37">
        <v>1.0234341286600506</v>
      </c>
      <c r="S38" s="38" t="s">
        <v>53</v>
      </c>
      <c r="T38" s="44">
        <v>431.93717986829665</v>
      </c>
      <c r="U38" s="37">
        <v>2.0287158658074054</v>
      </c>
      <c r="V38" s="38" t="s">
        <v>53</v>
      </c>
      <c r="W38" s="44">
        <v>527.54779365081981</v>
      </c>
      <c r="X38" s="37">
        <v>3.8835422768563319</v>
      </c>
      <c r="Y38" s="38" t="s">
        <v>53</v>
      </c>
      <c r="Z38" s="44">
        <v>95.610613782523217</v>
      </c>
      <c r="AA38" s="37">
        <v>4.707829390386534</v>
      </c>
      <c r="AB38" s="39" t="s">
        <v>53</v>
      </c>
    </row>
    <row r="39" spans="1:28" x14ac:dyDescent="0.25">
      <c r="A39" s="15" t="s">
        <v>153</v>
      </c>
      <c r="B39" s="36">
        <v>1.56142115515159</v>
      </c>
      <c r="C39" s="37">
        <v>0.26845505611360826</v>
      </c>
      <c r="D39" s="38" t="s">
        <v>53</v>
      </c>
      <c r="E39" s="36">
        <v>2.883195222634487</v>
      </c>
      <c r="F39" s="37">
        <v>0.58353315660183958</v>
      </c>
      <c r="G39" s="38" t="s">
        <v>53</v>
      </c>
      <c r="H39" s="36">
        <v>2.673905210097824</v>
      </c>
      <c r="I39" s="37">
        <v>0.56910716956703689</v>
      </c>
      <c r="J39" s="38" t="s">
        <v>53</v>
      </c>
      <c r="K39" s="36">
        <v>16.351840855431892</v>
      </c>
      <c r="L39" s="37">
        <v>5.1049337557903192</v>
      </c>
      <c r="M39" s="38" t="s">
        <v>53</v>
      </c>
      <c r="N39" s="36">
        <v>10.658287124306851</v>
      </c>
      <c r="O39" s="37">
        <v>4.8331079932339351</v>
      </c>
      <c r="P39" s="38" t="s">
        <v>53</v>
      </c>
      <c r="Q39" s="36">
        <v>23.379829466197808</v>
      </c>
      <c r="R39" s="37">
        <v>8.7411240132323353</v>
      </c>
      <c r="S39" s="38" t="s">
        <v>53</v>
      </c>
      <c r="T39" s="44" t="s">
        <v>56</v>
      </c>
      <c r="U39" s="37" t="s">
        <v>56</v>
      </c>
      <c r="V39" s="38" t="s">
        <v>53</v>
      </c>
      <c r="W39" s="44">
        <v>331.75495708088448</v>
      </c>
      <c r="X39" s="37">
        <v>16.759729854775834</v>
      </c>
      <c r="Y39" s="38" t="s">
        <v>53</v>
      </c>
      <c r="Z39" s="44" t="s">
        <v>56</v>
      </c>
      <c r="AA39" s="37" t="s">
        <v>56</v>
      </c>
      <c r="AB39" s="39" t="s">
        <v>53</v>
      </c>
    </row>
    <row r="40" spans="1:28" x14ac:dyDescent="0.25">
      <c r="A40" s="15" t="s">
        <v>226</v>
      </c>
      <c r="B40" s="36">
        <v>13.767365553432789</v>
      </c>
      <c r="C40" s="37">
        <v>1.1613432186534565</v>
      </c>
      <c r="D40" s="38" t="s">
        <v>53</v>
      </c>
      <c r="E40" s="36">
        <v>9.7827872539504153</v>
      </c>
      <c r="F40" s="37">
        <v>0.7616907530571011</v>
      </c>
      <c r="G40" s="38" t="s">
        <v>53</v>
      </c>
      <c r="H40" s="36">
        <v>2.2171627386355581</v>
      </c>
      <c r="I40" s="37">
        <v>0.30335632920210304</v>
      </c>
      <c r="J40" s="38" t="s">
        <v>53</v>
      </c>
      <c r="K40" s="36">
        <v>55.108604312231748</v>
      </c>
      <c r="L40" s="37">
        <v>2.2593510356500852</v>
      </c>
      <c r="M40" s="38" t="s">
        <v>53</v>
      </c>
      <c r="N40" s="36">
        <v>50.497457626526973</v>
      </c>
      <c r="O40" s="37">
        <v>2.5189562648292649</v>
      </c>
      <c r="P40" s="38" t="s">
        <v>53</v>
      </c>
      <c r="Q40" s="36">
        <v>74.093525737635844</v>
      </c>
      <c r="R40" s="37">
        <v>4.3851228610643549</v>
      </c>
      <c r="S40" s="38" t="s">
        <v>53</v>
      </c>
      <c r="T40" s="44">
        <v>415.47913233850363</v>
      </c>
      <c r="U40" s="37">
        <v>6.7763238281398142</v>
      </c>
      <c r="V40" s="38" t="s">
        <v>53</v>
      </c>
      <c r="W40" s="44">
        <v>440.92456304431357</v>
      </c>
      <c r="X40" s="37">
        <v>7.628640494556139</v>
      </c>
      <c r="Y40" s="38" t="s">
        <v>53</v>
      </c>
      <c r="Z40" s="44">
        <v>25.445430705809816</v>
      </c>
      <c r="AA40" s="37">
        <v>7.4966318935377121</v>
      </c>
      <c r="AB40" s="39" t="s">
        <v>53</v>
      </c>
    </row>
    <row r="41" spans="1:28" x14ac:dyDescent="0.25">
      <c r="A41" s="15" t="s">
        <v>154</v>
      </c>
      <c r="B41" s="36">
        <v>26.459841142840613</v>
      </c>
      <c r="C41" s="37">
        <v>1.3482097436076308</v>
      </c>
      <c r="D41" s="38" t="s">
        <v>53</v>
      </c>
      <c r="E41" s="36">
        <v>14.299239090455639</v>
      </c>
      <c r="F41" s="37">
        <v>0.78375161616694911</v>
      </c>
      <c r="G41" s="38" t="s">
        <v>53</v>
      </c>
      <c r="H41" s="36">
        <v>2.8179319080219711</v>
      </c>
      <c r="I41" s="37">
        <v>0.29934066728609937</v>
      </c>
      <c r="J41" s="38" t="s">
        <v>53</v>
      </c>
      <c r="K41" s="36">
        <v>45.318832533737137</v>
      </c>
      <c r="L41" s="37">
        <v>1.5925637237911647</v>
      </c>
      <c r="M41" s="38" t="s">
        <v>53</v>
      </c>
      <c r="N41" s="36">
        <v>37.278981160773768</v>
      </c>
      <c r="O41" s="37">
        <v>2.1280539231428373</v>
      </c>
      <c r="P41" s="38" t="s">
        <v>53</v>
      </c>
      <c r="Q41" s="36">
        <v>51.667552302577427</v>
      </c>
      <c r="R41" s="37">
        <v>1.9576934492890181</v>
      </c>
      <c r="S41" s="38" t="s">
        <v>53</v>
      </c>
      <c r="T41" s="44">
        <v>486.23604373628626</v>
      </c>
      <c r="U41" s="37">
        <v>4.9401073252402039</v>
      </c>
      <c r="V41" s="38" t="s">
        <v>53</v>
      </c>
      <c r="W41" s="44">
        <v>526.11843328734301</v>
      </c>
      <c r="X41" s="37">
        <v>4.2652618263406348</v>
      </c>
      <c r="Y41" s="38" t="s">
        <v>53</v>
      </c>
      <c r="Z41" s="44">
        <v>39.882389551056633</v>
      </c>
      <c r="AA41" s="37">
        <v>6.4575461777997631</v>
      </c>
      <c r="AB41" s="39" t="s">
        <v>53</v>
      </c>
    </row>
    <row r="42" spans="1:28" x14ac:dyDescent="0.25">
      <c r="A42" s="15" t="s">
        <v>155</v>
      </c>
      <c r="B42" s="36">
        <v>12.39989609171765</v>
      </c>
      <c r="C42" s="37">
        <v>0.77280409093371216</v>
      </c>
      <c r="D42" s="38" t="s">
        <v>53</v>
      </c>
      <c r="E42" s="36">
        <v>10.243322829891939</v>
      </c>
      <c r="F42" s="37">
        <v>0.55301198561700748</v>
      </c>
      <c r="G42" s="38" t="s">
        <v>53</v>
      </c>
      <c r="H42" s="36">
        <v>2.6688419212171448</v>
      </c>
      <c r="I42" s="37">
        <v>0.24253388336385007</v>
      </c>
      <c r="J42" s="38" t="s">
        <v>53</v>
      </c>
      <c r="K42" s="36">
        <v>62.908163197980947</v>
      </c>
      <c r="L42" s="37">
        <v>2.0528251135067643</v>
      </c>
      <c r="M42" s="38" t="s">
        <v>53</v>
      </c>
      <c r="N42" s="36">
        <v>43.717142308191463</v>
      </c>
      <c r="O42" s="37">
        <v>2.8563676870766179</v>
      </c>
      <c r="P42" s="38" t="s">
        <v>53</v>
      </c>
      <c r="Q42" s="36">
        <v>82.238447843231086</v>
      </c>
      <c r="R42" s="37">
        <v>2.1461470359145451</v>
      </c>
      <c r="S42" s="38" t="s">
        <v>53</v>
      </c>
      <c r="T42" s="44">
        <v>454.893163215919</v>
      </c>
      <c r="U42" s="37">
        <v>6.2132004887300072</v>
      </c>
      <c r="V42" s="38" t="s">
        <v>53</v>
      </c>
      <c r="W42" s="44">
        <v>459.86691733617647</v>
      </c>
      <c r="X42" s="37">
        <v>6.418819952064867</v>
      </c>
      <c r="Y42" s="38" t="s">
        <v>53</v>
      </c>
      <c r="Z42" s="44">
        <v>4.9737541202575137</v>
      </c>
      <c r="AA42" s="37">
        <v>8.7555912252250625</v>
      </c>
      <c r="AB42" s="39" t="s">
        <v>53</v>
      </c>
    </row>
    <row r="43" spans="1:28" x14ac:dyDescent="0.25">
      <c r="A43" s="15" t="s">
        <v>156</v>
      </c>
      <c r="B43" s="36">
        <v>0.64312078856707999</v>
      </c>
      <c r="C43" s="37">
        <v>0.19031100288588151</v>
      </c>
      <c r="D43" s="38" t="s">
        <v>53</v>
      </c>
      <c r="E43" s="36">
        <v>1.7211215410973679</v>
      </c>
      <c r="F43" s="37">
        <v>0.28691901313180346</v>
      </c>
      <c r="G43" s="38" t="s">
        <v>53</v>
      </c>
      <c r="H43" s="36">
        <v>1.197865962698174</v>
      </c>
      <c r="I43" s="37">
        <v>0.18502079188256323</v>
      </c>
      <c r="J43" s="38" t="s">
        <v>53</v>
      </c>
      <c r="K43" s="36" t="s">
        <v>56</v>
      </c>
      <c r="L43" s="37" t="s">
        <v>56</v>
      </c>
      <c r="M43" s="38" t="s">
        <v>53</v>
      </c>
      <c r="N43" s="36" t="s">
        <v>56</v>
      </c>
      <c r="O43" s="37" t="s">
        <v>56</v>
      </c>
      <c r="P43" s="38" t="s">
        <v>53</v>
      </c>
      <c r="Q43" s="36" t="s">
        <v>56</v>
      </c>
      <c r="R43" s="37" t="s">
        <v>56</v>
      </c>
      <c r="S43" s="38" t="s">
        <v>53</v>
      </c>
      <c r="T43" s="44" t="s">
        <v>56</v>
      </c>
      <c r="U43" s="37" t="s">
        <v>56</v>
      </c>
      <c r="V43" s="38" t="s">
        <v>53</v>
      </c>
      <c r="W43" s="44" t="s">
        <v>56</v>
      </c>
      <c r="X43" s="37" t="s">
        <v>56</v>
      </c>
      <c r="Y43" s="38" t="s">
        <v>53</v>
      </c>
      <c r="Z43" s="44" t="s">
        <v>56</v>
      </c>
      <c r="AA43" s="37" t="s">
        <v>56</v>
      </c>
      <c r="AB43" s="39" t="s">
        <v>53</v>
      </c>
    </row>
    <row r="44" spans="1:28" x14ac:dyDescent="0.25">
      <c r="A44" s="15" t="s">
        <v>227</v>
      </c>
      <c r="B44" s="36">
        <v>6.9632335887591799</v>
      </c>
      <c r="C44" s="37">
        <v>0.57149006614731868</v>
      </c>
      <c r="D44" s="38" t="s">
        <v>53</v>
      </c>
      <c r="E44" s="36">
        <v>3.0604030471460821</v>
      </c>
      <c r="F44" s="37">
        <v>0.34313066772576672</v>
      </c>
      <c r="G44" s="38" t="s">
        <v>53</v>
      </c>
      <c r="H44" s="36">
        <v>1.1763295318726881</v>
      </c>
      <c r="I44" s="37">
        <v>0.15089816505716339</v>
      </c>
      <c r="J44" s="38" t="s">
        <v>53</v>
      </c>
      <c r="K44" s="36">
        <v>27.60183507276788</v>
      </c>
      <c r="L44" s="37">
        <v>2.6980688091002922</v>
      </c>
      <c r="M44" s="38" t="s">
        <v>53</v>
      </c>
      <c r="N44" s="36">
        <v>23.492715745954008</v>
      </c>
      <c r="O44" s="37">
        <v>3.4105114263584104</v>
      </c>
      <c r="P44" s="38" t="s">
        <v>53</v>
      </c>
      <c r="Q44" s="36">
        <v>33.16986207594573</v>
      </c>
      <c r="R44" s="37">
        <v>3.4525292111600283</v>
      </c>
      <c r="S44" s="38" t="s">
        <v>53</v>
      </c>
      <c r="T44" s="44">
        <v>446.45751783301449</v>
      </c>
      <c r="U44" s="37">
        <v>13.908733259147903</v>
      </c>
      <c r="V44" s="38" t="s">
        <v>53</v>
      </c>
      <c r="W44" s="44">
        <v>469.10212857304288</v>
      </c>
      <c r="X44" s="37">
        <v>7.5287900316639869</v>
      </c>
      <c r="Y44" s="38" t="s">
        <v>53</v>
      </c>
      <c r="Z44" s="44">
        <v>22.644610740028316</v>
      </c>
      <c r="AA44" s="37">
        <v>13.266422537770579</v>
      </c>
      <c r="AB44" s="39" t="s">
        <v>53</v>
      </c>
    </row>
    <row r="45" spans="1:28" x14ac:dyDescent="0.25">
      <c r="A45" s="15" t="s">
        <v>157</v>
      </c>
      <c r="B45" s="36">
        <v>1.18853098725919</v>
      </c>
      <c r="C45" s="37">
        <v>0.16842230016552609</v>
      </c>
      <c r="D45" s="38" t="s">
        <v>53</v>
      </c>
      <c r="E45" s="36">
        <v>8.6996743667991794</v>
      </c>
      <c r="F45" s="37">
        <v>0.7357893194443772</v>
      </c>
      <c r="G45" s="38" t="s">
        <v>53</v>
      </c>
      <c r="H45" s="36">
        <v>8.0590414281262319</v>
      </c>
      <c r="I45" s="37">
        <v>0.73585238792897301</v>
      </c>
      <c r="J45" s="38" t="s">
        <v>53</v>
      </c>
      <c r="K45" s="36">
        <v>40.526808772237906</v>
      </c>
      <c r="L45" s="37">
        <v>6.4783294156105926</v>
      </c>
      <c r="M45" s="38" t="s">
        <v>53</v>
      </c>
      <c r="N45" s="36">
        <v>34.574151074319673</v>
      </c>
      <c r="O45" s="37">
        <v>7.81609260501937</v>
      </c>
      <c r="P45" s="38" t="s">
        <v>53</v>
      </c>
      <c r="Q45" s="36">
        <v>47.094208568729471</v>
      </c>
      <c r="R45" s="37">
        <v>9.6585797005501384</v>
      </c>
      <c r="S45" s="38" t="s">
        <v>53</v>
      </c>
      <c r="T45" s="44" t="s">
        <v>56</v>
      </c>
      <c r="U45" s="37" t="s">
        <v>56</v>
      </c>
      <c r="V45" s="38" t="s">
        <v>53</v>
      </c>
      <c r="W45" s="44">
        <v>421.36543094314652</v>
      </c>
      <c r="X45" s="37">
        <v>18.0511147426175</v>
      </c>
      <c r="Y45" s="38" t="s">
        <v>53</v>
      </c>
      <c r="Z45" s="44" t="s">
        <v>56</v>
      </c>
      <c r="AA45" s="37" t="s">
        <v>56</v>
      </c>
      <c r="AB45" s="39" t="s">
        <v>53</v>
      </c>
    </row>
    <row r="46" spans="1:28" x14ac:dyDescent="0.25">
      <c r="A46" s="15" t="s">
        <v>158</v>
      </c>
      <c r="B46" s="36">
        <v>8.8801416636658708</v>
      </c>
      <c r="C46" s="37">
        <v>0.31167440261340096</v>
      </c>
      <c r="D46" s="38" t="s">
        <v>53</v>
      </c>
      <c r="E46" s="36">
        <v>9.8547627098962103</v>
      </c>
      <c r="F46" s="37">
        <v>0.38509975434321919</v>
      </c>
      <c r="G46" s="38" t="s">
        <v>53</v>
      </c>
      <c r="H46" s="36">
        <v>3.1033334147136049</v>
      </c>
      <c r="I46" s="37">
        <v>0.34044278210096485</v>
      </c>
      <c r="J46" s="38" t="s">
        <v>53</v>
      </c>
      <c r="K46" s="36">
        <v>78.147239175264644</v>
      </c>
      <c r="L46" s="37">
        <v>1.9369757146145028</v>
      </c>
      <c r="M46" s="38" t="s">
        <v>53</v>
      </c>
      <c r="N46" s="36">
        <v>57.051865622846883</v>
      </c>
      <c r="O46" s="37">
        <v>3.3231563834227189</v>
      </c>
      <c r="P46" s="38" t="s">
        <v>53</v>
      </c>
      <c r="Q46" s="36">
        <v>92.821656422997606</v>
      </c>
      <c r="R46" s="37">
        <v>1.77647870863306</v>
      </c>
      <c r="S46" s="38" t="s">
        <v>53</v>
      </c>
      <c r="T46" s="44">
        <v>435.0225743041924</v>
      </c>
      <c r="U46" s="37">
        <v>6.9141721420131379</v>
      </c>
      <c r="V46" s="38" t="s">
        <v>53</v>
      </c>
      <c r="W46" s="44">
        <v>455.86220017399677</v>
      </c>
      <c r="X46" s="37">
        <v>12.129715235625678</v>
      </c>
      <c r="Y46" s="38" t="s">
        <v>53</v>
      </c>
      <c r="Z46" s="44">
        <v>20.839625869804362</v>
      </c>
      <c r="AA46" s="37">
        <v>13.835354500070386</v>
      </c>
      <c r="AB46" s="39" t="s">
        <v>53</v>
      </c>
    </row>
    <row r="47" spans="1:28" x14ac:dyDescent="0.25">
      <c r="A47" s="15" t="s">
        <v>159</v>
      </c>
      <c r="B47" s="36">
        <v>12.188161728613951</v>
      </c>
      <c r="C47" s="37">
        <v>0.47645498721799551</v>
      </c>
      <c r="D47" s="38" t="s">
        <v>53</v>
      </c>
      <c r="E47" s="36">
        <v>20.56859443807544</v>
      </c>
      <c r="F47" s="37">
        <v>0.75920007990388172</v>
      </c>
      <c r="G47" s="38" t="s">
        <v>53</v>
      </c>
      <c r="H47" s="36">
        <v>16.165920815016861</v>
      </c>
      <c r="I47" s="37">
        <v>0.79663576756855892</v>
      </c>
      <c r="J47" s="38" t="s">
        <v>53</v>
      </c>
      <c r="K47" s="36">
        <v>49.709931202593069</v>
      </c>
      <c r="L47" s="37">
        <v>1.4581821703822189</v>
      </c>
      <c r="M47" s="38" t="s">
        <v>53</v>
      </c>
      <c r="N47" s="36">
        <v>46.916386221534097</v>
      </c>
      <c r="O47" s="37">
        <v>2.2704731162307525</v>
      </c>
      <c r="P47" s="38" t="s">
        <v>53</v>
      </c>
      <c r="Q47" s="36">
        <v>51.591685890379523</v>
      </c>
      <c r="R47" s="37">
        <v>1.8539639274131483</v>
      </c>
      <c r="S47" s="38" t="s">
        <v>53</v>
      </c>
      <c r="T47" s="44" t="s">
        <v>55</v>
      </c>
      <c r="U47" s="37" t="s">
        <v>55</v>
      </c>
      <c r="V47" s="38" t="s">
        <v>53</v>
      </c>
      <c r="W47" s="44" t="s">
        <v>55</v>
      </c>
      <c r="X47" s="37" t="s">
        <v>55</v>
      </c>
      <c r="Y47" s="38" t="s">
        <v>53</v>
      </c>
      <c r="Z47" s="44" t="s">
        <v>55</v>
      </c>
      <c r="AA47" s="37" t="s">
        <v>55</v>
      </c>
      <c r="AB47" s="39" t="s">
        <v>53</v>
      </c>
    </row>
    <row r="48" spans="1:28" x14ac:dyDescent="0.25">
      <c r="A48" s="15" t="s">
        <v>160</v>
      </c>
      <c r="B48" s="36">
        <v>20.473115864425338</v>
      </c>
      <c r="C48" s="37">
        <v>1.3408865697378713</v>
      </c>
      <c r="D48" s="38" t="s">
        <v>53</v>
      </c>
      <c r="E48" s="36">
        <v>17.608091823089222</v>
      </c>
      <c r="F48" s="37">
        <v>1.027892272358955</v>
      </c>
      <c r="G48" s="38" t="s">
        <v>53</v>
      </c>
      <c r="H48" s="36">
        <v>4.1791326696694373</v>
      </c>
      <c r="I48" s="37">
        <v>0.32119916275627414</v>
      </c>
      <c r="J48" s="38" t="s">
        <v>53</v>
      </c>
      <c r="K48" s="36">
        <v>68.084775592387956</v>
      </c>
      <c r="L48" s="37">
        <v>1.5661735808360271</v>
      </c>
      <c r="M48" s="38" t="s">
        <v>53</v>
      </c>
      <c r="N48" s="36">
        <v>55.910213724076442</v>
      </c>
      <c r="O48" s="37">
        <v>2.06329616932759</v>
      </c>
      <c r="P48" s="38" t="s">
        <v>53</v>
      </c>
      <c r="Q48" s="36">
        <v>81.902355810195999</v>
      </c>
      <c r="R48" s="37">
        <v>1.8751670123447626</v>
      </c>
      <c r="S48" s="38" t="s">
        <v>53</v>
      </c>
      <c r="T48" s="44">
        <v>427.38681123336829</v>
      </c>
      <c r="U48" s="37">
        <v>7.0024617038281001</v>
      </c>
      <c r="V48" s="38" t="s">
        <v>53</v>
      </c>
      <c r="W48" s="44">
        <v>475.72662805214043</v>
      </c>
      <c r="X48" s="37">
        <v>6.9770767948085526</v>
      </c>
      <c r="Y48" s="38" t="s">
        <v>53</v>
      </c>
      <c r="Z48" s="44">
        <v>48.339816818772256</v>
      </c>
      <c r="AA48" s="37">
        <v>9.062285446663557</v>
      </c>
      <c r="AB48" s="39" t="s">
        <v>53</v>
      </c>
    </row>
    <row r="49" spans="1:28" x14ac:dyDescent="0.25">
      <c r="A49" s="15" t="s">
        <v>161</v>
      </c>
      <c r="B49" s="36">
        <v>33.868233035169411</v>
      </c>
      <c r="C49" s="37">
        <v>1.4103551478288376</v>
      </c>
      <c r="D49" s="38" t="s">
        <v>53</v>
      </c>
      <c r="E49" s="36">
        <v>27.014776940014119</v>
      </c>
      <c r="F49" s="37">
        <v>1.1991716722486734</v>
      </c>
      <c r="G49" s="38" t="s">
        <v>53</v>
      </c>
      <c r="H49" s="36">
        <v>7.6183476045973322</v>
      </c>
      <c r="I49" s="37">
        <v>0.6859290585393264</v>
      </c>
      <c r="J49" s="38" t="s">
        <v>53</v>
      </c>
      <c r="K49" s="36">
        <v>64.097663684099473</v>
      </c>
      <c r="L49" s="37">
        <v>1.5027523631571891</v>
      </c>
      <c r="M49" s="38" t="s">
        <v>53</v>
      </c>
      <c r="N49" s="36">
        <v>60.486012940338433</v>
      </c>
      <c r="O49" s="37">
        <v>1.8196435644358486</v>
      </c>
      <c r="P49" s="38" t="s">
        <v>53</v>
      </c>
      <c r="Q49" s="36">
        <v>70.693688548933622</v>
      </c>
      <c r="R49" s="37">
        <v>2.0878641842092671</v>
      </c>
      <c r="S49" s="38" t="s">
        <v>53</v>
      </c>
      <c r="T49" s="44">
        <v>433.29388559058572</v>
      </c>
      <c r="U49" s="37">
        <v>4.6918882838184892</v>
      </c>
      <c r="V49" s="38" t="s">
        <v>53</v>
      </c>
      <c r="W49" s="44">
        <v>484.41591301538841</v>
      </c>
      <c r="X49" s="37">
        <v>4.4974324231439979</v>
      </c>
      <c r="Y49" s="38" t="s">
        <v>53</v>
      </c>
      <c r="Z49" s="44">
        <v>51.122027424802646</v>
      </c>
      <c r="AA49" s="37">
        <v>4.684015312383595</v>
      </c>
      <c r="AB49" s="39" t="s">
        <v>53</v>
      </c>
    </row>
    <row r="50" spans="1:28" x14ac:dyDescent="0.25">
      <c r="A50" s="15" t="s">
        <v>162</v>
      </c>
      <c r="B50" s="36">
        <v>0.85430183715388996</v>
      </c>
      <c r="C50" s="37">
        <v>0.14058186011809648</v>
      </c>
      <c r="D50" s="38" t="s">
        <v>53</v>
      </c>
      <c r="E50" s="36">
        <v>6.9673020855335981</v>
      </c>
      <c r="F50" s="37">
        <v>0.90836777761767251</v>
      </c>
      <c r="G50" s="38" t="s">
        <v>53</v>
      </c>
      <c r="H50" s="36">
        <v>6.7424477733371848</v>
      </c>
      <c r="I50" s="37">
        <v>0.89868097390300683</v>
      </c>
      <c r="J50" s="38" t="s">
        <v>53</v>
      </c>
      <c r="K50" s="36">
        <v>26.145268480791589</v>
      </c>
      <c r="L50" s="37">
        <v>7.4832305911657437</v>
      </c>
      <c r="M50" s="38" t="s">
        <v>53</v>
      </c>
      <c r="N50" s="36">
        <v>15.54053948693883</v>
      </c>
      <c r="O50" s="37">
        <v>5.5617105331659911</v>
      </c>
      <c r="P50" s="38" t="s">
        <v>53</v>
      </c>
      <c r="Q50" s="36" t="s">
        <v>56</v>
      </c>
      <c r="R50" s="37" t="s">
        <v>56</v>
      </c>
      <c r="S50" s="38" t="s">
        <v>53</v>
      </c>
      <c r="T50" s="44" t="s">
        <v>56</v>
      </c>
      <c r="U50" s="37" t="s">
        <v>56</v>
      </c>
      <c r="V50" s="38" t="s">
        <v>53</v>
      </c>
      <c r="W50" s="44">
        <v>472.81137822285513</v>
      </c>
      <c r="X50" s="37">
        <v>13.995649214541414</v>
      </c>
      <c r="Y50" s="38" t="s">
        <v>53</v>
      </c>
      <c r="Z50" s="44" t="s">
        <v>56</v>
      </c>
      <c r="AA50" s="37" t="s">
        <v>56</v>
      </c>
      <c r="AB50" s="39" t="s">
        <v>53</v>
      </c>
    </row>
    <row r="51" spans="1:28" x14ac:dyDescent="0.25">
      <c r="A51" s="15" t="s">
        <v>163</v>
      </c>
      <c r="B51" s="36">
        <v>19.760951782508652</v>
      </c>
      <c r="C51" s="37">
        <v>1.1769923779338967</v>
      </c>
      <c r="D51" s="38" t="s">
        <v>53</v>
      </c>
      <c r="E51" s="36">
        <v>11.927334812984309</v>
      </c>
      <c r="F51" s="37">
        <v>0.75471858138660108</v>
      </c>
      <c r="G51" s="38" t="s">
        <v>53</v>
      </c>
      <c r="H51" s="36">
        <v>2.6618844696783608</v>
      </c>
      <c r="I51" s="37">
        <v>0.26774759345164884</v>
      </c>
      <c r="J51" s="38" t="s">
        <v>53</v>
      </c>
      <c r="K51" s="36">
        <v>48.272162554327153</v>
      </c>
      <c r="L51" s="37">
        <v>1.7502759689059355</v>
      </c>
      <c r="M51" s="38" t="s">
        <v>53</v>
      </c>
      <c r="N51" s="36">
        <v>32.560405360691178</v>
      </c>
      <c r="O51" s="37">
        <v>2.1844167174196865</v>
      </c>
      <c r="P51" s="38" t="s">
        <v>53</v>
      </c>
      <c r="Q51" s="36">
        <v>69.409822749114184</v>
      </c>
      <c r="R51" s="37">
        <v>1.8317342282508466</v>
      </c>
      <c r="S51" s="38" t="s">
        <v>53</v>
      </c>
      <c r="T51" s="44">
        <v>480.42643760724678</v>
      </c>
      <c r="U51" s="37">
        <v>5.6916876366503493</v>
      </c>
      <c r="V51" s="38" t="s">
        <v>53</v>
      </c>
      <c r="W51" s="44">
        <v>500.06260356889345</v>
      </c>
      <c r="X51" s="37">
        <v>4.9779702727748694</v>
      </c>
      <c r="Y51" s="38" t="s">
        <v>53</v>
      </c>
      <c r="Z51" s="44">
        <v>19.636165961646725</v>
      </c>
      <c r="AA51" s="37">
        <v>6.685572896386069</v>
      </c>
      <c r="AB51" s="39" t="s">
        <v>53</v>
      </c>
    </row>
    <row r="52" spans="1:28" x14ac:dyDescent="0.25">
      <c r="A52" s="15" t="s">
        <v>228</v>
      </c>
      <c r="B52" s="36">
        <v>23.012325770304379</v>
      </c>
      <c r="C52" s="37">
        <v>1.519881538268582</v>
      </c>
      <c r="D52" s="38" t="s">
        <v>53</v>
      </c>
      <c r="E52" s="36">
        <v>16.346829124412569</v>
      </c>
      <c r="F52" s="37">
        <v>1.2072719157663947</v>
      </c>
      <c r="G52" s="38" t="s">
        <v>53</v>
      </c>
      <c r="H52" s="36">
        <v>2.909379337088065</v>
      </c>
      <c r="I52" s="37">
        <v>0.34297987578124045</v>
      </c>
      <c r="J52" s="38" t="s">
        <v>53</v>
      </c>
      <c r="K52" s="36">
        <v>59.938954472202383</v>
      </c>
      <c r="L52" s="37">
        <v>2.1716152468029937</v>
      </c>
      <c r="M52" s="38" t="s">
        <v>53</v>
      </c>
      <c r="N52" s="36">
        <v>54.493611465351343</v>
      </c>
      <c r="O52" s="37">
        <v>2.6208390308754272</v>
      </c>
      <c r="P52" s="38" t="s">
        <v>53</v>
      </c>
      <c r="Q52" s="36">
        <v>75.625768377178275</v>
      </c>
      <c r="R52" s="37">
        <v>2.7672342473353395</v>
      </c>
      <c r="S52" s="38" t="s">
        <v>53</v>
      </c>
      <c r="T52" s="44">
        <v>492.95119092987875</v>
      </c>
      <c r="U52" s="37">
        <v>7.082478422446461</v>
      </c>
      <c r="V52" s="38" t="s">
        <v>53</v>
      </c>
      <c r="W52" s="44">
        <v>519.67944399539681</v>
      </c>
      <c r="X52" s="37">
        <v>7.0790921864718515</v>
      </c>
      <c r="Y52" s="38" t="s">
        <v>53</v>
      </c>
      <c r="Z52" s="44">
        <v>26.728253065518089</v>
      </c>
      <c r="AA52" s="37">
        <v>8.1554570787752176</v>
      </c>
      <c r="AB52" s="39" t="s">
        <v>53</v>
      </c>
    </row>
    <row r="53" spans="1:28" x14ac:dyDescent="0.25">
      <c r="A53" s="15" t="s">
        <v>166</v>
      </c>
      <c r="B53" s="36">
        <v>13.067679806644071</v>
      </c>
      <c r="C53" s="37">
        <v>0.13401021802186819</v>
      </c>
      <c r="D53" s="38" t="s">
        <v>53</v>
      </c>
      <c r="E53" s="36">
        <v>11.955480980937949</v>
      </c>
      <c r="F53" s="37">
        <v>0.1099010747543685</v>
      </c>
      <c r="G53" s="38" t="s">
        <v>53</v>
      </c>
      <c r="H53" s="36">
        <v>6.5346398826790191</v>
      </c>
      <c r="I53" s="37">
        <v>7.1596447916366698E-2</v>
      </c>
      <c r="J53" s="38" t="s">
        <v>53</v>
      </c>
      <c r="K53" s="36">
        <v>47.974784985226833</v>
      </c>
      <c r="L53" s="37">
        <v>0.5334950251548134</v>
      </c>
      <c r="M53" s="38" t="s">
        <v>53</v>
      </c>
      <c r="N53" s="36">
        <v>41.244275748298513</v>
      </c>
      <c r="O53" s="37">
        <v>0.6280282047663549</v>
      </c>
      <c r="P53" s="38" t="s">
        <v>53</v>
      </c>
      <c r="Q53" s="36">
        <v>61.735488874306768</v>
      </c>
      <c r="R53" s="37">
        <v>0.80950242805862294</v>
      </c>
      <c r="S53" s="38" t="s">
        <v>53</v>
      </c>
      <c r="T53" s="44">
        <v>443.99158307722712</v>
      </c>
      <c r="U53" s="37">
        <v>1.7494899472550549</v>
      </c>
      <c r="V53" s="38" t="s">
        <v>53</v>
      </c>
      <c r="W53" s="44">
        <v>468.74241276696478</v>
      </c>
      <c r="X53" s="37">
        <v>1.7264725275509989</v>
      </c>
      <c r="Y53" s="38" t="s">
        <v>53</v>
      </c>
      <c r="Z53" s="44">
        <v>35.966489840099548</v>
      </c>
      <c r="AA53" s="37">
        <v>2.3113620636751531</v>
      </c>
      <c r="AB53" s="39" t="s">
        <v>53</v>
      </c>
    </row>
    <row r="54" spans="1:28" x14ac:dyDescent="0.25">
      <c r="A54" s="57" t="s">
        <v>211</v>
      </c>
      <c r="B54" s="36"/>
      <c r="C54" s="37"/>
      <c r="D54" s="38"/>
      <c r="E54" s="36"/>
      <c r="F54" s="37"/>
      <c r="G54" s="38"/>
      <c r="H54" s="36"/>
      <c r="I54" s="37"/>
      <c r="J54" s="38"/>
      <c r="K54" s="36"/>
      <c r="L54" s="37"/>
      <c r="M54" s="38"/>
      <c r="N54" s="36"/>
      <c r="O54" s="37"/>
      <c r="P54" s="38"/>
      <c r="Q54" s="36"/>
      <c r="R54" s="37"/>
      <c r="S54" s="38"/>
      <c r="T54" s="44"/>
      <c r="U54" s="37"/>
      <c r="V54" s="38"/>
      <c r="W54" s="44"/>
      <c r="X54" s="37"/>
      <c r="Y54" s="38"/>
      <c r="Z54" s="44"/>
      <c r="AA54" s="37"/>
      <c r="AB54" s="39"/>
    </row>
    <row r="55" spans="1:28" x14ac:dyDescent="0.25">
      <c r="A55" s="15" t="s">
        <v>169</v>
      </c>
      <c r="B55" s="36">
        <v>0.62059781455420004</v>
      </c>
      <c r="C55" s="37">
        <v>0.12271048399013314</v>
      </c>
      <c r="D55" s="38" t="s">
        <v>53</v>
      </c>
      <c r="E55" s="36">
        <v>3.994257941259975</v>
      </c>
      <c r="F55" s="37">
        <v>0.52635405458473106</v>
      </c>
      <c r="G55" s="38" t="s">
        <v>53</v>
      </c>
      <c r="H55" s="36">
        <v>3.7999079650303429</v>
      </c>
      <c r="I55" s="37">
        <v>0.51827982913971515</v>
      </c>
      <c r="J55" s="38" t="s">
        <v>53</v>
      </c>
      <c r="K55" s="36">
        <v>28.885621193919459</v>
      </c>
      <c r="L55" s="37">
        <v>7.5353993648360458</v>
      </c>
      <c r="M55" s="38" t="s">
        <v>53</v>
      </c>
      <c r="N55" s="36" t="s">
        <v>56</v>
      </c>
      <c r="O55" s="37" t="s">
        <v>56</v>
      </c>
      <c r="P55" s="38" t="s">
        <v>53</v>
      </c>
      <c r="Q55" s="36" t="s">
        <v>56</v>
      </c>
      <c r="R55" s="37" t="s">
        <v>56</v>
      </c>
      <c r="S55" s="38" t="s">
        <v>53</v>
      </c>
      <c r="T55" s="44" t="s">
        <v>56</v>
      </c>
      <c r="U55" s="37" t="s">
        <v>56</v>
      </c>
      <c r="V55" s="38" t="s">
        <v>53</v>
      </c>
      <c r="W55" s="44" t="s">
        <v>56</v>
      </c>
      <c r="X55" s="37" t="s">
        <v>56</v>
      </c>
      <c r="Y55" s="38" t="s">
        <v>53</v>
      </c>
      <c r="Z55" s="44" t="s">
        <v>56</v>
      </c>
      <c r="AA55" s="37" t="s">
        <v>56</v>
      </c>
      <c r="AB55" s="39" t="s">
        <v>53</v>
      </c>
    </row>
    <row r="56" spans="1:28" x14ac:dyDescent="0.25">
      <c r="A56" s="15" t="s">
        <v>170</v>
      </c>
      <c r="B56" s="36">
        <v>4.5581922113720896</v>
      </c>
      <c r="C56" s="37">
        <v>0.3258858226592739</v>
      </c>
      <c r="D56" s="38" t="s">
        <v>53</v>
      </c>
      <c r="E56" s="36">
        <v>3.4312748095239178</v>
      </c>
      <c r="F56" s="37">
        <v>0.30753674252505731</v>
      </c>
      <c r="G56" s="38" t="s">
        <v>53</v>
      </c>
      <c r="H56" s="36">
        <v>2.3912136188715549</v>
      </c>
      <c r="I56" s="37">
        <v>0.28801386324348882</v>
      </c>
      <c r="J56" s="38" t="s">
        <v>53</v>
      </c>
      <c r="K56" s="36">
        <v>20.500337001390189</v>
      </c>
      <c r="L56" s="37">
        <v>2.800833744876646</v>
      </c>
      <c r="M56" s="38" t="s">
        <v>53</v>
      </c>
      <c r="N56" s="36">
        <v>13.943768395564289</v>
      </c>
      <c r="O56" s="37">
        <v>2.6303041718397173</v>
      </c>
      <c r="P56" s="38" t="s">
        <v>53</v>
      </c>
      <c r="Q56" s="36">
        <v>27.673831449193809</v>
      </c>
      <c r="R56" s="37">
        <v>4.3406616138479786</v>
      </c>
      <c r="S56" s="38" t="s">
        <v>53</v>
      </c>
      <c r="T56" s="44">
        <v>394.55935231019771</v>
      </c>
      <c r="U56" s="37">
        <v>11.506259733870783</v>
      </c>
      <c r="V56" s="38" t="s">
        <v>53</v>
      </c>
      <c r="W56" s="44">
        <v>407.73256046122117</v>
      </c>
      <c r="X56" s="37">
        <v>7.9949256411583853</v>
      </c>
      <c r="Y56" s="38" t="s">
        <v>53</v>
      </c>
      <c r="Z56" s="44">
        <v>13.173208151023415</v>
      </c>
      <c r="AA56" s="37">
        <v>13.541213549832147</v>
      </c>
      <c r="AB56" s="39" t="s">
        <v>53</v>
      </c>
    </row>
    <row r="57" spans="1:28" x14ac:dyDescent="0.25">
      <c r="A57" s="15" t="s">
        <v>171</v>
      </c>
      <c r="B57" s="36">
        <v>5.2006981077612595</v>
      </c>
      <c r="C57" s="37">
        <v>0.37027052060356908</v>
      </c>
      <c r="D57" s="38" t="s">
        <v>53</v>
      </c>
      <c r="E57" s="36">
        <v>11.091226587318349</v>
      </c>
      <c r="F57" s="37">
        <v>0.39141080808439416</v>
      </c>
      <c r="G57" s="38" t="s">
        <v>53</v>
      </c>
      <c r="H57" s="36">
        <v>10.867505423337329</v>
      </c>
      <c r="I57" s="37">
        <v>0.42756370004238292</v>
      </c>
      <c r="J57" s="38" t="s">
        <v>53</v>
      </c>
      <c r="K57" s="36">
        <v>12.511651861289391</v>
      </c>
      <c r="L57" s="37">
        <v>1.8133363590935601</v>
      </c>
      <c r="M57" s="38" t="s">
        <v>53</v>
      </c>
      <c r="N57" s="36">
        <v>8.6355829759454945</v>
      </c>
      <c r="O57" s="37">
        <v>1.7297071743115333</v>
      </c>
      <c r="P57" s="38" t="s">
        <v>53</v>
      </c>
      <c r="Q57" s="36">
        <v>17.92663323291535</v>
      </c>
      <c r="R57" s="37">
        <v>3.0285880754591727</v>
      </c>
      <c r="S57" s="38" t="s">
        <v>53</v>
      </c>
      <c r="T57" s="44">
        <v>345.01049878102503</v>
      </c>
      <c r="U57" s="37">
        <v>12.962969961019056</v>
      </c>
      <c r="V57" s="38" t="s">
        <v>53</v>
      </c>
      <c r="W57" s="44">
        <v>383.81626696645776</v>
      </c>
      <c r="X57" s="37">
        <v>4.2947323824874299</v>
      </c>
      <c r="Y57" s="38" t="s">
        <v>53</v>
      </c>
      <c r="Z57" s="44">
        <v>38.805768185432804</v>
      </c>
      <c r="AA57" s="37">
        <v>13.430615230887543</v>
      </c>
      <c r="AB57" s="39" t="s">
        <v>53</v>
      </c>
    </row>
    <row r="58" spans="1:28" x14ac:dyDescent="0.25">
      <c r="A58" s="15" t="s">
        <v>172</v>
      </c>
      <c r="B58" s="36">
        <v>4.1471741637499493</v>
      </c>
      <c r="C58" s="37">
        <v>0.3187600924711777</v>
      </c>
      <c r="D58" s="38" t="s">
        <v>53</v>
      </c>
      <c r="E58" s="36">
        <v>4.2765104179588116</v>
      </c>
      <c r="F58" s="37">
        <v>0.5151728256352307</v>
      </c>
      <c r="G58" s="38" t="s">
        <v>53</v>
      </c>
      <c r="H58" s="36">
        <v>4.2003293504787012</v>
      </c>
      <c r="I58" s="37">
        <v>0.51790186253081139</v>
      </c>
      <c r="J58" s="38" t="s">
        <v>53</v>
      </c>
      <c r="K58" s="36">
        <v>6.304153195238273</v>
      </c>
      <c r="L58" s="37">
        <v>1.8345055858985</v>
      </c>
      <c r="M58" s="38" t="s">
        <v>53</v>
      </c>
      <c r="N58" s="36">
        <v>6.3045846281183344</v>
      </c>
      <c r="O58" s="37">
        <v>2.0250647523297505</v>
      </c>
      <c r="P58" s="38" t="s">
        <v>53</v>
      </c>
      <c r="Q58" s="36">
        <v>6.3031777894825503</v>
      </c>
      <c r="R58" s="37">
        <v>3.1145726150782718</v>
      </c>
      <c r="S58" s="38" t="s">
        <v>53</v>
      </c>
      <c r="T58" s="44" t="s">
        <v>56</v>
      </c>
      <c r="U58" s="37" t="s">
        <v>56</v>
      </c>
      <c r="V58" s="38" t="s">
        <v>53</v>
      </c>
      <c r="W58" s="44">
        <v>459.46817159628648</v>
      </c>
      <c r="X58" s="37">
        <v>7.562764919375371</v>
      </c>
      <c r="Y58" s="38" t="s">
        <v>53</v>
      </c>
      <c r="Z58" s="44" t="s">
        <v>56</v>
      </c>
      <c r="AA58" s="37" t="s">
        <v>56</v>
      </c>
      <c r="AB58" s="39" t="s">
        <v>53</v>
      </c>
    </row>
    <row r="59" spans="1:28" x14ac:dyDescent="0.25">
      <c r="A59" s="15" t="s">
        <v>173</v>
      </c>
      <c r="B59" s="36">
        <v>2.8167785120561701</v>
      </c>
      <c r="C59" s="37">
        <v>0.32525593627930094</v>
      </c>
      <c r="D59" s="38" t="s">
        <v>53</v>
      </c>
      <c r="E59" s="36">
        <v>6.4579425873893967</v>
      </c>
      <c r="F59" s="37">
        <v>0.44237108994109542</v>
      </c>
      <c r="G59" s="38" t="s">
        <v>53</v>
      </c>
      <c r="H59" s="36">
        <v>6.0686123557116094</v>
      </c>
      <c r="I59" s="37">
        <v>0.4394751547888911</v>
      </c>
      <c r="J59" s="38" t="s">
        <v>53</v>
      </c>
      <c r="K59" s="36">
        <v>17.222442775639148</v>
      </c>
      <c r="L59" s="37">
        <v>3.2875636742905576</v>
      </c>
      <c r="M59" s="38" t="s">
        <v>53</v>
      </c>
      <c r="N59" s="36">
        <v>17.11441564047395</v>
      </c>
      <c r="O59" s="37">
        <v>4.0467010143014104</v>
      </c>
      <c r="P59" s="38" t="s">
        <v>53</v>
      </c>
      <c r="Q59" s="36">
        <v>17.331530089597489</v>
      </c>
      <c r="R59" s="37">
        <v>4.9195548428158729</v>
      </c>
      <c r="S59" s="38" t="s">
        <v>53</v>
      </c>
      <c r="T59" s="44" t="s">
        <v>56</v>
      </c>
      <c r="U59" s="37" t="s">
        <v>56</v>
      </c>
      <c r="V59" s="38" t="s">
        <v>53</v>
      </c>
      <c r="W59" s="44">
        <v>392.27275711119603</v>
      </c>
      <c r="X59" s="37">
        <v>7.9898301402173448</v>
      </c>
      <c r="Y59" s="38" t="s">
        <v>53</v>
      </c>
      <c r="Z59" s="44" t="s">
        <v>56</v>
      </c>
      <c r="AA59" s="37" t="s">
        <v>56</v>
      </c>
      <c r="AB59" s="39" t="s">
        <v>53</v>
      </c>
    </row>
    <row r="60" spans="1:28" x14ac:dyDescent="0.25">
      <c r="A60" s="15" t="s">
        <v>174</v>
      </c>
      <c r="B60" s="36">
        <v>0.60093706095619004</v>
      </c>
      <c r="C60" s="37">
        <v>9.1503247379800104E-2</v>
      </c>
      <c r="D60" s="38" t="s">
        <v>53</v>
      </c>
      <c r="E60" s="36">
        <v>1.5326394823397229</v>
      </c>
      <c r="F60" s="37">
        <v>0.14465206385975463</v>
      </c>
      <c r="G60" s="38" t="s">
        <v>53</v>
      </c>
      <c r="H60" s="36">
        <v>1.2802311115932441</v>
      </c>
      <c r="I60" s="37">
        <v>0.13259286506220852</v>
      </c>
      <c r="J60" s="38" t="s">
        <v>53</v>
      </c>
      <c r="K60" s="36">
        <v>19.506852536743981</v>
      </c>
      <c r="L60" s="37">
        <v>5.5785213860524392</v>
      </c>
      <c r="M60" s="38" t="s">
        <v>53</v>
      </c>
      <c r="N60" s="36">
        <v>11.769799094699611</v>
      </c>
      <c r="O60" s="37">
        <v>5.6348084901306432</v>
      </c>
      <c r="P60" s="38" t="s">
        <v>53</v>
      </c>
      <c r="Q60" s="36" t="s">
        <v>56</v>
      </c>
      <c r="R60" s="37" t="s">
        <v>56</v>
      </c>
      <c r="S60" s="38" t="s">
        <v>53</v>
      </c>
      <c r="T60" s="44" t="s">
        <v>56</v>
      </c>
      <c r="U60" s="37" t="s">
        <v>56</v>
      </c>
      <c r="V60" s="38" t="s">
        <v>53</v>
      </c>
      <c r="W60" s="44">
        <v>323.44359019372354</v>
      </c>
      <c r="X60" s="37">
        <v>11.616874146659745</v>
      </c>
      <c r="Y60" s="38" t="s">
        <v>53</v>
      </c>
      <c r="Z60" s="44" t="s">
        <v>56</v>
      </c>
      <c r="AA60" s="37" t="s">
        <v>56</v>
      </c>
      <c r="AB60" s="39" t="s">
        <v>53</v>
      </c>
    </row>
    <row r="61" spans="1:28" x14ac:dyDescent="0.25">
      <c r="A61" s="15" t="s">
        <v>175</v>
      </c>
      <c r="B61" s="36">
        <v>8.1815056453733295</v>
      </c>
      <c r="C61" s="37">
        <v>0.28326741362616487</v>
      </c>
      <c r="D61" s="38" t="s">
        <v>53</v>
      </c>
      <c r="E61" s="36">
        <v>88.870480024042664</v>
      </c>
      <c r="F61" s="37">
        <v>0.34008347096813329</v>
      </c>
      <c r="G61" s="38" t="s">
        <v>53</v>
      </c>
      <c r="H61" s="36">
        <v>90.24898494454257</v>
      </c>
      <c r="I61" s="37">
        <v>0.35169539403214545</v>
      </c>
      <c r="J61" s="38" t="s">
        <v>53</v>
      </c>
      <c r="K61" s="36">
        <v>73.16308430693401</v>
      </c>
      <c r="L61" s="37">
        <v>1.9360674284543133</v>
      </c>
      <c r="M61" s="38" t="s">
        <v>53</v>
      </c>
      <c r="N61" s="36">
        <v>72.841565774086988</v>
      </c>
      <c r="O61" s="37">
        <v>3.2200733003814754</v>
      </c>
      <c r="P61" s="38" t="s">
        <v>53</v>
      </c>
      <c r="Q61" s="36">
        <v>73.345619418166137</v>
      </c>
      <c r="R61" s="37">
        <v>2.2922407042502346</v>
      </c>
      <c r="S61" s="38" t="s">
        <v>53</v>
      </c>
      <c r="T61" s="44">
        <v>455.92167708731387</v>
      </c>
      <c r="U61" s="37">
        <v>5.0102929263369784</v>
      </c>
      <c r="V61" s="38" t="s">
        <v>53</v>
      </c>
      <c r="W61" s="44">
        <v>529.85020468687594</v>
      </c>
      <c r="X61" s="37">
        <v>5.8134815896202001</v>
      </c>
      <c r="Y61" s="38" t="s">
        <v>53</v>
      </c>
      <c r="Z61" s="44">
        <v>73.928527599562116</v>
      </c>
      <c r="AA61" s="37">
        <v>7.8754762350136325</v>
      </c>
      <c r="AB61" s="39" t="s">
        <v>53</v>
      </c>
    </row>
    <row r="62" spans="1:28" x14ac:dyDescent="0.25">
      <c r="A62" s="15" t="s">
        <v>176</v>
      </c>
      <c r="B62" s="36">
        <v>0.15768377421082</v>
      </c>
      <c r="C62" s="37">
        <v>6.2805617268880135E-2</v>
      </c>
      <c r="D62" s="38" t="s">
        <v>53</v>
      </c>
      <c r="E62" s="36">
        <v>0.48634205380996892</v>
      </c>
      <c r="F62" s="37">
        <v>0.10155139645489465</v>
      </c>
      <c r="G62" s="38" t="s">
        <v>53</v>
      </c>
      <c r="H62" s="36">
        <v>0.460369647481917</v>
      </c>
      <c r="I62" s="37">
        <v>0.10366566981125697</v>
      </c>
      <c r="J62" s="38" t="s">
        <v>53</v>
      </c>
      <c r="K62" s="36" t="s">
        <v>56</v>
      </c>
      <c r="L62" s="37" t="s">
        <v>56</v>
      </c>
      <c r="M62" s="38" t="s">
        <v>53</v>
      </c>
      <c r="N62" s="36" t="s">
        <v>56</v>
      </c>
      <c r="O62" s="37" t="s">
        <v>56</v>
      </c>
      <c r="P62" s="38" t="s">
        <v>53</v>
      </c>
      <c r="Q62" s="36" t="s">
        <v>56</v>
      </c>
      <c r="R62" s="37" t="s">
        <v>56</v>
      </c>
      <c r="S62" s="38" t="s">
        <v>53</v>
      </c>
      <c r="T62" s="44" t="s">
        <v>56</v>
      </c>
      <c r="U62" s="37" t="s">
        <v>56</v>
      </c>
      <c r="V62" s="38" t="s">
        <v>53</v>
      </c>
      <c r="W62" s="44" t="s">
        <v>56</v>
      </c>
      <c r="X62" s="37" t="s">
        <v>56</v>
      </c>
      <c r="Y62" s="38" t="s">
        <v>53</v>
      </c>
      <c r="Z62" s="44" t="s">
        <v>56</v>
      </c>
      <c r="AA62" s="37" t="s">
        <v>56</v>
      </c>
      <c r="AB62" s="39" t="s">
        <v>53</v>
      </c>
    </row>
    <row r="63" spans="1:28" x14ac:dyDescent="0.25">
      <c r="A63" s="15" t="s">
        <v>177</v>
      </c>
      <c r="B63" s="36">
        <v>1.1491597012677</v>
      </c>
      <c r="C63" s="37">
        <v>0.16216895878777934</v>
      </c>
      <c r="D63" s="38" t="s">
        <v>53</v>
      </c>
      <c r="E63" s="36">
        <v>12.9296881368202</v>
      </c>
      <c r="F63" s="37">
        <v>1.1745743437783218</v>
      </c>
      <c r="G63" s="38" t="s">
        <v>53</v>
      </c>
      <c r="H63" s="36">
        <v>11.77887042201233</v>
      </c>
      <c r="I63" s="37">
        <v>1.1491626118820755</v>
      </c>
      <c r="J63" s="38" t="s">
        <v>53</v>
      </c>
      <c r="K63" s="36">
        <v>67.762324144759958</v>
      </c>
      <c r="L63" s="37">
        <v>6.3733493981501192</v>
      </c>
      <c r="M63" s="38" t="s">
        <v>53</v>
      </c>
      <c r="N63" s="36" t="s">
        <v>56</v>
      </c>
      <c r="O63" s="37" t="s">
        <v>56</v>
      </c>
      <c r="P63" s="38" t="s">
        <v>53</v>
      </c>
      <c r="Q63" s="36" t="s">
        <v>56</v>
      </c>
      <c r="R63" s="37" t="s">
        <v>56</v>
      </c>
      <c r="S63" s="38" t="s">
        <v>53</v>
      </c>
      <c r="T63" s="44">
        <v>406.88700896658378</v>
      </c>
      <c r="U63" s="37">
        <v>14.285452387175164</v>
      </c>
      <c r="V63" s="38" t="s">
        <v>53</v>
      </c>
      <c r="W63" s="44" t="s">
        <v>56</v>
      </c>
      <c r="X63" s="37" t="s">
        <v>56</v>
      </c>
      <c r="Y63" s="38" t="s">
        <v>53</v>
      </c>
      <c r="Z63" s="44" t="s">
        <v>56</v>
      </c>
      <c r="AA63" s="37" t="s">
        <v>56</v>
      </c>
      <c r="AB63" s="39" t="s">
        <v>53</v>
      </c>
    </row>
    <row r="64" spans="1:28" x14ac:dyDescent="0.25">
      <c r="A64" s="15" t="s">
        <v>178</v>
      </c>
      <c r="B64" s="36">
        <v>10.01996666433617</v>
      </c>
      <c r="C64" s="37">
        <v>0.67284872877412782</v>
      </c>
      <c r="D64" s="38" t="s">
        <v>53</v>
      </c>
      <c r="E64" s="36">
        <v>3.4389588254510168</v>
      </c>
      <c r="F64" s="37">
        <v>0.34719632906149506</v>
      </c>
      <c r="G64" s="38" t="s">
        <v>53</v>
      </c>
      <c r="H64" s="36">
        <v>2.761119882451252</v>
      </c>
      <c r="I64" s="37">
        <v>0.30709198744041311</v>
      </c>
      <c r="J64" s="38" t="s">
        <v>53</v>
      </c>
      <c r="K64" s="36">
        <v>8.0846744447713856</v>
      </c>
      <c r="L64" s="37">
        <v>1.389661764894663</v>
      </c>
      <c r="M64" s="38" t="s">
        <v>53</v>
      </c>
      <c r="N64" s="36">
        <v>7.8056399946318802</v>
      </c>
      <c r="O64" s="37">
        <v>1.622047674077238</v>
      </c>
      <c r="P64" s="38" t="s">
        <v>53</v>
      </c>
      <c r="Q64" s="36">
        <v>8.6726802392887663</v>
      </c>
      <c r="R64" s="37">
        <v>2.153880443352282</v>
      </c>
      <c r="S64" s="38" t="s">
        <v>53</v>
      </c>
      <c r="T64" s="44">
        <v>428.78838806404065</v>
      </c>
      <c r="U64" s="37">
        <v>16.262278415351972</v>
      </c>
      <c r="V64" s="38" t="s">
        <v>53</v>
      </c>
      <c r="W64" s="44">
        <v>405.14909420124059</v>
      </c>
      <c r="X64" s="37">
        <v>4.3990847409651348</v>
      </c>
      <c r="Y64" s="38" t="s">
        <v>53</v>
      </c>
      <c r="Z64" s="44">
        <v>-23.639293862800095</v>
      </c>
      <c r="AA64" s="37">
        <v>15.39711321281154</v>
      </c>
      <c r="AB64" s="39" t="s">
        <v>53</v>
      </c>
    </row>
    <row r="65" spans="1:28" x14ac:dyDescent="0.25">
      <c r="A65" s="15" t="s">
        <v>179</v>
      </c>
      <c r="B65" s="36">
        <v>9.0899092610287795</v>
      </c>
      <c r="C65" s="37">
        <v>0.48598879590199862</v>
      </c>
      <c r="D65" s="38" t="s">
        <v>53</v>
      </c>
      <c r="E65" s="36">
        <v>3.2811592962863001</v>
      </c>
      <c r="F65" s="37">
        <v>0.28449268863186788</v>
      </c>
      <c r="G65" s="38" t="s">
        <v>53</v>
      </c>
      <c r="H65" s="36">
        <v>2.6584655110742319</v>
      </c>
      <c r="I65" s="37">
        <v>0.26077514906701427</v>
      </c>
      <c r="J65" s="38" t="s">
        <v>53</v>
      </c>
      <c r="K65" s="36">
        <v>8.2437390608470533</v>
      </c>
      <c r="L65" s="37">
        <v>1.2149060198717092</v>
      </c>
      <c r="M65" s="38" t="s">
        <v>53</v>
      </c>
      <c r="N65" s="36">
        <v>6.0883357685998689</v>
      </c>
      <c r="O65" s="37">
        <v>1.0919196870219523</v>
      </c>
      <c r="P65" s="38" t="s">
        <v>53</v>
      </c>
      <c r="Q65" s="36">
        <v>20.74555398847971</v>
      </c>
      <c r="R65" s="37">
        <v>4.8510602655453914</v>
      </c>
      <c r="S65" s="38" t="s">
        <v>53</v>
      </c>
      <c r="T65" s="44">
        <v>454.11168882027772</v>
      </c>
      <c r="U65" s="37">
        <v>15.829694387835115</v>
      </c>
      <c r="V65" s="38" t="s">
        <v>53</v>
      </c>
      <c r="W65" s="44">
        <v>473.5570182621189</v>
      </c>
      <c r="X65" s="37">
        <v>5.7799118199913382</v>
      </c>
      <c r="Y65" s="38" t="s">
        <v>53</v>
      </c>
      <c r="Z65" s="44">
        <v>19.445329441841228</v>
      </c>
      <c r="AA65" s="37">
        <v>16.567011408881136</v>
      </c>
      <c r="AB65" s="39" t="s">
        <v>53</v>
      </c>
    </row>
    <row r="66" spans="1:28" x14ac:dyDescent="0.25">
      <c r="A66" s="15" t="s">
        <v>180</v>
      </c>
      <c r="B66" s="36">
        <v>14.787024402440979</v>
      </c>
      <c r="C66" s="37">
        <v>0.51722412147373786</v>
      </c>
      <c r="D66" s="38" t="s">
        <v>53</v>
      </c>
      <c r="E66" s="36">
        <v>22.282275927418919</v>
      </c>
      <c r="F66" s="37">
        <v>0.52653791687795848</v>
      </c>
      <c r="G66" s="38" t="s">
        <v>53</v>
      </c>
      <c r="H66" s="36">
        <v>16.422172534836118</v>
      </c>
      <c r="I66" s="37">
        <v>0.39481972718660396</v>
      </c>
      <c r="J66" s="38" t="s">
        <v>53</v>
      </c>
      <c r="K66" s="36">
        <v>54.413332798509373</v>
      </c>
      <c r="L66" s="37">
        <v>1.9047836561765867</v>
      </c>
      <c r="M66" s="38" t="s">
        <v>53</v>
      </c>
      <c r="N66" s="36">
        <v>43.774617721864232</v>
      </c>
      <c r="O66" s="37">
        <v>3.6176827694876428</v>
      </c>
      <c r="P66" s="38" t="s">
        <v>53</v>
      </c>
      <c r="Q66" s="36">
        <v>60.223119323832563</v>
      </c>
      <c r="R66" s="37">
        <v>2.4518887773611162</v>
      </c>
      <c r="S66" s="38" t="s">
        <v>53</v>
      </c>
      <c r="T66" s="44">
        <v>422.19376327612594</v>
      </c>
      <c r="U66" s="37">
        <v>5.8508684151252872</v>
      </c>
      <c r="V66" s="38" t="s">
        <v>53</v>
      </c>
      <c r="W66" s="44">
        <v>441.66547333656865</v>
      </c>
      <c r="X66" s="37">
        <v>5.6480106065293008</v>
      </c>
      <c r="Y66" s="38" t="s">
        <v>53</v>
      </c>
      <c r="Z66" s="44">
        <v>19.471710060442781</v>
      </c>
      <c r="AA66" s="37">
        <v>8.575245421666386</v>
      </c>
      <c r="AB66" s="39" t="s">
        <v>53</v>
      </c>
    </row>
    <row r="67" spans="1:28" x14ac:dyDescent="0.25">
      <c r="A67" s="15" t="s">
        <v>181</v>
      </c>
      <c r="B67" s="36">
        <v>2.92205315239196</v>
      </c>
      <c r="C67" s="37">
        <v>0.26890329558328008</v>
      </c>
      <c r="D67" s="38" t="s">
        <v>53</v>
      </c>
      <c r="E67" s="36">
        <v>3.3306100369857998</v>
      </c>
      <c r="F67" s="37">
        <v>0.31680269264792621</v>
      </c>
      <c r="G67" s="38" t="s">
        <v>53</v>
      </c>
      <c r="H67" s="36">
        <v>2.6937921356065808</v>
      </c>
      <c r="I67" s="37">
        <v>0.33018509664691409</v>
      </c>
      <c r="J67" s="38" t="s">
        <v>53</v>
      </c>
      <c r="K67" s="36">
        <v>20.826657899347651</v>
      </c>
      <c r="L67" s="37">
        <v>3.9795099210659099</v>
      </c>
      <c r="M67" s="38" t="s">
        <v>53</v>
      </c>
      <c r="N67" s="36">
        <v>14.07803074755159</v>
      </c>
      <c r="O67" s="37">
        <v>4.0895223537160046</v>
      </c>
      <c r="P67" s="38" t="s">
        <v>53</v>
      </c>
      <c r="Q67" s="36">
        <v>29.05437646751307</v>
      </c>
      <c r="R67" s="37">
        <v>6.3142530702808379</v>
      </c>
      <c r="S67" s="38" t="s">
        <v>53</v>
      </c>
      <c r="T67" s="44">
        <v>332.58068270092048</v>
      </c>
      <c r="U67" s="37">
        <v>17.513515145200465</v>
      </c>
      <c r="V67" s="38" t="s">
        <v>53</v>
      </c>
      <c r="W67" s="44">
        <v>319.78602506392451</v>
      </c>
      <c r="X67" s="37">
        <v>12.011370705442648</v>
      </c>
      <c r="Y67" s="38" t="s">
        <v>53</v>
      </c>
      <c r="Z67" s="44">
        <v>-12.794657636995948</v>
      </c>
      <c r="AA67" s="37">
        <v>17.714033793736309</v>
      </c>
      <c r="AB67" s="39" t="s">
        <v>53</v>
      </c>
    </row>
    <row r="68" spans="1:28" x14ac:dyDescent="0.25">
      <c r="A68" s="15" t="s">
        <v>182</v>
      </c>
      <c r="B68" s="36">
        <v>1.36463088083532</v>
      </c>
      <c r="C68" s="37">
        <v>0.19590177383249022</v>
      </c>
      <c r="D68" s="38" t="s">
        <v>53</v>
      </c>
      <c r="E68" s="36">
        <v>6.2352683605396289</v>
      </c>
      <c r="F68" s="37">
        <v>0.48023328414345573</v>
      </c>
      <c r="G68" s="38" t="s">
        <v>53</v>
      </c>
      <c r="H68" s="36">
        <v>5.6273561490416499</v>
      </c>
      <c r="I68" s="37">
        <v>0.47266778635776063</v>
      </c>
      <c r="J68" s="38" t="s">
        <v>53</v>
      </c>
      <c r="K68" s="36">
        <v>33.719713364661821</v>
      </c>
      <c r="L68" s="37">
        <v>6.2349032104110602</v>
      </c>
      <c r="M68" s="38" t="s">
        <v>53</v>
      </c>
      <c r="N68" s="36">
        <v>23.395754177462159</v>
      </c>
      <c r="O68" s="37">
        <v>7.119752152873275</v>
      </c>
      <c r="P68" s="38" t="s">
        <v>53</v>
      </c>
      <c r="Q68" s="36" t="s">
        <v>56</v>
      </c>
      <c r="R68" s="37" t="s">
        <v>56</v>
      </c>
      <c r="S68" s="38" t="s">
        <v>53</v>
      </c>
      <c r="T68" s="44" t="s">
        <v>56</v>
      </c>
      <c r="U68" s="37" t="s">
        <v>56</v>
      </c>
      <c r="V68" s="38" t="s">
        <v>53</v>
      </c>
      <c r="W68" s="44">
        <v>340.72348318846844</v>
      </c>
      <c r="X68" s="37">
        <v>13.655703253696759</v>
      </c>
      <c r="Y68" s="38" t="s">
        <v>53</v>
      </c>
      <c r="Z68" s="44" t="s">
        <v>56</v>
      </c>
      <c r="AA68" s="37" t="s">
        <v>56</v>
      </c>
      <c r="AB68" s="39" t="s">
        <v>53</v>
      </c>
    </row>
    <row r="69" spans="1:28" x14ac:dyDescent="0.25">
      <c r="A69" s="15" t="s">
        <v>229</v>
      </c>
      <c r="B69" s="36">
        <v>37.911634723302051</v>
      </c>
      <c r="C69" s="37">
        <v>1.3286600569122331</v>
      </c>
      <c r="D69" s="38" t="s">
        <v>53</v>
      </c>
      <c r="E69" s="36">
        <v>18.814973735460921</v>
      </c>
      <c r="F69" s="37">
        <v>2.0826128221425346</v>
      </c>
      <c r="G69" s="38" t="s">
        <v>53</v>
      </c>
      <c r="H69" s="36">
        <v>10.857585970397871</v>
      </c>
      <c r="I69" s="37">
        <v>2.2955300293343419</v>
      </c>
      <c r="J69" s="38" t="s">
        <v>53</v>
      </c>
      <c r="K69" s="36">
        <v>31.588194187037882</v>
      </c>
      <c r="L69" s="37">
        <v>2.8941575114367852</v>
      </c>
      <c r="M69" s="38" t="s">
        <v>53</v>
      </c>
      <c r="N69" s="36">
        <v>18.39072535321332</v>
      </c>
      <c r="O69" s="37">
        <v>2.4183474577688764</v>
      </c>
      <c r="P69" s="38" t="s">
        <v>53</v>
      </c>
      <c r="Q69" s="36">
        <v>57.315532724414787</v>
      </c>
      <c r="R69" s="37">
        <v>3.5192547381583639</v>
      </c>
      <c r="S69" s="38" t="s">
        <v>53</v>
      </c>
      <c r="T69" s="44">
        <v>492.3639660043653</v>
      </c>
      <c r="U69" s="37">
        <v>11.133896244069867</v>
      </c>
      <c r="V69" s="38" t="s">
        <v>53</v>
      </c>
      <c r="W69" s="44">
        <v>535.88133259647373</v>
      </c>
      <c r="X69" s="37">
        <v>2.9375923163449129</v>
      </c>
      <c r="Y69" s="38" t="s">
        <v>53</v>
      </c>
      <c r="Z69" s="44">
        <v>43.517366592108289</v>
      </c>
      <c r="AA69" s="37">
        <v>11.408287206669998</v>
      </c>
      <c r="AB69" s="39" t="s">
        <v>53</v>
      </c>
    </row>
    <row r="70" spans="1:28" x14ac:dyDescent="0.25">
      <c r="A70" s="15" t="s">
        <v>183</v>
      </c>
      <c r="B70" s="36">
        <v>0.25111855353339002</v>
      </c>
      <c r="C70" s="37">
        <v>6.652373962470863E-2</v>
      </c>
      <c r="D70" s="38" t="s">
        <v>53</v>
      </c>
      <c r="E70" s="36">
        <v>52.597153751201589</v>
      </c>
      <c r="F70" s="37">
        <v>2.2592422680681876</v>
      </c>
      <c r="G70" s="38" t="s">
        <v>53</v>
      </c>
      <c r="H70" s="36">
        <v>52.875366102987208</v>
      </c>
      <c r="I70" s="37">
        <v>2.2844329025471914</v>
      </c>
      <c r="J70" s="38" t="s">
        <v>53</v>
      </c>
      <c r="K70" s="36">
        <v>34.705830569177067</v>
      </c>
      <c r="L70" s="37">
        <v>17.423428125194857</v>
      </c>
      <c r="M70" s="38" t="s">
        <v>53</v>
      </c>
      <c r="N70" s="36" t="s">
        <v>56</v>
      </c>
      <c r="O70" s="37" t="s">
        <v>56</v>
      </c>
      <c r="P70" s="38" t="s">
        <v>53</v>
      </c>
      <c r="Q70" s="36" t="s">
        <v>56</v>
      </c>
      <c r="R70" s="37" t="s">
        <v>56</v>
      </c>
      <c r="S70" s="38" t="s">
        <v>53</v>
      </c>
      <c r="T70" s="44" t="s">
        <v>56</v>
      </c>
      <c r="U70" s="37" t="s">
        <v>56</v>
      </c>
      <c r="V70" s="38" t="s">
        <v>53</v>
      </c>
      <c r="W70" s="44" t="s">
        <v>56</v>
      </c>
      <c r="X70" s="37" t="s">
        <v>56</v>
      </c>
      <c r="Y70" s="38" t="s">
        <v>53</v>
      </c>
      <c r="Z70" s="44" t="s">
        <v>56</v>
      </c>
      <c r="AA70" s="37" t="s">
        <v>56</v>
      </c>
      <c r="AB70" s="39" t="s">
        <v>53</v>
      </c>
    </row>
    <row r="71" spans="1:28" x14ac:dyDescent="0.25">
      <c r="A71" s="15" t="s">
        <v>184</v>
      </c>
      <c r="B71" s="36">
        <v>11.560156863178021</v>
      </c>
      <c r="C71" s="37">
        <v>0.53282256980001497</v>
      </c>
      <c r="D71" s="38" t="s">
        <v>53</v>
      </c>
      <c r="E71" s="36">
        <v>5.7391312586100511</v>
      </c>
      <c r="F71" s="37">
        <v>0.39373821719271629</v>
      </c>
      <c r="G71" s="38" t="s">
        <v>53</v>
      </c>
      <c r="H71" s="36">
        <v>5.4848684658885443</v>
      </c>
      <c r="I71" s="37">
        <v>0.40094519319610716</v>
      </c>
      <c r="J71" s="38" t="s">
        <v>53</v>
      </c>
      <c r="K71" s="36">
        <v>6.9032349311847927</v>
      </c>
      <c r="L71" s="37">
        <v>0.8865801113386913</v>
      </c>
      <c r="M71" s="38" t="s">
        <v>53</v>
      </c>
      <c r="N71" s="36">
        <v>6.2077628834573311</v>
      </c>
      <c r="O71" s="37">
        <v>1.1108584006911244</v>
      </c>
      <c r="P71" s="38" t="s">
        <v>53</v>
      </c>
      <c r="Q71" s="36">
        <v>7.800449524264895</v>
      </c>
      <c r="R71" s="37">
        <v>1.305287022475577</v>
      </c>
      <c r="S71" s="38" t="s">
        <v>53</v>
      </c>
      <c r="T71" s="44">
        <v>426.23584229478979</v>
      </c>
      <c r="U71" s="37">
        <v>12.978736933493439</v>
      </c>
      <c r="V71" s="38" t="s">
        <v>53</v>
      </c>
      <c r="W71" s="44">
        <v>433.85323840159282</v>
      </c>
      <c r="X71" s="37">
        <v>4.4976732927396483</v>
      </c>
      <c r="Y71" s="38" t="s">
        <v>53</v>
      </c>
      <c r="Z71" s="44">
        <v>7.617396106803108</v>
      </c>
      <c r="AA71" s="37">
        <v>12.647645640507012</v>
      </c>
      <c r="AB71" s="39" t="s">
        <v>53</v>
      </c>
    </row>
    <row r="72" spans="1:28" x14ac:dyDescent="0.25">
      <c r="A72" s="15" t="s">
        <v>185</v>
      </c>
      <c r="B72" s="36">
        <v>8.2053827048399288</v>
      </c>
      <c r="C72" s="37">
        <v>0.44928776108302504</v>
      </c>
      <c r="D72" s="38" t="s">
        <v>53</v>
      </c>
      <c r="E72" s="36">
        <v>9.9738463760032339</v>
      </c>
      <c r="F72" s="37">
        <v>0.52397708159584022</v>
      </c>
      <c r="G72" s="38" t="s">
        <v>53</v>
      </c>
      <c r="H72" s="36">
        <v>10.01037454766303</v>
      </c>
      <c r="I72" s="37">
        <v>0.54382037004700012</v>
      </c>
      <c r="J72" s="38" t="s">
        <v>53</v>
      </c>
      <c r="K72" s="36">
        <v>9.8808982708497162</v>
      </c>
      <c r="L72" s="37">
        <v>1.0168712511451867</v>
      </c>
      <c r="M72" s="38" t="s">
        <v>53</v>
      </c>
      <c r="N72" s="36">
        <v>10.676284588375401</v>
      </c>
      <c r="O72" s="37">
        <v>1.3487430838538987</v>
      </c>
      <c r="P72" s="38" t="s">
        <v>53</v>
      </c>
      <c r="Q72" s="36">
        <v>9.0528751991634451</v>
      </c>
      <c r="R72" s="37">
        <v>1.3324372007843428</v>
      </c>
      <c r="S72" s="38" t="s">
        <v>53</v>
      </c>
      <c r="T72" s="44">
        <v>409.42064097734425</v>
      </c>
      <c r="U72" s="37">
        <v>10.780507402897941</v>
      </c>
      <c r="V72" s="38" t="s">
        <v>53</v>
      </c>
      <c r="W72" s="44">
        <v>373.8809135375235</v>
      </c>
      <c r="X72" s="37">
        <v>2.9877221789438742</v>
      </c>
      <c r="Y72" s="38" t="s">
        <v>53</v>
      </c>
      <c r="Z72" s="44">
        <v>-35.53972743982083</v>
      </c>
      <c r="AA72" s="37">
        <v>11.556466216285569</v>
      </c>
      <c r="AB72" s="39" t="s">
        <v>53</v>
      </c>
    </row>
    <row r="73" spans="1:28" x14ac:dyDescent="0.25">
      <c r="A73" s="15" t="s">
        <v>186</v>
      </c>
      <c r="B73" s="36">
        <v>1.14746077693674</v>
      </c>
      <c r="C73" s="37">
        <v>0.19367278405325103</v>
      </c>
      <c r="D73" s="38" t="s">
        <v>53</v>
      </c>
      <c r="E73" s="36">
        <v>3.3079239601367361</v>
      </c>
      <c r="F73" s="37">
        <v>0.31205022333662336</v>
      </c>
      <c r="G73" s="38" t="s">
        <v>53</v>
      </c>
      <c r="H73" s="36">
        <v>3.1042913014022231</v>
      </c>
      <c r="I73" s="37">
        <v>0.29791904084938359</v>
      </c>
      <c r="J73" s="38" t="s">
        <v>53</v>
      </c>
      <c r="K73" s="36">
        <v>15.45465563820477</v>
      </c>
      <c r="L73" s="37">
        <v>4.6484655351096977</v>
      </c>
      <c r="M73" s="38" t="s">
        <v>53</v>
      </c>
      <c r="N73" s="36">
        <v>7.697875756664577</v>
      </c>
      <c r="O73" s="37">
        <v>4.3879532583072596</v>
      </c>
      <c r="P73" s="38" t="s">
        <v>53</v>
      </c>
      <c r="Q73" s="36" t="s">
        <v>56</v>
      </c>
      <c r="R73" s="37" t="s">
        <v>56</v>
      </c>
      <c r="S73" s="38" t="s">
        <v>53</v>
      </c>
      <c r="T73" s="44" t="s">
        <v>56</v>
      </c>
      <c r="U73" s="37" t="s">
        <v>56</v>
      </c>
      <c r="V73" s="38" t="s">
        <v>53</v>
      </c>
      <c r="W73" s="44">
        <v>334.99589141140541</v>
      </c>
      <c r="X73" s="37">
        <v>9.341995623644225</v>
      </c>
      <c r="Y73" s="38" t="s">
        <v>53</v>
      </c>
      <c r="Z73" s="44" t="s">
        <v>56</v>
      </c>
      <c r="AA73" s="37" t="s">
        <v>56</v>
      </c>
      <c r="AB73" s="39" t="s">
        <v>53</v>
      </c>
    </row>
    <row r="74" spans="1:28" x14ac:dyDescent="0.25">
      <c r="A74" s="15" t="s">
        <v>187</v>
      </c>
      <c r="B74" s="36">
        <v>5.9837011847694299</v>
      </c>
      <c r="C74" s="37">
        <v>0.46419035772446388</v>
      </c>
      <c r="D74" s="38" t="s">
        <v>53</v>
      </c>
      <c r="E74" s="36">
        <v>97.721856620067413</v>
      </c>
      <c r="F74" s="37">
        <v>0.27197322121899203</v>
      </c>
      <c r="G74" s="38" t="s">
        <v>53</v>
      </c>
      <c r="H74" s="36">
        <v>97.803904854311384</v>
      </c>
      <c r="I74" s="37">
        <v>0.25317996789220581</v>
      </c>
      <c r="J74" s="38" t="s">
        <v>53</v>
      </c>
      <c r="K74" s="36">
        <v>97.141430481690875</v>
      </c>
      <c r="L74" s="37">
        <v>1.2474356324131011</v>
      </c>
      <c r="M74" s="38" t="s">
        <v>54</v>
      </c>
      <c r="N74" s="36">
        <v>92.829111463041301</v>
      </c>
      <c r="O74" s="37">
        <v>3.6164758311730241</v>
      </c>
      <c r="P74" s="38" t="s">
        <v>54</v>
      </c>
      <c r="Q74" s="36">
        <v>99.022507622178949</v>
      </c>
      <c r="R74" s="37">
        <v>0.92748539403490116</v>
      </c>
      <c r="S74" s="38" t="s">
        <v>53</v>
      </c>
      <c r="T74" s="44">
        <v>322.57019711484628</v>
      </c>
      <c r="U74" s="37">
        <v>9.6716610677722876</v>
      </c>
      <c r="V74" s="38" t="s">
        <v>53</v>
      </c>
      <c r="W74" s="44" t="s">
        <v>56</v>
      </c>
      <c r="X74" s="37" t="s">
        <v>56</v>
      </c>
      <c r="Y74" s="38" t="s">
        <v>53</v>
      </c>
      <c r="Z74" s="44" t="s">
        <v>56</v>
      </c>
      <c r="AA74" s="37" t="s">
        <v>56</v>
      </c>
      <c r="AB74" s="39" t="s">
        <v>53</v>
      </c>
    </row>
    <row r="75" spans="1:28" x14ac:dyDescent="0.25">
      <c r="A75" s="15" t="s">
        <v>188</v>
      </c>
      <c r="B75" s="36">
        <v>62.874218024546593</v>
      </c>
      <c r="C75" s="37">
        <v>0.67146253797098432</v>
      </c>
      <c r="D75" s="38" t="s">
        <v>53</v>
      </c>
      <c r="E75" s="36">
        <v>18.68218155410014</v>
      </c>
      <c r="F75" s="37">
        <v>0.31692857428957238</v>
      </c>
      <c r="G75" s="38" t="s">
        <v>53</v>
      </c>
      <c r="H75" s="36">
        <v>24.085718321970141</v>
      </c>
      <c r="I75" s="37">
        <v>0.92167312747254804</v>
      </c>
      <c r="J75" s="38" t="s">
        <v>53</v>
      </c>
      <c r="K75" s="36">
        <v>15.52959087063908</v>
      </c>
      <c r="L75" s="37">
        <v>0.63380518397391794</v>
      </c>
      <c r="M75" s="38" t="s">
        <v>53</v>
      </c>
      <c r="N75" s="36">
        <v>18.689858579139621</v>
      </c>
      <c r="O75" s="37">
        <v>0.85714008061074665</v>
      </c>
      <c r="P75" s="38" t="s">
        <v>53</v>
      </c>
      <c r="Q75" s="36">
        <v>11.07123996165994</v>
      </c>
      <c r="R75" s="37">
        <v>0.95522704054899754</v>
      </c>
      <c r="S75" s="38" t="s">
        <v>53</v>
      </c>
      <c r="T75" s="44">
        <v>470.49393390405231</v>
      </c>
      <c r="U75" s="37">
        <v>5.4289816808555083</v>
      </c>
      <c r="V75" s="38" t="s">
        <v>53</v>
      </c>
      <c r="W75" s="44">
        <v>544.90575503833293</v>
      </c>
      <c r="X75" s="37">
        <v>1.8446577716663974</v>
      </c>
      <c r="Y75" s="38" t="s">
        <v>53</v>
      </c>
      <c r="Z75" s="44">
        <v>74.411821134280544</v>
      </c>
      <c r="AA75" s="37">
        <v>5.8971115449207172</v>
      </c>
      <c r="AB75" s="39" t="s">
        <v>53</v>
      </c>
    </row>
    <row r="76" spans="1:28" x14ac:dyDescent="0.25">
      <c r="A76" s="15" t="s">
        <v>189</v>
      </c>
      <c r="B76" s="36">
        <v>1.64809151960093</v>
      </c>
      <c r="C76" s="37">
        <v>0.22052586057016099</v>
      </c>
      <c r="D76" s="38" t="s">
        <v>53</v>
      </c>
      <c r="E76" s="36">
        <v>32.160776097040532</v>
      </c>
      <c r="F76" s="37">
        <v>2.2002166415287503</v>
      </c>
      <c r="G76" s="38" t="s">
        <v>53</v>
      </c>
      <c r="H76" s="36">
        <v>31.814257197749392</v>
      </c>
      <c r="I76" s="37">
        <v>2.2501996365255152</v>
      </c>
      <c r="J76" s="38" t="s">
        <v>53</v>
      </c>
      <c r="K76" s="36">
        <v>34.188107657858133</v>
      </c>
      <c r="L76" s="37">
        <v>5.6806806139265928</v>
      </c>
      <c r="M76" s="38" t="s">
        <v>53</v>
      </c>
      <c r="N76" s="36">
        <v>18.976783225193959</v>
      </c>
      <c r="O76" s="37">
        <v>5.493402915590627</v>
      </c>
      <c r="P76" s="38" t="s">
        <v>53</v>
      </c>
      <c r="Q76" s="36" t="s">
        <v>56</v>
      </c>
      <c r="R76" s="37" t="s">
        <v>56</v>
      </c>
      <c r="S76" s="38" t="s">
        <v>53</v>
      </c>
      <c r="T76" s="44">
        <v>385.51796008953698</v>
      </c>
      <c r="U76" s="37">
        <v>43.11117344713108</v>
      </c>
      <c r="V76" s="38" t="s">
        <v>53</v>
      </c>
      <c r="W76" s="44">
        <v>421.83230028262199</v>
      </c>
      <c r="X76" s="37">
        <v>12.764145044899497</v>
      </c>
      <c r="Y76" s="38" t="s">
        <v>53</v>
      </c>
      <c r="Z76" s="44">
        <v>36.314340193084988</v>
      </c>
      <c r="AA76" s="37">
        <v>44.385910896184605</v>
      </c>
      <c r="AB76" s="39" t="s">
        <v>53</v>
      </c>
    </row>
    <row r="77" spans="1:28" x14ac:dyDescent="0.25">
      <c r="A77" s="15" t="s">
        <v>190</v>
      </c>
      <c r="B77" s="36">
        <v>8.7884460025211002</v>
      </c>
      <c r="C77" s="37">
        <v>0.43858351153635072</v>
      </c>
      <c r="D77" s="38" t="s">
        <v>53</v>
      </c>
      <c r="E77" s="36">
        <v>82.839254754986641</v>
      </c>
      <c r="F77" s="37">
        <v>0.54177084901233075</v>
      </c>
      <c r="G77" s="38" t="s">
        <v>53</v>
      </c>
      <c r="H77" s="36">
        <v>84.562012715245856</v>
      </c>
      <c r="I77" s="37">
        <v>0.5384436834648072</v>
      </c>
      <c r="J77" s="38" t="s">
        <v>53</v>
      </c>
      <c r="K77" s="36">
        <v>65.184496227125635</v>
      </c>
      <c r="L77" s="37">
        <v>2.9580115220197558</v>
      </c>
      <c r="M77" s="38" t="s">
        <v>53</v>
      </c>
      <c r="N77" s="36">
        <v>56.574599948212231</v>
      </c>
      <c r="O77" s="37">
        <v>5.7280510402459628</v>
      </c>
      <c r="P77" s="38" t="s">
        <v>53</v>
      </c>
      <c r="Q77" s="36">
        <v>67.984743297301762</v>
      </c>
      <c r="R77" s="37">
        <v>3.3673059078240417</v>
      </c>
      <c r="S77" s="38" t="s">
        <v>53</v>
      </c>
      <c r="T77" s="44">
        <v>430.90570528937479</v>
      </c>
      <c r="U77" s="37">
        <v>9.1822447272267897</v>
      </c>
      <c r="V77" s="38" t="s">
        <v>53</v>
      </c>
      <c r="W77" s="44">
        <v>493.75511131653212</v>
      </c>
      <c r="X77" s="37">
        <v>11.506920600782886</v>
      </c>
      <c r="Y77" s="38" t="s">
        <v>53</v>
      </c>
      <c r="Z77" s="44">
        <v>62.849406027157329</v>
      </c>
      <c r="AA77" s="37">
        <v>15.680248413984133</v>
      </c>
      <c r="AB77" s="39" t="s">
        <v>53</v>
      </c>
    </row>
    <row r="78" spans="1:28" x14ac:dyDescent="0.25">
      <c r="A78" s="15" t="s">
        <v>191</v>
      </c>
      <c r="B78" s="36">
        <v>1.44652346304573</v>
      </c>
      <c r="C78" s="37">
        <v>0.16410339723422637</v>
      </c>
      <c r="D78" s="38" t="s">
        <v>53</v>
      </c>
      <c r="E78" s="36">
        <v>9.3631767809420516</v>
      </c>
      <c r="F78" s="37">
        <v>0.8271228053308739</v>
      </c>
      <c r="G78" s="38" t="s">
        <v>53</v>
      </c>
      <c r="H78" s="36">
        <v>9.2254104730213413</v>
      </c>
      <c r="I78" s="37">
        <v>0.82487213274695448</v>
      </c>
      <c r="J78" s="38" t="s">
        <v>53</v>
      </c>
      <c r="K78" s="36">
        <v>22.9517082062026</v>
      </c>
      <c r="L78" s="37">
        <v>5.4565509053476831</v>
      </c>
      <c r="M78" s="38" t="s">
        <v>53</v>
      </c>
      <c r="N78" s="36">
        <v>13.914801998001749</v>
      </c>
      <c r="O78" s="37">
        <v>5.1501658346742678</v>
      </c>
      <c r="P78" s="38" t="s">
        <v>53</v>
      </c>
      <c r="Q78" s="36" t="s">
        <v>56</v>
      </c>
      <c r="R78" s="37" t="s">
        <v>56</v>
      </c>
      <c r="S78" s="38" t="s">
        <v>53</v>
      </c>
      <c r="T78" s="44" t="s">
        <v>56</v>
      </c>
      <c r="U78" s="37" t="s">
        <v>56</v>
      </c>
      <c r="V78" s="38" t="s">
        <v>53</v>
      </c>
      <c r="W78" s="44">
        <v>447.46477730375341</v>
      </c>
      <c r="X78" s="37">
        <v>14.665454366707369</v>
      </c>
      <c r="Y78" s="38" t="s">
        <v>53</v>
      </c>
      <c r="Z78" s="44" t="s">
        <v>56</v>
      </c>
      <c r="AA78" s="37" t="s">
        <v>56</v>
      </c>
      <c r="AB78" s="39" t="s">
        <v>53</v>
      </c>
    </row>
    <row r="79" spans="1:28" x14ac:dyDescent="0.25">
      <c r="A79" s="15" t="s">
        <v>192</v>
      </c>
      <c r="B79" s="36">
        <v>5.7995230908142004</v>
      </c>
      <c r="C79" s="37">
        <v>0.29347800153195563</v>
      </c>
      <c r="D79" s="38" t="s">
        <v>53</v>
      </c>
      <c r="E79" s="36">
        <v>4.2386412754836327</v>
      </c>
      <c r="F79" s="37">
        <v>0.24995528866436403</v>
      </c>
      <c r="G79" s="38" t="s">
        <v>53</v>
      </c>
      <c r="H79" s="36">
        <v>3.372557044998568</v>
      </c>
      <c r="I79" s="37">
        <v>0.22880601086379346</v>
      </c>
      <c r="J79" s="38" t="s">
        <v>53</v>
      </c>
      <c r="K79" s="36">
        <v>17.580526962366559</v>
      </c>
      <c r="L79" s="37">
        <v>2.1380434815082552</v>
      </c>
      <c r="M79" s="38" t="s">
        <v>53</v>
      </c>
      <c r="N79" s="36">
        <v>7.0262316368535487</v>
      </c>
      <c r="O79" s="37">
        <v>1.6953495081641479</v>
      </c>
      <c r="P79" s="38" t="s">
        <v>53</v>
      </c>
      <c r="Q79" s="36">
        <v>34.803926464867359</v>
      </c>
      <c r="R79" s="37">
        <v>4.5747662003538565</v>
      </c>
      <c r="S79" s="38" t="s">
        <v>53</v>
      </c>
      <c r="T79" s="44">
        <v>396.23997681136598</v>
      </c>
      <c r="U79" s="37">
        <v>11.748444944670169</v>
      </c>
      <c r="V79" s="38" t="s">
        <v>53</v>
      </c>
      <c r="W79" s="44">
        <v>436.27211571014277</v>
      </c>
      <c r="X79" s="37">
        <v>5.137376361569796</v>
      </c>
      <c r="Y79" s="38" t="s">
        <v>53</v>
      </c>
      <c r="Z79" s="44">
        <v>40.032138898776822</v>
      </c>
      <c r="AA79" s="37">
        <v>13.324036649261103</v>
      </c>
      <c r="AB79" s="39" t="s">
        <v>53</v>
      </c>
    </row>
    <row r="80" spans="1:28" x14ac:dyDescent="0.25">
      <c r="A80" s="15" t="s">
        <v>193</v>
      </c>
      <c r="B80" s="36">
        <v>0.78286569411312001</v>
      </c>
      <c r="C80" s="37">
        <v>0.10751898920898106</v>
      </c>
      <c r="D80" s="38" t="s">
        <v>53</v>
      </c>
      <c r="E80" s="36">
        <v>87.17343296652048</v>
      </c>
      <c r="F80" s="37">
        <v>0.77762123751944201</v>
      </c>
      <c r="G80" s="38" t="s">
        <v>53</v>
      </c>
      <c r="H80" s="36">
        <v>87.567881773777884</v>
      </c>
      <c r="I80" s="37">
        <v>0.75439304040556165</v>
      </c>
      <c r="J80" s="38" t="s">
        <v>53</v>
      </c>
      <c r="K80" s="36">
        <v>84.443291562012163</v>
      </c>
      <c r="L80" s="37">
        <v>4.6079247127581962</v>
      </c>
      <c r="M80" s="38" t="s">
        <v>53</v>
      </c>
      <c r="N80" s="36" t="s">
        <v>56</v>
      </c>
      <c r="O80" s="37" t="s">
        <v>56</v>
      </c>
      <c r="P80" s="38" t="s">
        <v>53</v>
      </c>
      <c r="Q80" s="36" t="s">
        <v>56</v>
      </c>
      <c r="R80" s="37" t="s">
        <v>56</v>
      </c>
      <c r="S80" s="38" t="s">
        <v>53</v>
      </c>
      <c r="T80" s="44">
        <v>312.66452484456477</v>
      </c>
      <c r="U80" s="37">
        <v>12.193969499540323</v>
      </c>
      <c r="V80" s="38" t="s">
        <v>53</v>
      </c>
      <c r="W80" s="44" t="s">
        <v>56</v>
      </c>
      <c r="X80" s="37" t="s">
        <v>56</v>
      </c>
      <c r="Y80" s="38" t="s">
        <v>53</v>
      </c>
      <c r="Z80" s="44" t="s">
        <v>56</v>
      </c>
      <c r="AA80" s="37" t="s">
        <v>56</v>
      </c>
      <c r="AB80" s="39" t="s">
        <v>53</v>
      </c>
    </row>
    <row r="81" spans="1:28" x14ac:dyDescent="0.25">
      <c r="A81" s="15" t="s">
        <v>194</v>
      </c>
      <c r="B81" s="36">
        <v>1.6242813171113197</v>
      </c>
      <c r="C81" s="37">
        <v>0.22955526457296968</v>
      </c>
      <c r="D81" s="38" t="s">
        <v>53</v>
      </c>
      <c r="E81" s="36">
        <v>7.2057424219413617</v>
      </c>
      <c r="F81" s="37">
        <v>0.38730369174663587</v>
      </c>
      <c r="G81" s="38" t="s">
        <v>53</v>
      </c>
      <c r="H81" s="36">
        <v>6.6181150819783303</v>
      </c>
      <c r="I81" s="37">
        <v>0.40604808656924968</v>
      </c>
      <c r="J81" s="38" t="s">
        <v>53</v>
      </c>
      <c r="K81" s="36">
        <v>23.774433135206369</v>
      </c>
      <c r="L81" s="37">
        <v>5.6257643986409143</v>
      </c>
      <c r="M81" s="38" t="s">
        <v>53</v>
      </c>
      <c r="N81" s="36">
        <v>21.96626680793031</v>
      </c>
      <c r="O81" s="37">
        <v>7.1273858372159191</v>
      </c>
      <c r="P81" s="38" t="s">
        <v>53</v>
      </c>
      <c r="Q81" s="36" t="s">
        <v>56</v>
      </c>
      <c r="R81" s="37" t="s">
        <v>56</v>
      </c>
      <c r="S81" s="38" t="s">
        <v>53</v>
      </c>
      <c r="T81" s="44" t="s">
        <v>56</v>
      </c>
      <c r="U81" s="37" t="s">
        <v>56</v>
      </c>
      <c r="V81" s="38" t="s">
        <v>53</v>
      </c>
      <c r="W81" s="44">
        <v>355.59804709341688</v>
      </c>
      <c r="X81" s="37">
        <v>16.017713551304492</v>
      </c>
      <c r="Y81" s="38" t="s">
        <v>53</v>
      </c>
      <c r="Z81" s="44" t="s">
        <v>56</v>
      </c>
      <c r="AA81" s="37" t="s">
        <v>56</v>
      </c>
      <c r="AB81" s="39" t="s">
        <v>53</v>
      </c>
    </row>
    <row r="82" spans="1:28" x14ac:dyDescent="0.25">
      <c r="A82" s="15" t="s">
        <v>195</v>
      </c>
      <c r="B82" s="36">
        <v>5.9699964313614702</v>
      </c>
      <c r="C82" s="37">
        <v>0.73436898142229357</v>
      </c>
      <c r="D82" s="38" t="s">
        <v>53</v>
      </c>
      <c r="E82" s="36">
        <v>11.59661042823217</v>
      </c>
      <c r="F82" s="37">
        <v>1.0168086227969639</v>
      </c>
      <c r="G82" s="38" t="s">
        <v>53</v>
      </c>
      <c r="H82" s="36">
        <v>10.2713812779881</v>
      </c>
      <c r="I82" s="37">
        <v>0.86023861340269636</v>
      </c>
      <c r="J82" s="38" t="s">
        <v>53</v>
      </c>
      <c r="K82" s="36">
        <v>23.611306332643061</v>
      </c>
      <c r="L82" s="37">
        <v>4.8869508469725496</v>
      </c>
      <c r="M82" s="38" t="s">
        <v>53</v>
      </c>
      <c r="N82" s="36">
        <v>40.038997428561963</v>
      </c>
      <c r="O82" s="37">
        <v>7.454846108540079</v>
      </c>
      <c r="P82" s="38" t="s">
        <v>53</v>
      </c>
      <c r="Q82" s="36">
        <v>14.771446420794421</v>
      </c>
      <c r="R82" s="37">
        <v>5.5523248063311854</v>
      </c>
      <c r="S82" s="38" t="s">
        <v>53</v>
      </c>
      <c r="T82" s="44">
        <v>383.82892986869564</v>
      </c>
      <c r="U82" s="37">
        <v>13.202343055821053</v>
      </c>
      <c r="V82" s="38" t="s">
        <v>53</v>
      </c>
      <c r="W82" s="44">
        <v>416.20790059124596</v>
      </c>
      <c r="X82" s="37">
        <v>11.826156435524066</v>
      </c>
      <c r="Y82" s="38" t="s">
        <v>53</v>
      </c>
      <c r="Z82" s="44">
        <v>32.378970722550413</v>
      </c>
      <c r="AA82" s="37">
        <v>16.918811452290939</v>
      </c>
      <c r="AB82" s="39" t="s">
        <v>53</v>
      </c>
    </row>
    <row r="83" spans="1:28" x14ac:dyDescent="0.25">
      <c r="A83" s="15" t="s">
        <v>196</v>
      </c>
      <c r="B83" s="36">
        <v>0.49027879925130002</v>
      </c>
      <c r="C83" s="37">
        <v>9.9801677578820164E-2</v>
      </c>
      <c r="D83" s="38" t="s">
        <v>53</v>
      </c>
      <c r="E83" s="36">
        <v>6.8391339970025378</v>
      </c>
      <c r="F83" s="37">
        <v>0.70075110237111049</v>
      </c>
      <c r="G83" s="38" t="s">
        <v>53</v>
      </c>
      <c r="H83" s="36">
        <v>6.6466141869548583</v>
      </c>
      <c r="I83" s="37">
        <v>0.67752281002760417</v>
      </c>
      <c r="J83" s="38" t="s">
        <v>53</v>
      </c>
      <c r="K83" s="36" t="s">
        <v>56</v>
      </c>
      <c r="L83" s="37" t="s">
        <v>56</v>
      </c>
      <c r="M83" s="38" t="s">
        <v>53</v>
      </c>
      <c r="N83" s="36" t="s">
        <v>56</v>
      </c>
      <c r="O83" s="37" t="s">
        <v>56</v>
      </c>
      <c r="P83" s="38" t="s">
        <v>53</v>
      </c>
      <c r="Q83" s="36" t="s">
        <v>56</v>
      </c>
      <c r="R83" s="37" t="s">
        <v>56</v>
      </c>
      <c r="S83" s="38" t="s">
        <v>53</v>
      </c>
      <c r="T83" s="44" t="s">
        <v>56</v>
      </c>
      <c r="U83" s="37" t="s">
        <v>56</v>
      </c>
      <c r="V83" s="38" t="s">
        <v>53</v>
      </c>
      <c r="W83" s="44" t="s">
        <v>56</v>
      </c>
      <c r="X83" s="37" t="s">
        <v>56</v>
      </c>
      <c r="Y83" s="38" t="s">
        <v>53</v>
      </c>
      <c r="Z83" s="44" t="s">
        <v>56</v>
      </c>
      <c r="AA83" s="37" t="s">
        <v>56</v>
      </c>
      <c r="AB83" s="39" t="s">
        <v>53</v>
      </c>
    </row>
    <row r="84" spans="1:28" x14ac:dyDescent="0.25">
      <c r="A84" s="15" t="s">
        <v>197</v>
      </c>
      <c r="B84" s="36">
        <v>1.0367394553478</v>
      </c>
      <c r="C84" s="37">
        <v>0.15659271343211417</v>
      </c>
      <c r="D84" s="38" t="s">
        <v>53</v>
      </c>
      <c r="E84" s="36">
        <v>94.265591115622755</v>
      </c>
      <c r="F84" s="37">
        <v>0.44510580741830513</v>
      </c>
      <c r="G84" s="38" t="s">
        <v>53</v>
      </c>
      <c r="H84" s="36">
        <v>94.362344807966053</v>
      </c>
      <c r="I84" s="37">
        <v>0.45348683598090556</v>
      </c>
      <c r="J84" s="38" t="s">
        <v>53</v>
      </c>
      <c r="K84" s="36">
        <v>92.925867440684456</v>
      </c>
      <c r="L84" s="37">
        <v>3.0714059724126046</v>
      </c>
      <c r="M84" s="38" t="s">
        <v>53</v>
      </c>
      <c r="N84" s="36" t="s">
        <v>56</v>
      </c>
      <c r="O84" s="37" t="s">
        <v>56</v>
      </c>
      <c r="P84" s="38" t="s">
        <v>53</v>
      </c>
      <c r="Q84" s="36">
        <v>92.974719657959866</v>
      </c>
      <c r="R84" s="37">
        <v>4.0390487084690676</v>
      </c>
      <c r="S84" s="38" t="s">
        <v>53</v>
      </c>
      <c r="T84" s="44">
        <v>277.38369759673571</v>
      </c>
      <c r="U84" s="37">
        <v>13.898526139820364</v>
      </c>
      <c r="V84" s="38" t="s">
        <v>53</v>
      </c>
      <c r="W84" s="44" t="s">
        <v>56</v>
      </c>
      <c r="X84" s="37" t="s">
        <v>56</v>
      </c>
      <c r="Y84" s="38" t="s">
        <v>53</v>
      </c>
      <c r="Z84" s="44" t="s">
        <v>56</v>
      </c>
      <c r="AA84" s="37" t="s">
        <v>56</v>
      </c>
      <c r="AB84" s="39" t="s">
        <v>53</v>
      </c>
    </row>
    <row r="85" spans="1:28" x14ac:dyDescent="0.25">
      <c r="A85" s="15" t="s">
        <v>198</v>
      </c>
      <c r="B85" s="36">
        <v>56.805347904173566</v>
      </c>
      <c r="C85" s="37">
        <v>0.36922238395152129</v>
      </c>
      <c r="D85" s="38" t="s">
        <v>53</v>
      </c>
      <c r="E85" s="36">
        <v>36.440193386152707</v>
      </c>
      <c r="F85" s="37">
        <v>0.31167988672441943</v>
      </c>
      <c r="G85" s="38" t="s">
        <v>53</v>
      </c>
      <c r="H85" s="36">
        <v>23.728347259877768</v>
      </c>
      <c r="I85" s="37">
        <v>0.45830791390924541</v>
      </c>
      <c r="J85" s="38" t="s">
        <v>53</v>
      </c>
      <c r="K85" s="36">
        <v>46.192644607398243</v>
      </c>
      <c r="L85" s="37">
        <v>0.45831287882004157</v>
      </c>
      <c r="M85" s="38" t="s">
        <v>53</v>
      </c>
      <c r="N85" s="36">
        <v>39.642204076254572</v>
      </c>
      <c r="O85" s="37">
        <v>0.99408294860675683</v>
      </c>
      <c r="P85" s="38" t="s">
        <v>53</v>
      </c>
      <c r="Q85" s="36">
        <v>48.986012247505933</v>
      </c>
      <c r="R85" s="37">
        <v>0.51815339600273846</v>
      </c>
      <c r="S85" s="38" t="s">
        <v>53</v>
      </c>
      <c r="T85" s="44">
        <v>456.06628193224969</v>
      </c>
      <c r="U85" s="37">
        <v>1.7140513126352932</v>
      </c>
      <c r="V85" s="38" t="s">
        <v>53</v>
      </c>
      <c r="W85" s="44">
        <v>436.58043255202557</v>
      </c>
      <c r="X85" s="37">
        <v>1.6926309641794812</v>
      </c>
      <c r="Y85" s="38" t="s">
        <v>53</v>
      </c>
      <c r="Z85" s="44">
        <v>-19.485849380224121</v>
      </c>
      <c r="AA85" s="37">
        <v>2.4607430258005891</v>
      </c>
      <c r="AB85" s="39" t="s">
        <v>53</v>
      </c>
    </row>
    <row r="86" spans="1:28" x14ac:dyDescent="0.25">
      <c r="A86" s="15" t="s">
        <v>199</v>
      </c>
      <c r="B86" s="36">
        <v>0.78033112696899998</v>
      </c>
      <c r="C86" s="37">
        <v>0.17564163445411793</v>
      </c>
      <c r="D86" s="38" t="s">
        <v>54</v>
      </c>
      <c r="E86" s="36">
        <v>3.1215748847965812</v>
      </c>
      <c r="F86" s="37">
        <v>0.54952698292429458</v>
      </c>
      <c r="G86" s="38" t="s">
        <v>53</v>
      </c>
      <c r="H86" s="36">
        <v>2.9885816448554352</v>
      </c>
      <c r="I86" s="37">
        <v>0.65143275812208845</v>
      </c>
      <c r="J86" s="38" t="s">
        <v>53</v>
      </c>
      <c r="K86" s="36" t="s">
        <v>56</v>
      </c>
      <c r="L86" s="37" t="s">
        <v>56</v>
      </c>
      <c r="M86" s="38" t="s">
        <v>53</v>
      </c>
      <c r="N86" s="36" t="s">
        <v>56</v>
      </c>
      <c r="O86" s="37" t="s">
        <v>56</v>
      </c>
      <c r="P86" s="38" t="s">
        <v>53</v>
      </c>
      <c r="Q86" s="36" t="s">
        <v>56</v>
      </c>
      <c r="R86" s="37" t="s">
        <v>56</v>
      </c>
      <c r="S86" s="38" t="s">
        <v>53</v>
      </c>
      <c r="T86" s="44" t="s">
        <v>56</v>
      </c>
      <c r="U86" s="37" t="s">
        <v>56</v>
      </c>
      <c r="V86" s="38" t="s">
        <v>53</v>
      </c>
      <c r="W86" s="44" t="s">
        <v>56</v>
      </c>
      <c r="X86" s="37" t="s">
        <v>56</v>
      </c>
      <c r="Y86" s="38" t="s">
        <v>53</v>
      </c>
      <c r="Z86" s="44" t="s">
        <v>56</v>
      </c>
      <c r="AA86" s="37" t="s">
        <v>56</v>
      </c>
      <c r="AB86" s="39" t="s">
        <v>53</v>
      </c>
    </row>
    <row r="87" spans="1:28" x14ac:dyDescent="0.25">
      <c r="A87" s="15" t="s">
        <v>200</v>
      </c>
      <c r="B87" s="36">
        <v>5.7706009253634898</v>
      </c>
      <c r="C87" s="37">
        <v>0.30960017898992509</v>
      </c>
      <c r="D87" s="38" t="s">
        <v>53</v>
      </c>
      <c r="E87" s="36">
        <v>8.0378547115338819</v>
      </c>
      <c r="F87" s="37">
        <v>1.0883854968331608</v>
      </c>
      <c r="G87" s="38" t="s">
        <v>53</v>
      </c>
      <c r="H87" s="36">
        <v>7.2116251694937974</v>
      </c>
      <c r="I87" s="37">
        <v>1.1169054750327536</v>
      </c>
      <c r="J87" s="38" t="s">
        <v>53</v>
      </c>
      <c r="K87" s="36">
        <v>19.25748227703756</v>
      </c>
      <c r="L87" s="37">
        <v>2.4306108941662403</v>
      </c>
      <c r="M87" s="38" t="s">
        <v>53</v>
      </c>
      <c r="N87" s="36">
        <v>15.57250067265543</v>
      </c>
      <c r="O87" s="37">
        <v>2.3519390857898603</v>
      </c>
      <c r="P87" s="38" t="s">
        <v>53</v>
      </c>
      <c r="Q87" s="36">
        <v>25.160303702702791</v>
      </c>
      <c r="R87" s="37">
        <v>4.3973757236487305</v>
      </c>
      <c r="S87" s="38" t="s">
        <v>53</v>
      </c>
      <c r="T87" s="44">
        <v>440.41133244600155</v>
      </c>
      <c r="U87" s="37">
        <v>12.937450752722407</v>
      </c>
      <c r="V87" s="38" t="s">
        <v>53</v>
      </c>
      <c r="W87" s="44">
        <v>487.56844470996566</v>
      </c>
      <c r="X87" s="37">
        <v>6.3784090061932055</v>
      </c>
      <c r="Y87" s="38" t="s">
        <v>53</v>
      </c>
      <c r="Z87" s="44">
        <v>47.157112263964223</v>
      </c>
      <c r="AA87" s="37">
        <v>13.704966764665805</v>
      </c>
      <c r="AB87" s="39" t="s">
        <v>53</v>
      </c>
    </row>
    <row r="88" spans="1:28" x14ac:dyDescent="0.25">
      <c r="A88" s="15" t="s">
        <v>201</v>
      </c>
      <c r="B88" s="36">
        <v>11.867438614087</v>
      </c>
      <c r="C88" s="37">
        <v>1.0844814315091</v>
      </c>
      <c r="D88" s="38" t="s">
        <v>53</v>
      </c>
      <c r="E88" s="36">
        <v>6.0652639875557721</v>
      </c>
      <c r="F88" s="37">
        <v>0.72702595697242667</v>
      </c>
      <c r="G88" s="38" t="s">
        <v>53</v>
      </c>
      <c r="H88" s="36">
        <v>5.0232792792190972</v>
      </c>
      <c r="I88" s="37">
        <v>0.66009858812013367</v>
      </c>
      <c r="J88" s="38" t="s">
        <v>53</v>
      </c>
      <c r="K88" s="36">
        <v>11.06019075201082</v>
      </c>
      <c r="L88" s="37">
        <v>2.8015708987231052</v>
      </c>
      <c r="M88" s="38" t="s">
        <v>53</v>
      </c>
      <c r="N88" s="36">
        <v>11.373104231241699</v>
      </c>
      <c r="O88" s="37">
        <v>2.4202538660636645</v>
      </c>
      <c r="P88" s="38" t="s">
        <v>53</v>
      </c>
      <c r="Q88" s="36">
        <v>10.694259638449649</v>
      </c>
      <c r="R88" s="37">
        <v>3.7453347264792911</v>
      </c>
      <c r="S88" s="38" t="s">
        <v>53</v>
      </c>
      <c r="T88" s="44">
        <v>422.16450433060191</v>
      </c>
      <c r="U88" s="37">
        <v>17.848693830308836</v>
      </c>
      <c r="V88" s="38" t="s">
        <v>53</v>
      </c>
      <c r="W88" s="44">
        <v>439.09945297276312</v>
      </c>
      <c r="X88" s="37">
        <v>4.6607429579689077</v>
      </c>
      <c r="Y88" s="38" t="s">
        <v>53</v>
      </c>
      <c r="Z88" s="44">
        <v>16.934948642161128</v>
      </c>
      <c r="AA88" s="37">
        <v>18.330680919839093</v>
      </c>
      <c r="AB88" s="39" t="s">
        <v>53</v>
      </c>
    </row>
    <row r="89" spans="1:28" x14ac:dyDescent="0.25">
      <c r="A89" s="15" t="s">
        <v>202</v>
      </c>
      <c r="B89" s="36">
        <v>9.32128952538792</v>
      </c>
      <c r="C89" s="37">
        <v>0.41176693146583127</v>
      </c>
      <c r="D89" s="38" t="s">
        <v>53</v>
      </c>
      <c r="E89" s="36">
        <v>5.208198309733727</v>
      </c>
      <c r="F89" s="37">
        <v>0.57790141579905152</v>
      </c>
      <c r="G89" s="38" t="s">
        <v>53</v>
      </c>
      <c r="H89" s="36">
        <v>4.6019583473595498</v>
      </c>
      <c r="I89" s="37">
        <v>0.54534830095561859</v>
      </c>
      <c r="J89" s="38" t="s">
        <v>53</v>
      </c>
      <c r="K89" s="36">
        <v>10.57147248533491</v>
      </c>
      <c r="L89" s="37">
        <v>1.6954145571385932</v>
      </c>
      <c r="M89" s="38" t="s">
        <v>53</v>
      </c>
      <c r="N89" s="36">
        <v>9.0599156293331049</v>
      </c>
      <c r="O89" s="37">
        <v>1.7346779601828159</v>
      </c>
      <c r="P89" s="38" t="s">
        <v>53</v>
      </c>
      <c r="Q89" s="36">
        <v>22.549242024944469</v>
      </c>
      <c r="R89" s="37">
        <v>6.4221288881860525</v>
      </c>
      <c r="S89" s="38" t="s">
        <v>53</v>
      </c>
      <c r="T89" s="44">
        <v>427.01423090965392</v>
      </c>
      <c r="U89" s="37">
        <v>14.758030122643458</v>
      </c>
      <c r="V89" s="38" t="s">
        <v>53</v>
      </c>
      <c r="W89" s="44">
        <v>450.32213823288333</v>
      </c>
      <c r="X89" s="37">
        <v>6.824140347103774</v>
      </c>
      <c r="Y89" s="38" t="s">
        <v>53</v>
      </c>
      <c r="Z89" s="44">
        <v>23.30790732322933</v>
      </c>
      <c r="AA89" s="37">
        <v>14.303353448406625</v>
      </c>
      <c r="AB89" s="39" t="s">
        <v>53</v>
      </c>
    </row>
    <row r="90" spans="1:28" x14ac:dyDescent="0.25">
      <c r="A90" s="15" t="s">
        <v>203</v>
      </c>
      <c r="B90" s="36">
        <v>24.818877754096949</v>
      </c>
      <c r="C90" s="37">
        <v>0.66661225468237328</v>
      </c>
      <c r="D90" s="38" t="s">
        <v>53</v>
      </c>
      <c r="E90" s="36">
        <v>43.108903667883922</v>
      </c>
      <c r="F90" s="37">
        <v>0.73964094078691289</v>
      </c>
      <c r="G90" s="38" t="s">
        <v>53</v>
      </c>
      <c r="H90" s="36">
        <v>36.08510574388319</v>
      </c>
      <c r="I90" s="37">
        <v>0.61590911194199172</v>
      </c>
      <c r="J90" s="38" t="s">
        <v>53</v>
      </c>
      <c r="K90" s="36">
        <v>63.922940961605349</v>
      </c>
      <c r="L90" s="37">
        <v>2.5155057898102444</v>
      </c>
      <c r="M90" s="38" t="s">
        <v>53</v>
      </c>
      <c r="N90" s="36">
        <v>58.176323798412547</v>
      </c>
      <c r="O90" s="37">
        <v>2.3468679567691191</v>
      </c>
      <c r="P90" s="38" t="s">
        <v>53</v>
      </c>
      <c r="Q90" s="36">
        <v>66.712845038639273</v>
      </c>
      <c r="R90" s="37">
        <v>3.4443197196735023</v>
      </c>
      <c r="S90" s="38" t="s">
        <v>53</v>
      </c>
      <c r="T90" s="44">
        <v>549.13034059892709</v>
      </c>
      <c r="U90" s="37">
        <v>5.2229477090888494</v>
      </c>
      <c r="V90" s="38" t="s">
        <v>53</v>
      </c>
      <c r="W90" s="44">
        <v>592.75615713718571</v>
      </c>
      <c r="X90" s="37">
        <v>4.0584956269610579</v>
      </c>
      <c r="Y90" s="38" t="s">
        <v>53</v>
      </c>
      <c r="Z90" s="44">
        <v>43.625816538258647</v>
      </c>
      <c r="AA90" s="37">
        <v>6.4980446119800668</v>
      </c>
      <c r="AB90" s="39" t="s">
        <v>53</v>
      </c>
    </row>
    <row r="91" spans="1:28" x14ac:dyDescent="0.25">
      <c r="A91" s="15" t="s">
        <v>204</v>
      </c>
      <c r="B91" s="36">
        <v>0.70330202002704001</v>
      </c>
      <c r="C91" s="37">
        <v>0.1735356080053608</v>
      </c>
      <c r="D91" s="38" t="s">
        <v>53</v>
      </c>
      <c r="E91" s="36">
        <v>14.947300703898691</v>
      </c>
      <c r="F91" s="37">
        <v>0.62721885861165105</v>
      </c>
      <c r="G91" s="38" t="s">
        <v>53</v>
      </c>
      <c r="H91" s="36">
        <v>14.66548848539446</v>
      </c>
      <c r="I91" s="37">
        <v>0.62610926930504629</v>
      </c>
      <c r="J91" s="38" t="s">
        <v>53</v>
      </c>
      <c r="K91" s="36">
        <v>50.35872343083124</v>
      </c>
      <c r="L91" s="37">
        <v>11.339454263951463</v>
      </c>
      <c r="M91" s="38" t="s">
        <v>53</v>
      </c>
      <c r="N91" s="36" t="s">
        <v>56</v>
      </c>
      <c r="O91" s="37" t="s">
        <v>56</v>
      </c>
      <c r="P91" s="38" t="s">
        <v>53</v>
      </c>
      <c r="Q91" s="36" t="s">
        <v>56</v>
      </c>
      <c r="R91" s="37" t="s">
        <v>56</v>
      </c>
      <c r="S91" s="38" t="s">
        <v>53</v>
      </c>
      <c r="T91" s="44" t="s">
        <v>56</v>
      </c>
      <c r="U91" s="37" t="s">
        <v>56</v>
      </c>
      <c r="V91" s="38" t="s">
        <v>53</v>
      </c>
      <c r="W91" s="44" t="s">
        <v>56</v>
      </c>
      <c r="X91" s="37" t="s">
        <v>56</v>
      </c>
      <c r="Y91" s="38" t="s">
        <v>53</v>
      </c>
      <c r="Z91" s="44" t="s">
        <v>56</v>
      </c>
      <c r="AA91" s="37" t="s">
        <v>56</v>
      </c>
      <c r="AB91" s="39" t="s">
        <v>53</v>
      </c>
    </row>
    <row r="92" spans="1:28" x14ac:dyDescent="0.25">
      <c r="A92" s="15" t="s">
        <v>205</v>
      </c>
      <c r="B92" s="36">
        <v>1.0713659373244</v>
      </c>
      <c r="C92" s="37">
        <v>0.43149317383496427</v>
      </c>
      <c r="D92" s="38" t="s">
        <v>53</v>
      </c>
      <c r="E92" s="36">
        <v>2.7206673261437362</v>
      </c>
      <c r="F92" s="37">
        <v>0.71651946360960472</v>
      </c>
      <c r="G92" s="38" t="s">
        <v>53</v>
      </c>
      <c r="H92" s="36">
        <v>2.173468463134792</v>
      </c>
      <c r="I92" s="37">
        <v>0.5005376229608145</v>
      </c>
      <c r="J92" s="38" t="s">
        <v>53</v>
      </c>
      <c r="K92" s="36">
        <v>45.01281473445826</v>
      </c>
      <c r="L92" s="37">
        <v>11.907686313901729</v>
      </c>
      <c r="M92" s="38" t="s">
        <v>53</v>
      </c>
      <c r="N92" s="36">
        <v>40.527682935168933</v>
      </c>
      <c r="O92" s="37">
        <v>13.002918710748204</v>
      </c>
      <c r="P92" s="38" t="s">
        <v>53</v>
      </c>
      <c r="Q92" s="36" t="s">
        <v>56</v>
      </c>
      <c r="R92" s="37" t="s">
        <v>56</v>
      </c>
      <c r="S92" s="38" t="s">
        <v>53</v>
      </c>
      <c r="T92" s="44" t="s">
        <v>56</v>
      </c>
      <c r="U92" s="37" t="s">
        <v>56</v>
      </c>
      <c r="V92" s="38" t="s">
        <v>53</v>
      </c>
      <c r="W92" s="44">
        <v>354.94388408255031</v>
      </c>
      <c r="X92" s="37">
        <v>16.458478390139582</v>
      </c>
      <c r="Y92" s="38" t="s">
        <v>53</v>
      </c>
      <c r="Z92" s="44" t="s">
        <v>56</v>
      </c>
      <c r="AA92" s="37" t="s">
        <v>56</v>
      </c>
      <c r="AB92" s="39" t="s">
        <v>53</v>
      </c>
    </row>
    <row r="93" spans="1:28" x14ac:dyDescent="0.25">
      <c r="A93" s="15" t="s">
        <v>206</v>
      </c>
      <c r="B93" s="36">
        <v>2.3149360382116497</v>
      </c>
      <c r="C93" s="37">
        <v>0.2182451411281752</v>
      </c>
      <c r="D93" s="38" t="s">
        <v>53</v>
      </c>
      <c r="E93" s="36">
        <v>36.211557315544908</v>
      </c>
      <c r="F93" s="37">
        <v>1.4648160972420832</v>
      </c>
      <c r="G93" s="38" t="s">
        <v>53</v>
      </c>
      <c r="H93" s="36">
        <v>35.284139010474952</v>
      </c>
      <c r="I93" s="37">
        <v>1.4737369592260505</v>
      </c>
      <c r="J93" s="38" t="s">
        <v>53</v>
      </c>
      <c r="K93" s="36">
        <v>73.876982451847624</v>
      </c>
      <c r="L93" s="37">
        <v>4.3625720463138569</v>
      </c>
      <c r="M93" s="38" t="s">
        <v>53</v>
      </c>
      <c r="N93" s="36">
        <v>69.460534077792573</v>
      </c>
      <c r="O93" s="37">
        <v>5.7916910282099279</v>
      </c>
      <c r="P93" s="38" t="s">
        <v>53</v>
      </c>
      <c r="Q93" s="36">
        <v>83.056987350753786</v>
      </c>
      <c r="R93" s="37">
        <v>7.2460263133183318</v>
      </c>
      <c r="S93" s="38" t="s">
        <v>53</v>
      </c>
      <c r="T93" s="44">
        <v>436.83003068470526</v>
      </c>
      <c r="U93" s="37">
        <v>12.330858693450237</v>
      </c>
      <c r="V93" s="38" t="s">
        <v>53</v>
      </c>
      <c r="W93" s="44">
        <v>470.84807730278453</v>
      </c>
      <c r="X93" s="37">
        <v>16.411970814753776</v>
      </c>
      <c r="Y93" s="38" t="s">
        <v>53</v>
      </c>
      <c r="Z93" s="44">
        <v>34.018046618079183</v>
      </c>
      <c r="AA93" s="37">
        <v>20.649167285348884</v>
      </c>
      <c r="AB93" s="39" t="s">
        <v>53</v>
      </c>
    </row>
    <row r="94" spans="1:28" x14ac:dyDescent="0.25">
      <c r="A94" s="15" t="s">
        <v>207</v>
      </c>
      <c r="B94" s="36">
        <v>55.781255228227387</v>
      </c>
      <c r="C94" s="37">
        <v>0.78306140903694166</v>
      </c>
      <c r="D94" s="38" t="s">
        <v>53</v>
      </c>
      <c r="E94" s="36">
        <v>41.319713347104447</v>
      </c>
      <c r="F94" s="37">
        <v>0.57184429057983677</v>
      </c>
      <c r="G94" s="38" t="s">
        <v>53</v>
      </c>
      <c r="H94" s="36">
        <v>30.573736410401569</v>
      </c>
      <c r="I94" s="37">
        <v>0.71994795631548114</v>
      </c>
      <c r="J94" s="38" t="s">
        <v>53</v>
      </c>
      <c r="K94" s="36">
        <v>49.736586964625182</v>
      </c>
      <c r="L94" s="37">
        <v>0.87857407643733687</v>
      </c>
      <c r="M94" s="38" t="s">
        <v>53</v>
      </c>
      <c r="N94" s="36">
        <v>45.349227805133872</v>
      </c>
      <c r="O94" s="37">
        <v>1.241991912619224</v>
      </c>
      <c r="P94" s="38" t="s">
        <v>53</v>
      </c>
      <c r="Q94" s="36">
        <v>52.824270786456047</v>
      </c>
      <c r="R94" s="37">
        <v>0.90547599809029211</v>
      </c>
      <c r="S94" s="38" t="s">
        <v>53</v>
      </c>
      <c r="T94" s="44">
        <v>479.27928972560386</v>
      </c>
      <c r="U94" s="37">
        <v>3.6716052214695507</v>
      </c>
      <c r="V94" s="38" t="s">
        <v>53</v>
      </c>
      <c r="W94" s="44">
        <v>474.38350560063577</v>
      </c>
      <c r="X94" s="37">
        <v>2.8503591645147432</v>
      </c>
      <c r="Y94" s="38" t="s">
        <v>53</v>
      </c>
      <c r="Z94" s="44">
        <v>-4.8957841249681229</v>
      </c>
      <c r="AA94" s="37">
        <v>3.7879483646758163</v>
      </c>
      <c r="AB94" s="39" t="s">
        <v>53</v>
      </c>
    </row>
    <row r="95" spans="1:28" x14ac:dyDescent="0.25">
      <c r="A95" s="15" t="s">
        <v>208</v>
      </c>
      <c r="B95" s="36">
        <v>1.2698266694508</v>
      </c>
      <c r="C95" s="37">
        <v>0.18673082341050887</v>
      </c>
      <c r="D95" s="38" t="s">
        <v>53</v>
      </c>
      <c r="E95" s="36">
        <v>3.8792977059608238</v>
      </c>
      <c r="F95" s="37">
        <v>0.56225489163339515</v>
      </c>
      <c r="G95" s="38" t="s">
        <v>53</v>
      </c>
      <c r="H95" s="36">
        <v>3.503049106636662</v>
      </c>
      <c r="I95" s="37">
        <v>0.50186010379160184</v>
      </c>
      <c r="J95" s="38" t="s">
        <v>53</v>
      </c>
      <c r="K95" s="36">
        <v>27.04317629365914</v>
      </c>
      <c r="L95" s="37">
        <v>6.4183160966893373</v>
      </c>
      <c r="M95" s="38" t="s">
        <v>53</v>
      </c>
      <c r="N95" s="36">
        <v>27.837416747546559</v>
      </c>
      <c r="O95" s="37">
        <v>7.9898023850630411</v>
      </c>
      <c r="P95" s="38" t="s">
        <v>53</v>
      </c>
      <c r="Q95" s="36">
        <v>26.232053263158541</v>
      </c>
      <c r="R95" s="37">
        <v>9.6917313152558684</v>
      </c>
      <c r="S95" s="38" t="s">
        <v>53</v>
      </c>
      <c r="T95" s="44" t="s">
        <v>56</v>
      </c>
      <c r="U95" s="37" t="s">
        <v>56</v>
      </c>
      <c r="V95" s="38" t="s">
        <v>53</v>
      </c>
      <c r="W95" s="44">
        <v>435.02844224739351</v>
      </c>
      <c r="X95" s="37">
        <v>19.747312150050742</v>
      </c>
      <c r="Y95" s="38" t="s">
        <v>53</v>
      </c>
      <c r="Z95" s="44" t="s">
        <v>56</v>
      </c>
      <c r="AA95" s="37" t="s">
        <v>56</v>
      </c>
      <c r="AB95" s="39" t="s">
        <v>53</v>
      </c>
    </row>
    <row r="96" spans="1:28" ht="13.8" thickBot="1" x14ac:dyDescent="0.3">
      <c r="A96" s="18" t="s">
        <v>209</v>
      </c>
      <c r="B96" s="40">
        <v>6.2539118959410001E-2</v>
      </c>
      <c r="C96" s="41">
        <v>3.114434172733371E-2</v>
      </c>
      <c r="D96" s="42" t="s">
        <v>53</v>
      </c>
      <c r="E96" s="40">
        <v>5.6863508423427733</v>
      </c>
      <c r="F96" s="41">
        <v>1.0726278260888849</v>
      </c>
      <c r="G96" s="42" t="s">
        <v>53</v>
      </c>
      <c r="H96" s="40">
        <v>5.6538574722891513</v>
      </c>
      <c r="I96" s="41">
        <v>1.0878644601916656</v>
      </c>
      <c r="J96" s="42" t="s">
        <v>53</v>
      </c>
      <c r="K96" s="40" t="s">
        <v>56</v>
      </c>
      <c r="L96" s="41" t="s">
        <v>56</v>
      </c>
      <c r="M96" s="42" t="s">
        <v>53</v>
      </c>
      <c r="N96" s="40" t="s">
        <v>56</v>
      </c>
      <c r="O96" s="41" t="s">
        <v>56</v>
      </c>
      <c r="P96" s="42" t="s">
        <v>53</v>
      </c>
      <c r="Q96" s="40" t="s">
        <v>56</v>
      </c>
      <c r="R96" s="41" t="s">
        <v>56</v>
      </c>
      <c r="S96" s="42" t="s">
        <v>53</v>
      </c>
      <c r="T96" s="45" t="s">
        <v>55</v>
      </c>
      <c r="U96" s="41" t="s">
        <v>55</v>
      </c>
      <c r="V96" s="42" t="s">
        <v>53</v>
      </c>
      <c r="W96" s="45" t="s">
        <v>55</v>
      </c>
      <c r="X96" s="41" t="s">
        <v>55</v>
      </c>
      <c r="Y96" s="42" t="s">
        <v>53</v>
      </c>
      <c r="Z96" s="45" t="s">
        <v>55</v>
      </c>
      <c r="AA96" s="41" t="s">
        <v>55</v>
      </c>
      <c r="AB96" s="43" t="s">
        <v>53</v>
      </c>
    </row>
    <row r="97" spans="1:4" x14ac:dyDescent="0.25">
      <c r="A97" s="2"/>
      <c r="B97" s="2"/>
      <c r="C97" s="2"/>
      <c r="D97" s="2"/>
    </row>
    <row r="98" spans="1:4" x14ac:dyDescent="0.25">
      <c r="A98" s="2"/>
      <c r="B98" s="2"/>
      <c r="C98" s="2"/>
      <c r="D98" s="2"/>
    </row>
    <row r="99" spans="1:4" x14ac:dyDescent="0.25">
      <c r="A99" s="2"/>
      <c r="B99" s="2"/>
      <c r="C99" s="2"/>
      <c r="D99" s="2"/>
    </row>
    <row r="100" spans="1:4" x14ac:dyDescent="0.25">
      <c r="A100" s="2"/>
      <c r="B100" s="2"/>
      <c r="C100" s="2"/>
      <c r="D100" s="2"/>
    </row>
    <row r="101" spans="1:4" x14ac:dyDescent="0.25">
      <c r="A101" s="2"/>
      <c r="B101" s="2"/>
      <c r="C101" s="2"/>
      <c r="D101" s="2"/>
    </row>
    <row r="104" spans="1:4" x14ac:dyDescent="0.25">
      <c r="A104" t="s">
        <v>219</v>
      </c>
    </row>
    <row r="105" spans="1:4" x14ac:dyDescent="0.25">
      <c r="A105" s="33" t="s">
        <v>116</v>
      </c>
      <c r="B105" s="33"/>
      <c r="C105" s="33"/>
      <c r="D105" s="33"/>
    </row>
    <row r="106" spans="1:4" x14ac:dyDescent="0.25">
      <c r="A106" t="s">
        <v>78</v>
      </c>
    </row>
    <row r="107" spans="1:4" x14ac:dyDescent="0.25">
      <c r="A107" s="27" t="s">
        <v>212</v>
      </c>
    </row>
  </sheetData>
  <mergeCells count="11">
    <mergeCell ref="E13:G13"/>
    <mergeCell ref="B12:D13"/>
    <mergeCell ref="E12:S12"/>
    <mergeCell ref="T12:AB12"/>
    <mergeCell ref="T13:V13"/>
    <mergeCell ref="W13:Y13"/>
    <mergeCell ref="Z13:AB13"/>
    <mergeCell ref="H13:J13"/>
    <mergeCell ref="K13:M13"/>
    <mergeCell ref="N13:P13"/>
    <mergeCell ref="Q13:S13"/>
  </mergeCells>
  <conditionalFormatting sqref="Z16:Z96">
    <cfRule type="expression" dxfId="18" priority="1">
      <formula>ABS(Z16/AA16)&gt;1.96</formula>
    </cfRule>
  </conditionalFormatting>
  <hyperlinks>
    <hyperlink ref="A1" r:id="rId1" display="https://doi.org/10.1787/b5fd1b8f-en"/>
    <hyperlink ref="A4" r:id="rId2"/>
  </hyperlinks>
  <pageMargins left="0.7" right="0.7" top="0.75" bottom="0.75" header="0.3" footer="0.3"/>
  <pageSetup paperSize="9" orientation="portrait"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09"/>
  <sheetViews>
    <sheetView showGridLines="0" zoomScale="80" zoomScaleNormal="80" workbookViewId="0"/>
  </sheetViews>
  <sheetFormatPr defaultRowHeight="13.2" x14ac:dyDescent="0.25"/>
  <cols>
    <col min="1" max="1" width="28.33203125" customWidth="1"/>
    <col min="2" max="3" width="9" customWidth="1"/>
    <col min="4" max="4" width="2.44140625" customWidth="1"/>
    <col min="5" max="6" width="9" customWidth="1"/>
    <col min="7" max="7" width="2.44140625" customWidth="1"/>
    <col min="8" max="9" width="9" customWidth="1"/>
    <col min="10" max="10" width="2.44140625" customWidth="1"/>
    <col min="11" max="12" width="9" customWidth="1"/>
    <col min="13" max="13" width="2.44140625" customWidth="1"/>
    <col min="14" max="15" width="9" customWidth="1"/>
    <col min="16" max="16" width="2.44140625" customWidth="1"/>
    <col min="17" max="18" width="9" customWidth="1"/>
    <col min="19" max="19" width="2.44140625" customWidth="1"/>
    <col min="20" max="21" width="9" customWidth="1"/>
    <col min="22" max="22" width="2.44140625" customWidth="1"/>
    <col min="23" max="24" width="9" customWidth="1"/>
    <col min="25" max="25" width="2.44140625" customWidth="1"/>
    <col min="26" max="27" width="9" customWidth="1"/>
    <col min="28" max="28" width="2.44140625" customWidth="1"/>
  </cols>
  <sheetData>
    <row r="1" spans="1:28" s="115" customFormat="1" x14ac:dyDescent="0.25">
      <c r="A1" s="116" t="s">
        <v>232</v>
      </c>
    </row>
    <row r="2" spans="1:28" s="115" customFormat="1" x14ac:dyDescent="0.25">
      <c r="A2" s="115" t="s">
        <v>233</v>
      </c>
      <c r="B2" s="115" t="s">
        <v>234</v>
      </c>
    </row>
    <row r="3" spans="1:28" s="115" customFormat="1" x14ac:dyDescent="0.25">
      <c r="A3" s="115" t="s">
        <v>235</v>
      </c>
    </row>
    <row r="4" spans="1:28" s="115" customFormat="1" x14ac:dyDescent="0.25">
      <c r="A4" s="116" t="s">
        <v>236</v>
      </c>
    </row>
    <row r="5" spans="1:28" s="115" customFormat="1" x14ac:dyDescent="0.25"/>
    <row r="6" spans="1:28" x14ac:dyDescent="0.25">
      <c r="A6" s="2" t="s">
        <v>119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6"/>
      <c r="T6" s="27"/>
      <c r="W6" s="4"/>
      <c r="X6" s="1"/>
      <c r="Y6" s="1"/>
      <c r="Z6" s="4"/>
      <c r="AA6" s="1"/>
      <c r="AB6" s="1"/>
    </row>
    <row r="7" spans="1:28" x14ac:dyDescent="0.25">
      <c r="A7" s="6" t="s">
        <v>68</v>
      </c>
      <c r="B7" s="6"/>
      <c r="C7" s="2"/>
      <c r="D7" s="6"/>
      <c r="E7" s="6"/>
      <c r="F7" s="6"/>
      <c r="G7" s="6"/>
      <c r="H7" s="6"/>
      <c r="I7" s="6"/>
      <c r="J7" s="6"/>
      <c r="K7" s="6"/>
      <c r="L7" s="6"/>
      <c r="O7" s="6"/>
      <c r="P7" s="6"/>
      <c r="Q7" s="6"/>
      <c r="R7" s="6"/>
      <c r="S7" s="7"/>
      <c r="T7" s="27"/>
      <c r="W7" s="26"/>
      <c r="X7" s="2"/>
      <c r="Y7" s="6"/>
      <c r="Z7" s="26"/>
      <c r="AA7" s="2"/>
      <c r="AB7" s="6"/>
    </row>
    <row r="8" spans="1:28" x14ac:dyDescent="0.25">
      <c r="A8" s="28" t="s">
        <v>27</v>
      </c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R8" s="7"/>
      <c r="S8" s="6"/>
      <c r="T8" s="7"/>
      <c r="U8" s="7"/>
      <c r="V8" s="7"/>
      <c r="W8" s="7"/>
      <c r="X8" s="7"/>
      <c r="Y8" s="7"/>
      <c r="Z8" s="7"/>
      <c r="AA8" s="7"/>
      <c r="AB8" s="7"/>
    </row>
    <row r="9" spans="1:28" x14ac:dyDescent="0.25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</row>
    <row r="10" spans="1:28" x14ac:dyDescent="0.25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</row>
    <row r="11" spans="1:28" ht="13.8" thickBot="1" x14ac:dyDescent="0.3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 spans="1:28" ht="41.25" customHeight="1" x14ac:dyDescent="0.25">
      <c r="A12" s="8"/>
      <c r="B12" s="85" t="s">
        <v>8</v>
      </c>
      <c r="C12" s="86"/>
      <c r="D12" s="87"/>
      <c r="E12" s="93" t="s">
        <v>11</v>
      </c>
      <c r="F12" s="94"/>
      <c r="G12" s="94"/>
      <c r="H12" s="94"/>
      <c r="I12" s="94"/>
      <c r="J12" s="94"/>
      <c r="K12" s="94"/>
      <c r="L12" s="94"/>
      <c r="M12" s="94"/>
      <c r="N12" s="94"/>
      <c r="O12" s="94"/>
      <c r="P12" s="94"/>
      <c r="Q12" s="94"/>
      <c r="R12" s="94"/>
      <c r="S12" s="95"/>
      <c r="T12" s="96" t="s">
        <v>43</v>
      </c>
      <c r="U12" s="91"/>
      <c r="V12" s="91"/>
      <c r="W12" s="91"/>
      <c r="X12" s="91"/>
      <c r="Y12" s="97"/>
      <c r="Z12" s="91" t="s">
        <v>34</v>
      </c>
      <c r="AA12" s="91"/>
      <c r="AB12" s="92"/>
    </row>
    <row r="13" spans="1:28" ht="111.75" customHeight="1" x14ac:dyDescent="0.25">
      <c r="A13" s="9"/>
      <c r="B13" s="88"/>
      <c r="C13" s="89"/>
      <c r="D13" s="90"/>
      <c r="E13" s="82" t="s">
        <v>16</v>
      </c>
      <c r="F13" s="80"/>
      <c r="G13" s="81"/>
      <c r="H13" s="82" t="s">
        <v>5</v>
      </c>
      <c r="I13" s="80"/>
      <c r="J13" s="81"/>
      <c r="K13" s="82" t="s">
        <v>6</v>
      </c>
      <c r="L13" s="80"/>
      <c r="M13" s="81"/>
      <c r="N13" s="67" t="s">
        <v>47</v>
      </c>
      <c r="O13" s="68"/>
      <c r="P13" s="69"/>
      <c r="Q13" s="67" t="s">
        <v>48</v>
      </c>
      <c r="R13" s="68"/>
      <c r="S13" s="69"/>
      <c r="T13" s="82" t="s">
        <v>49</v>
      </c>
      <c r="U13" s="80"/>
      <c r="V13" s="81"/>
      <c r="W13" s="80" t="s">
        <v>50</v>
      </c>
      <c r="X13" s="80"/>
      <c r="Y13" s="81"/>
      <c r="Z13" s="80" t="s">
        <v>88</v>
      </c>
      <c r="AA13" s="80"/>
      <c r="AB13" s="84"/>
    </row>
    <row r="14" spans="1:28" ht="26.4" x14ac:dyDescent="0.25">
      <c r="A14" s="10"/>
      <c r="B14" s="11" t="s">
        <v>0</v>
      </c>
      <c r="C14" s="12" t="s">
        <v>1</v>
      </c>
      <c r="D14" s="13" t="s">
        <v>2</v>
      </c>
      <c r="E14" s="11" t="s">
        <v>12</v>
      </c>
      <c r="F14" s="12" t="s">
        <v>1</v>
      </c>
      <c r="G14" s="13" t="s">
        <v>2</v>
      </c>
      <c r="H14" s="11" t="s">
        <v>12</v>
      </c>
      <c r="I14" s="12" t="s">
        <v>1</v>
      </c>
      <c r="J14" s="13" t="s">
        <v>2</v>
      </c>
      <c r="K14" s="11" t="s">
        <v>12</v>
      </c>
      <c r="L14" s="12" t="s">
        <v>1</v>
      </c>
      <c r="M14" s="13" t="s">
        <v>2</v>
      </c>
      <c r="N14" s="11" t="s">
        <v>12</v>
      </c>
      <c r="O14" s="12" t="s">
        <v>1</v>
      </c>
      <c r="P14" s="13" t="s">
        <v>2</v>
      </c>
      <c r="Q14" s="11" t="s">
        <v>12</v>
      </c>
      <c r="R14" s="12" t="s">
        <v>1</v>
      </c>
      <c r="S14" s="13" t="s">
        <v>2</v>
      </c>
      <c r="T14" s="11" t="s">
        <v>17</v>
      </c>
      <c r="U14" s="12" t="s">
        <v>1</v>
      </c>
      <c r="V14" s="13" t="s">
        <v>2</v>
      </c>
      <c r="W14" s="11" t="s">
        <v>17</v>
      </c>
      <c r="X14" s="12" t="s">
        <v>1</v>
      </c>
      <c r="Y14" s="13" t="s">
        <v>2</v>
      </c>
      <c r="Z14" s="11" t="s">
        <v>0</v>
      </c>
      <c r="AA14" s="12" t="s">
        <v>1</v>
      </c>
      <c r="AB14" s="14" t="s">
        <v>2</v>
      </c>
    </row>
    <row r="15" spans="1:28" s="64" customFormat="1" x14ac:dyDescent="0.25">
      <c r="A15" s="65" t="s">
        <v>210</v>
      </c>
      <c r="B15" s="59"/>
      <c r="C15" s="60"/>
      <c r="D15" s="61"/>
      <c r="E15" s="59"/>
      <c r="F15" s="60"/>
      <c r="G15" s="61"/>
      <c r="H15" s="59"/>
      <c r="I15" s="60"/>
      <c r="J15" s="61"/>
      <c r="K15" s="59"/>
      <c r="L15" s="60"/>
      <c r="M15" s="61"/>
      <c r="N15" s="59"/>
      <c r="O15" s="60"/>
      <c r="P15" s="61"/>
      <c r="Q15" s="59"/>
      <c r="R15" s="60"/>
      <c r="S15" s="61"/>
      <c r="T15" s="59"/>
      <c r="U15" s="60"/>
      <c r="V15" s="61"/>
      <c r="W15" s="59"/>
      <c r="X15" s="60"/>
      <c r="Y15" s="61"/>
      <c r="Z15" s="59"/>
      <c r="AA15" s="60"/>
      <c r="AB15" s="62"/>
    </row>
    <row r="16" spans="1:28" ht="13.5" customHeight="1" x14ac:dyDescent="0.25">
      <c r="A16" s="15" t="s">
        <v>130</v>
      </c>
      <c r="B16" s="36">
        <v>27.70876328155763</v>
      </c>
      <c r="C16" s="37">
        <v>0.84465675737519963</v>
      </c>
      <c r="D16" s="38" t="s">
        <v>53</v>
      </c>
      <c r="E16" s="44">
        <v>502.63172442266045</v>
      </c>
      <c r="F16" s="37">
        <v>1.6343430782949673</v>
      </c>
      <c r="G16" s="38" t="s">
        <v>53</v>
      </c>
      <c r="H16" s="44">
        <v>503.91230694215147</v>
      </c>
      <c r="I16" s="37">
        <v>1.9512079998398522</v>
      </c>
      <c r="J16" s="38" t="s">
        <v>53</v>
      </c>
      <c r="K16" s="44">
        <v>511.46357821160137</v>
      </c>
      <c r="L16" s="37">
        <v>3.3466746932350087</v>
      </c>
      <c r="M16" s="38" t="s">
        <v>53</v>
      </c>
      <c r="N16" s="44">
        <v>522.69431745486088</v>
      </c>
      <c r="O16" s="37">
        <v>4.4797664214706012</v>
      </c>
      <c r="P16" s="38" t="s">
        <v>53</v>
      </c>
      <c r="Q16" s="44">
        <v>500.7470398938388</v>
      </c>
      <c r="R16" s="37">
        <v>3.8553389762855743</v>
      </c>
      <c r="S16" s="38" t="s">
        <v>53</v>
      </c>
      <c r="T16" s="44">
        <v>7.5512712694499315</v>
      </c>
      <c r="U16" s="37">
        <v>3.5409788873459935</v>
      </c>
      <c r="V16" s="38" t="s">
        <v>53</v>
      </c>
      <c r="W16" s="44">
        <v>7.3628035438006583</v>
      </c>
      <c r="X16" s="37">
        <v>2.9551637903009258</v>
      </c>
      <c r="Y16" s="38" t="s">
        <v>53</v>
      </c>
      <c r="Z16" s="36">
        <v>29.111354473534895</v>
      </c>
      <c r="AA16" s="37">
        <v>1.349401881949942</v>
      </c>
      <c r="AB16" s="39" t="s">
        <v>53</v>
      </c>
    </row>
    <row r="17" spans="1:28" x14ac:dyDescent="0.25">
      <c r="A17" s="15" t="s">
        <v>131</v>
      </c>
      <c r="B17" s="36">
        <v>22.686235321470399</v>
      </c>
      <c r="C17" s="37">
        <v>1.1527352979062462</v>
      </c>
      <c r="D17" s="38" t="s">
        <v>53</v>
      </c>
      <c r="E17" s="44">
        <v>484.3925685119973</v>
      </c>
      <c r="F17" s="37">
        <v>2.6974721130727501</v>
      </c>
      <c r="G17" s="38" t="s">
        <v>53</v>
      </c>
      <c r="H17" s="44">
        <v>499.74545681917056</v>
      </c>
      <c r="I17" s="37">
        <v>2.5553271336043339</v>
      </c>
      <c r="J17" s="38" t="s">
        <v>53</v>
      </c>
      <c r="K17" s="44">
        <v>437.19820510229039</v>
      </c>
      <c r="L17" s="37">
        <v>4.2295541700043824</v>
      </c>
      <c r="M17" s="38" t="s">
        <v>53</v>
      </c>
      <c r="N17" s="44">
        <v>445.84613756485874</v>
      </c>
      <c r="O17" s="37">
        <v>4.3424548389167015</v>
      </c>
      <c r="P17" s="38" t="s">
        <v>53</v>
      </c>
      <c r="Q17" s="44">
        <v>420.69767351842421</v>
      </c>
      <c r="R17" s="37">
        <v>5.5425713024596783</v>
      </c>
      <c r="S17" s="38" t="s">
        <v>53</v>
      </c>
      <c r="T17" s="44">
        <v>-62.547251716880126</v>
      </c>
      <c r="U17" s="37">
        <v>4.5392982776103645</v>
      </c>
      <c r="V17" s="38" t="s">
        <v>53</v>
      </c>
      <c r="W17" s="44">
        <v>-33.266327568513645</v>
      </c>
      <c r="X17" s="37">
        <v>3.6020549159219049</v>
      </c>
      <c r="Y17" s="38" t="s">
        <v>53</v>
      </c>
      <c r="Z17" s="36">
        <v>11.249148810342216</v>
      </c>
      <c r="AA17" s="37">
        <v>1.1772169665594128</v>
      </c>
      <c r="AB17" s="39" t="s">
        <v>53</v>
      </c>
    </row>
    <row r="18" spans="1:28" x14ac:dyDescent="0.25">
      <c r="A18" s="15" t="s">
        <v>132</v>
      </c>
      <c r="B18" s="36">
        <v>18.059454688726909</v>
      </c>
      <c r="C18" s="37">
        <v>0.85847510420573059</v>
      </c>
      <c r="D18" s="38" t="s">
        <v>53</v>
      </c>
      <c r="E18" s="44">
        <v>492.86443860384173</v>
      </c>
      <c r="F18" s="37">
        <v>2.3219733225544985</v>
      </c>
      <c r="G18" s="38" t="s">
        <v>53</v>
      </c>
      <c r="H18" s="44">
        <v>506.33143590594074</v>
      </c>
      <c r="I18" s="37">
        <v>2.396859601961264</v>
      </c>
      <c r="J18" s="38" t="s">
        <v>53</v>
      </c>
      <c r="K18" s="44">
        <v>444.84524189475309</v>
      </c>
      <c r="L18" s="37">
        <v>3.8208510211458622</v>
      </c>
      <c r="M18" s="38" t="s">
        <v>53</v>
      </c>
      <c r="N18" s="44">
        <v>458.6408699459551</v>
      </c>
      <c r="O18" s="37">
        <v>4.6961355534684559</v>
      </c>
      <c r="P18" s="38" t="s">
        <v>53</v>
      </c>
      <c r="Q18" s="44">
        <v>426.80514801370902</v>
      </c>
      <c r="R18" s="37">
        <v>5.2161716771897684</v>
      </c>
      <c r="S18" s="38" t="s">
        <v>53</v>
      </c>
      <c r="T18" s="44">
        <v>-61.486194011187763</v>
      </c>
      <c r="U18" s="37">
        <v>4.110103775320022</v>
      </c>
      <c r="V18" s="38" t="s">
        <v>53</v>
      </c>
      <c r="W18" s="44">
        <v>-20.583225701867292</v>
      </c>
      <c r="X18" s="37">
        <v>4.0001765699151788</v>
      </c>
      <c r="Y18" s="38" t="s">
        <v>53</v>
      </c>
      <c r="Z18" s="36">
        <v>11.958290729680932</v>
      </c>
      <c r="AA18" s="37">
        <v>1.1733206217291636</v>
      </c>
      <c r="AB18" s="39" t="s">
        <v>53</v>
      </c>
    </row>
    <row r="19" spans="1:28" x14ac:dyDescent="0.25">
      <c r="A19" s="15" t="s">
        <v>133</v>
      </c>
      <c r="B19" s="36">
        <v>34.969966286453818</v>
      </c>
      <c r="C19" s="37">
        <v>1.4227690605278804</v>
      </c>
      <c r="D19" s="38" t="s">
        <v>53</v>
      </c>
      <c r="E19" s="44">
        <v>520.08552092652087</v>
      </c>
      <c r="F19" s="37">
        <v>1.7997161634459793</v>
      </c>
      <c r="G19" s="38" t="s">
        <v>53</v>
      </c>
      <c r="H19" s="44">
        <v>524.68102426748919</v>
      </c>
      <c r="I19" s="37">
        <v>1.6334609638066961</v>
      </c>
      <c r="J19" s="38" t="s">
        <v>53</v>
      </c>
      <c r="K19" s="44">
        <v>521.71187122262052</v>
      </c>
      <c r="L19" s="37">
        <v>3.0378806740988953</v>
      </c>
      <c r="M19" s="38" t="s">
        <v>53</v>
      </c>
      <c r="N19" s="44">
        <v>535.21125601683877</v>
      </c>
      <c r="O19" s="37">
        <v>3.8710753747577065</v>
      </c>
      <c r="P19" s="38" t="s">
        <v>53</v>
      </c>
      <c r="Q19" s="44">
        <v>507.56569193805984</v>
      </c>
      <c r="R19" s="37">
        <v>3.6246895216881927</v>
      </c>
      <c r="S19" s="38" t="s">
        <v>53</v>
      </c>
      <c r="T19" s="44">
        <v>-2.9691530448687704</v>
      </c>
      <c r="U19" s="37">
        <v>2.9340386546278627</v>
      </c>
      <c r="V19" s="38" t="s">
        <v>53</v>
      </c>
      <c r="W19" s="44">
        <v>-0.55934083494291176</v>
      </c>
      <c r="X19" s="37">
        <v>2.5675252651704339</v>
      </c>
      <c r="Y19" s="38" t="s">
        <v>53</v>
      </c>
      <c r="Z19" s="36">
        <v>26.171212173771057</v>
      </c>
      <c r="AA19" s="37">
        <v>1.1637670292540272</v>
      </c>
      <c r="AB19" s="39" t="s">
        <v>53</v>
      </c>
    </row>
    <row r="20" spans="1:28" x14ac:dyDescent="0.25">
      <c r="A20" s="15" t="s">
        <v>134</v>
      </c>
      <c r="B20" s="36">
        <v>3.3908614801180597</v>
      </c>
      <c r="C20" s="37">
        <v>0.38959486833610874</v>
      </c>
      <c r="D20" s="38" t="s">
        <v>53</v>
      </c>
      <c r="E20" s="44">
        <v>452.27255409198017</v>
      </c>
      <c r="F20" s="37">
        <v>2.6437662224570233</v>
      </c>
      <c r="G20" s="38" t="s">
        <v>53</v>
      </c>
      <c r="H20" s="44">
        <v>456.19479181977067</v>
      </c>
      <c r="I20" s="37">
        <v>2.7163773924370345</v>
      </c>
      <c r="J20" s="38" t="s">
        <v>53</v>
      </c>
      <c r="K20" s="44">
        <v>437.76712773449839</v>
      </c>
      <c r="L20" s="37">
        <v>7.4834392446217413</v>
      </c>
      <c r="M20" s="38" t="s">
        <v>53</v>
      </c>
      <c r="N20" s="44">
        <v>447.05768698391171</v>
      </c>
      <c r="O20" s="37">
        <v>18.300349600368069</v>
      </c>
      <c r="P20" s="38" t="s">
        <v>53</v>
      </c>
      <c r="Q20" s="44">
        <v>435.38354519042588</v>
      </c>
      <c r="R20" s="37">
        <v>8.4970364068467106</v>
      </c>
      <c r="S20" s="38" t="s">
        <v>53</v>
      </c>
      <c r="T20" s="44">
        <v>-18.427664085272443</v>
      </c>
      <c r="U20" s="37">
        <v>7.0907931636398986</v>
      </c>
      <c r="V20" s="38" t="s">
        <v>53</v>
      </c>
      <c r="W20" s="44">
        <v>-13.944888202608707</v>
      </c>
      <c r="X20" s="37">
        <v>6.9350896909340971</v>
      </c>
      <c r="Y20" s="38" t="s">
        <v>53</v>
      </c>
      <c r="Z20" s="36">
        <v>18.620007833234386</v>
      </c>
      <c r="AA20" s="37">
        <v>2.9226844169342616</v>
      </c>
      <c r="AB20" s="39" t="s">
        <v>53</v>
      </c>
    </row>
    <row r="21" spans="1:28" x14ac:dyDescent="0.25">
      <c r="A21" s="15" t="s">
        <v>135</v>
      </c>
      <c r="B21" s="36">
        <v>0.55659208363787993</v>
      </c>
      <c r="C21" s="37">
        <v>0.12058001255994841</v>
      </c>
      <c r="D21" s="38" t="s">
        <v>53</v>
      </c>
      <c r="E21" s="44">
        <v>412.29508567556314</v>
      </c>
      <c r="F21" s="37">
        <v>3.2513437048035891</v>
      </c>
      <c r="G21" s="38" t="s">
        <v>53</v>
      </c>
      <c r="H21" s="44">
        <v>414.21725450666918</v>
      </c>
      <c r="I21" s="37">
        <v>3.3107892918026822</v>
      </c>
      <c r="J21" s="38" t="s">
        <v>53</v>
      </c>
      <c r="K21" s="44">
        <v>355.4441645943341</v>
      </c>
      <c r="L21" s="37">
        <v>13.867266131316024</v>
      </c>
      <c r="M21" s="38" t="s">
        <v>53</v>
      </c>
      <c r="N21" s="44" t="s">
        <v>56</v>
      </c>
      <c r="O21" s="37" t="s">
        <v>56</v>
      </c>
      <c r="P21" s="38" t="s">
        <v>53</v>
      </c>
      <c r="Q21" s="44" t="s">
        <v>56</v>
      </c>
      <c r="R21" s="37" t="s">
        <v>56</v>
      </c>
      <c r="S21" s="38" t="s">
        <v>53</v>
      </c>
      <c r="T21" s="44">
        <v>-58.773089912335109</v>
      </c>
      <c r="U21" s="37">
        <v>13.580019752309232</v>
      </c>
      <c r="V21" s="38" t="s">
        <v>53</v>
      </c>
      <c r="W21" s="44">
        <v>-45.935666706089023</v>
      </c>
      <c r="X21" s="37">
        <v>11.235456726836619</v>
      </c>
      <c r="Y21" s="38" t="s">
        <v>53</v>
      </c>
      <c r="Z21" s="36">
        <v>13.480849570397202</v>
      </c>
      <c r="AA21" s="37">
        <v>5.3270447023545779</v>
      </c>
      <c r="AB21" s="39" t="s">
        <v>53</v>
      </c>
    </row>
    <row r="22" spans="1:28" x14ac:dyDescent="0.25">
      <c r="A22" s="15" t="s">
        <v>136</v>
      </c>
      <c r="B22" s="36">
        <v>4.1464036037107297</v>
      </c>
      <c r="C22" s="37">
        <v>0.38608926670904103</v>
      </c>
      <c r="D22" s="38" t="s">
        <v>53</v>
      </c>
      <c r="E22" s="44">
        <v>490.21881502637234</v>
      </c>
      <c r="F22" s="37">
        <v>2.5478509476001521</v>
      </c>
      <c r="G22" s="38" t="s">
        <v>53</v>
      </c>
      <c r="H22" s="44">
        <v>493.06560502684135</v>
      </c>
      <c r="I22" s="37">
        <v>2.4655619386169794</v>
      </c>
      <c r="J22" s="38" t="s">
        <v>53</v>
      </c>
      <c r="K22" s="44">
        <v>439.84245868257642</v>
      </c>
      <c r="L22" s="37">
        <v>9.7407124324388743</v>
      </c>
      <c r="M22" s="38" t="s">
        <v>53</v>
      </c>
      <c r="N22" s="44">
        <v>459.45838105420063</v>
      </c>
      <c r="O22" s="37">
        <v>10.489840877840347</v>
      </c>
      <c r="P22" s="38" t="s">
        <v>53</v>
      </c>
      <c r="Q22" s="44">
        <v>421.01252818987854</v>
      </c>
      <c r="R22" s="37">
        <v>14.4456811051943</v>
      </c>
      <c r="S22" s="38" t="s">
        <v>53</v>
      </c>
      <c r="T22" s="44">
        <v>-53.223146344264869</v>
      </c>
      <c r="U22" s="37">
        <v>9.3556898229819243</v>
      </c>
      <c r="V22" s="38" t="s">
        <v>53</v>
      </c>
      <c r="W22" s="44">
        <v>-34.182200859343659</v>
      </c>
      <c r="X22" s="37">
        <v>7.3245324754973336</v>
      </c>
      <c r="Y22" s="38" t="s">
        <v>53</v>
      </c>
      <c r="Z22" s="36">
        <v>12.328681381255747</v>
      </c>
      <c r="AA22" s="37">
        <v>2.5039197261323385</v>
      </c>
      <c r="AB22" s="39" t="s">
        <v>53</v>
      </c>
    </row>
    <row r="23" spans="1:28" x14ac:dyDescent="0.25">
      <c r="A23" s="15" t="s">
        <v>137</v>
      </c>
      <c r="B23" s="36">
        <v>10.653250682536131</v>
      </c>
      <c r="C23" s="37">
        <v>0.438296984314206</v>
      </c>
      <c r="D23" s="38" t="s">
        <v>53</v>
      </c>
      <c r="E23" s="44">
        <v>501.12993377404803</v>
      </c>
      <c r="F23" s="37">
        <v>1.7954575451334636</v>
      </c>
      <c r="G23" s="38" t="s">
        <v>53</v>
      </c>
      <c r="H23" s="44">
        <v>509.43313056913922</v>
      </c>
      <c r="I23" s="37">
        <v>1.8802014416850124</v>
      </c>
      <c r="J23" s="38" t="s">
        <v>53</v>
      </c>
      <c r="K23" s="44">
        <v>444.01161345648427</v>
      </c>
      <c r="L23" s="37">
        <v>3.5176100258283802</v>
      </c>
      <c r="M23" s="38" t="s">
        <v>53</v>
      </c>
      <c r="N23" s="44">
        <v>446.53502660499754</v>
      </c>
      <c r="O23" s="37">
        <v>3.7389257443584265</v>
      </c>
      <c r="P23" s="38" t="s">
        <v>53</v>
      </c>
      <c r="Q23" s="44">
        <v>434.57382481899731</v>
      </c>
      <c r="R23" s="37">
        <v>7.4277439159681418</v>
      </c>
      <c r="S23" s="38" t="s">
        <v>53</v>
      </c>
      <c r="T23" s="44">
        <v>-65.421517112654882</v>
      </c>
      <c r="U23" s="37">
        <v>3.8397758138810394</v>
      </c>
      <c r="V23" s="38" t="s">
        <v>53</v>
      </c>
      <c r="W23" s="44">
        <v>-34.382163018665914</v>
      </c>
      <c r="X23" s="37">
        <v>3.7292617805564885</v>
      </c>
      <c r="Y23" s="38" t="s">
        <v>53</v>
      </c>
      <c r="Z23" s="36">
        <v>9.3137141390593339</v>
      </c>
      <c r="AA23" s="37">
        <v>1.2089117940342717</v>
      </c>
      <c r="AB23" s="39" t="s">
        <v>53</v>
      </c>
    </row>
    <row r="24" spans="1:28" x14ac:dyDescent="0.25">
      <c r="A24" s="15" t="s">
        <v>138</v>
      </c>
      <c r="B24" s="36">
        <v>10.392582509365699</v>
      </c>
      <c r="C24" s="37">
        <v>0.46505302845390067</v>
      </c>
      <c r="D24" s="38" t="s">
        <v>53</v>
      </c>
      <c r="E24" s="44">
        <v>523.01701842526472</v>
      </c>
      <c r="F24" s="37">
        <v>1.8422422127632565</v>
      </c>
      <c r="G24" s="38" t="s">
        <v>53</v>
      </c>
      <c r="H24" s="44">
        <v>528.28938346685925</v>
      </c>
      <c r="I24" s="37">
        <v>1.8949545428246153</v>
      </c>
      <c r="J24" s="38" t="s">
        <v>53</v>
      </c>
      <c r="K24" s="44">
        <v>489.34545879489315</v>
      </c>
      <c r="L24" s="37">
        <v>4.5428460943891142</v>
      </c>
      <c r="M24" s="38" t="s">
        <v>53</v>
      </c>
      <c r="N24" s="44">
        <v>492.16591364297437</v>
      </c>
      <c r="O24" s="37">
        <v>4.8818743354103953</v>
      </c>
      <c r="P24" s="38" t="s">
        <v>53</v>
      </c>
      <c r="Q24" s="44">
        <v>452.88086055751893</v>
      </c>
      <c r="R24" s="37">
        <v>16.831925247165628</v>
      </c>
      <c r="S24" s="38" t="s">
        <v>53</v>
      </c>
      <c r="T24" s="44">
        <v>-38.943924671966052</v>
      </c>
      <c r="U24" s="37">
        <v>4.6335748965216474</v>
      </c>
      <c r="V24" s="38" t="s">
        <v>53</v>
      </c>
      <c r="W24" s="44">
        <v>-34.784561395550881</v>
      </c>
      <c r="X24" s="37">
        <v>4.4626503281452488</v>
      </c>
      <c r="Y24" s="38" t="s">
        <v>53</v>
      </c>
      <c r="Z24" s="36">
        <v>13.645163789876522</v>
      </c>
      <c r="AA24" s="37">
        <v>1.5280880981505349</v>
      </c>
      <c r="AB24" s="39" t="s">
        <v>53</v>
      </c>
    </row>
    <row r="25" spans="1:28" x14ac:dyDescent="0.25">
      <c r="A25" s="15" t="s">
        <v>139</v>
      </c>
      <c r="B25" s="36">
        <v>5.7757806421643902</v>
      </c>
      <c r="C25" s="37">
        <v>0.47656616025151088</v>
      </c>
      <c r="D25" s="38" t="s">
        <v>53</v>
      </c>
      <c r="E25" s="44">
        <v>520.07874831668892</v>
      </c>
      <c r="F25" s="37">
        <v>2.3071019944848046</v>
      </c>
      <c r="G25" s="38" t="s">
        <v>53</v>
      </c>
      <c r="H25" s="44">
        <v>527.46534387402608</v>
      </c>
      <c r="I25" s="37">
        <v>2.0653459429476948</v>
      </c>
      <c r="J25" s="38" t="s">
        <v>53</v>
      </c>
      <c r="K25" s="44">
        <v>435.2677072438853</v>
      </c>
      <c r="L25" s="37">
        <v>7.4636437275884155</v>
      </c>
      <c r="M25" s="38" t="s">
        <v>53</v>
      </c>
      <c r="N25" s="44">
        <v>455.64753878640204</v>
      </c>
      <c r="O25" s="37">
        <v>10.280567722920848</v>
      </c>
      <c r="P25" s="38" t="s">
        <v>53</v>
      </c>
      <c r="Q25" s="44">
        <v>420.21567244734609</v>
      </c>
      <c r="R25" s="37">
        <v>8.9588837417020653</v>
      </c>
      <c r="S25" s="38" t="s">
        <v>53</v>
      </c>
      <c r="T25" s="44">
        <v>-92.197636630140835</v>
      </c>
      <c r="U25" s="37">
        <v>7.2739798676391381</v>
      </c>
      <c r="V25" s="38" t="s">
        <v>53</v>
      </c>
      <c r="W25" s="44">
        <v>-74.453260906416418</v>
      </c>
      <c r="X25" s="37">
        <v>6.746927746419745</v>
      </c>
      <c r="Y25" s="38" t="s">
        <v>53</v>
      </c>
      <c r="Z25" s="36">
        <v>7.9252340475035421</v>
      </c>
      <c r="AA25" s="37">
        <v>1.8380393387789227</v>
      </c>
      <c r="AB25" s="39" t="s">
        <v>53</v>
      </c>
    </row>
    <row r="26" spans="1:28" x14ac:dyDescent="0.25">
      <c r="A26" s="15" t="s">
        <v>140</v>
      </c>
      <c r="B26" s="36">
        <v>14.292398074125421</v>
      </c>
      <c r="C26" s="37">
        <v>0.93597142687811641</v>
      </c>
      <c r="D26" s="38" t="s">
        <v>53</v>
      </c>
      <c r="E26" s="44">
        <v>492.60648133455328</v>
      </c>
      <c r="F26" s="37">
        <v>2.3209785699770027</v>
      </c>
      <c r="G26" s="38" t="s">
        <v>53</v>
      </c>
      <c r="H26" s="44">
        <v>501.62108514998749</v>
      </c>
      <c r="I26" s="37">
        <v>2.7047716440525611</v>
      </c>
      <c r="J26" s="38" t="s">
        <v>53</v>
      </c>
      <c r="K26" s="44">
        <v>449.46690144211874</v>
      </c>
      <c r="L26" s="37">
        <v>5.2803393664282821</v>
      </c>
      <c r="M26" s="38" t="s">
        <v>53</v>
      </c>
      <c r="N26" s="44">
        <v>461.3240212769856</v>
      </c>
      <c r="O26" s="37">
        <v>5.7251919672611802</v>
      </c>
      <c r="P26" s="38" t="s">
        <v>53</v>
      </c>
      <c r="Q26" s="44">
        <v>425.15798572314975</v>
      </c>
      <c r="R26" s="37">
        <v>7.4824822345350244</v>
      </c>
      <c r="S26" s="38" t="s">
        <v>53</v>
      </c>
      <c r="T26" s="44">
        <v>-52.154183707868583</v>
      </c>
      <c r="U26" s="37">
        <v>6.1854978345997687</v>
      </c>
      <c r="V26" s="38" t="s">
        <v>53</v>
      </c>
      <c r="W26" s="44">
        <v>-12.513224142475739</v>
      </c>
      <c r="X26" s="37">
        <v>5.0499826953727718</v>
      </c>
      <c r="Y26" s="38" t="s">
        <v>53</v>
      </c>
      <c r="Z26" s="36">
        <v>13.387354009791775</v>
      </c>
      <c r="AA26" s="37">
        <v>1.7492732239235167</v>
      </c>
      <c r="AB26" s="39" t="s">
        <v>53</v>
      </c>
    </row>
    <row r="27" spans="1:28" x14ac:dyDescent="0.25">
      <c r="A27" s="15" t="s">
        <v>141</v>
      </c>
      <c r="B27" s="36">
        <v>22.168807967597882</v>
      </c>
      <c r="C27" s="37">
        <v>1.1487898067601798</v>
      </c>
      <c r="D27" s="38" t="s">
        <v>53</v>
      </c>
      <c r="E27" s="44">
        <v>498.27925642959156</v>
      </c>
      <c r="F27" s="37">
        <v>3.0254079122693804</v>
      </c>
      <c r="G27" s="38" t="s">
        <v>53</v>
      </c>
      <c r="H27" s="44">
        <v>518.89767605581937</v>
      </c>
      <c r="I27" s="37">
        <v>3.3154584178370077</v>
      </c>
      <c r="J27" s="38" t="s">
        <v>53</v>
      </c>
      <c r="K27" s="44">
        <v>456.09491466698648</v>
      </c>
      <c r="L27" s="37">
        <v>6.4947134464873724</v>
      </c>
      <c r="M27" s="38" t="s">
        <v>53</v>
      </c>
      <c r="N27" s="44">
        <v>477.30586621484758</v>
      </c>
      <c r="O27" s="37">
        <v>6.6207428916166835</v>
      </c>
      <c r="P27" s="38" t="s">
        <v>53</v>
      </c>
      <c r="Q27" s="44">
        <v>404.54592939031386</v>
      </c>
      <c r="R27" s="37">
        <v>11.754542274721846</v>
      </c>
      <c r="S27" s="38" t="s">
        <v>53</v>
      </c>
      <c r="T27" s="44">
        <v>-62.802761388832884</v>
      </c>
      <c r="U27" s="37">
        <v>6.7883289812590872</v>
      </c>
      <c r="V27" s="38" t="s">
        <v>53</v>
      </c>
      <c r="W27" s="44">
        <v>-17.307425685850458</v>
      </c>
      <c r="X27" s="37">
        <v>5.614661988342653</v>
      </c>
      <c r="Y27" s="38" t="s">
        <v>53</v>
      </c>
      <c r="Z27" s="36">
        <v>15.951268626886572</v>
      </c>
      <c r="AA27" s="37">
        <v>1.7135279839556907</v>
      </c>
      <c r="AB27" s="39" t="s">
        <v>53</v>
      </c>
    </row>
    <row r="28" spans="1:28" x14ac:dyDescent="0.25">
      <c r="A28" s="15" t="s">
        <v>142</v>
      </c>
      <c r="B28" s="36">
        <v>11.69610290505079</v>
      </c>
      <c r="C28" s="37">
        <v>0.66265154560738204</v>
      </c>
      <c r="D28" s="38" t="s">
        <v>53</v>
      </c>
      <c r="E28" s="44">
        <v>457.41439470369306</v>
      </c>
      <c r="F28" s="37">
        <v>3.6209996580630088</v>
      </c>
      <c r="G28" s="38" t="s">
        <v>53</v>
      </c>
      <c r="H28" s="44">
        <v>465.21236993930864</v>
      </c>
      <c r="I28" s="37">
        <v>3.4340114788943001</v>
      </c>
      <c r="J28" s="38" t="s">
        <v>53</v>
      </c>
      <c r="K28" s="44">
        <v>413.88988551993526</v>
      </c>
      <c r="L28" s="37">
        <v>6.1000893920257875</v>
      </c>
      <c r="M28" s="38" t="s">
        <v>53</v>
      </c>
      <c r="N28" s="44">
        <v>420.11793957719186</v>
      </c>
      <c r="O28" s="37">
        <v>6.9111881047206323</v>
      </c>
      <c r="P28" s="38" t="s">
        <v>53</v>
      </c>
      <c r="Q28" s="44">
        <v>397.01116285340862</v>
      </c>
      <c r="R28" s="37">
        <v>9.1962334505382106</v>
      </c>
      <c r="S28" s="38" t="s">
        <v>53</v>
      </c>
      <c r="T28" s="44">
        <v>-51.322484419373438</v>
      </c>
      <c r="U28" s="37">
        <v>5.3218910961195611</v>
      </c>
      <c r="V28" s="38" t="s">
        <v>53</v>
      </c>
      <c r="W28" s="44">
        <v>-22.05741665934119</v>
      </c>
      <c r="X28" s="37">
        <v>5.0848346955079826</v>
      </c>
      <c r="Y28" s="38" t="s">
        <v>53</v>
      </c>
      <c r="Z28" s="36">
        <v>12.114291875758932</v>
      </c>
      <c r="AA28" s="37">
        <v>1.7343941694889151</v>
      </c>
      <c r="AB28" s="39" t="s">
        <v>53</v>
      </c>
    </row>
    <row r="29" spans="1:28" x14ac:dyDescent="0.25">
      <c r="A29" s="15" t="s">
        <v>143</v>
      </c>
      <c r="B29" s="36">
        <v>2.5521960850758401</v>
      </c>
      <c r="C29" s="37">
        <v>0.30831545416996642</v>
      </c>
      <c r="D29" s="38" t="s">
        <v>53</v>
      </c>
      <c r="E29" s="44">
        <v>475.98667224503328</v>
      </c>
      <c r="F29" s="37">
        <v>2.2509620905298031</v>
      </c>
      <c r="G29" s="38" t="s">
        <v>53</v>
      </c>
      <c r="H29" s="44">
        <v>476.65005156342613</v>
      </c>
      <c r="I29" s="37">
        <v>2.2839300691541218</v>
      </c>
      <c r="J29" s="38" t="s">
        <v>53</v>
      </c>
      <c r="K29" s="44">
        <v>489.69457454376828</v>
      </c>
      <c r="L29" s="37">
        <v>9.7957598702506914</v>
      </c>
      <c r="M29" s="38" t="s">
        <v>53</v>
      </c>
      <c r="N29" s="44">
        <v>509.92331823074795</v>
      </c>
      <c r="O29" s="37">
        <v>11.126283092689491</v>
      </c>
      <c r="P29" s="38" t="s">
        <v>53</v>
      </c>
      <c r="Q29" s="44">
        <v>468.3828488843123</v>
      </c>
      <c r="R29" s="37">
        <v>16.473514961782168</v>
      </c>
      <c r="S29" s="38" t="s">
        <v>53</v>
      </c>
      <c r="T29" s="44">
        <v>13.044522980341981</v>
      </c>
      <c r="U29" s="37">
        <v>9.6969174885277845</v>
      </c>
      <c r="V29" s="38" t="s">
        <v>53</v>
      </c>
      <c r="W29" s="44">
        <v>-6.8907017358678875</v>
      </c>
      <c r="X29" s="37">
        <v>9.3982188283476784</v>
      </c>
      <c r="Y29" s="38" t="s">
        <v>53</v>
      </c>
      <c r="Z29" s="36">
        <v>30.955938693451547</v>
      </c>
      <c r="AA29" s="37">
        <v>5.337446507753234</v>
      </c>
      <c r="AB29" s="39" t="s">
        <v>53</v>
      </c>
    </row>
    <row r="30" spans="1:28" x14ac:dyDescent="0.25">
      <c r="A30" s="15" t="s">
        <v>144</v>
      </c>
      <c r="B30" s="36">
        <v>5.5922790641216604</v>
      </c>
      <c r="C30" s="37">
        <v>0.40139673553959726</v>
      </c>
      <c r="D30" s="38" t="s">
        <v>53</v>
      </c>
      <c r="E30" s="44">
        <v>473.9743167673447</v>
      </c>
      <c r="F30" s="37">
        <v>1.741510568561754</v>
      </c>
      <c r="G30" s="38" t="s">
        <v>53</v>
      </c>
      <c r="H30" s="44">
        <v>480.61498308410131</v>
      </c>
      <c r="I30" s="37">
        <v>1.848640050920564</v>
      </c>
      <c r="J30" s="38" t="s">
        <v>53</v>
      </c>
      <c r="K30" s="44">
        <v>406.81494641015405</v>
      </c>
      <c r="L30" s="37">
        <v>7.6485078516916678</v>
      </c>
      <c r="M30" s="38" t="s">
        <v>53</v>
      </c>
      <c r="N30" s="44">
        <v>412.43602793263182</v>
      </c>
      <c r="O30" s="37">
        <v>10.851300619705761</v>
      </c>
      <c r="P30" s="38" t="s">
        <v>53</v>
      </c>
      <c r="Q30" s="44">
        <v>402.31924523261478</v>
      </c>
      <c r="R30" s="37">
        <v>9.5166080250105498</v>
      </c>
      <c r="S30" s="38" t="s">
        <v>53</v>
      </c>
      <c r="T30" s="44">
        <v>-73.800036673947545</v>
      </c>
      <c r="U30" s="37">
        <v>8.0182292834975399</v>
      </c>
      <c r="V30" s="38" t="s">
        <v>53</v>
      </c>
      <c r="W30" s="44">
        <v>-54.554196022467977</v>
      </c>
      <c r="X30" s="37">
        <v>7.9106982336746707</v>
      </c>
      <c r="Y30" s="38" t="s">
        <v>53</v>
      </c>
      <c r="Z30" s="36">
        <v>7.0376725365496595</v>
      </c>
      <c r="AA30" s="37">
        <v>2.5554541595599387</v>
      </c>
      <c r="AB30" s="39" t="s">
        <v>53</v>
      </c>
    </row>
    <row r="31" spans="1:28" x14ac:dyDescent="0.25">
      <c r="A31" s="15" t="s">
        <v>145</v>
      </c>
      <c r="B31" s="36">
        <v>17.860838929942929</v>
      </c>
      <c r="C31" s="37">
        <v>0.91486176844457701</v>
      </c>
      <c r="D31" s="38" t="s">
        <v>53</v>
      </c>
      <c r="E31" s="44">
        <v>518.07845911939353</v>
      </c>
      <c r="F31" s="37">
        <v>2.2444778003871422</v>
      </c>
      <c r="G31" s="38" t="s">
        <v>53</v>
      </c>
      <c r="H31" s="44">
        <v>522.14707429400596</v>
      </c>
      <c r="I31" s="37">
        <v>2.2619281465898031</v>
      </c>
      <c r="J31" s="38" t="s">
        <v>53</v>
      </c>
      <c r="K31" s="44">
        <v>508.47064736966479</v>
      </c>
      <c r="L31" s="37">
        <v>3.831804306287435</v>
      </c>
      <c r="M31" s="38" t="s">
        <v>53</v>
      </c>
      <c r="N31" s="44">
        <v>508.811377926055</v>
      </c>
      <c r="O31" s="37">
        <v>5.2604255560871795</v>
      </c>
      <c r="P31" s="38" t="s">
        <v>53</v>
      </c>
      <c r="Q31" s="44">
        <v>508.19142184882708</v>
      </c>
      <c r="R31" s="37">
        <v>5.2883873443684015</v>
      </c>
      <c r="S31" s="38" t="s">
        <v>53</v>
      </c>
      <c r="T31" s="44">
        <v>-13.676426924341184</v>
      </c>
      <c r="U31" s="37">
        <v>3.7656263727866257</v>
      </c>
      <c r="V31" s="38" t="s">
        <v>53</v>
      </c>
      <c r="W31" s="44">
        <v>-9.1506770651954277</v>
      </c>
      <c r="X31" s="37">
        <v>3.2321567717278139</v>
      </c>
      <c r="Y31" s="38" t="s">
        <v>53</v>
      </c>
      <c r="Z31" s="36">
        <v>21.577210722605837</v>
      </c>
      <c r="AA31" s="37">
        <v>1.5370105532479674</v>
      </c>
      <c r="AB31" s="39" t="s">
        <v>53</v>
      </c>
    </row>
    <row r="32" spans="1:28" x14ac:dyDescent="0.25">
      <c r="A32" s="15" t="s">
        <v>146</v>
      </c>
      <c r="B32" s="36">
        <v>16.416253414977149</v>
      </c>
      <c r="C32" s="37">
        <v>1.0738364165803722</v>
      </c>
      <c r="D32" s="38" t="s">
        <v>53</v>
      </c>
      <c r="E32" s="44">
        <v>470.41517797924456</v>
      </c>
      <c r="F32" s="37">
        <v>3.670985340667654</v>
      </c>
      <c r="G32" s="38" t="s">
        <v>53</v>
      </c>
      <c r="H32" s="44">
        <v>480.54756118864634</v>
      </c>
      <c r="I32" s="37">
        <v>3.5014489915320897</v>
      </c>
      <c r="J32" s="38" t="s">
        <v>53</v>
      </c>
      <c r="K32" s="44">
        <v>469.79154428892753</v>
      </c>
      <c r="L32" s="37">
        <v>6.6289829025354914</v>
      </c>
      <c r="M32" s="38" t="s">
        <v>53</v>
      </c>
      <c r="N32" s="44">
        <v>492.6714778796827</v>
      </c>
      <c r="O32" s="37">
        <v>6.1346967041047886</v>
      </c>
      <c r="P32" s="38" t="s">
        <v>53</v>
      </c>
      <c r="Q32" s="44">
        <v>398.4681806417783</v>
      </c>
      <c r="R32" s="37">
        <v>10.440409927492674</v>
      </c>
      <c r="S32" s="38" t="s">
        <v>53</v>
      </c>
      <c r="T32" s="44">
        <v>-10.756016899718745</v>
      </c>
      <c r="U32" s="37">
        <v>6.3544000462974255</v>
      </c>
      <c r="V32" s="38" t="s">
        <v>53</v>
      </c>
      <c r="W32" s="44">
        <v>6.1605719904628771</v>
      </c>
      <c r="X32" s="37">
        <v>5.2910024367344803</v>
      </c>
      <c r="Y32" s="38" t="s">
        <v>53</v>
      </c>
      <c r="Z32" s="36">
        <v>24.347763923088124</v>
      </c>
      <c r="AA32" s="37">
        <v>1.8359650048077121</v>
      </c>
      <c r="AB32" s="39" t="s">
        <v>53</v>
      </c>
    </row>
    <row r="33" spans="1:28" x14ac:dyDescent="0.25">
      <c r="A33" s="15" t="s">
        <v>147</v>
      </c>
      <c r="B33" s="36">
        <v>10.025087167799541</v>
      </c>
      <c r="C33" s="37">
        <v>0.4917084931015509</v>
      </c>
      <c r="D33" s="38" t="s">
        <v>53</v>
      </c>
      <c r="E33" s="44">
        <v>476.28467969266717</v>
      </c>
      <c r="F33" s="37">
        <v>2.4389103254640507</v>
      </c>
      <c r="G33" s="38" t="s">
        <v>53</v>
      </c>
      <c r="H33" s="44">
        <v>482.40100333796119</v>
      </c>
      <c r="I33" s="37">
        <v>2.600613100655762</v>
      </c>
      <c r="J33" s="38" t="s">
        <v>53</v>
      </c>
      <c r="K33" s="44">
        <v>439.57328649121604</v>
      </c>
      <c r="L33" s="37">
        <v>4.8650842830195939</v>
      </c>
      <c r="M33" s="38" t="s">
        <v>53</v>
      </c>
      <c r="N33" s="44">
        <v>444.97239755681471</v>
      </c>
      <c r="O33" s="37">
        <v>5.8631756943380093</v>
      </c>
      <c r="P33" s="38" t="s">
        <v>53</v>
      </c>
      <c r="Q33" s="44">
        <v>433.11366730934196</v>
      </c>
      <c r="R33" s="37">
        <v>7.1448040893716946</v>
      </c>
      <c r="S33" s="38" t="s">
        <v>53</v>
      </c>
      <c r="T33" s="44">
        <v>-42.827716846745453</v>
      </c>
      <c r="U33" s="37">
        <v>5.125718325120455</v>
      </c>
      <c r="V33" s="38" t="s">
        <v>53</v>
      </c>
      <c r="W33" s="44">
        <v>-22.200453723097322</v>
      </c>
      <c r="X33" s="37">
        <v>3.9876932453578671</v>
      </c>
      <c r="Y33" s="38" t="s">
        <v>53</v>
      </c>
      <c r="Z33" s="36">
        <v>14.070312521923197</v>
      </c>
      <c r="AA33" s="37">
        <v>1.594271417051617</v>
      </c>
      <c r="AB33" s="39" t="s">
        <v>53</v>
      </c>
    </row>
    <row r="34" spans="1:28" x14ac:dyDescent="0.25">
      <c r="A34" s="15" t="s">
        <v>148</v>
      </c>
      <c r="B34" s="36">
        <v>0.62269075696213994</v>
      </c>
      <c r="C34" s="37">
        <v>0.13447373995918133</v>
      </c>
      <c r="D34" s="38" t="s">
        <v>53</v>
      </c>
      <c r="E34" s="44">
        <v>503.85604130918574</v>
      </c>
      <c r="F34" s="37">
        <v>2.6709734574974817</v>
      </c>
      <c r="G34" s="38" t="s">
        <v>53</v>
      </c>
      <c r="H34" s="44" t="s">
        <v>128</v>
      </c>
      <c r="I34" s="37" t="s">
        <v>128</v>
      </c>
      <c r="J34" s="38" t="s">
        <v>53</v>
      </c>
      <c r="K34" s="44" t="s">
        <v>128</v>
      </c>
      <c r="L34" s="37" t="s">
        <v>128</v>
      </c>
      <c r="M34" s="38" t="s">
        <v>53</v>
      </c>
      <c r="N34" s="44" t="s">
        <v>128</v>
      </c>
      <c r="O34" s="37" t="s">
        <v>128</v>
      </c>
      <c r="P34" s="38" t="s">
        <v>53</v>
      </c>
      <c r="Q34" s="44" t="s">
        <v>128</v>
      </c>
      <c r="R34" s="37" t="s">
        <v>128</v>
      </c>
      <c r="S34" s="38" t="s">
        <v>53</v>
      </c>
      <c r="T34" s="44" t="s">
        <v>128</v>
      </c>
      <c r="U34" s="37" t="s">
        <v>128</v>
      </c>
      <c r="V34" s="38" t="s">
        <v>53</v>
      </c>
      <c r="W34" s="44" t="s">
        <v>128</v>
      </c>
      <c r="X34" s="37" t="s">
        <v>128</v>
      </c>
      <c r="Y34" s="38" t="s">
        <v>53</v>
      </c>
      <c r="Z34" s="36" t="s">
        <v>128</v>
      </c>
      <c r="AA34" s="37" t="s">
        <v>128</v>
      </c>
      <c r="AB34" s="39" t="s">
        <v>53</v>
      </c>
    </row>
    <row r="35" spans="1:28" x14ac:dyDescent="0.25">
      <c r="A35" s="15" t="s">
        <v>149</v>
      </c>
      <c r="B35" s="36">
        <v>0.16599464463225999</v>
      </c>
      <c r="C35" s="37">
        <v>8.9871829952017257E-2</v>
      </c>
      <c r="D35" s="38" t="s">
        <v>53</v>
      </c>
      <c r="E35" s="44">
        <v>514.05228795826918</v>
      </c>
      <c r="F35" s="37">
        <v>2.9405429951517457</v>
      </c>
      <c r="G35" s="38" t="s">
        <v>53</v>
      </c>
      <c r="H35" s="44">
        <v>515.12675211849546</v>
      </c>
      <c r="I35" s="37">
        <v>2.9209103906706293</v>
      </c>
      <c r="J35" s="38" t="s">
        <v>53</v>
      </c>
      <c r="K35" s="44" t="s">
        <v>56</v>
      </c>
      <c r="L35" s="37" t="s">
        <v>56</v>
      </c>
      <c r="M35" s="38" t="s">
        <v>53</v>
      </c>
      <c r="N35" s="44" t="s">
        <v>56</v>
      </c>
      <c r="O35" s="37" t="s">
        <v>56</v>
      </c>
      <c r="P35" s="38" t="s">
        <v>53</v>
      </c>
      <c r="Q35" s="44" t="s">
        <v>56</v>
      </c>
      <c r="R35" s="37" t="s">
        <v>56</v>
      </c>
      <c r="S35" s="38" t="s">
        <v>53</v>
      </c>
      <c r="T35" s="44" t="s">
        <v>56</v>
      </c>
      <c r="U35" s="37" t="s">
        <v>56</v>
      </c>
      <c r="V35" s="38" t="s">
        <v>53</v>
      </c>
      <c r="W35" s="44" t="s">
        <v>56</v>
      </c>
      <c r="X35" s="37" t="s">
        <v>56</v>
      </c>
      <c r="Y35" s="38" t="s">
        <v>53</v>
      </c>
      <c r="Z35" s="36" t="s">
        <v>55</v>
      </c>
      <c r="AA35" s="37" t="s">
        <v>55</v>
      </c>
      <c r="AB35" s="39" t="s">
        <v>53</v>
      </c>
    </row>
    <row r="36" spans="1:28" x14ac:dyDescent="0.25">
      <c r="A36" s="15" t="s">
        <v>150</v>
      </c>
      <c r="B36" s="36">
        <v>4.4397198134590603</v>
      </c>
      <c r="C36" s="37">
        <v>0.33685609843229053</v>
      </c>
      <c r="D36" s="38" t="s">
        <v>53</v>
      </c>
      <c r="E36" s="44">
        <v>478.6986741450462</v>
      </c>
      <c r="F36" s="37">
        <v>1.6168557997986752</v>
      </c>
      <c r="G36" s="38" t="s">
        <v>53</v>
      </c>
      <c r="H36" s="44">
        <v>479.93388984860906</v>
      </c>
      <c r="I36" s="37">
        <v>1.6005103385158646</v>
      </c>
      <c r="J36" s="38" t="s">
        <v>53</v>
      </c>
      <c r="K36" s="44">
        <v>475.86420453767778</v>
      </c>
      <c r="L36" s="37">
        <v>8.7498953212393733</v>
      </c>
      <c r="M36" s="38" t="s">
        <v>53</v>
      </c>
      <c r="N36" s="44">
        <v>466.55716331097784</v>
      </c>
      <c r="O36" s="37">
        <v>9.1518703367407941</v>
      </c>
      <c r="P36" s="38" t="s">
        <v>53</v>
      </c>
      <c r="Q36" s="44">
        <v>514.95121107948069</v>
      </c>
      <c r="R36" s="37">
        <v>19.900104754515148</v>
      </c>
      <c r="S36" s="38" t="s">
        <v>53</v>
      </c>
      <c r="T36" s="44">
        <v>-4.0696853109312094</v>
      </c>
      <c r="U36" s="37">
        <v>8.7876719098239011</v>
      </c>
      <c r="V36" s="38" t="s">
        <v>53</v>
      </c>
      <c r="W36" s="44">
        <v>-6.6806075696808511</v>
      </c>
      <c r="X36" s="37">
        <v>8.1385779803139489</v>
      </c>
      <c r="Y36" s="38" t="s">
        <v>53</v>
      </c>
      <c r="Z36" s="36">
        <v>27.523447537592649</v>
      </c>
      <c r="AA36" s="37">
        <v>3.8096113681635324</v>
      </c>
      <c r="AB36" s="39" t="s">
        <v>53</v>
      </c>
    </row>
    <row r="37" spans="1:28" x14ac:dyDescent="0.25">
      <c r="A37" s="15" t="s">
        <v>151</v>
      </c>
      <c r="B37" s="36">
        <v>1.5599249777116999</v>
      </c>
      <c r="C37" s="37">
        <v>0.13051569969861895</v>
      </c>
      <c r="D37" s="38" t="s">
        <v>53</v>
      </c>
      <c r="E37" s="44">
        <v>475.87347960821211</v>
      </c>
      <c r="F37" s="37">
        <v>1.5182764468588867</v>
      </c>
      <c r="G37" s="38" t="s">
        <v>53</v>
      </c>
      <c r="H37" s="44">
        <v>477.58021246700866</v>
      </c>
      <c r="I37" s="37">
        <v>1.535214277292575</v>
      </c>
      <c r="J37" s="38" t="s">
        <v>53</v>
      </c>
      <c r="K37" s="44">
        <v>457.02829066139952</v>
      </c>
      <c r="L37" s="37">
        <v>11.073045224807208</v>
      </c>
      <c r="M37" s="38" t="s">
        <v>53</v>
      </c>
      <c r="N37" s="44">
        <v>453.72573428961061</v>
      </c>
      <c r="O37" s="37">
        <v>11.498881914440767</v>
      </c>
      <c r="P37" s="38" t="s">
        <v>53</v>
      </c>
      <c r="Q37" s="44">
        <v>469.07287505707865</v>
      </c>
      <c r="R37" s="37">
        <v>27.30935882020383</v>
      </c>
      <c r="S37" s="38" t="s">
        <v>53</v>
      </c>
      <c r="T37" s="44">
        <v>-20.55192180560908</v>
      </c>
      <c r="U37" s="37">
        <v>11.170090566881804</v>
      </c>
      <c r="V37" s="38" t="s">
        <v>53</v>
      </c>
      <c r="W37" s="44">
        <v>-27.357542888122566</v>
      </c>
      <c r="X37" s="37">
        <v>8.9973148511731722</v>
      </c>
      <c r="Y37" s="38" t="s">
        <v>53</v>
      </c>
      <c r="Z37" s="36">
        <v>20.283332797924835</v>
      </c>
      <c r="AA37" s="37">
        <v>4.2146133631881924</v>
      </c>
      <c r="AB37" s="39" t="s">
        <v>53</v>
      </c>
    </row>
    <row r="38" spans="1:28" x14ac:dyDescent="0.25">
      <c r="A38" s="15" t="s">
        <v>152</v>
      </c>
      <c r="B38" s="36">
        <v>54.87180939703277</v>
      </c>
      <c r="C38" s="37">
        <v>0.64370888429344009</v>
      </c>
      <c r="D38" s="38" t="s">
        <v>53</v>
      </c>
      <c r="E38" s="44">
        <v>469.98538936317885</v>
      </c>
      <c r="F38" s="37">
        <v>1.1258908272900787</v>
      </c>
      <c r="G38" s="38" t="s">
        <v>53</v>
      </c>
      <c r="H38" s="44">
        <v>490.54639238862529</v>
      </c>
      <c r="I38" s="37">
        <v>1.9132342884376028</v>
      </c>
      <c r="J38" s="38" t="s">
        <v>53</v>
      </c>
      <c r="K38" s="44">
        <v>455.11599510355427</v>
      </c>
      <c r="L38" s="37">
        <v>1.6703589404967054</v>
      </c>
      <c r="M38" s="38" t="s">
        <v>53</v>
      </c>
      <c r="N38" s="44">
        <v>450.11428040672445</v>
      </c>
      <c r="O38" s="37">
        <v>2.8600937217816691</v>
      </c>
      <c r="P38" s="38" t="s">
        <v>53</v>
      </c>
      <c r="Q38" s="44">
        <v>461.30840606112611</v>
      </c>
      <c r="R38" s="37">
        <v>2.8734824293201386</v>
      </c>
      <c r="S38" s="38" t="s">
        <v>53</v>
      </c>
      <c r="T38" s="44">
        <v>-35.430397285070875</v>
      </c>
      <c r="U38" s="37">
        <v>2.8026168168543144</v>
      </c>
      <c r="V38" s="38" t="s">
        <v>53</v>
      </c>
      <c r="W38" s="44">
        <v>-16.913718371567363</v>
      </c>
      <c r="X38" s="37">
        <v>2.7535218253053051</v>
      </c>
      <c r="Y38" s="38" t="s">
        <v>53</v>
      </c>
      <c r="Z38" s="36">
        <v>21.831593809475784</v>
      </c>
      <c r="AA38" s="37">
        <v>0.74302601477596897</v>
      </c>
      <c r="AB38" s="39" t="s">
        <v>53</v>
      </c>
    </row>
    <row r="39" spans="1:28" x14ac:dyDescent="0.25">
      <c r="A39" s="15" t="s">
        <v>153</v>
      </c>
      <c r="B39" s="36">
        <v>1.56142115515159</v>
      </c>
      <c r="C39" s="37">
        <v>0.26845505611360826</v>
      </c>
      <c r="D39" s="38" t="s">
        <v>53</v>
      </c>
      <c r="E39" s="44">
        <v>420.46889277117191</v>
      </c>
      <c r="F39" s="37">
        <v>2.7462788996566898</v>
      </c>
      <c r="G39" s="38" t="s">
        <v>53</v>
      </c>
      <c r="H39" s="44">
        <v>424.06068240376601</v>
      </c>
      <c r="I39" s="37">
        <v>2.7798477136341804</v>
      </c>
      <c r="J39" s="38" t="s">
        <v>53</v>
      </c>
      <c r="K39" s="44">
        <v>328.34087359426991</v>
      </c>
      <c r="L39" s="37">
        <v>14.474499775167533</v>
      </c>
      <c r="M39" s="38" t="s">
        <v>53</v>
      </c>
      <c r="N39" s="44">
        <v>331.75902085517441</v>
      </c>
      <c r="O39" s="37">
        <v>13.436896617695851</v>
      </c>
      <c r="P39" s="38" t="s">
        <v>53</v>
      </c>
      <c r="Q39" s="44">
        <v>324.12159313183514</v>
      </c>
      <c r="R39" s="37">
        <v>22.429701146624986</v>
      </c>
      <c r="S39" s="38" t="s">
        <v>53</v>
      </c>
      <c r="T39" s="44">
        <v>-95.719808809495973</v>
      </c>
      <c r="U39" s="37">
        <v>14.89968106397836</v>
      </c>
      <c r="V39" s="38" t="s">
        <v>53</v>
      </c>
      <c r="W39" s="44">
        <v>-79.66308067434052</v>
      </c>
      <c r="X39" s="37">
        <v>11.640307134017949</v>
      </c>
      <c r="Y39" s="38" t="s">
        <v>53</v>
      </c>
      <c r="Z39" s="36">
        <v>7.2854591854162027</v>
      </c>
      <c r="AA39" s="37">
        <v>3.4004797118998189</v>
      </c>
      <c r="AB39" s="39" t="s">
        <v>53</v>
      </c>
    </row>
    <row r="40" spans="1:28" x14ac:dyDescent="0.25">
      <c r="A40" s="15" t="s">
        <v>226</v>
      </c>
      <c r="B40" s="36">
        <v>13.767365553432789</v>
      </c>
      <c r="C40" s="37">
        <v>1.1613432186534565</v>
      </c>
      <c r="D40" s="38" t="s">
        <v>53</v>
      </c>
      <c r="E40" s="44">
        <v>484.78372537056595</v>
      </c>
      <c r="F40" s="37">
        <v>2.6508645371257917</v>
      </c>
      <c r="G40" s="38" t="s">
        <v>53</v>
      </c>
      <c r="H40" s="44">
        <v>497.77469194366142</v>
      </c>
      <c r="I40" s="37">
        <v>2.9218823424546265</v>
      </c>
      <c r="J40" s="38" t="s">
        <v>53</v>
      </c>
      <c r="K40" s="44">
        <v>425.88382264837668</v>
      </c>
      <c r="L40" s="37">
        <v>6.1727653850250794</v>
      </c>
      <c r="M40" s="38" t="s">
        <v>53</v>
      </c>
      <c r="N40" s="44">
        <v>432.66632297899991</v>
      </c>
      <c r="O40" s="37">
        <v>6.6635328800808935</v>
      </c>
      <c r="P40" s="38" t="s">
        <v>53</v>
      </c>
      <c r="Q40" s="44">
        <v>398.65321845946409</v>
      </c>
      <c r="R40" s="37">
        <v>13.027171205518576</v>
      </c>
      <c r="S40" s="38" t="s">
        <v>53</v>
      </c>
      <c r="T40" s="44">
        <v>-71.890869295284716</v>
      </c>
      <c r="U40" s="37">
        <v>7.1491176525359412</v>
      </c>
      <c r="V40" s="38" t="s">
        <v>53</v>
      </c>
      <c r="W40" s="44">
        <v>-22.933467865647621</v>
      </c>
      <c r="X40" s="37">
        <v>6.4901763491222111</v>
      </c>
      <c r="Y40" s="38" t="s">
        <v>53</v>
      </c>
      <c r="Z40" s="36">
        <v>8.8990481837145925</v>
      </c>
      <c r="AA40" s="37">
        <v>1.679250957133654</v>
      </c>
      <c r="AB40" s="39" t="s">
        <v>53</v>
      </c>
    </row>
    <row r="41" spans="1:28" x14ac:dyDescent="0.25">
      <c r="A41" s="15" t="s">
        <v>154</v>
      </c>
      <c r="B41" s="36">
        <v>26.459841142840613</v>
      </c>
      <c r="C41" s="37">
        <v>1.3482097436076308</v>
      </c>
      <c r="D41" s="38" t="s">
        <v>53</v>
      </c>
      <c r="E41" s="44">
        <v>505.72728344383086</v>
      </c>
      <c r="F41" s="37">
        <v>2.0431431399532407</v>
      </c>
      <c r="G41" s="38" t="s">
        <v>53</v>
      </c>
      <c r="H41" s="44">
        <v>510.32752196639024</v>
      </c>
      <c r="I41" s="37">
        <v>2.291123659418556</v>
      </c>
      <c r="J41" s="38" t="s">
        <v>53</v>
      </c>
      <c r="K41" s="44">
        <v>508.04419995624687</v>
      </c>
      <c r="L41" s="37">
        <v>3.4912751913866202</v>
      </c>
      <c r="M41" s="38" t="s">
        <v>53</v>
      </c>
      <c r="N41" s="44">
        <v>517.88793359034707</v>
      </c>
      <c r="O41" s="37">
        <v>5.2859078931942776</v>
      </c>
      <c r="P41" s="38" t="s">
        <v>53</v>
      </c>
      <c r="Q41" s="44">
        <v>500.27103308749474</v>
      </c>
      <c r="R41" s="37">
        <v>3.9806804392163846</v>
      </c>
      <c r="S41" s="38" t="s">
        <v>53</v>
      </c>
      <c r="T41" s="44">
        <v>-2.2833220101433933</v>
      </c>
      <c r="U41" s="37">
        <v>4.0326143501482514</v>
      </c>
      <c r="V41" s="38" t="s">
        <v>53</v>
      </c>
      <c r="W41" s="44">
        <v>-7.6036390277116981</v>
      </c>
      <c r="X41" s="37">
        <v>3.3421579765436342</v>
      </c>
      <c r="Y41" s="38" t="s">
        <v>53</v>
      </c>
      <c r="Z41" s="36">
        <v>26.497087324301987</v>
      </c>
      <c r="AA41" s="37">
        <v>1.3188019805077031</v>
      </c>
      <c r="AB41" s="39" t="s">
        <v>53</v>
      </c>
    </row>
    <row r="42" spans="1:28" x14ac:dyDescent="0.25">
      <c r="A42" s="15" t="s">
        <v>155</v>
      </c>
      <c r="B42" s="36">
        <v>12.39989609171765</v>
      </c>
      <c r="C42" s="37">
        <v>0.77280409093371216</v>
      </c>
      <c r="D42" s="38" t="s">
        <v>53</v>
      </c>
      <c r="E42" s="44">
        <v>499.45095627638415</v>
      </c>
      <c r="F42" s="37">
        <v>2.1718487515464946</v>
      </c>
      <c r="G42" s="38" t="s">
        <v>53</v>
      </c>
      <c r="H42" s="44">
        <v>508.80828824436907</v>
      </c>
      <c r="I42" s="37">
        <v>2.1337358411721707</v>
      </c>
      <c r="J42" s="38" t="s">
        <v>53</v>
      </c>
      <c r="K42" s="44">
        <v>456.68008639428513</v>
      </c>
      <c r="L42" s="37">
        <v>4.6570034720361582</v>
      </c>
      <c r="M42" s="38" t="s">
        <v>53</v>
      </c>
      <c r="N42" s="44">
        <v>462.68580999617961</v>
      </c>
      <c r="O42" s="37">
        <v>6.9735206326191967</v>
      </c>
      <c r="P42" s="38" t="s">
        <v>53</v>
      </c>
      <c r="Q42" s="44">
        <v>450.6463014157481</v>
      </c>
      <c r="R42" s="37">
        <v>5.508834518626589</v>
      </c>
      <c r="S42" s="38" t="s">
        <v>53</v>
      </c>
      <c r="T42" s="44">
        <v>-52.12820185008399</v>
      </c>
      <c r="U42" s="37">
        <v>4.4367653652085881</v>
      </c>
      <c r="V42" s="38" t="s">
        <v>53</v>
      </c>
      <c r="W42" s="44">
        <v>-32.528381860994038</v>
      </c>
      <c r="X42" s="37">
        <v>4.4566741564629364</v>
      </c>
      <c r="Y42" s="38" t="s">
        <v>53</v>
      </c>
      <c r="Z42" s="36">
        <v>13.905681417552493</v>
      </c>
      <c r="AA42" s="37">
        <v>1.4699073942396925</v>
      </c>
      <c r="AB42" s="39" t="s">
        <v>53</v>
      </c>
    </row>
    <row r="43" spans="1:28" x14ac:dyDescent="0.25">
      <c r="A43" s="15" t="s">
        <v>156</v>
      </c>
      <c r="B43" s="36">
        <v>0.64312078856707999</v>
      </c>
      <c r="C43" s="37">
        <v>0.19031100288588151</v>
      </c>
      <c r="D43" s="38" t="s">
        <v>53</v>
      </c>
      <c r="E43" s="44">
        <v>511.85569535773169</v>
      </c>
      <c r="F43" s="37">
        <v>2.702457979027308</v>
      </c>
      <c r="G43" s="38" t="s">
        <v>53</v>
      </c>
      <c r="H43" s="44">
        <v>513.57453377062541</v>
      </c>
      <c r="I43" s="37">
        <v>2.689365332402661</v>
      </c>
      <c r="J43" s="38" t="s">
        <v>53</v>
      </c>
      <c r="K43" s="44" t="s">
        <v>56</v>
      </c>
      <c r="L43" s="37" t="s">
        <v>56</v>
      </c>
      <c r="M43" s="38" t="s">
        <v>53</v>
      </c>
      <c r="N43" s="44" t="s">
        <v>56</v>
      </c>
      <c r="O43" s="37" t="s">
        <v>56</v>
      </c>
      <c r="P43" s="38" t="s">
        <v>53</v>
      </c>
      <c r="Q43" s="44" t="s">
        <v>56</v>
      </c>
      <c r="R43" s="37" t="s">
        <v>56</v>
      </c>
      <c r="S43" s="38" t="s">
        <v>53</v>
      </c>
      <c r="T43" s="44" t="s">
        <v>56</v>
      </c>
      <c r="U43" s="37" t="s">
        <v>56</v>
      </c>
      <c r="V43" s="38" t="s">
        <v>53</v>
      </c>
      <c r="W43" s="44" t="s">
        <v>56</v>
      </c>
      <c r="X43" s="37" t="s">
        <v>56</v>
      </c>
      <c r="Y43" s="38" t="s">
        <v>53</v>
      </c>
      <c r="Z43" s="36" t="s">
        <v>55</v>
      </c>
      <c r="AA43" s="37" t="s">
        <v>55</v>
      </c>
      <c r="AB43" s="39" t="s">
        <v>53</v>
      </c>
    </row>
    <row r="44" spans="1:28" x14ac:dyDescent="0.25">
      <c r="A44" s="15" t="s">
        <v>227</v>
      </c>
      <c r="B44" s="36">
        <v>6.9632335887591799</v>
      </c>
      <c r="C44" s="37">
        <v>0.57149006614731868</v>
      </c>
      <c r="D44" s="38" t="s">
        <v>53</v>
      </c>
      <c r="E44" s="44">
        <v>491.80078513683378</v>
      </c>
      <c r="F44" s="37">
        <v>2.42893075340492</v>
      </c>
      <c r="G44" s="38" t="s">
        <v>53</v>
      </c>
      <c r="H44" s="44">
        <v>495.22657876951047</v>
      </c>
      <c r="I44" s="37">
        <v>2.5983994371197094</v>
      </c>
      <c r="J44" s="38" t="s">
        <v>53</v>
      </c>
      <c r="K44" s="44">
        <v>462.85180046370988</v>
      </c>
      <c r="L44" s="37">
        <v>7.8445809824876713</v>
      </c>
      <c r="M44" s="38" t="s">
        <v>53</v>
      </c>
      <c r="N44" s="44">
        <v>482.8827532851364</v>
      </c>
      <c r="O44" s="37">
        <v>10.131723368178292</v>
      </c>
      <c r="P44" s="38" t="s">
        <v>53</v>
      </c>
      <c r="Q44" s="44">
        <v>435.7090291449793</v>
      </c>
      <c r="R44" s="37">
        <v>9.0738007851923186</v>
      </c>
      <c r="S44" s="38" t="s">
        <v>53</v>
      </c>
      <c r="T44" s="44">
        <v>-32.374778305800469</v>
      </c>
      <c r="U44" s="37">
        <v>8.1806951414512046</v>
      </c>
      <c r="V44" s="38" t="s">
        <v>53</v>
      </c>
      <c r="W44" s="44">
        <v>-26.342863913039878</v>
      </c>
      <c r="X44" s="37">
        <v>6.2079931078211228</v>
      </c>
      <c r="Y44" s="38" t="s">
        <v>53</v>
      </c>
      <c r="Z44" s="36">
        <v>17.119860792116231</v>
      </c>
      <c r="AA44" s="37">
        <v>2.7920621787414102</v>
      </c>
      <c r="AB44" s="39" t="s">
        <v>53</v>
      </c>
    </row>
    <row r="45" spans="1:28" x14ac:dyDescent="0.25">
      <c r="A45" s="15" t="s">
        <v>157</v>
      </c>
      <c r="B45" s="36">
        <v>1.18853098725919</v>
      </c>
      <c r="C45" s="37">
        <v>0.16842230016552609</v>
      </c>
      <c r="D45" s="38" t="s">
        <v>53</v>
      </c>
      <c r="E45" s="44">
        <v>457.98396704074833</v>
      </c>
      <c r="F45" s="37">
        <v>2.2341291677767803</v>
      </c>
      <c r="G45" s="38" t="s">
        <v>53</v>
      </c>
      <c r="H45" s="44">
        <v>460.11808659943682</v>
      </c>
      <c r="I45" s="37">
        <v>2.2173859921291723</v>
      </c>
      <c r="J45" s="38" t="s">
        <v>53</v>
      </c>
      <c r="K45" s="44">
        <v>406.66978698942523</v>
      </c>
      <c r="L45" s="37">
        <v>13.638390550709198</v>
      </c>
      <c r="M45" s="38" t="s">
        <v>53</v>
      </c>
      <c r="N45" s="44">
        <v>424.13696888309119</v>
      </c>
      <c r="O45" s="37">
        <v>17.780358580618643</v>
      </c>
      <c r="P45" s="38" t="s">
        <v>53</v>
      </c>
      <c r="Q45" s="44">
        <v>386.97251014759854</v>
      </c>
      <c r="R45" s="37">
        <v>17.327297503963415</v>
      </c>
      <c r="S45" s="38" t="s">
        <v>53</v>
      </c>
      <c r="T45" s="44">
        <v>-53.448299610011702</v>
      </c>
      <c r="U45" s="37">
        <v>13.679195343131658</v>
      </c>
      <c r="V45" s="38" t="s">
        <v>53</v>
      </c>
      <c r="W45" s="44">
        <v>-40.121376811532421</v>
      </c>
      <c r="X45" s="37">
        <v>12.703049682737703</v>
      </c>
      <c r="Y45" s="38" t="s">
        <v>53</v>
      </c>
      <c r="Z45" s="36">
        <v>12.58914739815539</v>
      </c>
      <c r="AA45" s="37">
        <v>4.6100848978581492</v>
      </c>
      <c r="AB45" s="39" t="s">
        <v>53</v>
      </c>
    </row>
    <row r="46" spans="1:28" x14ac:dyDescent="0.25">
      <c r="A46" s="15" t="s">
        <v>158</v>
      </c>
      <c r="B46" s="36">
        <v>8.8801416636658708</v>
      </c>
      <c r="C46" s="37">
        <v>0.31167440261340096</v>
      </c>
      <c r="D46" s="38" t="s">
        <v>53</v>
      </c>
      <c r="E46" s="44">
        <v>495.34561512603591</v>
      </c>
      <c r="F46" s="37">
        <v>1.2322991646208228</v>
      </c>
      <c r="G46" s="38" t="s">
        <v>53</v>
      </c>
      <c r="H46" s="44">
        <v>502.20059995458416</v>
      </c>
      <c r="I46" s="37">
        <v>1.3125148174228536</v>
      </c>
      <c r="J46" s="38" t="s">
        <v>53</v>
      </c>
      <c r="K46" s="44">
        <v>439.45618940482893</v>
      </c>
      <c r="L46" s="37">
        <v>6.0218233402155716</v>
      </c>
      <c r="M46" s="38" t="s">
        <v>53</v>
      </c>
      <c r="N46" s="44">
        <v>464.08148181871479</v>
      </c>
      <c r="O46" s="37">
        <v>7.343469252794284</v>
      </c>
      <c r="P46" s="38" t="s">
        <v>53</v>
      </c>
      <c r="Q46" s="44">
        <v>422.40956027234552</v>
      </c>
      <c r="R46" s="37">
        <v>8.2120684706969449</v>
      </c>
      <c r="S46" s="38" t="s">
        <v>53</v>
      </c>
      <c r="T46" s="44">
        <v>-62.744410549755038</v>
      </c>
      <c r="U46" s="37">
        <v>6.2921089000814101</v>
      </c>
      <c r="V46" s="38" t="s">
        <v>53</v>
      </c>
      <c r="W46" s="44">
        <v>-28.277264824835164</v>
      </c>
      <c r="X46" s="37">
        <v>6.192770998011266</v>
      </c>
      <c r="Y46" s="38" t="s">
        <v>53</v>
      </c>
      <c r="Z46" s="36">
        <v>8.8136371151347177</v>
      </c>
      <c r="AA46" s="37">
        <v>1.7942125169086935</v>
      </c>
      <c r="AB46" s="39" t="s">
        <v>53</v>
      </c>
    </row>
    <row r="47" spans="1:28" x14ac:dyDescent="0.25">
      <c r="A47" s="15" t="s">
        <v>159</v>
      </c>
      <c r="B47" s="36">
        <v>12.188161728613951</v>
      </c>
      <c r="C47" s="37">
        <v>0.47645498721799551</v>
      </c>
      <c r="D47" s="38" t="s">
        <v>53</v>
      </c>
      <c r="E47" s="44" t="s">
        <v>55</v>
      </c>
      <c r="F47" s="37" t="s">
        <v>55</v>
      </c>
      <c r="G47" s="38" t="s">
        <v>53</v>
      </c>
      <c r="H47" s="44" t="s">
        <v>55</v>
      </c>
      <c r="I47" s="37" t="s">
        <v>55</v>
      </c>
      <c r="J47" s="38" t="s">
        <v>53</v>
      </c>
      <c r="K47" s="44" t="s">
        <v>55</v>
      </c>
      <c r="L47" s="37" t="s">
        <v>55</v>
      </c>
      <c r="M47" s="38" t="s">
        <v>53</v>
      </c>
      <c r="N47" s="44" t="s">
        <v>55</v>
      </c>
      <c r="O47" s="37" t="s">
        <v>55</v>
      </c>
      <c r="P47" s="38" t="s">
        <v>53</v>
      </c>
      <c r="Q47" s="44" t="s">
        <v>55</v>
      </c>
      <c r="R47" s="37" t="s">
        <v>55</v>
      </c>
      <c r="S47" s="38" t="s">
        <v>53</v>
      </c>
      <c r="T47" s="44" t="s">
        <v>55</v>
      </c>
      <c r="U47" s="37" t="s">
        <v>55</v>
      </c>
      <c r="V47" s="38" t="s">
        <v>53</v>
      </c>
      <c r="W47" s="44" t="s">
        <v>55</v>
      </c>
      <c r="X47" s="37" t="s">
        <v>55</v>
      </c>
      <c r="Y47" s="38" t="s">
        <v>53</v>
      </c>
      <c r="Z47" s="36" t="s">
        <v>55</v>
      </c>
      <c r="AA47" s="37" t="s">
        <v>55</v>
      </c>
      <c r="AB47" s="39" t="s">
        <v>53</v>
      </c>
    </row>
    <row r="48" spans="1:28" x14ac:dyDescent="0.25">
      <c r="A48" s="15" t="s">
        <v>160</v>
      </c>
      <c r="B48" s="36">
        <v>20.473115864425338</v>
      </c>
      <c r="C48" s="37">
        <v>1.3408865697378713</v>
      </c>
      <c r="D48" s="38" t="s">
        <v>53</v>
      </c>
      <c r="E48" s="44">
        <v>505.78522059816532</v>
      </c>
      <c r="F48" s="37">
        <v>3.0247715272734075</v>
      </c>
      <c r="G48" s="38" t="s">
        <v>53</v>
      </c>
      <c r="H48" s="44">
        <v>525.41903838557414</v>
      </c>
      <c r="I48" s="37">
        <v>2.7163106433990474</v>
      </c>
      <c r="J48" s="38" t="s">
        <v>53</v>
      </c>
      <c r="K48" s="44">
        <v>442.5378527653703</v>
      </c>
      <c r="L48" s="37">
        <v>5.8032218470509607</v>
      </c>
      <c r="M48" s="38" t="s">
        <v>53</v>
      </c>
      <c r="N48" s="44">
        <v>471.17999575500863</v>
      </c>
      <c r="O48" s="37">
        <v>6.3510959747519955</v>
      </c>
      <c r="P48" s="38" t="s">
        <v>53</v>
      </c>
      <c r="Q48" s="44">
        <v>410.00658012785374</v>
      </c>
      <c r="R48" s="37">
        <v>6.8988481734120306</v>
      </c>
      <c r="S48" s="38" t="s">
        <v>53</v>
      </c>
      <c r="T48" s="44">
        <v>-82.881185620203738</v>
      </c>
      <c r="U48" s="37">
        <v>5.8895003643399804</v>
      </c>
      <c r="V48" s="38" t="s">
        <v>53</v>
      </c>
      <c r="W48" s="44">
        <v>-53.811763789080992</v>
      </c>
      <c r="X48" s="37">
        <v>4.7289918299353539</v>
      </c>
      <c r="Y48" s="38" t="s">
        <v>53</v>
      </c>
      <c r="Z48" s="36">
        <v>10.277611184610123</v>
      </c>
      <c r="AA48" s="37">
        <v>1.4548812300609875</v>
      </c>
      <c r="AB48" s="39" t="s">
        <v>53</v>
      </c>
    </row>
    <row r="49" spans="1:28" x14ac:dyDescent="0.25">
      <c r="A49" s="15" t="s">
        <v>161</v>
      </c>
      <c r="B49" s="36">
        <v>33.868233035169411</v>
      </c>
      <c r="C49" s="37">
        <v>1.4103551478288376</v>
      </c>
      <c r="D49" s="38" t="s">
        <v>53</v>
      </c>
      <c r="E49" s="44">
        <v>483.92940514533916</v>
      </c>
      <c r="F49" s="37">
        <v>3.1243223606213251</v>
      </c>
      <c r="G49" s="38" t="s">
        <v>53</v>
      </c>
      <c r="H49" s="44">
        <v>503.39888647839848</v>
      </c>
      <c r="I49" s="37">
        <v>3.1601760439931135</v>
      </c>
      <c r="J49" s="38" t="s">
        <v>53</v>
      </c>
      <c r="K49" s="44">
        <v>451.34124299271502</v>
      </c>
      <c r="L49" s="37">
        <v>4.2893022642316661</v>
      </c>
      <c r="M49" s="38" t="s">
        <v>53</v>
      </c>
      <c r="N49" s="44">
        <v>453.28363889865523</v>
      </c>
      <c r="O49" s="37">
        <v>4.5929471882850965</v>
      </c>
      <c r="P49" s="38" t="s">
        <v>53</v>
      </c>
      <c r="Q49" s="44">
        <v>447.81151264626152</v>
      </c>
      <c r="R49" s="37">
        <v>6.2872646927088045</v>
      </c>
      <c r="S49" s="38" t="s">
        <v>53</v>
      </c>
      <c r="T49" s="44">
        <v>-52.057643485683414</v>
      </c>
      <c r="U49" s="37">
        <v>4.6642418628752251</v>
      </c>
      <c r="V49" s="38" t="s">
        <v>53</v>
      </c>
      <c r="W49" s="44">
        <v>-24.695037291874417</v>
      </c>
      <c r="X49" s="37">
        <v>3.6077141769668479</v>
      </c>
      <c r="Y49" s="38" t="s">
        <v>53</v>
      </c>
      <c r="Z49" s="36">
        <v>15.687149328422267</v>
      </c>
      <c r="AA49" s="37">
        <v>1.2766970156402893</v>
      </c>
      <c r="AB49" s="39" t="s">
        <v>53</v>
      </c>
    </row>
    <row r="50" spans="1:28" x14ac:dyDescent="0.25">
      <c r="A50" s="15" t="s">
        <v>162</v>
      </c>
      <c r="B50" s="36">
        <v>0.85430183715388996</v>
      </c>
      <c r="C50" s="37">
        <v>0.14058186011809648</v>
      </c>
      <c r="D50" s="38" t="s">
        <v>53</v>
      </c>
      <c r="E50" s="44">
        <v>465.63166649860943</v>
      </c>
      <c r="F50" s="37">
        <v>2.1712145076624227</v>
      </c>
      <c r="G50" s="38" t="s">
        <v>53</v>
      </c>
      <c r="H50" s="44">
        <v>467.11892671507007</v>
      </c>
      <c r="I50" s="37">
        <v>2.1538763258375293</v>
      </c>
      <c r="J50" s="38" t="s">
        <v>53</v>
      </c>
      <c r="K50" s="44">
        <v>462.45140980673608</v>
      </c>
      <c r="L50" s="37">
        <v>12.653929991085503</v>
      </c>
      <c r="M50" s="38" t="s">
        <v>53</v>
      </c>
      <c r="N50" s="44">
        <v>474.25962629185278</v>
      </c>
      <c r="O50" s="37">
        <v>15.052904922447564</v>
      </c>
      <c r="P50" s="38" t="s">
        <v>53</v>
      </c>
      <c r="Q50" s="44" t="s">
        <v>56</v>
      </c>
      <c r="R50" s="37" t="s">
        <v>56</v>
      </c>
      <c r="S50" s="38" t="s">
        <v>53</v>
      </c>
      <c r="T50" s="44">
        <v>-4.6675169083340506</v>
      </c>
      <c r="U50" s="37">
        <v>12.612987077050455</v>
      </c>
      <c r="V50" s="38" t="s">
        <v>53</v>
      </c>
      <c r="W50" s="44">
        <v>-27.287370790921528</v>
      </c>
      <c r="X50" s="37">
        <v>12.201994352740249</v>
      </c>
      <c r="Y50" s="38" t="s">
        <v>53</v>
      </c>
      <c r="Z50" s="36">
        <v>25.113395364167406</v>
      </c>
      <c r="AA50" s="37">
        <v>6.9658174138319398</v>
      </c>
      <c r="AB50" s="39" t="s">
        <v>53</v>
      </c>
    </row>
    <row r="51" spans="1:28" x14ac:dyDescent="0.25">
      <c r="A51" s="15" t="s">
        <v>163</v>
      </c>
      <c r="B51" s="36">
        <v>19.760951782508652</v>
      </c>
      <c r="C51" s="37">
        <v>1.1769923779338967</v>
      </c>
      <c r="D51" s="38" t="s">
        <v>53</v>
      </c>
      <c r="E51" s="44">
        <v>503.92810920604546</v>
      </c>
      <c r="F51" s="37">
        <v>2.5825911706252378</v>
      </c>
      <c r="G51" s="38" t="s">
        <v>53</v>
      </c>
      <c r="H51" s="44">
        <v>510.61100634712966</v>
      </c>
      <c r="I51" s="37">
        <v>2.6707707211249847</v>
      </c>
      <c r="J51" s="38" t="s">
        <v>53</v>
      </c>
      <c r="K51" s="44">
        <v>490.65274080042866</v>
      </c>
      <c r="L51" s="37">
        <v>4.2096923193080702</v>
      </c>
      <c r="M51" s="38" t="s">
        <v>53</v>
      </c>
      <c r="N51" s="44">
        <v>492.83962814997335</v>
      </c>
      <c r="O51" s="37">
        <v>5.712887834649079</v>
      </c>
      <c r="P51" s="38" t="s">
        <v>53</v>
      </c>
      <c r="Q51" s="44">
        <v>487.70796206006429</v>
      </c>
      <c r="R51" s="37">
        <v>6.9296623144376932</v>
      </c>
      <c r="S51" s="38" t="s">
        <v>53</v>
      </c>
      <c r="T51" s="44">
        <v>-19.958265546701103</v>
      </c>
      <c r="U51" s="37">
        <v>4.4445394489790031</v>
      </c>
      <c r="V51" s="38" t="s">
        <v>53</v>
      </c>
      <c r="W51" s="44">
        <v>-4.1460396348763338</v>
      </c>
      <c r="X51" s="37">
        <v>4.1426524418780835</v>
      </c>
      <c r="Y51" s="38" t="s">
        <v>53</v>
      </c>
      <c r="Z51" s="36">
        <v>20.529946395185426</v>
      </c>
      <c r="AA51" s="37">
        <v>1.6000937096007102</v>
      </c>
      <c r="AB51" s="39" t="s">
        <v>53</v>
      </c>
    </row>
    <row r="52" spans="1:28" x14ac:dyDescent="0.25">
      <c r="A52" s="15" t="s">
        <v>228</v>
      </c>
      <c r="B52" s="36">
        <v>23.012325770304379</v>
      </c>
      <c r="C52" s="37">
        <v>1.519881538268582</v>
      </c>
      <c r="D52" s="38" t="s">
        <v>53</v>
      </c>
      <c r="E52" s="44">
        <v>505.35277105006838</v>
      </c>
      <c r="F52" s="37">
        <v>3.5686731906740112</v>
      </c>
      <c r="G52" s="38" t="s">
        <v>53</v>
      </c>
      <c r="H52" s="44">
        <v>510.0090012987107</v>
      </c>
      <c r="I52" s="37">
        <v>3.5830703788785403</v>
      </c>
      <c r="J52" s="38" t="s">
        <v>53</v>
      </c>
      <c r="K52" s="44">
        <v>503.37468772735531</v>
      </c>
      <c r="L52" s="37">
        <v>6.034114084834278</v>
      </c>
      <c r="M52" s="38" t="s">
        <v>53</v>
      </c>
      <c r="N52" s="44">
        <v>511.90490496609777</v>
      </c>
      <c r="O52" s="37">
        <v>6.0553380779011921</v>
      </c>
      <c r="P52" s="38" t="s">
        <v>53</v>
      </c>
      <c r="Q52" s="44">
        <v>478.75538047686399</v>
      </c>
      <c r="R52" s="37">
        <v>8.3207090064452149</v>
      </c>
      <c r="S52" s="38" t="s">
        <v>53</v>
      </c>
      <c r="T52" s="44">
        <v>-6.6343135713553067</v>
      </c>
      <c r="U52" s="37">
        <v>5.9333237754752419</v>
      </c>
      <c r="V52" s="38" t="s">
        <v>53</v>
      </c>
      <c r="W52" s="44">
        <v>15.667866227385719</v>
      </c>
      <c r="X52" s="37">
        <v>4.5066052021300216</v>
      </c>
      <c r="Y52" s="38" t="s">
        <v>53</v>
      </c>
      <c r="Z52" s="36">
        <v>24.456332910223306</v>
      </c>
      <c r="AA52" s="37">
        <v>2.2241493105093011</v>
      </c>
      <c r="AB52" s="39" t="s">
        <v>53</v>
      </c>
    </row>
    <row r="53" spans="1:28" x14ac:dyDescent="0.25">
      <c r="A53" s="15" t="s">
        <v>166</v>
      </c>
      <c r="B53" s="36">
        <v>13.067679806644071</v>
      </c>
      <c r="C53" s="37">
        <v>0.13401021802186819</v>
      </c>
      <c r="D53" s="38" t="s">
        <v>53</v>
      </c>
      <c r="E53" s="44">
        <v>487.1259947625523</v>
      </c>
      <c r="F53" s="37">
        <v>0.41476905289764121</v>
      </c>
      <c r="G53" s="38" t="s">
        <v>53</v>
      </c>
      <c r="H53" s="44">
        <v>493.80750364317942</v>
      </c>
      <c r="I53" s="37">
        <v>0.42686509319363891</v>
      </c>
      <c r="J53" s="38" t="s">
        <v>53</v>
      </c>
      <c r="K53" s="44">
        <v>452.02991853082091</v>
      </c>
      <c r="L53" s="37">
        <v>1.3077551673714121</v>
      </c>
      <c r="M53" s="38" t="s">
        <v>53</v>
      </c>
      <c r="N53" s="44">
        <v>465.02452556645318</v>
      </c>
      <c r="O53" s="37">
        <v>1.558037687959428</v>
      </c>
      <c r="P53" s="38" t="s">
        <v>53</v>
      </c>
      <c r="Q53" s="44">
        <v>440.17643869742392</v>
      </c>
      <c r="R53" s="37">
        <v>2.0749964196823592</v>
      </c>
      <c r="S53" s="38" t="s">
        <v>53</v>
      </c>
      <c r="T53" s="44">
        <v>-40.532546366820327</v>
      </c>
      <c r="U53" s="37">
        <v>1.32256009530651</v>
      </c>
      <c r="V53" s="38" t="s">
        <v>53</v>
      </c>
      <c r="W53" s="44">
        <v>-24.42232253881426</v>
      </c>
      <c r="X53" s="37">
        <v>1.1591346333553041</v>
      </c>
      <c r="Y53" s="38" t="s">
        <v>53</v>
      </c>
      <c r="Z53" s="36">
        <v>16.78964244250621</v>
      </c>
      <c r="AA53" s="37">
        <v>0.48081166758325461</v>
      </c>
      <c r="AB53" s="39" t="s">
        <v>53</v>
      </c>
    </row>
    <row r="54" spans="1:28" x14ac:dyDescent="0.25">
      <c r="A54" s="57" t="s">
        <v>211</v>
      </c>
      <c r="B54" s="36"/>
      <c r="C54" s="37"/>
      <c r="D54" s="38"/>
      <c r="E54" s="44"/>
      <c r="F54" s="37"/>
      <c r="G54" s="38"/>
      <c r="H54" s="44"/>
      <c r="I54" s="37"/>
      <c r="J54" s="38"/>
      <c r="K54" s="44"/>
      <c r="L54" s="37"/>
      <c r="M54" s="38"/>
      <c r="N54" s="44"/>
      <c r="O54" s="37"/>
      <c r="P54" s="38"/>
      <c r="Q54" s="44"/>
      <c r="R54" s="37"/>
      <c r="S54" s="38"/>
      <c r="T54" s="44"/>
      <c r="U54" s="37"/>
      <c r="V54" s="38"/>
      <c r="W54" s="44"/>
      <c r="X54" s="37"/>
      <c r="Y54" s="38"/>
      <c r="Z54" s="36"/>
      <c r="AA54" s="37"/>
      <c r="AB54" s="39"/>
    </row>
    <row r="55" spans="1:28" x14ac:dyDescent="0.25">
      <c r="A55" s="15" t="s">
        <v>169</v>
      </c>
      <c r="B55" s="36">
        <v>0.62059781455420004</v>
      </c>
      <c r="C55" s="37">
        <v>0.12271048399013314</v>
      </c>
      <c r="D55" s="38" t="s">
        <v>53</v>
      </c>
      <c r="E55" s="44">
        <v>405.42936627838083</v>
      </c>
      <c r="F55" s="37">
        <v>1.9222908015158928</v>
      </c>
      <c r="G55" s="38" t="s">
        <v>53</v>
      </c>
      <c r="H55" s="44">
        <v>407.14092007963291</v>
      </c>
      <c r="I55" s="37">
        <v>1.8914199408782266</v>
      </c>
      <c r="J55" s="38" t="s">
        <v>53</v>
      </c>
      <c r="K55" s="44">
        <v>340.30707669887266</v>
      </c>
      <c r="L55" s="37">
        <v>11.290037207846725</v>
      </c>
      <c r="M55" s="38" t="s">
        <v>53</v>
      </c>
      <c r="N55" s="44" t="s">
        <v>56</v>
      </c>
      <c r="O55" s="37" t="s">
        <v>56</v>
      </c>
      <c r="P55" s="38" t="s">
        <v>53</v>
      </c>
      <c r="Q55" s="44" t="s">
        <v>56</v>
      </c>
      <c r="R55" s="37" t="s">
        <v>56</v>
      </c>
      <c r="S55" s="38" t="s">
        <v>53</v>
      </c>
      <c r="T55" s="44">
        <v>-66.83384338075993</v>
      </c>
      <c r="U55" s="37">
        <v>11.256215378601022</v>
      </c>
      <c r="V55" s="38" t="s">
        <v>53</v>
      </c>
      <c r="W55" s="44">
        <v>-67.951710206903101</v>
      </c>
      <c r="X55" s="37">
        <v>9.5007113496374025</v>
      </c>
      <c r="Y55" s="38" t="s">
        <v>53</v>
      </c>
      <c r="Z55" s="36">
        <v>2.992971833932101</v>
      </c>
      <c r="AA55" s="37">
        <v>2.492696133442911</v>
      </c>
      <c r="AB55" s="39" t="s">
        <v>53</v>
      </c>
    </row>
    <row r="56" spans="1:28" x14ac:dyDescent="0.25">
      <c r="A56" s="15" t="s">
        <v>170</v>
      </c>
      <c r="B56" s="36">
        <v>4.5581922113720896</v>
      </c>
      <c r="C56" s="37">
        <v>0.3258858226592739</v>
      </c>
      <c r="D56" s="38" t="s">
        <v>53</v>
      </c>
      <c r="E56" s="44">
        <v>401.50310880731661</v>
      </c>
      <c r="F56" s="37">
        <v>2.9770426767113269</v>
      </c>
      <c r="G56" s="38" t="s">
        <v>53</v>
      </c>
      <c r="H56" s="44">
        <v>403.79302890804183</v>
      </c>
      <c r="I56" s="37">
        <v>3.0997980045923716</v>
      </c>
      <c r="J56" s="38" t="s">
        <v>53</v>
      </c>
      <c r="K56" s="44">
        <v>405.05108965389172</v>
      </c>
      <c r="L56" s="37">
        <v>7.004348727635656</v>
      </c>
      <c r="M56" s="38" t="s">
        <v>53</v>
      </c>
      <c r="N56" s="44">
        <v>414.2499971393388</v>
      </c>
      <c r="O56" s="37">
        <v>9.3757323852173027</v>
      </c>
      <c r="P56" s="38" t="s">
        <v>53</v>
      </c>
      <c r="Q56" s="44">
        <v>394.9617394162488</v>
      </c>
      <c r="R56" s="37">
        <v>7.9936823704319417</v>
      </c>
      <c r="S56" s="38" t="s">
        <v>53</v>
      </c>
      <c r="T56" s="44">
        <v>1.258060745849912</v>
      </c>
      <c r="U56" s="37">
        <v>7.3345589111163045</v>
      </c>
      <c r="V56" s="38" t="s">
        <v>53</v>
      </c>
      <c r="W56" s="44">
        <v>12.334868607507133</v>
      </c>
      <c r="X56" s="37">
        <v>5.9794625883361379</v>
      </c>
      <c r="Y56" s="38" t="s">
        <v>53</v>
      </c>
      <c r="Z56" s="36">
        <v>22.997932032273173</v>
      </c>
      <c r="AA56" s="37">
        <v>2.570709049372486</v>
      </c>
      <c r="AB56" s="39" t="s">
        <v>53</v>
      </c>
    </row>
    <row r="57" spans="1:28" x14ac:dyDescent="0.25">
      <c r="A57" s="15" t="s">
        <v>171</v>
      </c>
      <c r="B57" s="36">
        <v>5.2006981077612595</v>
      </c>
      <c r="C57" s="37">
        <v>0.37027052060356908</v>
      </c>
      <c r="D57" s="38" t="s">
        <v>53</v>
      </c>
      <c r="E57" s="44">
        <v>389.38833381099158</v>
      </c>
      <c r="F57" s="37">
        <v>2.5058139100861014</v>
      </c>
      <c r="G57" s="38" t="s">
        <v>53</v>
      </c>
      <c r="H57" s="44">
        <v>392.81231421571965</v>
      </c>
      <c r="I57" s="37">
        <v>2.6336611646901709</v>
      </c>
      <c r="J57" s="38" t="s">
        <v>53</v>
      </c>
      <c r="K57" s="44">
        <v>378.76594858713736</v>
      </c>
      <c r="L57" s="37">
        <v>4.1704490560649887</v>
      </c>
      <c r="M57" s="38" t="s">
        <v>53</v>
      </c>
      <c r="N57" s="44">
        <v>385.75621945563057</v>
      </c>
      <c r="O57" s="37">
        <v>5.1580228008497233</v>
      </c>
      <c r="P57" s="38" t="s">
        <v>53</v>
      </c>
      <c r="Q57" s="44">
        <v>368.95936932466321</v>
      </c>
      <c r="R57" s="37">
        <v>6.8183131109340547</v>
      </c>
      <c r="S57" s="38" t="s">
        <v>53</v>
      </c>
      <c r="T57" s="44">
        <v>-14.046365628582263</v>
      </c>
      <c r="U57" s="37">
        <v>4.7923306772233687</v>
      </c>
      <c r="V57" s="38" t="s">
        <v>53</v>
      </c>
      <c r="W57" s="44">
        <v>-13.08372917422917</v>
      </c>
      <c r="X57" s="37">
        <v>4.5689967063391457</v>
      </c>
      <c r="Y57" s="38" t="s">
        <v>53</v>
      </c>
      <c r="Z57" s="36">
        <v>19.751108419912985</v>
      </c>
      <c r="AA57" s="37">
        <v>2.8888353552660897</v>
      </c>
      <c r="AB57" s="39" t="s">
        <v>53</v>
      </c>
    </row>
    <row r="58" spans="1:28" x14ac:dyDescent="0.25">
      <c r="A58" s="15" t="s">
        <v>172</v>
      </c>
      <c r="B58" s="36">
        <v>4.1471741637499493</v>
      </c>
      <c r="C58" s="37">
        <v>0.3187600924711777</v>
      </c>
      <c r="D58" s="38" t="s">
        <v>53</v>
      </c>
      <c r="E58" s="44">
        <v>473.78844693315233</v>
      </c>
      <c r="F58" s="37">
        <v>2.4350607459616236</v>
      </c>
      <c r="G58" s="38" t="s">
        <v>53</v>
      </c>
      <c r="H58" s="44">
        <v>475.3705132303333</v>
      </c>
      <c r="I58" s="37">
        <v>2.4835760424070186</v>
      </c>
      <c r="J58" s="38" t="s">
        <v>53</v>
      </c>
      <c r="K58" s="44">
        <v>456.66068946918824</v>
      </c>
      <c r="L58" s="37">
        <v>7.3187671107747416</v>
      </c>
      <c r="M58" s="38" t="s">
        <v>53</v>
      </c>
      <c r="N58" s="44">
        <v>460.92456844551316</v>
      </c>
      <c r="O58" s="37">
        <v>6.7413715729733674</v>
      </c>
      <c r="P58" s="38" t="s">
        <v>53</v>
      </c>
      <c r="Q58" s="44">
        <v>446.95797571282105</v>
      </c>
      <c r="R58" s="37">
        <v>16.3113233200447</v>
      </c>
      <c r="S58" s="38" t="s">
        <v>53</v>
      </c>
      <c r="T58" s="44">
        <v>-18.709823761144929</v>
      </c>
      <c r="U58" s="37">
        <v>7.2341245296093994</v>
      </c>
      <c r="V58" s="38" t="s">
        <v>53</v>
      </c>
      <c r="W58" s="44">
        <v>-9.1211507963189113</v>
      </c>
      <c r="X58" s="37">
        <v>6.5148385370750024</v>
      </c>
      <c r="Y58" s="38" t="s">
        <v>53</v>
      </c>
      <c r="Z58" s="36">
        <v>22.566557144015121</v>
      </c>
      <c r="AA58" s="37">
        <v>2.8978839974353896</v>
      </c>
      <c r="AB58" s="39" t="s">
        <v>53</v>
      </c>
    </row>
    <row r="59" spans="1:28" x14ac:dyDescent="0.25">
      <c r="A59" s="15" t="s">
        <v>173</v>
      </c>
      <c r="B59" s="36">
        <v>2.8167785120561701</v>
      </c>
      <c r="C59" s="37">
        <v>0.32525593627930094</v>
      </c>
      <c r="D59" s="38" t="s">
        <v>53</v>
      </c>
      <c r="E59" s="44">
        <v>402.97782126090317</v>
      </c>
      <c r="F59" s="37">
        <v>2.9250633672032849</v>
      </c>
      <c r="G59" s="38" t="s">
        <v>53</v>
      </c>
      <c r="H59" s="44">
        <v>405.06836025514923</v>
      </c>
      <c r="I59" s="37">
        <v>2.9977070576522404</v>
      </c>
      <c r="J59" s="38" t="s">
        <v>53</v>
      </c>
      <c r="K59" s="44">
        <v>385.65793364376441</v>
      </c>
      <c r="L59" s="37">
        <v>7.7247067757763519</v>
      </c>
      <c r="M59" s="38" t="s">
        <v>53</v>
      </c>
      <c r="N59" s="44">
        <v>402.59317211624244</v>
      </c>
      <c r="O59" s="37">
        <v>10.977967409604261</v>
      </c>
      <c r="P59" s="38" t="s">
        <v>53</v>
      </c>
      <c r="Q59" s="44">
        <v>368.55649266432209</v>
      </c>
      <c r="R59" s="37">
        <v>11.149956129024844</v>
      </c>
      <c r="S59" s="38" t="s">
        <v>53</v>
      </c>
      <c r="T59" s="44">
        <v>-19.41042661138485</v>
      </c>
      <c r="U59" s="37">
        <v>7.7151464718623579</v>
      </c>
      <c r="V59" s="38" t="s">
        <v>53</v>
      </c>
      <c r="W59" s="44">
        <v>-23.286198273773064</v>
      </c>
      <c r="X59" s="37">
        <v>6.9585397192685274</v>
      </c>
      <c r="Y59" s="38" t="s">
        <v>53</v>
      </c>
      <c r="Z59" s="36">
        <v>20.087892163529748</v>
      </c>
      <c r="AA59" s="37">
        <v>3.7192888096678165</v>
      </c>
      <c r="AB59" s="39" t="s">
        <v>53</v>
      </c>
    </row>
    <row r="60" spans="1:28" x14ac:dyDescent="0.25">
      <c r="A60" s="15" t="s">
        <v>174</v>
      </c>
      <c r="B60" s="36">
        <v>0.60093706095619004</v>
      </c>
      <c r="C60" s="37">
        <v>9.1503247379800104E-2</v>
      </c>
      <c r="D60" s="38" t="s">
        <v>53</v>
      </c>
      <c r="E60" s="44">
        <v>412.87331668524951</v>
      </c>
      <c r="F60" s="37">
        <v>2.1109821806103208</v>
      </c>
      <c r="G60" s="38" t="s">
        <v>53</v>
      </c>
      <c r="H60" s="44">
        <v>417.68731509798857</v>
      </c>
      <c r="I60" s="37">
        <v>2.0632328769309258</v>
      </c>
      <c r="J60" s="38" t="s">
        <v>53</v>
      </c>
      <c r="K60" s="44">
        <v>333.77842910436397</v>
      </c>
      <c r="L60" s="37">
        <v>10.954553674602222</v>
      </c>
      <c r="M60" s="38" t="s">
        <v>53</v>
      </c>
      <c r="N60" s="44">
        <v>331.98440685886368</v>
      </c>
      <c r="O60" s="37">
        <v>13.374676257042065</v>
      </c>
      <c r="P60" s="38" t="s">
        <v>53</v>
      </c>
      <c r="Q60" s="44" t="s">
        <v>56</v>
      </c>
      <c r="R60" s="37" t="s">
        <v>56</v>
      </c>
      <c r="S60" s="38" t="s">
        <v>53</v>
      </c>
      <c r="T60" s="44">
        <v>-83.908885993624779</v>
      </c>
      <c r="U60" s="37">
        <v>11.180878404029611</v>
      </c>
      <c r="V60" s="38" t="s">
        <v>53</v>
      </c>
      <c r="W60" s="44">
        <v>-73.503233092269269</v>
      </c>
      <c r="X60" s="37">
        <v>10.6209456847926</v>
      </c>
      <c r="Y60" s="38" t="s">
        <v>53</v>
      </c>
      <c r="Z60" s="36">
        <v>4.5812093106109124</v>
      </c>
      <c r="AA60" s="37">
        <v>2.4595994923215527</v>
      </c>
      <c r="AB60" s="39" t="s">
        <v>53</v>
      </c>
    </row>
    <row r="61" spans="1:28" x14ac:dyDescent="0.25">
      <c r="A61" s="15" t="s">
        <v>175</v>
      </c>
      <c r="B61" s="36">
        <v>8.1815056453733295</v>
      </c>
      <c r="C61" s="37">
        <v>0.28326741362616487</v>
      </c>
      <c r="D61" s="38" t="s">
        <v>53</v>
      </c>
      <c r="E61" s="44">
        <v>408.06994401933429</v>
      </c>
      <c r="F61" s="37">
        <v>0.89776623671988476</v>
      </c>
      <c r="G61" s="38" t="s">
        <v>53</v>
      </c>
      <c r="H61" s="44">
        <v>403.05533459540447</v>
      </c>
      <c r="I61" s="37">
        <v>1.023912551187304</v>
      </c>
      <c r="J61" s="38" t="s">
        <v>53</v>
      </c>
      <c r="K61" s="44">
        <v>475.76181371233338</v>
      </c>
      <c r="L61" s="37">
        <v>4.040388853942213</v>
      </c>
      <c r="M61" s="38" t="s">
        <v>53</v>
      </c>
      <c r="N61" s="44">
        <v>460.01075143185972</v>
      </c>
      <c r="O61" s="37">
        <v>6.7603011180722836</v>
      </c>
      <c r="P61" s="38" t="s">
        <v>53</v>
      </c>
      <c r="Q61" s="44">
        <v>484.70413464149209</v>
      </c>
      <c r="R61" s="37">
        <v>5.3843202293147536</v>
      </c>
      <c r="S61" s="38" t="s">
        <v>53</v>
      </c>
      <c r="T61" s="44">
        <v>72.706479116927611</v>
      </c>
      <c r="U61" s="37">
        <v>4.2424798480923078</v>
      </c>
      <c r="V61" s="38" t="s">
        <v>53</v>
      </c>
      <c r="W61" s="44">
        <v>24.767027359749612</v>
      </c>
      <c r="X61" s="37">
        <v>4.0701010344681388</v>
      </c>
      <c r="Y61" s="38" t="s">
        <v>53</v>
      </c>
      <c r="Z61" s="36">
        <v>53.324514748183319</v>
      </c>
      <c r="AA61" s="37">
        <v>2.092873316469364</v>
      </c>
      <c r="AB61" s="39" t="s">
        <v>53</v>
      </c>
    </row>
    <row r="62" spans="1:28" x14ac:dyDescent="0.25">
      <c r="A62" s="15" t="s">
        <v>176</v>
      </c>
      <c r="B62" s="36">
        <v>0.15768377421082</v>
      </c>
      <c r="C62" s="37">
        <v>6.2805617268880135E-2</v>
      </c>
      <c r="D62" s="38" t="s">
        <v>53</v>
      </c>
      <c r="E62" s="44">
        <v>555.23624358750749</v>
      </c>
      <c r="F62" s="37">
        <v>2.7451959179360865</v>
      </c>
      <c r="G62" s="38" t="s">
        <v>53</v>
      </c>
      <c r="H62" s="44">
        <v>555.93044448510716</v>
      </c>
      <c r="I62" s="37">
        <v>2.7020166437429096</v>
      </c>
      <c r="J62" s="38" t="s">
        <v>53</v>
      </c>
      <c r="K62" s="44" t="s">
        <v>56</v>
      </c>
      <c r="L62" s="37" t="s">
        <v>56</v>
      </c>
      <c r="M62" s="38" t="s">
        <v>53</v>
      </c>
      <c r="N62" s="44" t="s">
        <v>56</v>
      </c>
      <c r="O62" s="37" t="s">
        <v>56</v>
      </c>
      <c r="P62" s="38" t="s">
        <v>53</v>
      </c>
      <c r="Q62" s="44" t="s">
        <v>56</v>
      </c>
      <c r="R62" s="37" t="s">
        <v>56</v>
      </c>
      <c r="S62" s="38" t="s">
        <v>53</v>
      </c>
      <c r="T62" s="44" t="s">
        <v>56</v>
      </c>
      <c r="U62" s="37" t="s">
        <v>56</v>
      </c>
      <c r="V62" s="38" t="s">
        <v>53</v>
      </c>
      <c r="W62" s="44" t="s">
        <v>56</v>
      </c>
      <c r="X62" s="37" t="s">
        <v>56</v>
      </c>
      <c r="Y62" s="38" t="s">
        <v>53</v>
      </c>
      <c r="Z62" s="36" t="s">
        <v>55</v>
      </c>
      <c r="AA62" s="37" t="s">
        <v>55</v>
      </c>
      <c r="AB62" s="39" t="s">
        <v>53</v>
      </c>
    </row>
    <row r="63" spans="1:28" x14ac:dyDescent="0.25">
      <c r="A63" s="15" t="s">
        <v>177</v>
      </c>
      <c r="B63" s="36">
        <v>1.1491597012677</v>
      </c>
      <c r="C63" s="37">
        <v>0.16216895878777934</v>
      </c>
      <c r="D63" s="38" t="s">
        <v>53</v>
      </c>
      <c r="E63" s="44">
        <v>419.84400596424894</v>
      </c>
      <c r="F63" s="37">
        <v>3.9125771223795494</v>
      </c>
      <c r="G63" s="38" t="s">
        <v>53</v>
      </c>
      <c r="H63" s="44">
        <v>425.12568595497163</v>
      </c>
      <c r="I63" s="37">
        <v>3.7737910181925569</v>
      </c>
      <c r="J63" s="38" t="s">
        <v>53</v>
      </c>
      <c r="K63" s="44">
        <v>383.40194260817452</v>
      </c>
      <c r="L63" s="37">
        <v>13.018117854195298</v>
      </c>
      <c r="M63" s="38" t="s">
        <v>53</v>
      </c>
      <c r="N63" s="44" t="s">
        <v>56</v>
      </c>
      <c r="O63" s="37" t="s">
        <v>56</v>
      </c>
      <c r="P63" s="38" t="s">
        <v>53</v>
      </c>
      <c r="Q63" s="44" t="s">
        <v>56</v>
      </c>
      <c r="R63" s="37" t="s">
        <v>56</v>
      </c>
      <c r="S63" s="38" t="s">
        <v>53</v>
      </c>
      <c r="T63" s="44">
        <v>-41.723743346796994</v>
      </c>
      <c r="U63" s="37">
        <v>12.393771106193109</v>
      </c>
      <c r="V63" s="38" t="s">
        <v>53</v>
      </c>
      <c r="W63" s="44">
        <v>-33.563531354872019</v>
      </c>
      <c r="X63" s="37">
        <v>10.834154632411217</v>
      </c>
      <c r="Y63" s="38" t="s">
        <v>53</v>
      </c>
      <c r="Z63" s="36">
        <v>16.751650413385491</v>
      </c>
      <c r="AA63" s="37">
        <v>4.6892511163811932</v>
      </c>
      <c r="AB63" s="39" t="s">
        <v>53</v>
      </c>
    </row>
    <row r="64" spans="1:28" x14ac:dyDescent="0.25">
      <c r="A64" s="15" t="s">
        <v>178</v>
      </c>
      <c r="B64" s="36">
        <v>10.01996666433617</v>
      </c>
      <c r="C64" s="37">
        <v>0.67284872877412782</v>
      </c>
      <c r="D64" s="38" t="s">
        <v>53</v>
      </c>
      <c r="E64" s="44">
        <v>426.49822500736076</v>
      </c>
      <c r="F64" s="37">
        <v>3.4203070197491883</v>
      </c>
      <c r="G64" s="38" t="s">
        <v>53</v>
      </c>
      <c r="H64" s="44">
        <v>429.9695726738853</v>
      </c>
      <c r="I64" s="37">
        <v>3.5193436290556739</v>
      </c>
      <c r="J64" s="38" t="s">
        <v>53</v>
      </c>
      <c r="K64" s="44">
        <v>406.84129470185405</v>
      </c>
      <c r="L64" s="37">
        <v>4.8221596571812277</v>
      </c>
      <c r="M64" s="38" t="s">
        <v>53</v>
      </c>
      <c r="N64" s="44">
        <v>408.11050353424815</v>
      </c>
      <c r="O64" s="37">
        <v>4.6736230043268598</v>
      </c>
      <c r="P64" s="38" t="s">
        <v>53</v>
      </c>
      <c r="Q64" s="44">
        <v>404.1778084425203</v>
      </c>
      <c r="R64" s="37">
        <v>8.8207172878583844</v>
      </c>
      <c r="S64" s="38" t="s">
        <v>53</v>
      </c>
      <c r="T64" s="44">
        <v>-23.128277972031249</v>
      </c>
      <c r="U64" s="37">
        <v>4.512698327398768</v>
      </c>
      <c r="V64" s="38" t="s">
        <v>53</v>
      </c>
      <c r="W64" s="44">
        <v>-12.251207472205635</v>
      </c>
      <c r="X64" s="37">
        <v>3.4497932177273056</v>
      </c>
      <c r="Y64" s="38" t="s">
        <v>53</v>
      </c>
      <c r="Z64" s="36">
        <v>17.488333242210462</v>
      </c>
      <c r="AA64" s="37">
        <v>2.4136655352045215</v>
      </c>
      <c r="AB64" s="39" t="s">
        <v>53</v>
      </c>
    </row>
    <row r="65" spans="1:28" x14ac:dyDescent="0.25">
      <c r="A65" s="15" t="s">
        <v>179</v>
      </c>
      <c r="B65" s="36">
        <v>9.0899092610287795</v>
      </c>
      <c r="C65" s="37">
        <v>0.48598879590199862</v>
      </c>
      <c r="D65" s="38" t="s">
        <v>53</v>
      </c>
      <c r="E65" s="44">
        <v>478.98915239507591</v>
      </c>
      <c r="F65" s="37">
        <v>2.6685131126062482</v>
      </c>
      <c r="G65" s="38" t="s">
        <v>53</v>
      </c>
      <c r="H65" s="44">
        <v>481.09930194308873</v>
      </c>
      <c r="I65" s="37">
        <v>2.6138834017297996</v>
      </c>
      <c r="J65" s="38" t="s">
        <v>53</v>
      </c>
      <c r="K65" s="44">
        <v>471.4609245577268</v>
      </c>
      <c r="L65" s="37">
        <v>5.5047985205570358</v>
      </c>
      <c r="M65" s="38" t="s">
        <v>53</v>
      </c>
      <c r="N65" s="44">
        <v>472.79779805926057</v>
      </c>
      <c r="O65" s="37">
        <v>5.7161799521977086</v>
      </c>
      <c r="P65" s="38" t="s">
        <v>53</v>
      </c>
      <c r="Q65" s="44">
        <v>463.78587121927353</v>
      </c>
      <c r="R65" s="37">
        <v>11.788967493873962</v>
      </c>
      <c r="S65" s="38" t="s">
        <v>53</v>
      </c>
      <c r="T65" s="44">
        <v>-9.6383773853618742</v>
      </c>
      <c r="U65" s="37">
        <v>5.1546809004592156</v>
      </c>
      <c r="V65" s="38" t="s">
        <v>53</v>
      </c>
      <c r="W65" s="44">
        <v>-2.7066029519682395</v>
      </c>
      <c r="X65" s="37">
        <v>4.066398776530205</v>
      </c>
      <c r="Y65" s="38" t="s">
        <v>53</v>
      </c>
      <c r="Z65" s="36">
        <v>21.171424139326302</v>
      </c>
      <c r="AA65" s="37">
        <v>2.5654767177350153</v>
      </c>
      <c r="AB65" s="39" t="s">
        <v>53</v>
      </c>
    </row>
    <row r="66" spans="1:28" x14ac:dyDescent="0.25">
      <c r="A66" s="15" t="s">
        <v>180</v>
      </c>
      <c r="B66" s="36">
        <v>14.787024402440979</v>
      </c>
      <c r="C66" s="37">
        <v>0.51722412147373786</v>
      </c>
      <c r="D66" s="38" t="s">
        <v>53</v>
      </c>
      <c r="E66" s="44">
        <v>424.3582472168186</v>
      </c>
      <c r="F66" s="37">
        <v>1.3684262455127574</v>
      </c>
      <c r="G66" s="38" t="s">
        <v>53</v>
      </c>
      <c r="H66" s="44">
        <v>425.75098848206346</v>
      </c>
      <c r="I66" s="37">
        <v>1.3752496541767181</v>
      </c>
      <c r="J66" s="38" t="s">
        <v>53</v>
      </c>
      <c r="K66" s="44">
        <v>430.11146096387239</v>
      </c>
      <c r="L66" s="37">
        <v>3.9651388967310552</v>
      </c>
      <c r="M66" s="38" t="s">
        <v>53</v>
      </c>
      <c r="N66" s="44">
        <v>419.62038500031258</v>
      </c>
      <c r="O66" s="37">
        <v>6.3930935078984934</v>
      </c>
      <c r="P66" s="38" t="s">
        <v>53</v>
      </c>
      <c r="Q66" s="44">
        <v>435.81509041196114</v>
      </c>
      <c r="R66" s="37">
        <v>5.3945538143819975</v>
      </c>
      <c r="S66" s="38" t="s">
        <v>53</v>
      </c>
      <c r="T66" s="44">
        <v>4.3604724818088201</v>
      </c>
      <c r="U66" s="37">
        <v>4.1287457441549256</v>
      </c>
      <c r="V66" s="38" t="s">
        <v>53</v>
      </c>
      <c r="W66" s="44">
        <v>9.2961688833269047</v>
      </c>
      <c r="X66" s="37">
        <v>5.1349983759270703</v>
      </c>
      <c r="Y66" s="38" t="s">
        <v>53</v>
      </c>
      <c r="Z66" s="36">
        <v>27.859518762370701</v>
      </c>
      <c r="AA66" s="37">
        <v>1.8384587470133198</v>
      </c>
      <c r="AB66" s="39" t="s">
        <v>53</v>
      </c>
    </row>
    <row r="67" spans="1:28" x14ac:dyDescent="0.25">
      <c r="A67" s="15" t="s">
        <v>181</v>
      </c>
      <c r="B67" s="36">
        <v>2.92205315239196</v>
      </c>
      <c r="C67" s="37">
        <v>0.26890329558328008</v>
      </c>
      <c r="D67" s="38" t="s">
        <v>53</v>
      </c>
      <c r="E67" s="44">
        <v>341.62562074396402</v>
      </c>
      <c r="F67" s="37">
        <v>2.8637438186871429</v>
      </c>
      <c r="G67" s="38" t="s">
        <v>53</v>
      </c>
      <c r="H67" s="44">
        <v>346.56327698254552</v>
      </c>
      <c r="I67" s="37">
        <v>2.7201645824831062</v>
      </c>
      <c r="J67" s="38" t="s">
        <v>53</v>
      </c>
      <c r="K67" s="44">
        <v>322.45072463937441</v>
      </c>
      <c r="L67" s="37">
        <v>11.230844368290061</v>
      </c>
      <c r="M67" s="38" t="s">
        <v>53</v>
      </c>
      <c r="N67" s="44">
        <v>323.02329078594448</v>
      </c>
      <c r="O67" s="37">
        <v>10.415539875826035</v>
      </c>
      <c r="P67" s="38" t="s">
        <v>53</v>
      </c>
      <c r="Q67" s="44">
        <v>321.75266961134048</v>
      </c>
      <c r="R67" s="37">
        <v>16.236985563465392</v>
      </c>
      <c r="S67" s="38" t="s">
        <v>53</v>
      </c>
      <c r="T67" s="44">
        <v>-24.112552343171121</v>
      </c>
      <c r="U67" s="37">
        <v>10.292212798226743</v>
      </c>
      <c r="V67" s="38" t="s">
        <v>53</v>
      </c>
      <c r="W67" s="44">
        <v>-16.775352168558662</v>
      </c>
      <c r="X67" s="37">
        <v>8.6894625122846403</v>
      </c>
      <c r="Y67" s="38" t="s">
        <v>53</v>
      </c>
      <c r="Z67" s="36">
        <v>20.00001169063054</v>
      </c>
      <c r="AA67" s="37">
        <v>4.5025115084471201</v>
      </c>
      <c r="AB67" s="39" t="s">
        <v>53</v>
      </c>
    </row>
    <row r="68" spans="1:28" x14ac:dyDescent="0.25">
      <c r="A68" s="15" t="s">
        <v>182</v>
      </c>
      <c r="B68" s="36">
        <v>1.36463088083532</v>
      </c>
      <c r="C68" s="37">
        <v>0.19590177383249022</v>
      </c>
      <c r="D68" s="38" t="s">
        <v>53</v>
      </c>
      <c r="E68" s="44">
        <v>379.75254064634555</v>
      </c>
      <c r="F68" s="37">
        <v>2.1613326019945704</v>
      </c>
      <c r="G68" s="38" t="s">
        <v>53</v>
      </c>
      <c r="H68" s="44">
        <v>383.96548728003103</v>
      </c>
      <c r="I68" s="37">
        <v>2.1227240230702038</v>
      </c>
      <c r="J68" s="38" t="s">
        <v>53</v>
      </c>
      <c r="K68" s="44">
        <v>332.63120321858423</v>
      </c>
      <c r="L68" s="37">
        <v>11.380558049998118</v>
      </c>
      <c r="M68" s="38" t="s">
        <v>53</v>
      </c>
      <c r="N68" s="44">
        <v>328.06667122618956</v>
      </c>
      <c r="O68" s="37">
        <v>15.262939474967105</v>
      </c>
      <c r="P68" s="38" t="s">
        <v>53</v>
      </c>
      <c r="Q68" s="44" t="s">
        <v>56</v>
      </c>
      <c r="R68" s="37" t="s">
        <v>56</v>
      </c>
      <c r="S68" s="38" t="s">
        <v>53</v>
      </c>
      <c r="T68" s="44">
        <v>-51.334284061446731</v>
      </c>
      <c r="U68" s="37">
        <v>11.394670476030473</v>
      </c>
      <c r="V68" s="38" t="s">
        <v>53</v>
      </c>
      <c r="W68" s="44">
        <v>-47.481150026651868</v>
      </c>
      <c r="X68" s="37">
        <v>11.045074770499667</v>
      </c>
      <c r="Y68" s="38" t="s">
        <v>53</v>
      </c>
      <c r="Z68" s="36">
        <v>12.485738829137638</v>
      </c>
      <c r="AA68" s="37">
        <v>3.9219726108824098</v>
      </c>
      <c r="AB68" s="39" t="s">
        <v>53</v>
      </c>
    </row>
    <row r="69" spans="1:28" x14ac:dyDescent="0.25">
      <c r="A69" s="15" t="s">
        <v>229</v>
      </c>
      <c r="B69" s="36">
        <v>37.911634723302051</v>
      </c>
      <c r="C69" s="37">
        <v>1.3286600569122331</v>
      </c>
      <c r="D69" s="38" t="s">
        <v>53</v>
      </c>
      <c r="E69" s="44">
        <v>524.28311715195014</v>
      </c>
      <c r="F69" s="37">
        <v>2.7317094257236767</v>
      </c>
      <c r="G69" s="38" t="s">
        <v>53</v>
      </c>
      <c r="H69" s="44">
        <v>529.05516038361827</v>
      </c>
      <c r="I69" s="37">
        <v>2.8875191614180689</v>
      </c>
      <c r="J69" s="38" t="s">
        <v>53</v>
      </c>
      <c r="K69" s="44">
        <v>522.08927115491201</v>
      </c>
      <c r="L69" s="37">
        <v>4.6649425498891643</v>
      </c>
      <c r="M69" s="38" t="s">
        <v>53</v>
      </c>
      <c r="N69" s="44">
        <v>532.62351748124138</v>
      </c>
      <c r="O69" s="37">
        <v>4.307202056885763</v>
      </c>
      <c r="P69" s="38" t="s">
        <v>53</v>
      </c>
      <c r="Q69" s="44">
        <v>501.53445084317582</v>
      </c>
      <c r="R69" s="37">
        <v>6.9277175982311165</v>
      </c>
      <c r="S69" s="38" t="s">
        <v>53</v>
      </c>
      <c r="T69" s="44">
        <v>-6.9658892287064278</v>
      </c>
      <c r="U69" s="37">
        <v>5.0409039097246673</v>
      </c>
      <c r="V69" s="38" t="s">
        <v>53</v>
      </c>
      <c r="W69" s="44">
        <v>8.9788879911636208</v>
      </c>
      <c r="X69" s="37">
        <v>4.2055474786816065</v>
      </c>
      <c r="Y69" s="38" t="s">
        <v>53</v>
      </c>
      <c r="Z69" s="36">
        <v>23.992293198658903</v>
      </c>
      <c r="AA69" s="37">
        <v>1.3420223317943969</v>
      </c>
      <c r="AB69" s="39" t="s">
        <v>53</v>
      </c>
    </row>
    <row r="70" spans="1:28" x14ac:dyDescent="0.25">
      <c r="A70" s="15" t="s">
        <v>183</v>
      </c>
      <c r="B70" s="36">
        <v>0.25111855353339002</v>
      </c>
      <c r="C70" s="37">
        <v>6.652373962470863E-2</v>
      </c>
      <c r="D70" s="38" t="s">
        <v>53</v>
      </c>
      <c r="E70" s="44">
        <v>370.96538184622591</v>
      </c>
      <c r="F70" s="37">
        <v>2.5590979987987481</v>
      </c>
      <c r="G70" s="38" t="s">
        <v>53</v>
      </c>
      <c r="H70" s="44">
        <v>372.66433856228559</v>
      </c>
      <c r="I70" s="37">
        <v>2.636830489537525</v>
      </c>
      <c r="J70" s="38" t="s">
        <v>53</v>
      </c>
      <c r="K70" s="44">
        <v>275.57463329929982</v>
      </c>
      <c r="L70" s="37">
        <v>16.024780363863126</v>
      </c>
      <c r="M70" s="38" t="s">
        <v>53</v>
      </c>
      <c r="N70" s="44" t="s">
        <v>56</v>
      </c>
      <c r="O70" s="37" t="s">
        <v>56</v>
      </c>
      <c r="P70" s="38" t="s">
        <v>53</v>
      </c>
      <c r="Q70" s="44" t="s">
        <v>56</v>
      </c>
      <c r="R70" s="37" t="s">
        <v>56</v>
      </c>
      <c r="S70" s="38" t="s">
        <v>53</v>
      </c>
      <c r="T70" s="44">
        <v>-97.089705262985717</v>
      </c>
      <c r="U70" s="37">
        <v>16.079698448632751</v>
      </c>
      <c r="V70" s="38" t="s">
        <v>53</v>
      </c>
      <c r="W70" s="44">
        <v>-89.007069524180196</v>
      </c>
      <c r="X70" s="37">
        <v>15.130798954164636</v>
      </c>
      <c r="Y70" s="38" t="s">
        <v>53</v>
      </c>
      <c r="Z70" s="36">
        <v>0.59857198637737608</v>
      </c>
      <c r="AA70" s="37">
        <v>0.69398597838703635</v>
      </c>
      <c r="AB70" s="39" t="s">
        <v>53</v>
      </c>
    </row>
    <row r="71" spans="1:28" x14ac:dyDescent="0.25">
      <c r="A71" s="15" t="s">
        <v>184</v>
      </c>
      <c r="B71" s="36">
        <v>11.560156863178021</v>
      </c>
      <c r="C71" s="37">
        <v>0.53282256980001497</v>
      </c>
      <c r="D71" s="38" t="s">
        <v>53</v>
      </c>
      <c r="E71" s="44">
        <v>419.0636607101942</v>
      </c>
      <c r="F71" s="37">
        <v>2.9350356824013657</v>
      </c>
      <c r="G71" s="38" t="s">
        <v>53</v>
      </c>
      <c r="H71" s="44">
        <v>420.75965730712926</v>
      </c>
      <c r="I71" s="37">
        <v>2.7283243934055279</v>
      </c>
      <c r="J71" s="38" t="s">
        <v>53</v>
      </c>
      <c r="K71" s="44">
        <v>433.25282108456526</v>
      </c>
      <c r="L71" s="37">
        <v>4.5222598644377765</v>
      </c>
      <c r="M71" s="38" t="s">
        <v>53</v>
      </c>
      <c r="N71" s="44">
        <v>432.8015623437521</v>
      </c>
      <c r="O71" s="37">
        <v>4.9636993405838217</v>
      </c>
      <c r="P71" s="38" t="s">
        <v>53</v>
      </c>
      <c r="Q71" s="44">
        <v>433.82534997244142</v>
      </c>
      <c r="R71" s="37">
        <v>6.1332876224574608</v>
      </c>
      <c r="S71" s="38" t="s">
        <v>53</v>
      </c>
      <c r="T71" s="44">
        <v>12.493163777435836</v>
      </c>
      <c r="U71" s="37">
        <v>3.6645098876549089</v>
      </c>
      <c r="V71" s="38" t="s">
        <v>53</v>
      </c>
      <c r="W71" s="44">
        <v>13.941339749950103</v>
      </c>
      <c r="X71" s="37">
        <v>3.4247201992925866</v>
      </c>
      <c r="Y71" s="38" t="s">
        <v>53</v>
      </c>
      <c r="Z71" s="36">
        <v>31.277409159679358</v>
      </c>
      <c r="AA71" s="37">
        <v>2.5331049280169928</v>
      </c>
      <c r="AB71" s="39" t="s">
        <v>53</v>
      </c>
    </row>
    <row r="72" spans="1:28" x14ac:dyDescent="0.25">
      <c r="A72" s="15" t="s">
        <v>185</v>
      </c>
      <c r="B72" s="36">
        <v>8.2053827048399288</v>
      </c>
      <c r="C72" s="37">
        <v>0.44928776108302504</v>
      </c>
      <c r="D72" s="38" t="s">
        <v>53</v>
      </c>
      <c r="E72" s="44">
        <v>386.90927469955631</v>
      </c>
      <c r="F72" s="37">
        <v>1.4605218931337096</v>
      </c>
      <c r="G72" s="38" t="s">
        <v>53</v>
      </c>
      <c r="H72" s="44">
        <v>388.62813441877745</v>
      </c>
      <c r="I72" s="37">
        <v>1.5366598301310364</v>
      </c>
      <c r="J72" s="38" t="s">
        <v>53</v>
      </c>
      <c r="K72" s="44">
        <v>377.38390380212491</v>
      </c>
      <c r="L72" s="37">
        <v>2.7890969266208065</v>
      </c>
      <c r="M72" s="38" t="s">
        <v>53</v>
      </c>
      <c r="N72" s="44">
        <v>388.83169975346573</v>
      </c>
      <c r="O72" s="37">
        <v>3.9952461290351176</v>
      </c>
      <c r="P72" s="38" t="s">
        <v>53</v>
      </c>
      <c r="Q72" s="44">
        <v>365.52677799489635</v>
      </c>
      <c r="R72" s="37">
        <v>3.733614356429054</v>
      </c>
      <c r="S72" s="38" t="s">
        <v>53</v>
      </c>
      <c r="T72" s="44">
        <v>-11.244230616652422</v>
      </c>
      <c r="U72" s="37">
        <v>2.9905695912174668</v>
      </c>
      <c r="V72" s="38" t="s">
        <v>53</v>
      </c>
      <c r="W72" s="44">
        <v>-3.0523819993697714</v>
      </c>
      <c r="X72" s="37">
        <v>2.8114129150182223</v>
      </c>
      <c r="Y72" s="38" t="s">
        <v>53</v>
      </c>
      <c r="Z72" s="36">
        <v>20.347228109710347</v>
      </c>
      <c r="AA72" s="37">
        <v>1.6087370794283267</v>
      </c>
      <c r="AB72" s="39" t="s">
        <v>53</v>
      </c>
    </row>
    <row r="73" spans="1:28" x14ac:dyDescent="0.25">
      <c r="A73" s="15" t="s">
        <v>186</v>
      </c>
      <c r="B73" s="36">
        <v>1.14746077693674</v>
      </c>
      <c r="C73" s="37">
        <v>0.19367278405325103</v>
      </c>
      <c r="D73" s="38" t="s">
        <v>53</v>
      </c>
      <c r="E73" s="44">
        <v>353.06543254045846</v>
      </c>
      <c r="F73" s="37">
        <v>1.1403396791265359</v>
      </c>
      <c r="G73" s="38" t="s">
        <v>53</v>
      </c>
      <c r="H73" s="44">
        <v>354.51579992235611</v>
      </c>
      <c r="I73" s="37">
        <v>1.1395350506508843</v>
      </c>
      <c r="J73" s="38" t="s">
        <v>53</v>
      </c>
      <c r="K73" s="44">
        <v>332.55598680712495</v>
      </c>
      <c r="L73" s="37">
        <v>8.2628967098884445</v>
      </c>
      <c r="M73" s="38" t="s">
        <v>53</v>
      </c>
      <c r="N73" s="44">
        <v>338.53311387871076</v>
      </c>
      <c r="O73" s="37">
        <v>9.2689306377371814</v>
      </c>
      <c r="P73" s="38" t="s">
        <v>53</v>
      </c>
      <c r="Q73" s="44" t="s">
        <v>56</v>
      </c>
      <c r="R73" s="37" t="s">
        <v>56</v>
      </c>
      <c r="S73" s="38" t="s">
        <v>53</v>
      </c>
      <c r="T73" s="44">
        <v>-21.959813115231146</v>
      </c>
      <c r="U73" s="37">
        <v>8.6117742402364232</v>
      </c>
      <c r="V73" s="38" t="s">
        <v>53</v>
      </c>
      <c r="W73" s="44">
        <v>-31.277068988100662</v>
      </c>
      <c r="X73" s="37">
        <v>7.4988368739172682</v>
      </c>
      <c r="Y73" s="38" t="s">
        <v>53</v>
      </c>
      <c r="Z73" s="36">
        <v>14.621497558941401</v>
      </c>
      <c r="AA73" s="37">
        <v>6.2015898860866248</v>
      </c>
      <c r="AB73" s="39" t="s">
        <v>53</v>
      </c>
    </row>
    <row r="74" spans="1:28" x14ac:dyDescent="0.25">
      <c r="A74" s="15" t="s">
        <v>187</v>
      </c>
      <c r="B74" s="36">
        <v>5.9837011847694299</v>
      </c>
      <c r="C74" s="37">
        <v>0.46419035772446388</v>
      </c>
      <c r="D74" s="38" t="s">
        <v>53</v>
      </c>
      <c r="E74" s="44">
        <v>353.35531643001087</v>
      </c>
      <c r="F74" s="37">
        <v>4.3179906254746898</v>
      </c>
      <c r="G74" s="38" t="s">
        <v>53</v>
      </c>
      <c r="H74" s="44">
        <v>363.83209814688718</v>
      </c>
      <c r="I74" s="37">
        <v>4.3636271604031158</v>
      </c>
      <c r="J74" s="38" t="s">
        <v>53</v>
      </c>
      <c r="K74" s="44">
        <v>312.84535875641717</v>
      </c>
      <c r="L74" s="37">
        <v>8.3838015554793728</v>
      </c>
      <c r="M74" s="38" t="s">
        <v>53</v>
      </c>
      <c r="N74" s="44">
        <v>306.07138246405987</v>
      </c>
      <c r="O74" s="37">
        <v>13.053265880584956</v>
      </c>
      <c r="P74" s="38" t="s">
        <v>53</v>
      </c>
      <c r="Q74" s="44">
        <v>316.43157348436239</v>
      </c>
      <c r="R74" s="37">
        <v>9.3232100030808667</v>
      </c>
      <c r="S74" s="38" t="s">
        <v>53</v>
      </c>
      <c r="T74" s="44">
        <v>-50.986739390470071</v>
      </c>
      <c r="U74" s="37">
        <v>7.9888771947952577</v>
      </c>
      <c r="V74" s="38" t="s">
        <v>53</v>
      </c>
      <c r="W74" s="44">
        <v>-43.718432951103473</v>
      </c>
      <c r="X74" s="37">
        <v>9.104841748608008</v>
      </c>
      <c r="Y74" s="38" t="s">
        <v>53</v>
      </c>
      <c r="Z74" s="36">
        <v>14.606827574383171</v>
      </c>
      <c r="AA74" s="37">
        <v>2.6214661193163904</v>
      </c>
      <c r="AB74" s="39" t="s">
        <v>53</v>
      </c>
    </row>
    <row r="75" spans="1:28" x14ac:dyDescent="0.25">
      <c r="A75" s="15" t="s">
        <v>188</v>
      </c>
      <c r="B75" s="36">
        <v>62.874218024546593</v>
      </c>
      <c r="C75" s="37">
        <v>0.67146253797098432</v>
      </c>
      <c r="D75" s="38" t="s">
        <v>53</v>
      </c>
      <c r="E75" s="44">
        <v>525.11616894822509</v>
      </c>
      <c r="F75" s="37">
        <v>1.2271468603492528</v>
      </c>
      <c r="G75" s="38" t="s">
        <v>53</v>
      </c>
      <c r="H75" s="44">
        <v>511.8137054369115</v>
      </c>
      <c r="I75" s="37">
        <v>2.1734582625342154</v>
      </c>
      <c r="J75" s="38" t="s">
        <v>53</v>
      </c>
      <c r="K75" s="44">
        <v>533.34990365678721</v>
      </c>
      <c r="L75" s="37">
        <v>1.7838480973453394</v>
      </c>
      <c r="M75" s="38" t="s">
        <v>53</v>
      </c>
      <c r="N75" s="44">
        <v>528.32655618778142</v>
      </c>
      <c r="O75" s="37">
        <v>2.53361662743787</v>
      </c>
      <c r="P75" s="38" t="s">
        <v>53</v>
      </c>
      <c r="Q75" s="44">
        <v>540.43659624751967</v>
      </c>
      <c r="R75" s="37">
        <v>2.7820596143963638</v>
      </c>
      <c r="S75" s="38" t="s">
        <v>53</v>
      </c>
      <c r="T75" s="44">
        <v>21.536198219876113</v>
      </c>
      <c r="U75" s="37">
        <v>3.0405660198028155</v>
      </c>
      <c r="V75" s="38" t="s">
        <v>53</v>
      </c>
      <c r="W75" s="44">
        <v>25.679751835499047</v>
      </c>
      <c r="X75" s="37">
        <v>3.052475260775299</v>
      </c>
      <c r="Y75" s="38" t="s">
        <v>53</v>
      </c>
      <c r="Z75" s="36">
        <v>27.349871782999109</v>
      </c>
      <c r="AA75" s="37">
        <v>0.89132790348549662</v>
      </c>
      <c r="AB75" s="39" t="s">
        <v>53</v>
      </c>
    </row>
    <row r="76" spans="1:28" x14ac:dyDescent="0.25">
      <c r="A76" s="15" t="s">
        <v>189</v>
      </c>
      <c r="B76" s="36">
        <v>1.64809151960093</v>
      </c>
      <c r="C76" s="37">
        <v>0.22052586057016099</v>
      </c>
      <c r="D76" s="38" t="s">
        <v>53</v>
      </c>
      <c r="E76" s="44">
        <v>414.97951420628556</v>
      </c>
      <c r="F76" s="37">
        <v>2.8678316557625401</v>
      </c>
      <c r="G76" s="38" t="s">
        <v>53</v>
      </c>
      <c r="H76" s="44">
        <v>417.44728644157914</v>
      </c>
      <c r="I76" s="37">
        <v>2.8335111843044913</v>
      </c>
      <c r="J76" s="38" t="s">
        <v>53</v>
      </c>
      <c r="K76" s="44">
        <v>409.8391526369943</v>
      </c>
      <c r="L76" s="37">
        <v>16.722978527312076</v>
      </c>
      <c r="M76" s="38" t="s">
        <v>53</v>
      </c>
      <c r="N76" s="44">
        <v>413.35357128622775</v>
      </c>
      <c r="O76" s="37">
        <v>13.042383911809431</v>
      </c>
      <c r="P76" s="38" t="s">
        <v>53</v>
      </c>
      <c r="Q76" s="44" t="s">
        <v>56</v>
      </c>
      <c r="R76" s="37" t="s">
        <v>56</v>
      </c>
      <c r="S76" s="38" t="s">
        <v>53</v>
      </c>
      <c r="T76" s="44">
        <v>-7.6081338045848943</v>
      </c>
      <c r="U76" s="37">
        <v>16.296653544725721</v>
      </c>
      <c r="V76" s="38" t="s">
        <v>53</v>
      </c>
      <c r="W76" s="44">
        <v>-3.1780637123130893</v>
      </c>
      <c r="X76" s="37">
        <v>12.522202561186457</v>
      </c>
      <c r="Y76" s="38" t="s">
        <v>53</v>
      </c>
      <c r="Z76" s="36">
        <v>25.70236961083895</v>
      </c>
      <c r="AA76" s="37">
        <v>6.5456381386337554</v>
      </c>
      <c r="AB76" s="39" t="s">
        <v>53</v>
      </c>
    </row>
    <row r="77" spans="1:28" x14ac:dyDescent="0.25">
      <c r="A77" s="15" t="s">
        <v>190</v>
      </c>
      <c r="B77" s="36">
        <v>8.7884460025211002</v>
      </c>
      <c r="C77" s="37">
        <v>0.43858351153635072</v>
      </c>
      <c r="D77" s="38" t="s">
        <v>53</v>
      </c>
      <c r="E77" s="44">
        <v>448.23476010986792</v>
      </c>
      <c r="F77" s="37">
        <v>1.7298503962909231</v>
      </c>
      <c r="G77" s="38" t="s">
        <v>53</v>
      </c>
      <c r="H77" s="44">
        <v>452.36952479826272</v>
      </c>
      <c r="I77" s="37">
        <v>1.7982560813825137</v>
      </c>
      <c r="J77" s="38" t="s">
        <v>53</v>
      </c>
      <c r="K77" s="44">
        <v>451.14131453978729</v>
      </c>
      <c r="L77" s="37">
        <v>6.7910412059092469</v>
      </c>
      <c r="M77" s="38" t="s">
        <v>53</v>
      </c>
      <c r="N77" s="44">
        <v>432.88183096960148</v>
      </c>
      <c r="O77" s="37">
        <v>16.332418101630825</v>
      </c>
      <c r="P77" s="38" t="s">
        <v>53</v>
      </c>
      <c r="Q77" s="44">
        <v>457.02317280835661</v>
      </c>
      <c r="R77" s="37">
        <v>8.2877231919989605</v>
      </c>
      <c r="S77" s="38" t="s">
        <v>53</v>
      </c>
      <c r="T77" s="44">
        <v>-1.2282102584753767</v>
      </c>
      <c r="U77" s="37">
        <v>7.1728942911350684</v>
      </c>
      <c r="V77" s="38" t="s">
        <v>53</v>
      </c>
      <c r="W77" s="44">
        <v>-12.058513804634401</v>
      </c>
      <c r="X77" s="37">
        <v>7.0891688983722823</v>
      </c>
      <c r="Y77" s="38" t="s">
        <v>53</v>
      </c>
      <c r="Z77" s="36">
        <v>27.595489488114104</v>
      </c>
      <c r="AA77" s="37">
        <v>2.8654453684329022</v>
      </c>
      <c r="AB77" s="39" t="s">
        <v>53</v>
      </c>
    </row>
    <row r="78" spans="1:28" x14ac:dyDescent="0.25">
      <c r="A78" s="15" t="s">
        <v>191</v>
      </c>
      <c r="B78" s="36">
        <v>1.44652346304573</v>
      </c>
      <c r="C78" s="37">
        <v>0.16410339723422637</v>
      </c>
      <c r="D78" s="38" t="s">
        <v>53</v>
      </c>
      <c r="E78" s="44">
        <v>423.99296573788729</v>
      </c>
      <c r="F78" s="37">
        <v>2.4447523026874407</v>
      </c>
      <c r="G78" s="38" t="s">
        <v>53</v>
      </c>
      <c r="H78" s="44">
        <v>427.7633938859135</v>
      </c>
      <c r="I78" s="37">
        <v>2.3858587771142927</v>
      </c>
      <c r="J78" s="38" t="s">
        <v>53</v>
      </c>
      <c r="K78" s="44">
        <v>427.68437528918844</v>
      </c>
      <c r="L78" s="37">
        <v>13.789564617636124</v>
      </c>
      <c r="M78" s="38" t="s">
        <v>53</v>
      </c>
      <c r="N78" s="44">
        <v>432.64478190492667</v>
      </c>
      <c r="O78" s="37">
        <v>14.35181408846738</v>
      </c>
      <c r="P78" s="38" t="s">
        <v>53</v>
      </c>
      <c r="Q78" s="44" t="s">
        <v>56</v>
      </c>
      <c r="R78" s="37" t="s">
        <v>56</v>
      </c>
      <c r="S78" s="38" t="s">
        <v>53</v>
      </c>
      <c r="T78" s="44">
        <v>-7.9018596725059495E-2</v>
      </c>
      <c r="U78" s="37">
        <v>13.364462631112406</v>
      </c>
      <c r="V78" s="38" t="s">
        <v>53</v>
      </c>
      <c r="W78" s="44">
        <v>-14.225960292508262</v>
      </c>
      <c r="X78" s="37">
        <v>12.37533455703417</v>
      </c>
      <c r="Y78" s="38" t="s">
        <v>53</v>
      </c>
      <c r="Z78" s="36">
        <v>31.514961086371802</v>
      </c>
      <c r="AA78" s="37">
        <v>6.3532994607937159</v>
      </c>
      <c r="AB78" s="39" t="s">
        <v>53</v>
      </c>
    </row>
    <row r="79" spans="1:28" x14ac:dyDescent="0.25">
      <c r="A79" s="15" t="s">
        <v>192</v>
      </c>
      <c r="B79" s="36">
        <v>5.7995230908142004</v>
      </c>
      <c r="C79" s="37">
        <v>0.29347800153195563</v>
      </c>
      <c r="D79" s="38" t="s">
        <v>53</v>
      </c>
      <c r="E79" s="44">
        <v>421.05757319802069</v>
      </c>
      <c r="F79" s="37">
        <v>1.0549402601205202</v>
      </c>
      <c r="G79" s="38" t="s">
        <v>53</v>
      </c>
      <c r="H79" s="44">
        <v>421.64205199624257</v>
      </c>
      <c r="I79" s="37">
        <v>1.1408298324670065</v>
      </c>
      <c r="J79" s="38" t="s">
        <v>53</v>
      </c>
      <c r="K79" s="44">
        <v>429.2342547374314</v>
      </c>
      <c r="L79" s="37">
        <v>4.4804415560226198</v>
      </c>
      <c r="M79" s="38" t="s">
        <v>53</v>
      </c>
      <c r="N79" s="44">
        <v>438.04873830924254</v>
      </c>
      <c r="O79" s="37">
        <v>6.5046436670247481</v>
      </c>
      <c r="P79" s="38" t="s">
        <v>53</v>
      </c>
      <c r="Q79" s="44">
        <v>414.85002847852115</v>
      </c>
      <c r="R79" s="37">
        <v>6.5087538116046746</v>
      </c>
      <c r="S79" s="38" t="s">
        <v>53</v>
      </c>
      <c r="T79" s="44">
        <v>7.5922027411887534</v>
      </c>
      <c r="U79" s="37">
        <v>4.7121448014644498</v>
      </c>
      <c r="V79" s="38" t="s">
        <v>53</v>
      </c>
      <c r="W79" s="44">
        <v>-6.835075184775973</v>
      </c>
      <c r="X79" s="37">
        <v>4.184792677576807</v>
      </c>
      <c r="Y79" s="38" t="s">
        <v>53</v>
      </c>
      <c r="Z79" s="36">
        <v>29.638309513233231</v>
      </c>
      <c r="AA79" s="37">
        <v>2.511169984739551</v>
      </c>
      <c r="AB79" s="39" t="s">
        <v>53</v>
      </c>
    </row>
    <row r="80" spans="1:28" x14ac:dyDescent="0.25">
      <c r="A80" s="15" t="s">
        <v>193</v>
      </c>
      <c r="B80" s="36">
        <v>0.78286569411312001</v>
      </c>
      <c r="C80" s="37">
        <v>0.10751898920898106</v>
      </c>
      <c r="D80" s="38" t="s">
        <v>53</v>
      </c>
      <c r="E80" s="44">
        <v>359.3878862166863</v>
      </c>
      <c r="F80" s="37">
        <v>3.1261445659520315</v>
      </c>
      <c r="G80" s="38" t="s">
        <v>53</v>
      </c>
      <c r="H80" s="44">
        <v>361.02198956093025</v>
      </c>
      <c r="I80" s="37">
        <v>3.170090660135096</v>
      </c>
      <c r="J80" s="38" t="s">
        <v>53</v>
      </c>
      <c r="K80" s="44">
        <v>305.44217362035812</v>
      </c>
      <c r="L80" s="37">
        <v>10.957089669461165</v>
      </c>
      <c r="M80" s="38" t="s">
        <v>53</v>
      </c>
      <c r="N80" s="44" t="s">
        <v>56</v>
      </c>
      <c r="O80" s="37" t="s">
        <v>56</v>
      </c>
      <c r="P80" s="38" t="s">
        <v>53</v>
      </c>
      <c r="Q80" s="44" t="s">
        <v>56</v>
      </c>
      <c r="R80" s="37" t="s">
        <v>56</v>
      </c>
      <c r="S80" s="38" t="s">
        <v>53</v>
      </c>
      <c r="T80" s="44">
        <v>-55.579815940571898</v>
      </c>
      <c r="U80" s="37">
        <v>10.717501750485098</v>
      </c>
      <c r="V80" s="38" t="s">
        <v>53</v>
      </c>
      <c r="W80" s="44">
        <v>-54.771154473960593</v>
      </c>
      <c r="X80" s="37">
        <v>9.7205071371137457</v>
      </c>
      <c r="Y80" s="38" t="s">
        <v>53</v>
      </c>
      <c r="Z80" s="36">
        <v>7.5873752717253105</v>
      </c>
      <c r="AA80" s="37">
        <v>4.0463973879043866</v>
      </c>
      <c r="AB80" s="39" t="s">
        <v>53</v>
      </c>
    </row>
    <row r="81" spans="1:28" x14ac:dyDescent="0.25">
      <c r="A81" s="15" t="s">
        <v>194</v>
      </c>
      <c r="B81" s="36">
        <v>1.6242813171113197</v>
      </c>
      <c r="C81" s="37">
        <v>0.22955526457296968</v>
      </c>
      <c r="D81" s="38" t="s">
        <v>53</v>
      </c>
      <c r="E81" s="44">
        <v>392.66776940308341</v>
      </c>
      <c r="F81" s="37">
        <v>1.1040482297536116</v>
      </c>
      <c r="G81" s="38" t="s">
        <v>53</v>
      </c>
      <c r="H81" s="44">
        <v>396.75617104628009</v>
      </c>
      <c r="I81" s="37">
        <v>1.1890538913168109</v>
      </c>
      <c r="J81" s="38" t="s">
        <v>53</v>
      </c>
      <c r="K81" s="44">
        <v>369.17107689534146</v>
      </c>
      <c r="L81" s="37">
        <v>14.081824472013539</v>
      </c>
      <c r="M81" s="38" t="s">
        <v>53</v>
      </c>
      <c r="N81" s="44">
        <v>371.80556015614673</v>
      </c>
      <c r="O81" s="37">
        <v>17.188532540758807</v>
      </c>
      <c r="P81" s="38" t="s">
        <v>53</v>
      </c>
      <c r="Q81" s="44" t="s">
        <v>56</v>
      </c>
      <c r="R81" s="37" t="s">
        <v>56</v>
      </c>
      <c r="S81" s="38" t="s">
        <v>53</v>
      </c>
      <c r="T81" s="44">
        <v>-27.585094150938609</v>
      </c>
      <c r="U81" s="37">
        <v>14.376490021083155</v>
      </c>
      <c r="V81" s="38" t="s">
        <v>53</v>
      </c>
      <c r="W81" s="44">
        <v>-26.717691394502079</v>
      </c>
      <c r="X81" s="37">
        <v>12.128479954454201</v>
      </c>
      <c r="Y81" s="38" t="s">
        <v>53</v>
      </c>
      <c r="Z81" s="36">
        <v>18.739206324818454</v>
      </c>
      <c r="AA81" s="37">
        <v>6.5924632279811917</v>
      </c>
      <c r="AB81" s="39" t="s">
        <v>53</v>
      </c>
    </row>
    <row r="82" spans="1:28" x14ac:dyDescent="0.25">
      <c r="A82" s="15" t="s">
        <v>195</v>
      </c>
      <c r="B82" s="36">
        <v>5.9699964313614702</v>
      </c>
      <c r="C82" s="37">
        <v>0.73436898142229357</v>
      </c>
      <c r="D82" s="38" t="s">
        <v>53</v>
      </c>
      <c r="E82" s="44">
        <v>376.97131666197612</v>
      </c>
      <c r="F82" s="37">
        <v>2.9540306895980062</v>
      </c>
      <c r="G82" s="38" t="s">
        <v>53</v>
      </c>
      <c r="H82" s="44">
        <v>380.60278246434757</v>
      </c>
      <c r="I82" s="37">
        <v>2.8663696955680673</v>
      </c>
      <c r="J82" s="38" t="s">
        <v>53</v>
      </c>
      <c r="K82" s="44">
        <v>408.2546060456969</v>
      </c>
      <c r="L82" s="37">
        <v>10.073202278862624</v>
      </c>
      <c r="M82" s="38" t="s">
        <v>53</v>
      </c>
      <c r="N82" s="44">
        <v>374.91045325307778</v>
      </c>
      <c r="O82" s="37">
        <v>14.317951944789847</v>
      </c>
      <c r="P82" s="38" t="s">
        <v>53</v>
      </c>
      <c r="Q82" s="44">
        <v>426.1227369964202</v>
      </c>
      <c r="R82" s="37">
        <v>12.061511203826711</v>
      </c>
      <c r="S82" s="38" t="s">
        <v>53</v>
      </c>
      <c r="T82" s="44">
        <v>27.651823581349348</v>
      </c>
      <c r="U82" s="37">
        <v>9.4844056752891532</v>
      </c>
      <c r="V82" s="38" t="s">
        <v>53</v>
      </c>
      <c r="W82" s="44">
        <v>-11.901819979444891</v>
      </c>
      <c r="X82" s="37">
        <v>6.9993817139667378</v>
      </c>
      <c r="Y82" s="38" t="s">
        <v>53</v>
      </c>
      <c r="Z82" s="36">
        <v>41.356956775497856</v>
      </c>
      <c r="AA82" s="37">
        <v>4.9785857802869824</v>
      </c>
      <c r="AB82" s="39" t="s">
        <v>53</v>
      </c>
    </row>
    <row r="83" spans="1:28" x14ac:dyDescent="0.25">
      <c r="A83" s="15" t="s">
        <v>196</v>
      </c>
      <c r="B83" s="36">
        <v>0.49027879925130002</v>
      </c>
      <c r="C83" s="37">
        <v>9.9801677578820164E-2</v>
      </c>
      <c r="D83" s="38" t="s">
        <v>53</v>
      </c>
      <c r="E83" s="44">
        <v>400.51370593416982</v>
      </c>
      <c r="F83" s="37">
        <v>2.9626550884012524</v>
      </c>
      <c r="G83" s="38" t="s">
        <v>53</v>
      </c>
      <c r="H83" s="44">
        <v>402.57782218642313</v>
      </c>
      <c r="I83" s="37">
        <v>2.9410344407300428</v>
      </c>
      <c r="J83" s="38" t="s">
        <v>53</v>
      </c>
      <c r="K83" s="44" t="s">
        <v>56</v>
      </c>
      <c r="L83" s="37" t="s">
        <v>56</v>
      </c>
      <c r="M83" s="38" t="s">
        <v>53</v>
      </c>
      <c r="N83" s="44" t="s">
        <v>56</v>
      </c>
      <c r="O83" s="37" t="s">
        <v>56</v>
      </c>
      <c r="P83" s="38" t="s">
        <v>53</v>
      </c>
      <c r="Q83" s="44" t="s">
        <v>56</v>
      </c>
      <c r="R83" s="37" t="s">
        <v>56</v>
      </c>
      <c r="S83" s="38" t="s">
        <v>53</v>
      </c>
      <c r="T83" s="44" t="s">
        <v>56</v>
      </c>
      <c r="U83" s="37" t="s">
        <v>56</v>
      </c>
      <c r="V83" s="38" t="s">
        <v>53</v>
      </c>
      <c r="W83" s="44" t="s">
        <v>56</v>
      </c>
      <c r="X83" s="37" t="s">
        <v>56</v>
      </c>
      <c r="Y83" s="38" t="s">
        <v>53</v>
      </c>
      <c r="Z83" s="36" t="s">
        <v>55</v>
      </c>
      <c r="AA83" s="37" t="s">
        <v>55</v>
      </c>
      <c r="AB83" s="39" t="s">
        <v>53</v>
      </c>
    </row>
    <row r="84" spans="1:28" x14ac:dyDescent="0.25">
      <c r="A84" s="15" t="s">
        <v>197</v>
      </c>
      <c r="B84" s="36">
        <v>1.0367394553478</v>
      </c>
      <c r="C84" s="37">
        <v>0.15659271343211417</v>
      </c>
      <c r="D84" s="38" t="s">
        <v>53</v>
      </c>
      <c r="E84" s="44">
        <v>339.69158997901422</v>
      </c>
      <c r="F84" s="37">
        <v>3.289619243395852</v>
      </c>
      <c r="G84" s="38" t="s">
        <v>53</v>
      </c>
      <c r="H84" s="44">
        <v>343.75556295055151</v>
      </c>
      <c r="I84" s="37">
        <v>3.304952717601112</v>
      </c>
      <c r="J84" s="38" t="s">
        <v>53</v>
      </c>
      <c r="K84" s="44">
        <v>273.92828787391545</v>
      </c>
      <c r="L84" s="37">
        <v>12.807206015985596</v>
      </c>
      <c r="M84" s="38" t="s">
        <v>53</v>
      </c>
      <c r="N84" s="44" t="s">
        <v>56</v>
      </c>
      <c r="O84" s="37" t="s">
        <v>56</v>
      </c>
      <c r="P84" s="38" t="s">
        <v>53</v>
      </c>
      <c r="Q84" s="44">
        <v>260.67288289517063</v>
      </c>
      <c r="R84" s="37">
        <v>14.390066002563886</v>
      </c>
      <c r="S84" s="38" t="s">
        <v>53</v>
      </c>
      <c r="T84" s="44">
        <v>-69.827275076636099</v>
      </c>
      <c r="U84" s="37">
        <v>11.863799720945769</v>
      </c>
      <c r="V84" s="38" t="s">
        <v>53</v>
      </c>
      <c r="W84" s="44">
        <v>-64.19833124456936</v>
      </c>
      <c r="X84" s="37">
        <v>7.8058232131252412</v>
      </c>
      <c r="Y84" s="38" t="s">
        <v>53</v>
      </c>
      <c r="Z84" s="36">
        <v>11.874064412949721</v>
      </c>
      <c r="AA84" s="37">
        <v>5.5513738787104128</v>
      </c>
      <c r="AB84" s="39" t="s">
        <v>53</v>
      </c>
    </row>
    <row r="85" spans="1:28" x14ac:dyDescent="0.25">
      <c r="A85" s="15" t="s">
        <v>198</v>
      </c>
      <c r="B85" s="36">
        <v>56.805347904173566</v>
      </c>
      <c r="C85" s="37">
        <v>0.36922238395152129</v>
      </c>
      <c r="D85" s="38" t="s">
        <v>53</v>
      </c>
      <c r="E85" s="44">
        <v>407.09179209025712</v>
      </c>
      <c r="F85" s="37">
        <v>0.76875072835014302</v>
      </c>
      <c r="G85" s="38" t="s">
        <v>53</v>
      </c>
      <c r="H85" s="44">
        <v>368.38399381597105</v>
      </c>
      <c r="I85" s="37">
        <v>1.284457285628819</v>
      </c>
      <c r="J85" s="38" t="s">
        <v>53</v>
      </c>
      <c r="K85" s="44">
        <v>445.0821507880496</v>
      </c>
      <c r="L85" s="37">
        <v>1.1513848028363451</v>
      </c>
      <c r="M85" s="38" t="s">
        <v>53</v>
      </c>
      <c r="N85" s="44">
        <v>423.49362961028004</v>
      </c>
      <c r="O85" s="37">
        <v>2.5738376668052645</v>
      </c>
      <c r="P85" s="38" t="s">
        <v>53</v>
      </c>
      <c r="Q85" s="44">
        <v>454.28544035140715</v>
      </c>
      <c r="R85" s="37">
        <v>1.3872499056916412</v>
      </c>
      <c r="S85" s="38" t="s">
        <v>53</v>
      </c>
      <c r="T85" s="44">
        <v>76.69815697207892</v>
      </c>
      <c r="U85" s="37">
        <v>1.9147780829422414</v>
      </c>
      <c r="V85" s="38" t="s">
        <v>53</v>
      </c>
      <c r="W85" s="44">
        <v>63.263754833837169</v>
      </c>
      <c r="X85" s="37">
        <v>1.6494973507817765</v>
      </c>
      <c r="Y85" s="38" t="s">
        <v>53</v>
      </c>
      <c r="Z85" s="36">
        <v>36.441216422360959</v>
      </c>
      <c r="AA85" s="37">
        <v>0.50717688695407903</v>
      </c>
      <c r="AB85" s="39" t="s">
        <v>53</v>
      </c>
    </row>
    <row r="86" spans="1:28" x14ac:dyDescent="0.25">
      <c r="A86" s="15" t="s">
        <v>199</v>
      </c>
      <c r="B86" s="36">
        <v>0.78033112696899998</v>
      </c>
      <c r="C86" s="37">
        <v>0.17564163445411793</v>
      </c>
      <c r="D86" s="38" t="s">
        <v>54</v>
      </c>
      <c r="E86" s="44">
        <v>427.70314585064472</v>
      </c>
      <c r="F86" s="37">
        <v>5.1403766474893215</v>
      </c>
      <c r="G86" s="38" t="s">
        <v>53</v>
      </c>
      <c r="H86" s="44">
        <v>430.51287962997799</v>
      </c>
      <c r="I86" s="37">
        <v>5.3214738291316674</v>
      </c>
      <c r="J86" s="38" t="s">
        <v>53</v>
      </c>
      <c r="K86" s="44" t="s">
        <v>56</v>
      </c>
      <c r="L86" s="37" t="s">
        <v>56</v>
      </c>
      <c r="M86" s="38" t="s">
        <v>53</v>
      </c>
      <c r="N86" s="44" t="s">
        <v>56</v>
      </c>
      <c r="O86" s="37" t="s">
        <v>56</v>
      </c>
      <c r="P86" s="38" t="s">
        <v>53</v>
      </c>
      <c r="Q86" s="44" t="s">
        <v>56</v>
      </c>
      <c r="R86" s="37" t="s">
        <v>56</v>
      </c>
      <c r="S86" s="38" t="s">
        <v>53</v>
      </c>
      <c r="T86" s="44" t="s">
        <v>56</v>
      </c>
      <c r="U86" s="37" t="s">
        <v>56</v>
      </c>
      <c r="V86" s="38" t="s">
        <v>54</v>
      </c>
      <c r="W86" s="44" t="s">
        <v>56</v>
      </c>
      <c r="X86" s="37" t="s">
        <v>56</v>
      </c>
      <c r="Y86" s="38" t="s">
        <v>54</v>
      </c>
      <c r="Z86" s="36" t="s">
        <v>55</v>
      </c>
      <c r="AA86" s="37" t="s">
        <v>55</v>
      </c>
      <c r="AB86" s="39" t="s">
        <v>53</v>
      </c>
    </row>
    <row r="87" spans="1:28" x14ac:dyDescent="0.25">
      <c r="A87" s="15" t="s">
        <v>200</v>
      </c>
      <c r="B87" s="36">
        <v>5.7706009253634898</v>
      </c>
      <c r="C87" s="37">
        <v>0.30960017898992509</v>
      </c>
      <c r="D87" s="38" t="s">
        <v>53</v>
      </c>
      <c r="E87" s="44">
        <v>478.50193399494424</v>
      </c>
      <c r="F87" s="37">
        <v>3.0756873941827951</v>
      </c>
      <c r="G87" s="38" t="s">
        <v>53</v>
      </c>
      <c r="H87" s="44">
        <v>479.57449655602295</v>
      </c>
      <c r="I87" s="37">
        <v>3.0623485891692028</v>
      </c>
      <c r="J87" s="38" t="s">
        <v>53</v>
      </c>
      <c r="K87" s="44">
        <v>478.06718604904273</v>
      </c>
      <c r="L87" s="37">
        <v>6.3179402696418556</v>
      </c>
      <c r="M87" s="38" t="s">
        <v>53</v>
      </c>
      <c r="N87" s="44">
        <v>491.2308166143228</v>
      </c>
      <c r="O87" s="37">
        <v>6.9258360664271805</v>
      </c>
      <c r="P87" s="38" t="s">
        <v>53</v>
      </c>
      <c r="Q87" s="44">
        <v>457.0825139498192</v>
      </c>
      <c r="R87" s="37">
        <v>8.3590416135784373</v>
      </c>
      <c r="S87" s="38" t="s">
        <v>53</v>
      </c>
      <c r="T87" s="44">
        <v>-1.5073105069803223</v>
      </c>
      <c r="U87" s="37">
        <v>5.4039290524272552</v>
      </c>
      <c r="V87" s="38" t="s">
        <v>53</v>
      </c>
      <c r="W87" s="44">
        <v>-6.8714713933717029</v>
      </c>
      <c r="X87" s="37">
        <v>5.0631525214260469</v>
      </c>
      <c r="Y87" s="38" t="s">
        <v>53</v>
      </c>
      <c r="Z87" s="36">
        <v>25.841605311351245</v>
      </c>
      <c r="AA87" s="37">
        <v>2.8121622408315599</v>
      </c>
      <c r="AB87" s="39" t="s">
        <v>53</v>
      </c>
    </row>
    <row r="88" spans="1:28" x14ac:dyDescent="0.25">
      <c r="A88" s="15" t="s">
        <v>201</v>
      </c>
      <c r="B88" s="36">
        <v>11.867438614087</v>
      </c>
      <c r="C88" s="37">
        <v>1.0844814315091</v>
      </c>
      <c r="D88" s="38" t="s">
        <v>53</v>
      </c>
      <c r="E88" s="44">
        <v>399.15165857859211</v>
      </c>
      <c r="F88" s="37">
        <v>2.9594642973637537</v>
      </c>
      <c r="G88" s="38" t="s">
        <v>53</v>
      </c>
      <c r="H88" s="44">
        <v>399.74335397143011</v>
      </c>
      <c r="I88" s="37">
        <v>3.0516496135738338</v>
      </c>
      <c r="J88" s="38" t="s">
        <v>53</v>
      </c>
      <c r="K88" s="44">
        <v>435.60421735245865</v>
      </c>
      <c r="L88" s="37">
        <v>4.6590717937846318</v>
      </c>
      <c r="M88" s="38" t="s">
        <v>53</v>
      </c>
      <c r="N88" s="44">
        <v>434.80553292816387</v>
      </c>
      <c r="O88" s="37">
        <v>5.7025186729812694</v>
      </c>
      <c r="P88" s="38" t="s">
        <v>53</v>
      </c>
      <c r="Q88" s="44">
        <v>436.54390885352245</v>
      </c>
      <c r="R88" s="37">
        <v>6.2203051650972796</v>
      </c>
      <c r="S88" s="38" t="s">
        <v>53</v>
      </c>
      <c r="T88" s="44">
        <v>35.860863381028416</v>
      </c>
      <c r="U88" s="37">
        <v>5.3714075249220858</v>
      </c>
      <c r="V88" s="38" t="s">
        <v>53</v>
      </c>
      <c r="W88" s="44">
        <v>31.741801381508932</v>
      </c>
      <c r="X88" s="37">
        <v>4.3363678621681609</v>
      </c>
      <c r="Y88" s="38" t="s">
        <v>53</v>
      </c>
      <c r="Z88" s="36">
        <v>38.834332088626809</v>
      </c>
      <c r="AA88" s="37">
        <v>2.8285868947697987</v>
      </c>
      <c r="AB88" s="39" t="s">
        <v>53</v>
      </c>
    </row>
    <row r="89" spans="1:28" x14ac:dyDescent="0.25">
      <c r="A89" s="15" t="s">
        <v>202</v>
      </c>
      <c r="B89" s="36">
        <v>9.32128952538792</v>
      </c>
      <c r="C89" s="37">
        <v>0.41176693146583127</v>
      </c>
      <c r="D89" s="38" t="s">
        <v>53</v>
      </c>
      <c r="E89" s="44">
        <v>439.46634120605881</v>
      </c>
      <c r="F89" s="37">
        <v>3.2736101591296811</v>
      </c>
      <c r="G89" s="38" t="s">
        <v>53</v>
      </c>
      <c r="H89" s="44">
        <v>440.77873218522973</v>
      </c>
      <c r="I89" s="37">
        <v>3.1380342081762023</v>
      </c>
      <c r="J89" s="38" t="s">
        <v>53</v>
      </c>
      <c r="K89" s="44">
        <v>447.371415227922</v>
      </c>
      <c r="L89" s="37">
        <v>6.7971651987930368</v>
      </c>
      <c r="M89" s="38" t="s">
        <v>53</v>
      </c>
      <c r="N89" s="44">
        <v>447.14571763756567</v>
      </c>
      <c r="O89" s="37">
        <v>7.2970923364460676</v>
      </c>
      <c r="P89" s="38" t="s">
        <v>53</v>
      </c>
      <c r="Q89" s="44">
        <v>449.17239850393867</v>
      </c>
      <c r="R89" s="37">
        <v>13.530122051316448</v>
      </c>
      <c r="S89" s="38" t="s">
        <v>53</v>
      </c>
      <c r="T89" s="44">
        <v>6.5926830426922782</v>
      </c>
      <c r="U89" s="37">
        <v>6.3448160320395557</v>
      </c>
      <c r="V89" s="38" t="s">
        <v>53</v>
      </c>
      <c r="W89" s="44">
        <v>1.7038719242864773</v>
      </c>
      <c r="X89" s="37">
        <v>4.8341995176831274</v>
      </c>
      <c r="Y89" s="38" t="s">
        <v>53</v>
      </c>
      <c r="Z89" s="36">
        <v>26.93973855693848</v>
      </c>
      <c r="AA89" s="37">
        <v>2.8824062555541428</v>
      </c>
      <c r="AB89" s="39" t="s">
        <v>53</v>
      </c>
    </row>
    <row r="90" spans="1:28" x14ac:dyDescent="0.25">
      <c r="A90" s="15" t="s">
        <v>203</v>
      </c>
      <c r="B90" s="36">
        <v>24.818877754096949</v>
      </c>
      <c r="C90" s="37">
        <v>0.66661225468237328</v>
      </c>
      <c r="D90" s="38" t="s">
        <v>53</v>
      </c>
      <c r="E90" s="44">
        <v>549.46470779446076</v>
      </c>
      <c r="F90" s="37">
        <v>1.5872142620010428</v>
      </c>
      <c r="G90" s="38" t="s">
        <v>53</v>
      </c>
      <c r="H90" s="44">
        <v>545.9076379450288</v>
      </c>
      <c r="I90" s="37">
        <v>1.5127493141497477</v>
      </c>
      <c r="J90" s="38" t="s">
        <v>53</v>
      </c>
      <c r="K90" s="44">
        <v>564.86925218741635</v>
      </c>
      <c r="L90" s="37">
        <v>4.2816683302510512</v>
      </c>
      <c r="M90" s="38" t="s">
        <v>53</v>
      </c>
      <c r="N90" s="44">
        <v>586.79843287596725</v>
      </c>
      <c r="O90" s="37">
        <v>3.9899756412379763</v>
      </c>
      <c r="P90" s="38" t="s">
        <v>53</v>
      </c>
      <c r="Q90" s="44">
        <v>554.22293473288607</v>
      </c>
      <c r="R90" s="37">
        <v>6.0195204357421108</v>
      </c>
      <c r="S90" s="38" t="s">
        <v>53</v>
      </c>
      <c r="T90" s="44">
        <v>18.961614242387583</v>
      </c>
      <c r="U90" s="37">
        <v>4.4775998711501375</v>
      </c>
      <c r="V90" s="38" t="s">
        <v>53</v>
      </c>
      <c r="W90" s="44">
        <v>-9.0435477957325929</v>
      </c>
      <c r="X90" s="37">
        <v>4.1800364856589018</v>
      </c>
      <c r="Y90" s="38" t="s">
        <v>53</v>
      </c>
      <c r="Z90" s="36">
        <v>28.931963007845635</v>
      </c>
      <c r="AA90" s="37">
        <v>1.4736725464939318</v>
      </c>
      <c r="AB90" s="39" t="s">
        <v>53</v>
      </c>
    </row>
    <row r="91" spans="1:28" x14ac:dyDescent="0.25">
      <c r="A91" s="15" t="s">
        <v>204</v>
      </c>
      <c r="B91" s="36">
        <v>0.70330202002704001</v>
      </c>
      <c r="C91" s="37">
        <v>0.1735356080053608</v>
      </c>
      <c r="D91" s="38" t="s">
        <v>53</v>
      </c>
      <c r="E91" s="44">
        <v>502.60114690242108</v>
      </c>
      <c r="F91" s="37">
        <v>2.8384187251273278</v>
      </c>
      <c r="G91" s="38" t="s">
        <v>53</v>
      </c>
      <c r="H91" s="44">
        <v>504.48075940652717</v>
      </c>
      <c r="I91" s="37">
        <v>2.824697368988573</v>
      </c>
      <c r="J91" s="38" t="s">
        <v>53</v>
      </c>
      <c r="K91" s="44">
        <v>428.04487761685442</v>
      </c>
      <c r="L91" s="37">
        <v>49.080504143053027</v>
      </c>
      <c r="M91" s="38" t="s">
        <v>53</v>
      </c>
      <c r="N91" s="44" t="s">
        <v>56</v>
      </c>
      <c r="O91" s="37" t="s">
        <v>56</v>
      </c>
      <c r="P91" s="38" t="s">
        <v>53</v>
      </c>
      <c r="Q91" s="44" t="s">
        <v>56</v>
      </c>
      <c r="R91" s="37" t="s">
        <v>56</v>
      </c>
      <c r="S91" s="38" t="s">
        <v>53</v>
      </c>
      <c r="T91" s="44">
        <v>-76.435881789672564</v>
      </c>
      <c r="U91" s="37">
        <v>48.986274601104462</v>
      </c>
      <c r="V91" s="38" t="s">
        <v>53</v>
      </c>
      <c r="W91" s="44">
        <v>-82.071973968846365</v>
      </c>
      <c r="X91" s="37">
        <v>59.36615423749592</v>
      </c>
      <c r="Y91" s="38" t="s">
        <v>53</v>
      </c>
      <c r="Z91" s="36">
        <v>17.26947810800613</v>
      </c>
      <c r="AA91" s="37">
        <v>8.7634051664484449</v>
      </c>
      <c r="AB91" s="39" t="s">
        <v>53</v>
      </c>
    </row>
    <row r="92" spans="1:28" x14ac:dyDescent="0.25">
      <c r="A92" s="15" t="s">
        <v>205</v>
      </c>
      <c r="B92" s="36">
        <v>1.0713659373244</v>
      </c>
      <c r="C92" s="37">
        <v>0.43149317383496427</v>
      </c>
      <c r="D92" s="38" t="s">
        <v>53</v>
      </c>
      <c r="E92" s="44">
        <v>392.88864098808062</v>
      </c>
      <c r="F92" s="37">
        <v>3.2315830871040934</v>
      </c>
      <c r="G92" s="38" t="s">
        <v>53</v>
      </c>
      <c r="H92" s="44">
        <v>394.28246775835669</v>
      </c>
      <c r="I92" s="37">
        <v>3.2140320947391383</v>
      </c>
      <c r="J92" s="38" t="s">
        <v>53</v>
      </c>
      <c r="K92" s="44">
        <v>355.92352697187187</v>
      </c>
      <c r="L92" s="37">
        <v>20.012165176888651</v>
      </c>
      <c r="M92" s="38" t="s">
        <v>53</v>
      </c>
      <c r="N92" s="44">
        <v>347.91107392438232</v>
      </c>
      <c r="O92" s="37">
        <v>15.48936879171999</v>
      </c>
      <c r="P92" s="38" t="s">
        <v>53</v>
      </c>
      <c r="Q92" s="44" t="s">
        <v>56</v>
      </c>
      <c r="R92" s="37" t="s">
        <v>56</v>
      </c>
      <c r="S92" s="38" t="s">
        <v>53</v>
      </c>
      <c r="T92" s="44">
        <v>-38.358940786484787</v>
      </c>
      <c r="U92" s="37">
        <v>20.219318531639505</v>
      </c>
      <c r="V92" s="38" t="s">
        <v>53</v>
      </c>
      <c r="W92" s="44">
        <v>-1.7342109761341025</v>
      </c>
      <c r="X92" s="37">
        <v>22.859390240696701</v>
      </c>
      <c r="Y92" s="38" t="s">
        <v>53</v>
      </c>
      <c r="Z92" s="36">
        <v>17.444666583099849</v>
      </c>
      <c r="AA92" s="37">
        <v>7.7988744257511762</v>
      </c>
      <c r="AB92" s="39" t="s">
        <v>53</v>
      </c>
    </row>
    <row r="93" spans="1:28" x14ac:dyDescent="0.25">
      <c r="A93" s="15" t="s">
        <v>206</v>
      </c>
      <c r="B93" s="36">
        <v>2.3149360382116497</v>
      </c>
      <c r="C93" s="37">
        <v>0.2182451411281752</v>
      </c>
      <c r="D93" s="38" t="s">
        <v>53</v>
      </c>
      <c r="E93" s="44">
        <v>465.95014814029156</v>
      </c>
      <c r="F93" s="37">
        <v>3.4991248958448176</v>
      </c>
      <c r="G93" s="38" t="s">
        <v>53</v>
      </c>
      <c r="H93" s="44">
        <v>468.42008997705665</v>
      </c>
      <c r="I93" s="37">
        <v>3.3877760732677493</v>
      </c>
      <c r="J93" s="38" t="s">
        <v>53</v>
      </c>
      <c r="K93" s="44">
        <v>443.3318490664563</v>
      </c>
      <c r="L93" s="37">
        <v>9.9422310149511972</v>
      </c>
      <c r="M93" s="38" t="s">
        <v>53</v>
      </c>
      <c r="N93" s="44">
        <v>456.11045185048124</v>
      </c>
      <c r="O93" s="37">
        <v>11.744193668325314</v>
      </c>
      <c r="P93" s="38" t="s">
        <v>53</v>
      </c>
      <c r="Q93" s="44">
        <v>418.57642364839103</v>
      </c>
      <c r="R93" s="37">
        <v>18.676134518252013</v>
      </c>
      <c r="S93" s="38" t="s">
        <v>53</v>
      </c>
      <c r="T93" s="44">
        <v>-25.088240910600362</v>
      </c>
      <c r="U93" s="37">
        <v>8.7389968850064825</v>
      </c>
      <c r="V93" s="38" t="s">
        <v>53</v>
      </c>
      <c r="W93" s="44">
        <v>-24.696825622567857</v>
      </c>
      <c r="X93" s="37">
        <v>8.4111305651424058</v>
      </c>
      <c r="Y93" s="38" t="s">
        <v>53</v>
      </c>
      <c r="Z93" s="36">
        <v>15.257876840682966</v>
      </c>
      <c r="AA93" s="37">
        <v>3.9721090616063761</v>
      </c>
      <c r="AB93" s="39" t="s">
        <v>53</v>
      </c>
    </row>
    <row r="94" spans="1:28" x14ac:dyDescent="0.25">
      <c r="A94" s="15" t="s">
        <v>207</v>
      </c>
      <c r="B94" s="36">
        <v>55.781255228227387</v>
      </c>
      <c r="C94" s="37">
        <v>0.78306140903694166</v>
      </c>
      <c r="D94" s="38" t="s">
        <v>53</v>
      </c>
      <c r="E94" s="44">
        <v>431.78176943111998</v>
      </c>
      <c r="F94" s="37">
        <v>2.3022042105700575</v>
      </c>
      <c r="G94" s="38" t="s">
        <v>53</v>
      </c>
      <c r="H94" s="44">
        <v>385.84573114441508</v>
      </c>
      <c r="I94" s="37">
        <v>1.979488349641414</v>
      </c>
      <c r="J94" s="38" t="s">
        <v>53</v>
      </c>
      <c r="K94" s="44">
        <v>476.42608076078068</v>
      </c>
      <c r="L94" s="37">
        <v>2.6790803994020735</v>
      </c>
      <c r="M94" s="38" t="s">
        <v>53</v>
      </c>
      <c r="N94" s="44">
        <v>465.49699449563099</v>
      </c>
      <c r="O94" s="37">
        <v>2.6206931027071523</v>
      </c>
      <c r="P94" s="38" t="s">
        <v>53</v>
      </c>
      <c r="Q94" s="44">
        <v>484.11489108746929</v>
      </c>
      <c r="R94" s="37">
        <v>3.368600892314308</v>
      </c>
      <c r="S94" s="38" t="s">
        <v>53</v>
      </c>
      <c r="T94" s="44">
        <v>90.580349616365481</v>
      </c>
      <c r="U94" s="37">
        <v>2.8020153879996319</v>
      </c>
      <c r="V94" s="38" t="s">
        <v>53</v>
      </c>
      <c r="W94" s="44">
        <v>63.760489392552259</v>
      </c>
      <c r="X94" s="37">
        <v>2.5394027737711955</v>
      </c>
      <c r="Y94" s="38" t="s">
        <v>53</v>
      </c>
      <c r="Z94" s="36">
        <v>38.489016074192392</v>
      </c>
      <c r="AA94" s="37">
        <v>1.1992556412384263</v>
      </c>
      <c r="AB94" s="39" t="s">
        <v>53</v>
      </c>
    </row>
    <row r="95" spans="1:28" x14ac:dyDescent="0.25">
      <c r="A95" s="15" t="s">
        <v>208</v>
      </c>
      <c r="B95" s="36">
        <v>1.2698266694508</v>
      </c>
      <c r="C95" s="37">
        <v>0.18673082341050887</v>
      </c>
      <c r="D95" s="38" t="s">
        <v>53</v>
      </c>
      <c r="E95" s="44">
        <v>427.1176181983505</v>
      </c>
      <c r="F95" s="37">
        <v>2.7619914282729479</v>
      </c>
      <c r="G95" s="38" t="s">
        <v>53</v>
      </c>
      <c r="H95" s="44">
        <v>429.27142426035954</v>
      </c>
      <c r="I95" s="37">
        <v>2.7419177308025415</v>
      </c>
      <c r="J95" s="38" t="s">
        <v>53</v>
      </c>
      <c r="K95" s="44">
        <v>401.62482133364864</v>
      </c>
      <c r="L95" s="37">
        <v>18.605239628365535</v>
      </c>
      <c r="M95" s="38" t="s">
        <v>53</v>
      </c>
      <c r="N95" s="44">
        <v>398.9216399263251</v>
      </c>
      <c r="O95" s="37">
        <v>19.355802209286434</v>
      </c>
      <c r="P95" s="38" t="s">
        <v>53</v>
      </c>
      <c r="Q95" s="44">
        <v>404.26857077456964</v>
      </c>
      <c r="R95" s="37">
        <v>31.430368228680511</v>
      </c>
      <c r="S95" s="38" t="s">
        <v>53</v>
      </c>
      <c r="T95" s="44">
        <v>-27.646602926710724</v>
      </c>
      <c r="U95" s="37">
        <v>18.588080335812545</v>
      </c>
      <c r="V95" s="38" t="s">
        <v>53</v>
      </c>
      <c r="W95" s="44">
        <v>-42.483467194564497</v>
      </c>
      <c r="X95" s="37">
        <v>15.848073236255695</v>
      </c>
      <c r="Y95" s="38" t="s">
        <v>53</v>
      </c>
      <c r="Z95" s="36">
        <v>22.315872211218949</v>
      </c>
      <c r="AA95" s="37">
        <v>6.457100329036078</v>
      </c>
      <c r="AB95" s="39" t="s">
        <v>53</v>
      </c>
    </row>
    <row r="96" spans="1:28" ht="13.8" thickBot="1" x14ac:dyDescent="0.3">
      <c r="A96" s="18" t="s">
        <v>209</v>
      </c>
      <c r="B96" s="40">
        <v>6.2539118959410001E-2</v>
      </c>
      <c r="C96" s="41">
        <v>3.114434172733371E-2</v>
      </c>
      <c r="D96" s="42" t="s">
        <v>53</v>
      </c>
      <c r="E96" s="45" t="s">
        <v>55</v>
      </c>
      <c r="F96" s="41" t="s">
        <v>55</v>
      </c>
      <c r="G96" s="42" t="s">
        <v>53</v>
      </c>
      <c r="H96" s="45" t="s">
        <v>55</v>
      </c>
      <c r="I96" s="41" t="s">
        <v>55</v>
      </c>
      <c r="J96" s="42" t="s">
        <v>53</v>
      </c>
      <c r="K96" s="45" t="s">
        <v>55</v>
      </c>
      <c r="L96" s="41" t="s">
        <v>55</v>
      </c>
      <c r="M96" s="42" t="s">
        <v>53</v>
      </c>
      <c r="N96" s="45" t="s">
        <v>55</v>
      </c>
      <c r="O96" s="41" t="s">
        <v>55</v>
      </c>
      <c r="P96" s="42" t="s">
        <v>53</v>
      </c>
      <c r="Q96" s="45" t="s">
        <v>55</v>
      </c>
      <c r="R96" s="41" t="s">
        <v>55</v>
      </c>
      <c r="S96" s="42" t="s">
        <v>53</v>
      </c>
      <c r="T96" s="45" t="s">
        <v>55</v>
      </c>
      <c r="U96" s="41" t="s">
        <v>55</v>
      </c>
      <c r="V96" s="42" t="s">
        <v>53</v>
      </c>
      <c r="W96" s="45" t="s">
        <v>55</v>
      </c>
      <c r="X96" s="41" t="s">
        <v>55</v>
      </c>
      <c r="Y96" s="42" t="s">
        <v>53</v>
      </c>
      <c r="Z96" s="40" t="s">
        <v>55</v>
      </c>
      <c r="AA96" s="41" t="s">
        <v>55</v>
      </c>
      <c r="AB96" s="43" t="s">
        <v>53</v>
      </c>
    </row>
    <row r="97" spans="1:28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 spans="1:28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 spans="1:28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 spans="1:28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 spans="1:28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4" spans="1:28" x14ac:dyDescent="0.25">
      <c r="A104" t="s">
        <v>219</v>
      </c>
    </row>
    <row r="105" spans="1:28" x14ac:dyDescent="0.25">
      <c r="A105" s="33" t="s">
        <v>116</v>
      </c>
      <c r="B105" s="33"/>
      <c r="C105" s="33"/>
      <c r="D105" s="33"/>
    </row>
    <row r="106" spans="1:28" x14ac:dyDescent="0.25">
      <c r="A106" s="27" t="s">
        <v>25</v>
      </c>
    </row>
    <row r="107" spans="1:28" x14ac:dyDescent="0.25">
      <c r="A107" s="27" t="s">
        <v>96</v>
      </c>
    </row>
    <row r="108" spans="1:28" x14ac:dyDescent="0.25">
      <c r="A108" t="s">
        <v>78</v>
      </c>
    </row>
    <row r="109" spans="1:28" x14ac:dyDescent="0.25">
      <c r="A109" s="27" t="s">
        <v>212</v>
      </c>
    </row>
  </sheetData>
  <sortState ref="A10:AB91">
    <sortCondition ref="Z10:Z91"/>
  </sortState>
  <mergeCells count="12">
    <mergeCell ref="B12:D13"/>
    <mergeCell ref="Z13:AB13"/>
    <mergeCell ref="Z12:AB12"/>
    <mergeCell ref="H13:J13"/>
    <mergeCell ref="K13:M13"/>
    <mergeCell ref="N13:P13"/>
    <mergeCell ref="Q13:S13"/>
    <mergeCell ref="E12:S12"/>
    <mergeCell ref="E13:G13"/>
    <mergeCell ref="T12:Y12"/>
    <mergeCell ref="T13:V13"/>
    <mergeCell ref="W13:Y13"/>
  </mergeCells>
  <conditionalFormatting sqref="T17:T96 W17:W96">
    <cfRule type="expression" dxfId="17" priority="2">
      <formula>ABS(T17/U17)&gt;1.96</formula>
    </cfRule>
  </conditionalFormatting>
  <hyperlinks>
    <hyperlink ref="A1" r:id="rId1" display="https://doi.org/10.1787/b5fd1b8f-en"/>
    <hyperlink ref="A4" r:id="rId2"/>
  </hyperlinks>
  <pageMargins left="0.7" right="0.7" top="0.75" bottom="0.75" header="0.3" footer="0.3"/>
  <pageSetup paperSize="9" orientation="portrait"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8"/>
  <sheetViews>
    <sheetView showGridLines="0" zoomScale="80" zoomScaleNormal="80" workbookViewId="0"/>
  </sheetViews>
  <sheetFormatPr defaultRowHeight="13.2" x14ac:dyDescent="0.25"/>
  <cols>
    <col min="1" max="1" width="28.33203125" customWidth="1"/>
    <col min="2" max="3" width="9" customWidth="1"/>
    <col min="4" max="4" width="2.44140625" customWidth="1"/>
    <col min="5" max="6" width="9" customWidth="1"/>
    <col min="7" max="7" width="2.44140625" customWidth="1"/>
    <col min="8" max="9" width="9" customWidth="1"/>
    <col min="10" max="10" width="2.44140625" customWidth="1"/>
    <col min="11" max="12" width="9" customWidth="1"/>
    <col min="13" max="13" width="2.44140625" customWidth="1"/>
    <col min="14" max="15" width="9" customWidth="1"/>
    <col min="16" max="16" width="2.44140625" customWidth="1"/>
    <col min="17" max="18" width="9" customWidth="1"/>
    <col min="19" max="19" width="2.44140625" customWidth="1"/>
    <col min="20" max="21" width="9" customWidth="1"/>
    <col min="22" max="22" width="2.44140625" customWidth="1"/>
    <col min="23" max="24" width="9" customWidth="1"/>
    <col min="25" max="25" width="2.44140625" customWidth="1"/>
  </cols>
  <sheetData>
    <row r="1" spans="1:26" s="115" customFormat="1" x14ac:dyDescent="0.25">
      <c r="A1" s="116" t="s">
        <v>232</v>
      </c>
    </row>
    <row r="2" spans="1:26" s="115" customFormat="1" x14ac:dyDescent="0.25">
      <c r="A2" s="115" t="s">
        <v>233</v>
      </c>
      <c r="B2" s="115" t="s">
        <v>234</v>
      </c>
    </row>
    <row r="3" spans="1:26" s="115" customFormat="1" x14ac:dyDescent="0.25">
      <c r="A3" s="115" t="s">
        <v>235</v>
      </c>
    </row>
    <row r="4" spans="1:26" s="115" customFormat="1" x14ac:dyDescent="0.25">
      <c r="A4" s="116" t="s">
        <v>236</v>
      </c>
    </row>
    <row r="5" spans="1:26" s="115" customFormat="1" x14ac:dyDescent="0.25"/>
    <row r="6" spans="1:26" x14ac:dyDescent="0.25">
      <c r="A6" s="2" t="s">
        <v>120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S6" s="7"/>
      <c r="T6" s="1"/>
      <c r="Y6" s="1"/>
    </row>
    <row r="7" spans="1:26" x14ac:dyDescent="0.25">
      <c r="A7" s="6" t="s">
        <v>13</v>
      </c>
      <c r="B7" s="6"/>
      <c r="C7" s="2"/>
      <c r="D7" s="6"/>
      <c r="E7" s="6"/>
      <c r="F7" s="6"/>
      <c r="G7" s="6"/>
      <c r="H7" s="6"/>
      <c r="I7" s="2"/>
      <c r="J7" s="6"/>
      <c r="K7" s="6"/>
      <c r="L7" s="2"/>
      <c r="M7" s="6"/>
      <c r="N7" s="6"/>
      <c r="O7" s="6"/>
      <c r="P7" s="6"/>
      <c r="Q7" s="6"/>
      <c r="R7" s="6"/>
      <c r="T7" s="6"/>
      <c r="U7" s="6"/>
      <c r="V7" s="6"/>
      <c r="W7" s="6"/>
      <c r="X7" s="6"/>
      <c r="Y7" s="6"/>
    </row>
    <row r="8" spans="1:26" x14ac:dyDescent="0.25">
      <c r="A8" s="28" t="s">
        <v>27</v>
      </c>
      <c r="B8" s="7"/>
      <c r="C8" s="7"/>
      <c r="D8" s="7"/>
      <c r="E8" s="7"/>
      <c r="F8" s="7"/>
      <c r="G8" s="7"/>
      <c r="H8" s="7"/>
      <c r="J8" s="7"/>
      <c r="K8" s="7"/>
      <c r="L8" s="26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</row>
    <row r="9" spans="1:26" x14ac:dyDescent="0.25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</row>
    <row r="10" spans="1:26" x14ac:dyDescent="0.25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</row>
    <row r="11" spans="1:26" ht="13.8" thickBot="1" x14ac:dyDescent="0.3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6" ht="45" customHeight="1" x14ac:dyDescent="0.25">
      <c r="A12" s="8"/>
      <c r="B12" s="85" t="s">
        <v>8</v>
      </c>
      <c r="C12" s="86"/>
      <c r="D12" s="87"/>
      <c r="E12" s="83" t="s">
        <v>44</v>
      </c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7"/>
      <c r="S12" s="78"/>
      <c r="T12" s="96" t="s">
        <v>69</v>
      </c>
      <c r="U12" s="91"/>
      <c r="V12" s="91"/>
      <c r="W12" s="91"/>
      <c r="X12" s="91"/>
      <c r="Y12" s="92"/>
      <c r="Z12" s="21"/>
    </row>
    <row r="13" spans="1:26" ht="93" customHeight="1" x14ac:dyDescent="0.25">
      <c r="A13" s="9"/>
      <c r="B13" s="88"/>
      <c r="C13" s="89"/>
      <c r="D13" s="90"/>
      <c r="E13" s="82" t="s">
        <v>26</v>
      </c>
      <c r="F13" s="80"/>
      <c r="G13" s="81"/>
      <c r="H13" s="82" t="s">
        <v>5</v>
      </c>
      <c r="I13" s="80"/>
      <c r="J13" s="81"/>
      <c r="K13" s="82" t="s">
        <v>6</v>
      </c>
      <c r="L13" s="80"/>
      <c r="M13" s="81"/>
      <c r="N13" s="82" t="s">
        <v>47</v>
      </c>
      <c r="O13" s="80"/>
      <c r="P13" s="81"/>
      <c r="Q13" s="82" t="s">
        <v>48</v>
      </c>
      <c r="R13" s="80"/>
      <c r="S13" s="81"/>
      <c r="T13" s="82" t="s">
        <v>49</v>
      </c>
      <c r="U13" s="80"/>
      <c r="V13" s="81"/>
      <c r="W13" s="80" t="s">
        <v>50</v>
      </c>
      <c r="X13" s="80"/>
      <c r="Y13" s="84"/>
    </row>
    <row r="14" spans="1:26" ht="26.4" x14ac:dyDescent="0.25">
      <c r="A14" s="10"/>
      <c r="B14" s="11" t="s">
        <v>0</v>
      </c>
      <c r="C14" s="12" t="s">
        <v>1</v>
      </c>
      <c r="D14" s="13" t="s">
        <v>2</v>
      </c>
      <c r="E14" s="11" t="s">
        <v>0</v>
      </c>
      <c r="F14" s="12" t="s">
        <v>1</v>
      </c>
      <c r="G14" s="13" t="s">
        <v>2</v>
      </c>
      <c r="H14" s="11" t="s">
        <v>0</v>
      </c>
      <c r="I14" s="12" t="s">
        <v>1</v>
      </c>
      <c r="J14" s="13" t="s">
        <v>2</v>
      </c>
      <c r="K14" s="11" t="s">
        <v>0</v>
      </c>
      <c r="L14" s="12" t="s">
        <v>1</v>
      </c>
      <c r="M14" s="13" t="s">
        <v>2</v>
      </c>
      <c r="N14" s="11" t="s">
        <v>0</v>
      </c>
      <c r="O14" s="12" t="s">
        <v>1</v>
      </c>
      <c r="P14" s="13" t="s">
        <v>2</v>
      </c>
      <c r="Q14" s="11" t="s">
        <v>0</v>
      </c>
      <c r="R14" s="12" t="s">
        <v>1</v>
      </c>
      <c r="S14" s="13" t="s">
        <v>2</v>
      </c>
      <c r="T14" s="11" t="s">
        <v>14</v>
      </c>
      <c r="U14" s="12" t="s">
        <v>1</v>
      </c>
      <c r="V14" s="13" t="s">
        <v>2</v>
      </c>
      <c r="W14" s="11" t="s">
        <v>14</v>
      </c>
      <c r="X14" s="12" t="s">
        <v>1</v>
      </c>
      <c r="Y14" s="14" t="s">
        <v>2</v>
      </c>
    </row>
    <row r="15" spans="1:26" ht="13.5" customHeight="1" x14ac:dyDescent="0.25">
      <c r="A15" s="51" t="s">
        <v>210</v>
      </c>
      <c r="B15" s="52"/>
      <c r="C15" s="53"/>
      <c r="D15" s="54"/>
      <c r="E15" s="52"/>
      <c r="F15" s="53"/>
      <c r="G15" s="54"/>
      <c r="H15" s="52"/>
      <c r="I15" s="53"/>
      <c r="J15" s="54"/>
      <c r="K15" s="52"/>
      <c r="L15" s="53"/>
      <c r="M15" s="54"/>
      <c r="N15" s="55"/>
      <c r="O15" s="54"/>
      <c r="P15" s="54"/>
      <c r="Q15" s="55"/>
      <c r="R15" s="54"/>
      <c r="S15" s="54"/>
      <c r="T15" s="55"/>
      <c r="U15" s="54"/>
      <c r="V15" s="54"/>
      <c r="W15" s="55"/>
      <c r="X15" s="54"/>
      <c r="Y15" s="56"/>
    </row>
    <row r="16" spans="1:26" x14ac:dyDescent="0.25">
      <c r="A16" s="15" t="s">
        <v>130</v>
      </c>
      <c r="B16" s="36">
        <v>27.70876328155763</v>
      </c>
      <c r="C16" s="37">
        <v>0.84465675737519963</v>
      </c>
      <c r="D16" s="38" t="s">
        <v>53</v>
      </c>
      <c r="E16" s="36">
        <v>19.627388669878151</v>
      </c>
      <c r="F16" s="37">
        <v>0.49689005991598589</v>
      </c>
      <c r="G16" s="38" t="s">
        <v>53</v>
      </c>
      <c r="H16" s="36">
        <v>19.05872021638444</v>
      </c>
      <c r="I16" s="37">
        <v>0.6489838627441582</v>
      </c>
      <c r="J16" s="38" t="s">
        <v>53</v>
      </c>
      <c r="K16" s="36">
        <v>18.376227988765702</v>
      </c>
      <c r="L16" s="37">
        <v>0.94588800779940985</v>
      </c>
      <c r="M16" s="38" t="s">
        <v>53</v>
      </c>
      <c r="N16" s="36">
        <v>15.016953103091163</v>
      </c>
      <c r="O16" s="37">
        <v>1.3397405287684361</v>
      </c>
      <c r="P16" s="38" t="s">
        <v>53</v>
      </c>
      <c r="Q16" s="36">
        <v>21.581698016380756</v>
      </c>
      <c r="R16" s="37">
        <v>1.2749244456307749</v>
      </c>
      <c r="S16" s="38" t="s">
        <v>53</v>
      </c>
      <c r="T16" s="16">
        <v>0.95633854457570466</v>
      </c>
      <c r="U16" s="17">
        <v>7.4674582021918526E-2</v>
      </c>
      <c r="V16" s="38" t="s">
        <v>53</v>
      </c>
      <c r="W16" s="16">
        <v>0.94145002783934173</v>
      </c>
      <c r="X16" s="17">
        <v>7.3223799893406646E-2</v>
      </c>
      <c r="Y16" s="39" t="s">
        <v>53</v>
      </c>
    </row>
    <row r="17" spans="1:25" x14ac:dyDescent="0.25">
      <c r="A17" s="15" t="s">
        <v>131</v>
      </c>
      <c r="B17" s="36">
        <v>22.686235321470399</v>
      </c>
      <c r="C17" s="37">
        <v>1.1527352979062462</v>
      </c>
      <c r="D17" s="38" t="s">
        <v>53</v>
      </c>
      <c r="E17" s="36">
        <v>23.623262398892681</v>
      </c>
      <c r="F17" s="37">
        <v>1.0177296084888185</v>
      </c>
      <c r="G17" s="38" t="s">
        <v>53</v>
      </c>
      <c r="H17" s="36">
        <v>18.275692201273845</v>
      </c>
      <c r="I17" s="37">
        <v>0.92577672523723475</v>
      </c>
      <c r="J17" s="38" t="s">
        <v>53</v>
      </c>
      <c r="K17" s="36">
        <v>39.900603998617882</v>
      </c>
      <c r="L17" s="37">
        <v>2.2125510648010729</v>
      </c>
      <c r="M17" s="38" t="s">
        <v>53</v>
      </c>
      <c r="N17" s="36">
        <v>35.994021143076552</v>
      </c>
      <c r="O17" s="37">
        <v>2.3464851280841361</v>
      </c>
      <c r="P17" s="38" t="s">
        <v>53</v>
      </c>
      <c r="Q17" s="36">
        <v>47.354488967292305</v>
      </c>
      <c r="R17" s="37">
        <v>2.9515813954359387</v>
      </c>
      <c r="S17" s="38" t="s">
        <v>53</v>
      </c>
      <c r="T17" s="16">
        <v>2.9693805373798807</v>
      </c>
      <c r="U17" s="17">
        <v>0.31889027016223997</v>
      </c>
      <c r="V17" s="38" t="s">
        <v>53</v>
      </c>
      <c r="W17" s="16">
        <v>1.9740208859654911</v>
      </c>
      <c r="X17" s="17">
        <v>0.23619907691303402</v>
      </c>
      <c r="Y17" s="39" t="s">
        <v>53</v>
      </c>
    </row>
    <row r="18" spans="1:25" x14ac:dyDescent="0.25">
      <c r="A18" s="15" t="s">
        <v>132</v>
      </c>
      <c r="B18" s="36">
        <v>18.059454688726909</v>
      </c>
      <c r="C18" s="37">
        <v>0.85847510420573059</v>
      </c>
      <c r="D18" s="38" t="s">
        <v>53</v>
      </c>
      <c r="E18" s="36">
        <v>21.253462296272257</v>
      </c>
      <c r="F18" s="37">
        <v>0.88050964764470085</v>
      </c>
      <c r="G18" s="38" t="s">
        <v>53</v>
      </c>
      <c r="H18" s="36">
        <v>16.629454445735984</v>
      </c>
      <c r="I18" s="37">
        <v>0.86116091579995091</v>
      </c>
      <c r="J18" s="38" t="s">
        <v>53</v>
      </c>
      <c r="K18" s="36">
        <v>37.59082831227753</v>
      </c>
      <c r="L18" s="37">
        <v>1.9041932446662202</v>
      </c>
      <c r="M18" s="38" t="s">
        <v>53</v>
      </c>
      <c r="N18" s="36">
        <v>32.532243397874552</v>
      </c>
      <c r="O18" s="37">
        <v>2.1165318645681945</v>
      </c>
      <c r="P18" s="38" t="s">
        <v>53</v>
      </c>
      <c r="Q18" s="36">
        <v>44.205775194171103</v>
      </c>
      <c r="R18" s="37">
        <v>2.8444486699398817</v>
      </c>
      <c r="S18" s="38" t="s">
        <v>53</v>
      </c>
      <c r="T18" s="16">
        <v>3.020825720357406</v>
      </c>
      <c r="U18" s="17">
        <v>0.27174919841128536</v>
      </c>
      <c r="V18" s="38" t="s">
        <v>53</v>
      </c>
      <c r="W18" s="16">
        <v>1.5968658044632518</v>
      </c>
      <c r="X18" s="17">
        <v>0.19877522132189859</v>
      </c>
      <c r="Y18" s="39" t="s">
        <v>53</v>
      </c>
    </row>
    <row r="19" spans="1:25" x14ac:dyDescent="0.25">
      <c r="A19" s="15" t="s">
        <v>133</v>
      </c>
      <c r="B19" s="36">
        <v>34.969966286453818</v>
      </c>
      <c r="C19" s="37">
        <v>1.4227690605278804</v>
      </c>
      <c r="D19" s="38" t="s">
        <v>53</v>
      </c>
      <c r="E19" s="36">
        <v>13.750312347346746</v>
      </c>
      <c r="F19" s="37">
        <v>0.49377054208410276</v>
      </c>
      <c r="G19" s="38" t="s">
        <v>53</v>
      </c>
      <c r="H19" s="36">
        <v>12.171901122880419</v>
      </c>
      <c r="I19" s="37">
        <v>0.45534068666283373</v>
      </c>
      <c r="J19" s="38" t="s">
        <v>53</v>
      </c>
      <c r="K19" s="36">
        <v>13.983637765315205</v>
      </c>
      <c r="L19" s="37">
        <v>0.90315204337772759</v>
      </c>
      <c r="M19" s="38" t="s">
        <v>53</v>
      </c>
      <c r="N19" s="36">
        <v>10.11430490941107</v>
      </c>
      <c r="O19" s="37">
        <v>0.92000542815730191</v>
      </c>
      <c r="P19" s="38" t="s">
        <v>53</v>
      </c>
      <c r="Q19" s="36">
        <v>18.038361526853119</v>
      </c>
      <c r="R19" s="37">
        <v>1.2887076908132544</v>
      </c>
      <c r="S19" s="38" t="s">
        <v>53</v>
      </c>
      <c r="T19" s="16">
        <v>1.1733176199733386</v>
      </c>
      <c r="U19" s="17">
        <v>9.4246064556970044E-2</v>
      </c>
      <c r="V19" s="38" t="s">
        <v>53</v>
      </c>
      <c r="W19" s="16">
        <v>1.1049763315353454</v>
      </c>
      <c r="X19" s="17">
        <v>9.2266589412444783E-2</v>
      </c>
      <c r="Y19" s="39" t="s">
        <v>53</v>
      </c>
    </row>
    <row r="20" spans="1:25" x14ac:dyDescent="0.25">
      <c r="A20" s="15" t="s">
        <v>134</v>
      </c>
      <c r="B20" s="36">
        <v>3.3908614801180597</v>
      </c>
      <c r="C20" s="37">
        <v>0.38959486833610874</v>
      </c>
      <c r="D20" s="38" t="s">
        <v>53</v>
      </c>
      <c r="E20" s="36">
        <v>31.720951865084924</v>
      </c>
      <c r="F20" s="37">
        <v>1.1970505400608413</v>
      </c>
      <c r="G20" s="38" t="s">
        <v>53</v>
      </c>
      <c r="H20" s="36">
        <v>30.145426249938684</v>
      </c>
      <c r="I20" s="37">
        <v>1.2158611697393094</v>
      </c>
      <c r="J20" s="38" t="s">
        <v>53</v>
      </c>
      <c r="K20" s="36">
        <v>38.564992839114979</v>
      </c>
      <c r="L20" s="37">
        <v>4.5416232545232198</v>
      </c>
      <c r="M20" s="38" t="s">
        <v>53</v>
      </c>
      <c r="N20" s="36">
        <v>38.09134963245684</v>
      </c>
      <c r="O20" s="37">
        <v>8.8462989855147782</v>
      </c>
      <c r="P20" s="38" t="s">
        <v>53</v>
      </c>
      <c r="Q20" s="36">
        <v>38.68651057009334</v>
      </c>
      <c r="R20" s="37">
        <v>4.9364578691195513</v>
      </c>
      <c r="S20" s="38" t="s">
        <v>53</v>
      </c>
      <c r="T20" s="16">
        <v>1.4603874514603199</v>
      </c>
      <c r="U20" s="17">
        <v>0.27450598862116049</v>
      </c>
      <c r="V20" s="38" t="s">
        <v>53</v>
      </c>
      <c r="W20" s="16">
        <v>1.4261406584544833</v>
      </c>
      <c r="X20" s="17">
        <v>0.31722986907621969</v>
      </c>
      <c r="Y20" s="39" t="s">
        <v>53</v>
      </c>
    </row>
    <row r="21" spans="1:25" x14ac:dyDescent="0.25">
      <c r="A21" s="15" t="s">
        <v>135</v>
      </c>
      <c r="B21" s="36">
        <v>0.55659208363787993</v>
      </c>
      <c r="C21" s="37">
        <v>0.12058001255994841</v>
      </c>
      <c r="D21" s="38" t="s">
        <v>53</v>
      </c>
      <c r="E21" s="36">
        <v>49.903149380266981</v>
      </c>
      <c r="F21" s="37">
        <v>1.711593079748625</v>
      </c>
      <c r="G21" s="38" t="s">
        <v>53</v>
      </c>
      <c r="H21" s="36">
        <v>49.07561317885142</v>
      </c>
      <c r="I21" s="37">
        <v>1.7539480171122466</v>
      </c>
      <c r="J21" s="38" t="s">
        <v>53</v>
      </c>
      <c r="K21" s="36">
        <v>77.1162801670596</v>
      </c>
      <c r="L21" s="37">
        <v>7.0242448817681495</v>
      </c>
      <c r="M21" s="38" t="s">
        <v>53</v>
      </c>
      <c r="N21" s="36" t="s">
        <v>55</v>
      </c>
      <c r="O21" s="37" t="s">
        <v>55</v>
      </c>
      <c r="P21" s="38" t="s">
        <v>53</v>
      </c>
      <c r="Q21" s="36" t="s">
        <v>55</v>
      </c>
      <c r="R21" s="37" t="s">
        <v>55</v>
      </c>
      <c r="S21" s="38" t="s">
        <v>53</v>
      </c>
      <c r="T21" s="16">
        <v>3.6145969093541575</v>
      </c>
      <c r="U21" s="17">
        <v>1.8577844025721302</v>
      </c>
      <c r="V21" s="38" t="s">
        <v>53</v>
      </c>
      <c r="W21" s="16">
        <v>3.4521372995875583</v>
      </c>
      <c r="X21" s="17">
        <v>1.8618268719851052</v>
      </c>
      <c r="Y21" s="39" t="s">
        <v>53</v>
      </c>
    </row>
    <row r="22" spans="1:25" x14ac:dyDescent="0.25">
      <c r="A22" s="15" t="s">
        <v>136</v>
      </c>
      <c r="B22" s="36">
        <v>4.1464036037107297</v>
      </c>
      <c r="C22" s="37">
        <v>0.38608926670904103</v>
      </c>
      <c r="D22" s="38" t="s">
        <v>53</v>
      </c>
      <c r="E22" s="36">
        <v>20.740482802780829</v>
      </c>
      <c r="F22" s="37">
        <v>1.1172123725448404</v>
      </c>
      <c r="G22" s="38" t="s">
        <v>53</v>
      </c>
      <c r="H22" s="36">
        <v>19.769722483136686</v>
      </c>
      <c r="I22" s="37">
        <v>1.0783184940240227</v>
      </c>
      <c r="J22" s="38" t="s">
        <v>53</v>
      </c>
      <c r="K22" s="36">
        <v>37.689498760481683</v>
      </c>
      <c r="L22" s="37">
        <v>4.8292607755361097</v>
      </c>
      <c r="M22" s="38" t="s">
        <v>53</v>
      </c>
      <c r="N22" s="36">
        <v>30.722855678471419</v>
      </c>
      <c r="O22" s="37">
        <v>5.562817695828798</v>
      </c>
      <c r="P22" s="38" t="s">
        <v>53</v>
      </c>
      <c r="Q22" s="36">
        <v>44.376994893289123</v>
      </c>
      <c r="R22" s="37">
        <v>7.4911289284395997</v>
      </c>
      <c r="S22" s="38" t="s">
        <v>53</v>
      </c>
      <c r="T22" s="16">
        <v>2.4602468230919321</v>
      </c>
      <c r="U22" s="17">
        <v>0.50462217617069982</v>
      </c>
      <c r="V22" s="38" t="s">
        <v>53</v>
      </c>
      <c r="W22" s="16">
        <v>1.9538343380363359</v>
      </c>
      <c r="X22" s="17">
        <v>0.4726216520797023</v>
      </c>
      <c r="Y22" s="39" t="s">
        <v>53</v>
      </c>
    </row>
    <row r="23" spans="1:25" x14ac:dyDescent="0.25">
      <c r="A23" s="15" t="s">
        <v>137</v>
      </c>
      <c r="B23" s="36">
        <v>10.653250682536131</v>
      </c>
      <c r="C23" s="37">
        <v>0.438296984314206</v>
      </c>
      <c r="D23" s="38" t="s">
        <v>53</v>
      </c>
      <c r="E23" s="36">
        <v>15.99953368019753</v>
      </c>
      <c r="F23" s="37">
        <v>0.6840844317357504</v>
      </c>
      <c r="G23" s="38" t="s">
        <v>53</v>
      </c>
      <c r="H23" s="36">
        <v>13.262135189880262</v>
      </c>
      <c r="I23" s="37">
        <v>0.66268465520140418</v>
      </c>
      <c r="J23" s="38" t="s">
        <v>53</v>
      </c>
      <c r="K23" s="36">
        <v>35.34858683549664</v>
      </c>
      <c r="L23" s="37">
        <v>1.7865264321315835</v>
      </c>
      <c r="M23" s="38" t="s">
        <v>53</v>
      </c>
      <c r="N23" s="36">
        <v>34.559288925689259</v>
      </c>
      <c r="O23" s="37">
        <v>1.9768785135089777</v>
      </c>
      <c r="P23" s="38" t="s">
        <v>53</v>
      </c>
      <c r="Q23" s="36">
        <v>38.300630914826492</v>
      </c>
      <c r="R23" s="37">
        <v>4.3082241746999443</v>
      </c>
      <c r="S23" s="38" t="s">
        <v>53</v>
      </c>
      <c r="T23" s="16">
        <v>3.5770921225862118</v>
      </c>
      <c r="U23" s="17">
        <v>0.32586765275042834</v>
      </c>
      <c r="V23" s="38" t="s">
        <v>53</v>
      </c>
      <c r="W23" s="16">
        <v>2.0730059110703736</v>
      </c>
      <c r="X23" s="17">
        <v>0.22733596970182593</v>
      </c>
      <c r="Y23" s="39" t="s">
        <v>53</v>
      </c>
    </row>
    <row r="24" spans="1:25" x14ac:dyDescent="0.25">
      <c r="A24" s="15" t="s">
        <v>138</v>
      </c>
      <c r="B24" s="36">
        <v>10.392582509365699</v>
      </c>
      <c r="C24" s="37">
        <v>0.46505302845390067</v>
      </c>
      <c r="D24" s="38" t="s">
        <v>53</v>
      </c>
      <c r="E24" s="36">
        <v>11.054281425110727</v>
      </c>
      <c r="F24" s="37">
        <v>0.59368211736624243</v>
      </c>
      <c r="G24" s="38" t="s">
        <v>53</v>
      </c>
      <c r="H24" s="36">
        <v>9.9138735921260608</v>
      </c>
      <c r="I24" s="37">
        <v>0.60853261298224171</v>
      </c>
      <c r="J24" s="38" t="s">
        <v>53</v>
      </c>
      <c r="K24" s="36">
        <v>18.531069248826636</v>
      </c>
      <c r="L24" s="37">
        <v>2.1485121813782468</v>
      </c>
      <c r="M24" s="38" t="s">
        <v>53</v>
      </c>
      <c r="N24" s="36">
        <v>17.496248566528354</v>
      </c>
      <c r="O24" s="37">
        <v>2.2688754537033806</v>
      </c>
      <c r="P24" s="38" t="s">
        <v>53</v>
      </c>
      <c r="Q24" s="36">
        <v>31.909876022990669</v>
      </c>
      <c r="R24" s="37">
        <v>7.6420313643743105</v>
      </c>
      <c r="S24" s="38" t="s">
        <v>53</v>
      </c>
      <c r="T24" s="16">
        <v>2.0697569301632086</v>
      </c>
      <c r="U24" s="17">
        <v>0.3317988241467773</v>
      </c>
      <c r="V24" s="38" t="s">
        <v>53</v>
      </c>
      <c r="W24" s="16">
        <v>2.0170150697252147</v>
      </c>
      <c r="X24" s="17">
        <v>0.33808752944505421</v>
      </c>
      <c r="Y24" s="39" t="s">
        <v>53</v>
      </c>
    </row>
    <row r="25" spans="1:25" x14ac:dyDescent="0.25">
      <c r="A25" s="15" t="s">
        <v>139</v>
      </c>
      <c r="B25" s="36">
        <v>5.7757806421643902</v>
      </c>
      <c r="C25" s="37">
        <v>0.47656616025151088</v>
      </c>
      <c r="D25" s="38" t="s">
        <v>53</v>
      </c>
      <c r="E25" s="36">
        <v>13.544526316949831</v>
      </c>
      <c r="F25" s="37">
        <v>0.71193746174060091</v>
      </c>
      <c r="G25" s="38" t="s">
        <v>53</v>
      </c>
      <c r="H25" s="36">
        <v>11.204787268526998</v>
      </c>
      <c r="I25" s="37">
        <v>0.60369399577923943</v>
      </c>
      <c r="J25" s="38" t="s">
        <v>53</v>
      </c>
      <c r="K25" s="36">
        <v>39.871782639747607</v>
      </c>
      <c r="L25" s="37">
        <v>3.9035261938861212</v>
      </c>
      <c r="M25" s="38" t="s">
        <v>53</v>
      </c>
      <c r="N25" s="36">
        <v>32.838801682609223</v>
      </c>
      <c r="O25" s="37">
        <v>5.1251409535419254</v>
      </c>
      <c r="P25" s="38" t="s">
        <v>53</v>
      </c>
      <c r="Q25" s="36">
        <v>45.066166796917692</v>
      </c>
      <c r="R25" s="37">
        <v>4.503502706663209</v>
      </c>
      <c r="S25" s="38" t="s">
        <v>53</v>
      </c>
      <c r="T25" s="16">
        <v>5.2645112677413399</v>
      </c>
      <c r="U25" s="17">
        <v>0.87322863167700271</v>
      </c>
      <c r="V25" s="38" t="s">
        <v>53</v>
      </c>
      <c r="W25" s="16">
        <v>4.6357462000314058</v>
      </c>
      <c r="X25" s="17">
        <v>0.86384964896080385</v>
      </c>
      <c r="Y25" s="39" t="s">
        <v>53</v>
      </c>
    </row>
    <row r="26" spans="1:25" x14ac:dyDescent="0.25">
      <c r="A26" s="15" t="s">
        <v>140</v>
      </c>
      <c r="B26" s="36">
        <v>14.292398074125421</v>
      </c>
      <c r="C26" s="37">
        <v>0.93597142687811641</v>
      </c>
      <c r="D26" s="38" t="s">
        <v>53</v>
      </c>
      <c r="E26" s="36">
        <v>20.937250005818775</v>
      </c>
      <c r="F26" s="37">
        <v>0.74442561654976069</v>
      </c>
      <c r="G26" s="38" t="s">
        <v>53</v>
      </c>
      <c r="H26" s="36">
        <v>17.968072464062562</v>
      </c>
      <c r="I26" s="37">
        <v>0.92780096193570971</v>
      </c>
      <c r="J26" s="38" t="s">
        <v>53</v>
      </c>
      <c r="K26" s="36">
        <v>34.955570228771997</v>
      </c>
      <c r="L26" s="37">
        <v>2.3757278301811762</v>
      </c>
      <c r="M26" s="38" t="s">
        <v>53</v>
      </c>
      <c r="N26" s="36">
        <v>30.279551247287902</v>
      </c>
      <c r="O26" s="37">
        <v>2.5183856952112089</v>
      </c>
      <c r="P26" s="38" t="s">
        <v>53</v>
      </c>
      <c r="Q26" s="36">
        <v>44.542126905625594</v>
      </c>
      <c r="R26" s="37">
        <v>3.5812522837231056</v>
      </c>
      <c r="S26" s="38" t="s">
        <v>53</v>
      </c>
      <c r="T26" s="16">
        <v>2.4545149144581417</v>
      </c>
      <c r="U26" s="17">
        <v>0.3356934664295636</v>
      </c>
      <c r="V26" s="38" t="s">
        <v>53</v>
      </c>
      <c r="W26" s="16">
        <v>1.2732359171497347</v>
      </c>
      <c r="X26" s="17">
        <v>0.19992216368555668</v>
      </c>
      <c r="Y26" s="39" t="s">
        <v>53</v>
      </c>
    </row>
    <row r="27" spans="1:25" x14ac:dyDescent="0.25">
      <c r="A27" s="15" t="s">
        <v>141</v>
      </c>
      <c r="B27" s="36">
        <v>22.168807967597882</v>
      </c>
      <c r="C27" s="37">
        <v>1.1487898067601798</v>
      </c>
      <c r="D27" s="38" t="s">
        <v>53</v>
      </c>
      <c r="E27" s="36">
        <v>20.685094923444481</v>
      </c>
      <c r="F27" s="37">
        <v>1.0533616567039772</v>
      </c>
      <c r="G27" s="38" t="s">
        <v>53</v>
      </c>
      <c r="H27" s="36">
        <v>14.327245945516797</v>
      </c>
      <c r="I27" s="37">
        <v>1.0390999171604764</v>
      </c>
      <c r="J27" s="38" t="s">
        <v>53</v>
      </c>
      <c r="K27" s="36">
        <v>35.534285244103827</v>
      </c>
      <c r="L27" s="37">
        <v>2.5318602622467639</v>
      </c>
      <c r="M27" s="38" t="s">
        <v>53</v>
      </c>
      <c r="N27" s="36">
        <v>27.651565401789195</v>
      </c>
      <c r="O27" s="37">
        <v>2.5137479973768682</v>
      </c>
      <c r="P27" s="38" t="s">
        <v>53</v>
      </c>
      <c r="Q27" s="36">
        <v>54.691662892849124</v>
      </c>
      <c r="R27" s="37">
        <v>4.8192936551456071</v>
      </c>
      <c r="S27" s="38" t="s">
        <v>53</v>
      </c>
      <c r="T27" s="16">
        <v>3.2988763876515139</v>
      </c>
      <c r="U27" s="17">
        <v>0.41550298989517614</v>
      </c>
      <c r="V27" s="38" t="s">
        <v>53</v>
      </c>
      <c r="W27" s="16">
        <v>1.7306615227733655</v>
      </c>
      <c r="X27" s="17">
        <v>0.26396557597868792</v>
      </c>
      <c r="Y27" s="39" t="s">
        <v>53</v>
      </c>
    </row>
    <row r="28" spans="1:25" x14ac:dyDescent="0.25">
      <c r="A28" s="15" t="s">
        <v>142</v>
      </c>
      <c r="B28" s="36">
        <v>11.69610290505079</v>
      </c>
      <c r="C28" s="37">
        <v>0.66265154560738204</v>
      </c>
      <c r="D28" s="38" t="s">
        <v>53</v>
      </c>
      <c r="E28" s="36">
        <v>30.515796367752152</v>
      </c>
      <c r="F28" s="37">
        <v>1.5099751056758144</v>
      </c>
      <c r="G28" s="38" t="s">
        <v>53</v>
      </c>
      <c r="H28" s="36">
        <v>27.401970362597499</v>
      </c>
      <c r="I28" s="37">
        <v>1.4104557979267875</v>
      </c>
      <c r="J28" s="38" t="s">
        <v>53</v>
      </c>
      <c r="K28" s="36">
        <v>48.338951216587205</v>
      </c>
      <c r="L28" s="37">
        <v>2.9963014344751056</v>
      </c>
      <c r="M28" s="38" t="s">
        <v>53</v>
      </c>
      <c r="N28" s="36">
        <v>44.799568586004376</v>
      </c>
      <c r="O28" s="37">
        <v>3.5649693075664679</v>
      </c>
      <c r="P28" s="38" t="s">
        <v>53</v>
      </c>
      <c r="Q28" s="36">
        <v>57.931073777360844</v>
      </c>
      <c r="R28" s="37">
        <v>4.9735336645653989</v>
      </c>
      <c r="S28" s="38" t="s">
        <v>53</v>
      </c>
      <c r="T28" s="16">
        <v>2.4804377728808418</v>
      </c>
      <c r="U28" s="17">
        <v>0.26971728251022281</v>
      </c>
      <c r="V28" s="38" t="s">
        <v>53</v>
      </c>
      <c r="W28" s="16">
        <v>1.5900793856457911</v>
      </c>
      <c r="X28" s="17">
        <v>0.20880260920426219</v>
      </c>
      <c r="Y28" s="39" t="s">
        <v>53</v>
      </c>
    </row>
    <row r="29" spans="1:25" x14ac:dyDescent="0.25">
      <c r="A29" s="15" t="s">
        <v>143</v>
      </c>
      <c r="B29" s="36">
        <v>2.5521960850758401</v>
      </c>
      <c r="C29" s="37">
        <v>0.30831545416996642</v>
      </c>
      <c r="D29" s="38" t="s">
        <v>53</v>
      </c>
      <c r="E29" s="36">
        <v>25.273944150848383</v>
      </c>
      <c r="F29" s="37">
        <v>0.90917235934193874</v>
      </c>
      <c r="G29" s="38" t="s">
        <v>53</v>
      </c>
      <c r="H29" s="36">
        <v>25.025533435243076</v>
      </c>
      <c r="I29" s="37">
        <v>0.91136968711591704</v>
      </c>
      <c r="J29" s="38" t="s">
        <v>53</v>
      </c>
      <c r="K29" s="36">
        <v>19.330845617821772</v>
      </c>
      <c r="L29" s="37">
        <v>4.661728796136094</v>
      </c>
      <c r="M29" s="38" t="s">
        <v>53</v>
      </c>
      <c r="N29" s="36">
        <v>13.206010132457703</v>
      </c>
      <c r="O29" s="37">
        <v>4.51860782787739</v>
      </c>
      <c r="P29" s="38" t="s">
        <v>53</v>
      </c>
      <c r="Q29" s="36">
        <v>25.7835851251889</v>
      </c>
      <c r="R29" s="37">
        <v>8.615782745465129</v>
      </c>
      <c r="S29" s="38" t="s">
        <v>53</v>
      </c>
      <c r="T29" s="16">
        <v>0.71982385445423569</v>
      </c>
      <c r="U29" s="17">
        <v>0.21145771756567699</v>
      </c>
      <c r="V29" s="38" t="s">
        <v>53</v>
      </c>
      <c r="W29" s="16">
        <v>1.2156398122131851</v>
      </c>
      <c r="X29" s="17">
        <v>0.4660095659818615</v>
      </c>
      <c r="Y29" s="39" t="s">
        <v>53</v>
      </c>
    </row>
    <row r="30" spans="1:25" x14ac:dyDescent="0.25">
      <c r="A30" s="15" t="s">
        <v>144</v>
      </c>
      <c r="B30" s="36">
        <v>5.5922790641216604</v>
      </c>
      <c r="C30" s="37">
        <v>0.40139673553959726</v>
      </c>
      <c r="D30" s="38" t="s">
        <v>53</v>
      </c>
      <c r="E30" s="36">
        <v>26.355899451283797</v>
      </c>
      <c r="F30" s="37">
        <v>0.86142487948661639</v>
      </c>
      <c r="G30" s="38" t="s">
        <v>53</v>
      </c>
      <c r="H30" s="36">
        <v>23.913967187243223</v>
      </c>
      <c r="I30" s="37">
        <v>0.86748807428865082</v>
      </c>
      <c r="J30" s="38" t="s">
        <v>53</v>
      </c>
      <c r="K30" s="36">
        <v>51.186766562088067</v>
      </c>
      <c r="L30" s="37">
        <v>4.0712517783554523</v>
      </c>
      <c r="M30" s="38" t="s">
        <v>53</v>
      </c>
      <c r="N30" s="36">
        <v>51.410543255811568</v>
      </c>
      <c r="O30" s="37">
        <v>6.3506123103885512</v>
      </c>
      <c r="P30" s="38" t="s">
        <v>53</v>
      </c>
      <c r="Q30" s="36">
        <v>51.007791547857153</v>
      </c>
      <c r="R30" s="37">
        <v>4.9779403942868417</v>
      </c>
      <c r="S30" s="38" t="s">
        <v>53</v>
      </c>
      <c r="T30" s="16">
        <v>3.3421701414718754</v>
      </c>
      <c r="U30" s="17">
        <v>0.56937302356174968</v>
      </c>
      <c r="V30" s="38" t="s">
        <v>53</v>
      </c>
      <c r="W30" s="16">
        <v>2.708810612077885</v>
      </c>
      <c r="X30" s="17">
        <v>0.52133534146776306</v>
      </c>
      <c r="Y30" s="39" t="s">
        <v>53</v>
      </c>
    </row>
    <row r="31" spans="1:25" x14ac:dyDescent="0.25">
      <c r="A31" s="15" t="s">
        <v>145</v>
      </c>
      <c r="B31" s="36">
        <v>17.860838929942929</v>
      </c>
      <c r="C31" s="37">
        <v>0.91486176844457701</v>
      </c>
      <c r="D31" s="38" t="s">
        <v>53</v>
      </c>
      <c r="E31" s="36">
        <v>11.799349336312202</v>
      </c>
      <c r="F31" s="37">
        <v>0.66913411068461859</v>
      </c>
      <c r="G31" s="38" t="s">
        <v>53</v>
      </c>
      <c r="H31" s="36">
        <v>10.851519620123284</v>
      </c>
      <c r="I31" s="37">
        <v>0.6533151006782385</v>
      </c>
      <c r="J31" s="38" t="s">
        <v>53</v>
      </c>
      <c r="K31" s="36">
        <v>13.778554577782195</v>
      </c>
      <c r="L31" s="37">
        <v>1.3382663680045972</v>
      </c>
      <c r="M31" s="38" t="s">
        <v>53</v>
      </c>
      <c r="N31" s="36">
        <v>15.208493967575887</v>
      </c>
      <c r="O31" s="37">
        <v>2.0859864524667362</v>
      </c>
      <c r="P31" s="38" t="s">
        <v>53</v>
      </c>
      <c r="Q31" s="36">
        <v>12.606732551864203</v>
      </c>
      <c r="R31" s="37">
        <v>1.7427275360293271</v>
      </c>
      <c r="S31" s="38" t="s">
        <v>53</v>
      </c>
      <c r="T31" s="16">
        <v>1.3128376395809385</v>
      </c>
      <c r="U31" s="17">
        <v>0.15397205135973219</v>
      </c>
      <c r="V31" s="38" t="s">
        <v>53</v>
      </c>
      <c r="W31" s="16">
        <v>1.2118163146054575</v>
      </c>
      <c r="X31" s="17">
        <v>0.15196770186477046</v>
      </c>
      <c r="Y31" s="39" t="s">
        <v>53</v>
      </c>
    </row>
    <row r="32" spans="1:25" x14ac:dyDescent="0.25">
      <c r="A32" s="15" t="s">
        <v>146</v>
      </c>
      <c r="B32" s="36">
        <v>16.416253414977149</v>
      </c>
      <c r="C32" s="37">
        <v>1.0738364165803722</v>
      </c>
      <c r="D32" s="38" t="s">
        <v>53</v>
      </c>
      <c r="E32" s="36">
        <v>31.062113835433397</v>
      </c>
      <c r="F32" s="37">
        <v>1.3024956743424925</v>
      </c>
      <c r="G32" s="38" t="s">
        <v>53</v>
      </c>
      <c r="H32" s="36">
        <v>28.20303848245733</v>
      </c>
      <c r="I32" s="37">
        <v>1.3181491097705178</v>
      </c>
      <c r="J32" s="38" t="s">
        <v>53</v>
      </c>
      <c r="K32" s="36">
        <v>29.544976158051135</v>
      </c>
      <c r="L32" s="37">
        <v>2.1951571117984616</v>
      </c>
      <c r="M32" s="38" t="s">
        <v>53</v>
      </c>
      <c r="N32" s="36">
        <v>21.962096007551359</v>
      </c>
      <c r="O32" s="37">
        <v>2.014554996354311</v>
      </c>
      <c r="P32" s="38" t="s">
        <v>53</v>
      </c>
      <c r="Q32" s="36">
        <v>53.183004490675877</v>
      </c>
      <c r="R32" s="37">
        <v>3.9556030187136706</v>
      </c>
      <c r="S32" s="38" t="s">
        <v>53</v>
      </c>
      <c r="T32" s="16">
        <v>1.0678267756324109</v>
      </c>
      <c r="U32" s="17">
        <v>0.11406046265705741</v>
      </c>
      <c r="V32" s="38" t="s">
        <v>53</v>
      </c>
      <c r="W32" s="16">
        <v>0.7905512081401781</v>
      </c>
      <c r="X32" s="17">
        <v>9.7584303425831395E-2</v>
      </c>
      <c r="Y32" s="39" t="s">
        <v>53</v>
      </c>
    </row>
    <row r="33" spans="1:25" x14ac:dyDescent="0.25">
      <c r="A33" s="15" t="s">
        <v>147</v>
      </c>
      <c r="B33" s="36">
        <v>10.025087167799541</v>
      </c>
      <c r="C33" s="37">
        <v>0.4917084931015509</v>
      </c>
      <c r="D33" s="38" t="s">
        <v>53</v>
      </c>
      <c r="E33" s="36">
        <v>23.267172542692073</v>
      </c>
      <c r="F33" s="37">
        <v>0.96900308202994934</v>
      </c>
      <c r="G33" s="38" t="s">
        <v>53</v>
      </c>
      <c r="H33" s="36">
        <v>21.006760705930727</v>
      </c>
      <c r="I33" s="37">
        <v>1.0012391077053202</v>
      </c>
      <c r="J33" s="38" t="s">
        <v>53</v>
      </c>
      <c r="K33" s="36">
        <v>36.609242638171516</v>
      </c>
      <c r="L33" s="37">
        <v>2.7269351042153454</v>
      </c>
      <c r="M33" s="38" t="s">
        <v>53</v>
      </c>
      <c r="N33" s="36">
        <v>33.944194503707635</v>
      </c>
      <c r="O33" s="37">
        <v>3.349351659972339</v>
      </c>
      <c r="P33" s="38" t="s">
        <v>53</v>
      </c>
      <c r="Q33" s="36">
        <v>39.79776679350698</v>
      </c>
      <c r="R33" s="37">
        <v>4.0774504613027318</v>
      </c>
      <c r="S33" s="38" t="s">
        <v>53</v>
      </c>
      <c r="T33" s="16">
        <v>2.1752783727748892</v>
      </c>
      <c r="U33" s="17">
        <v>0.28214019380233346</v>
      </c>
      <c r="V33" s="38" t="s">
        <v>53</v>
      </c>
      <c r="W33" s="16">
        <v>1.6893255913362273</v>
      </c>
      <c r="X33" s="17">
        <v>0.24233348802837268</v>
      </c>
      <c r="Y33" s="39" t="s">
        <v>53</v>
      </c>
    </row>
    <row r="34" spans="1:25" x14ac:dyDescent="0.25">
      <c r="A34" s="15" t="s">
        <v>148</v>
      </c>
      <c r="B34" s="36">
        <v>0.62269075696213994</v>
      </c>
      <c r="C34" s="37">
        <v>0.13447373995918133</v>
      </c>
      <c r="D34" s="38" t="s">
        <v>53</v>
      </c>
      <c r="E34" s="36">
        <v>16.779171434803825</v>
      </c>
      <c r="F34" s="37">
        <v>0.96372666503497584</v>
      </c>
      <c r="G34" s="38" t="s">
        <v>53</v>
      </c>
      <c r="H34" s="36" t="s">
        <v>128</v>
      </c>
      <c r="I34" s="37" t="s">
        <v>128</v>
      </c>
      <c r="J34" s="38" t="s">
        <v>53</v>
      </c>
      <c r="K34" s="36" t="s">
        <v>128</v>
      </c>
      <c r="L34" s="37" t="s">
        <v>128</v>
      </c>
      <c r="M34" s="38" t="s">
        <v>53</v>
      </c>
      <c r="N34" s="36" t="s">
        <v>128</v>
      </c>
      <c r="O34" s="37" t="s">
        <v>128</v>
      </c>
      <c r="P34" s="38" t="s">
        <v>53</v>
      </c>
      <c r="Q34" s="36" t="s">
        <v>128</v>
      </c>
      <c r="R34" s="37" t="s">
        <v>128</v>
      </c>
      <c r="S34" s="38" t="s">
        <v>53</v>
      </c>
      <c r="T34" s="16" t="s">
        <v>128</v>
      </c>
      <c r="U34" s="17" t="s">
        <v>128</v>
      </c>
      <c r="V34" s="38" t="s">
        <v>53</v>
      </c>
      <c r="W34" s="16" t="s">
        <v>128</v>
      </c>
      <c r="X34" s="17" t="s">
        <v>128</v>
      </c>
      <c r="Y34" s="39" t="s">
        <v>53</v>
      </c>
    </row>
    <row r="35" spans="1:25" x14ac:dyDescent="0.25">
      <c r="A35" s="15" t="s">
        <v>149</v>
      </c>
      <c r="B35" s="36">
        <v>0.16599464463225999</v>
      </c>
      <c r="C35" s="37">
        <v>8.9871829952017257E-2</v>
      </c>
      <c r="D35" s="38" t="s">
        <v>53</v>
      </c>
      <c r="E35" s="36">
        <v>15.108270721431063</v>
      </c>
      <c r="F35" s="37">
        <v>0.9052141179217883</v>
      </c>
      <c r="G35" s="38" t="s">
        <v>53</v>
      </c>
      <c r="H35" s="36">
        <v>14.782883501221827</v>
      </c>
      <c r="I35" s="37">
        <v>0.89507705148490246</v>
      </c>
      <c r="J35" s="38" t="s">
        <v>53</v>
      </c>
      <c r="K35" s="36" t="s">
        <v>55</v>
      </c>
      <c r="L35" s="37" t="s">
        <v>55</v>
      </c>
      <c r="M35" s="38" t="s">
        <v>53</v>
      </c>
      <c r="N35" s="36" t="s">
        <v>55</v>
      </c>
      <c r="O35" s="37" t="s">
        <v>55</v>
      </c>
      <c r="P35" s="38" t="s">
        <v>53</v>
      </c>
      <c r="Q35" s="36" t="s">
        <v>55</v>
      </c>
      <c r="R35" s="37" t="s">
        <v>55</v>
      </c>
      <c r="S35" s="38" t="s">
        <v>53</v>
      </c>
      <c r="T35" s="16" t="s">
        <v>56</v>
      </c>
      <c r="U35" s="17" t="s">
        <v>56</v>
      </c>
      <c r="V35" s="38" t="s">
        <v>53</v>
      </c>
      <c r="W35" s="16" t="s">
        <v>56</v>
      </c>
      <c r="X35" s="17" t="s">
        <v>56</v>
      </c>
      <c r="Y35" s="39" t="s">
        <v>53</v>
      </c>
    </row>
    <row r="36" spans="1:25" x14ac:dyDescent="0.25">
      <c r="A36" s="15" t="s">
        <v>150</v>
      </c>
      <c r="B36" s="36">
        <v>4.4397198134590603</v>
      </c>
      <c r="C36" s="37">
        <v>0.33685609843229053</v>
      </c>
      <c r="D36" s="38" t="s">
        <v>53</v>
      </c>
      <c r="E36" s="36">
        <v>22.442881112578998</v>
      </c>
      <c r="F36" s="37">
        <v>0.7490394800323773</v>
      </c>
      <c r="G36" s="38" t="s">
        <v>53</v>
      </c>
      <c r="H36" s="36">
        <v>21.764437016549657</v>
      </c>
      <c r="I36" s="37">
        <v>0.74520732888086327</v>
      </c>
      <c r="J36" s="38" t="s">
        <v>53</v>
      </c>
      <c r="K36" s="36">
        <v>27.338381701396013</v>
      </c>
      <c r="L36" s="37">
        <v>3.6194267542940119</v>
      </c>
      <c r="M36" s="38" t="s">
        <v>53</v>
      </c>
      <c r="N36" s="36">
        <v>28.686751877703571</v>
      </c>
      <c r="O36" s="37">
        <v>4.3078540814774113</v>
      </c>
      <c r="P36" s="38" t="s">
        <v>53</v>
      </c>
      <c r="Q36" s="36">
        <v>21.67559880204568</v>
      </c>
      <c r="R36" s="37">
        <v>6.4115182423278929</v>
      </c>
      <c r="S36" s="38" t="s">
        <v>53</v>
      </c>
      <c r="T36" s="16">
        <v>1.3539284228529127</v>
      </c>
      <c r="U36" s="17">
        <v>0.24776692983469537</v>
      </c>
      <c r="V36" s="38" t="s">
        <v>53</v>
      </c>
      <c r="W36" s="16">
        <v>1.4364909629371461</v>
      </c>
      <c r="X36" s="17">
        <v>0.2789312818636025</v>
      </c>
      <c r="Y36" s="39" t="s">
        <v>53</v>
      </c>
    </row>
    <row r="37" spans="1:25" x14ac:dyDescent="0.25">
      <c r="A37" s="15" t="s">
        <v>151</v>
      </c>
      <c r="B37" s="36">
        <v>1.5599249777116999</v>
      </c>
      <c r="C37" s="37">
        <v>0.13051569969861895</v>
      </c>
      <c r="D37" s="38" t="s">
        <v>53</v>
      </c>
      <c r="E37" s="36">
        <v>24.363295770562214</v>
      </c>
      <c r="F37" s="37">
        <v>0.75310710859037622</v>
      </c>
      <c r="G37" s="38" t="s">
        <v>53</v>
      </c>
      <c r="H37" s="36">
        <v>23.730156852198455</v>
      </c>
      <c r="I37" s="37">
        <v>0.7510994701481164</v>
      </c>
      <c r="J37" s="38" t="s">
        <v>53</v>
      </c>
      <c r="K37" s="36">
        <v>31.782730853482594</v>
      </c>
      <c r="L37" s="37">
        <v>5.3078636574526197</v>
      </c>
      <c r="M37" s="38" t="s">
        <v>53</v>
      </c>
      <c r="N37" s="36">
        <v>31.977711950748365</v>
      </c>
      <c r="O37" s="37">
        <v>5.5879207223054674</v>
      </c>
      <c r="P37" s="38" t="s">
        <v>53</v>
      </c>
      <c r="Q37" s="36">
        <v>31.071625268233266</v>
      </c>
      <c r="R37" s="37">
        <v>12.017528325815343</v>
      </c>
      <c r="S37" s="38" t="s">
        <v>53</v>
      </c>
      <c r="T37" s="16">
        <v>1.5010322631495105</v>
      </c>
      <c r="U37" s="17">
        <v>0.3736001321446803</v>
      </c>
      <c r="V37" s="38" t="s">
        <v>53</v>
      </c>
      <c r="W37" s="16">
        <v>2.034482343100211</v>
      </c>
      <c r="X37" s="17">
        <v>0.51626452342900753</v>
      </c>
      <c r="Y37" s="39" t="s">
        <v>53</v>
      </c>
    </row>
    <row r="38" spans="1:25" x14ac:dyDescent="0.25">
      <c r="A38" s="15" t="s">
        <v>152</v>
      </c>
      <c r="B38" s="36">
        <v>54.87180939703277</v>
      </c>
      <c r="C38" s="37">
        <v>0.64370888429344009</v>
      </c>
      <c r="D38" s="38" t="s">
        <v>53</v>
      </c>
      <c r="E38" s="36">
        <v>29.291415269953049</v>
      </c>
      <c r="F38" s="37">
        <v>0.570211435402592</v>
      </c>
      <c r="G38" s="38" t="s">
        <v>53</v>
      </c>
      <c r="H38" s="36">
        <v>20.299657686928821</v>
      </c>
      <c r="I38" s="37">
        <v>0.98617486179387281</v>
      </c>
      <c r="J38" s="38" t="s">
        <v>53</v>
      </c>
      <c r="K38" s="36">
        <v>35.872894526361229</v>
      </c>
      <c r="L38" s="37">
        <v>0.82870351464814185</v>
      </c>
      <c r="M38" s="38" t="s">
        <v>53</v>
      </c>
      <c r="N38" s="36">
        <v>36.184403616614865</v>
      </c>
      <c r="O38" s="37">
        <v>1.357918840259474</v>
      </c>
      <c r="P38" s="38" t="s">
        <v>53</v>
      </c>
      <c r="Q38" s="36">
        <v>35.487228325709566</v>
      </c>
      <c r="R38" s="37">
        <v>1.3752142159176124</v>
      </c>
      <c r="S38" s="38" t="s">
        <v>53</v>
      </c>
      <c r="T38" s="16">
        <v>2.1990513899719883</v>
      </c>
      <c r="U38" s="17">
        <v>0.17032247257538474</v>
      </c>
      <c r="V38" s="38" t="s">
        <v>53</v>
      </c>
      <c r="W38" s="16">
        <v>1.640551240717337</v>
      </c>
      <c r="X38" s="17">
        <v>0.15646221170636498</v>
      </c>
      <c r="Y38" s="39" t="s">
        <v>53</v>
      </c>
    </row>
    <row r="39" spans="1:25" x14ac:dyDescent="0.25">
      <c r="A39" s="15" t="s">
        <v>153</v>
      </c>
      <c r="B39" s="36">
        <v>1.56142115515159</v>
      </c>
      <c r="C39" s="37">
        <v>0.26845505611360826</v>
      </c>
      <c r="D39" s="38" t="s">
        <v>53</v>
      </c>
      <c r="E39" s="36">
        <v>44.694001604279755</v>
      </c>
      <c r="F39" s="37">
        <v>1.3290781210566407</v>
      </c>
      <c r="G39" s="38" t="s">
        <v>53</v>
      </c>
      <c r="H39" s="36">
        <v>43.233435605272668</v>
      </c>
      <c r="I39" s="37">
        <v>1.3409184195801518</v>
      </c>
      <c r="J39" s="38" t="s">
        <v>53</v>
      </c>
      <c r="K39" s="36">
        <v>84.48917006745593</v>
      </c>
      <c r="L39" s="37">
        <v>5.1776247840871426</v>
      </c>
      <c r="M39" s="38" t="s">
        <v>53</v>
      </c>
      <c r="N39" s="36">
        <v>85.716085262695074</v>
      </c>
      <c r="O39" s="37">
        <v>5.44884162869507</v>
      </c>
      <c r="P39" s="38" t="s">
        <v>53</v>
      </c>
      <c r="Q39" s="36">
        <v>82.974694851146282</v>
      </c>
      <c r="R39" s="37">
        <v>8.709017942178674</v>
      </c>
      <c r="S39" s="38" t="s">
        <v>53</v>
      </c>
      <c r="T39" s="16">
        <v>7.2560334391265151</v>
      </c>
      <c r="U39" s="17">
        <v>3.0834639239073085</v>
      </c>
      <c r="V39" s="38" t="s">
        <v>53</v>
      </c>
      <c r="W39" s="16">
        <v>6.5605702892228912</v>
      </c>
      <c r="X39" s="17">
        <v>2.6381570075943186</v>
      </c>
      <c r="Y39" s="39" t="s">
        <v>53</v>
      </c>
    </row>
    <row r="40" spans="1:25" x14ac:dyDescent="0.25">
      <c r="A40" s="15" t="s">
        <v>226</v>
      </c>
      <c r="B40" s="36">
        <v>13.767365553432789</v>
      </c>
      <c r="C40" s="37">
        <v>1.1613432186534565</v>
      </c>
      <c r="D40" s="38" t="s">
        <v>53</v>
      </c>
      <c r="E40" s="36">
        <v>24.086606128012868</v>
      </c>
      <c r="F40" s="37">
        <v>1.0277694330928087</v>
      </c>
      <c r="G40" s="38" t="s">
        <v>53</v>
      </c>
      <c r="H40" s="36">
        <v>19.606145540549953</v>
      </c>
      <c r="I40" s="37">
        <v>1.0935784038651051</v>
      </c>
      <c r="J40" s="38" t="s">
        <v>53</v>
      </c>
      <c r="K40" s="36">
        <v>43.540426519948042</v>
      </c>
      <c r="L40" s="37">
        <v>3.1049195580447315</v>
      </c>
      <c r="M40" s="38" t="s">
        <v>53</v>
      </c>
      <c r="N40" s="36">
        <v>40.391645901018187</v>
      </c>
      <c r="O40" s="37">
        <v>3.4558043286018227</v>
      </c>
      <c r="P40" s="38" t="s">
        <v>53</v>
      </c>
      <c r="Q40" s="36">
        <v>56.182253948199659</v>
      </c>
      <c r="R40" s="37">
        <v>5.8236743966235665</v>
      </c>
      <c r="S40" s="38" t="s">
        <v>53</v>
      </c>
      <c r="T40" s="16">
        <v>3.1681962505722518</v>
      </c>
      <c r="U40" s="17">
        <v>0.47596131329929892</v>
      </c>
      <c r="V40" s="38" t="s">
        <v>53</v>
      </c>
      <c r="W40" s="16">
        <v>1.5016785571912716</v>
      </c>
      <c r="X40" s="17">
        <v>0.28064004202016291</v>
      </c>
      <c r="Y40" s="39" t="s">
        <v>53</v>
      </c>
    </row>
    <row r="41" spans="1:25" x14ac:dyDescent="0.25">
      <c r="A41" s="15" t="s">
        <v>154</v>
      </c>
      <c r="B41" s="36">
        <v>26.459841142840613</v>
      </c>
      <c r="C41" s="37">
        <v>1.3482097436076308</v>
      </c>
      <c r="D41" s="38" t="s">
        <v>53</v>
      </c>
      <c r="E41" s="36">
        <v>18.963560297148696</v>
      </c>
      <c r="F41" s="37">
        <v>0.79043097112006422</v>
      </c>
      <c r="G41" s="38" t="s">
        <v>53</v>
      </c>
      <c r="H41" s="36">
        <v>17.125094480860721</v>
      </c>
      <c r="I41" s="37">
        <v>0.85435667798607273</v>
      </c>
      <c r="J41" s="38" t="s">
        <v>53</v>
      </c>
      <c r="K41" s="36">
        <v>18.985720097552424</v>
      </c>
      <c r="L41" s="37">
        <v>1.3218680811528585</v>
      </c>
      <c r="M41" s="38" t="s">
        <v>53</v>
      </c>
      <c r="N41" s="36">
        <v>16.171329276524187</v>
      </c>
      <c r="O41" s="37">
        <v>1.7145606700730989</v>
      </c>
      <c r="P41" s="38" t="s">
        <v>53</v>
      </c>
      <c r="Q41" s="36">
        <v>21.208121708456723</v>
      </c>
      <c r="R41" s="37">
        <v>1.6573723622351815</v>
      </c>
      <c r="S41" s="38" t="s">
        <v>53</v>
      </c>
      <c r="T41" s="16">
        <v>1.1348576222004692</v>
      </c>
      <c r="U41" s="17">
        <v>0.11102972306566659</v>
      </c>
      <c r="V41" s="38" t="s">
        <v>53</v>
      </c>
      <c r="W41" s="16">
        <v>1.2719747350946762</v>
      </c>
      <c r="X41" s="17">
        <v>0.12595753881955413</v>
      </c>
      <c r="Y41" s="39" t="s">
        <v>53</v>
      </c>
    </row>
    <row r="42" spans="1:25" x14ac:dyDescent="0.25">
      <c r="A42" s="15" t="s">
        <v>155</v>
      </c>
      <c r="B42" s="36">
        <v>12.39989609171765</v>
      </c>
      <c r="C42" s="37">
        <v>0.77280409093371216</v>
      </c>
      <c r="D42" s="38" t="s">
        <v>53</v>
      </c>
      <c r="E42" s="36">
        <v>19.292980538193429</v>
      </c>
      <c r="F42" s="37">
        <v>0.76939761693251374</v>
      </c>
      <c r="G42" s="38" t="s">
        <v>53</v>
      </c>
      <c r="H42" s="36">
        <v>16.444308475669775</v>
      </c>
      <c r="I42" s="37">
        <v>0.71513073270755934</v>
      </c>
      <c r="J42" s="38" t="s">
        <v>53</v>
      </c>
      <c r="K42" s="36">
        <v>32.162107391551807</v>
      </c>
      <c r="L42" s="37">
        <v>2.107693473963399</v>
      </c>
      <c r="M42" s="38" t="s">
        <v>53</v>
      </c>
      <c r="N42" s="36">
        <v>29.104463857420843</v>
      </c>
      <c r="O42" s="37">
        <v>2.88286786351004</v>
      </c>
      <c r="P42" s="38" t="s">
        <v>53</v>
      </c>
      <c r="Q42" s="36">
        <v>35.234037578305653</v>
      </c>
      <c r="R42" s="37">
        <v>2.648715350086321</v>
      </c>
      <c r="S42" s="38" t="s">
        <v>53</v>
      </c>
      <c r="T42" s="16">
        <v>2.4101654434081317</v>
      </c>
      <c r="U42" s="17">
        <v>0.24667980438858347</v>
      </c>
      <c r="V42" s="38" t="s">
        <v>53</v>
      </c>
      <c r="W42" s="16">
        <v>1.8737688966401749</v>
      </c>
      <c r="X42" s="17">
        <v>0.20868744025564892</v>
      </c>
      <c r="Y42" s="39" t="s">
        <v>53</v>
      </c>
    </row>
    <row r="43" spans="1:25" x14ac:dyDescent="0.25">
      <c r="A43" s="15" t="s">
        <v>156</v>
      </c>
      <c r="B43" s="36">
        <v>0.64312078856707999</v>
      </c>
      <c r="C43" s="37">
        <v>0.19031100288588151</v>
      </c>
      <c r="D43" s="38" t="s">
        <v>53</v>
      </c>
      <c r="E43" s="36">
        <v>14.675606668576286</v>
      </c>
      <c r="F43" s="37">
        <v>0.7516137892498661</v>
      </c>
      <c r="G43" s="38" t="s">
        <v>53</v>
      </c>
      <c r="H43" s="36">
        <v>14.176869095614741</v>
      </c>
      <c r="I43" s="37">
        <v>0.73833437777400235</v>
      </c>
      <c r="J43" s="38" t="s">
        <v>53</v>
      </c>
      <c r="K43" s="36" t="s">
        <v>55</v>
      </c>
      <c r="L43" s="37" t="s">
        <v>55</v>
      </c>
      <c r="M43" s="38" t="s">
        <v>53</v>
      </c>
      <c r="N43" s="36" t="s">
        <v>55</v>
      </c>
      <c r="O43" s="37" t="s">
        <v>55</v>
      </c>
      <c r="P43" s="38" t="s">
        <v>53</v>
      </c>
      <c r="Q43" s="36" t="s">
        <v>55</v>
      </c>
      <c r="R43" s="37" t="s">
        <v>55</v>
      </c>
      <c r="S43" s="38" t="s">
        <v>53</v>
      </c>
      <c r="T43" s="16" t="s">
        <v>56</v>
      </c>
      <c r="U43" s="17" t="s">
        <v>56</v>
      </c>
      <c r="V43" s="38" t="s">
        <v>53</v>
      </c>
      <c r="W43" s="16" t="s">
        <v>56</v>
      </c>
      <c r="X43" s="17" t="s">
        <v>56</v>
      </c>
      <c r="Y43" s="39" t="s">
        <v>53</v>
      </c>
    </row>
    <row r="44" spans="1:25" x14ac:dyDescent="0.25">
      <c r="A44" s="15" t="s">
        <v>227</v>
      </c>
      <c r="B44" s="36">
        <v>6.9632335887591799</v>
      </c>
      <c r="C44" s="37">
        <v>0.57149006614731868</v>
      </c>
      <c r="D44" s="38" t="s">
        <v>53</v>
      </c>
      <c r="E44" s="36">
        <v>20.221870741876323</v>
      </c>
      <c r="F44" s="37">
        <v>0.91671452286300437</v>
      </c>
      <c r="G44" s="38" t="s">
        <v>53</v>
      </c>
      <c r="H44" s="36">
        <v>19.161594160707345</v>
      </c>
      <c r="I44" s="37">
        <v>0.97582166462143594</v>
      </c>
      <c r="J44" s="38" t="s">
        <v>53</v>
      </c>
      <c r="K44" s="36">
        <v>29.576862984207512</v>
      </c>
      <c r="L44" s="37">
        <v>3.533047610138154</v>
      </c>
      <c r="M44" s="38" t="s">
        <v>53</v>
      </c>
      <c r="N44" s="36">
        <v>24.431432895086235</v>
      </c>
      <c r="O44" s="37">
        <v>4.7150258435790002</v>
      </c>
      <c r="P44" s="38" t="s">
        <v>53</v>
      </c>
      <c r="Q44" s="36">
        <v>36.549134023463445</v>
      </c>
      <c r="R44" s="37">
        <v>4.496784188215206</v>
      </c>
      <c r="S44" s="38" t="s">
        <v>53</v>
      </c>
      <c r="T44" s="16">
        <v>1.7731845287755583</v>
      </c>
      <c r="U44" s="17">
        <v>0.32208254683020415</v>
      </c>
      <c r="V44" s="38" t="s">
        <v>53</v>
      </c>
      <c r="W44" s="16">
        <v>1.7504579369208555</v>
      </c>
      <c r="X44" s="17">
        <v>0.27797431119302407</v>
      </c>
      <c r="Y44" s="39" t="s">
        <v>53</v>
      </c>
    </row>
    <row r="45" spans="1:25" x14ac:dyDescent="0.25">
      <c r="A45" s="15" t="s">
        <v>157</v>
      </c>
      <c r="B45" s="36">
        <v>1.18853098725919</v>
      </c>
      <c r="C45" s="37">
        <v>0.16842230016552609</v>
      </c>
      <c r="D45" s="38" t="s">
        <v>53</v>
      </c>
      <c r="E45" s="36">
        <v>31.41002475668591</v>
      </c>
      <c r="F45" s="37">
        <v>0.97844349482569537</v>
      </c>
      <c r="G45" s="38" t="s">
        <v>53</v>
      </c>
      <c r="H45" s="36">
        <v>30.615173639589159</v>
      </c>
      <c r="I45" s="37">
        <v>0.96635309719713058</v>
      </c>
      <c r="J45" s="38" t="s">
        <v>53</v>
      </c>
      <c r="K45" s="36">
        <v>51.360327314892409</v>
      </c>
      <c r="L45" s="37">
        <v>6.8952967370813925</v>
      </c>
      <c r="M45" s="38" t="s">
        <v>53</v>
      </c>
      <c r="N45" s="36">
        <v>40.747228511124447</v>
      </c>
      <c r="O45" s="37">
        <v>9.1960962426632182</v>
      </c>
      <c r="P45" s="38" t="s">
        <v>53</v>
      </c>
      <c r="Q45" s="36">
        <v>63.32843679930118</v>
      </c>
      <c r="R45" s="37">
        <v>8.3791463471081098</v>
      </c>
      <c r="S45" s="38" t="s">
        <v>53</v>
      </c>
      <c r="T45" s="16">
        <v>2.4020475836456909</v>
      </c>
      <c r="U45" s="17">
        <v>0.68494696536122712</v>
      </c>
      <c r="V45" s="38" t="s">
        <v>53</v>
      </c>
      <c r="W45" s="16">
        <v>2.2444972437371828</v>
      </c>
      <c r="X45" s="17">
        <v>0.90783259479923495</v>
      </c>
      <c r="Y45" s="39" t="s">
        <v>53</v>
      </c>
    </row>
    <row r="46" spans="1:25" x14ac:dyDescent="0.25">
      <c r="A46" s="15" t="s">
        <v>158</v>
      </c>
      <c r="B46" s="36">
        <v>8.8801416636658708</v>
      </c>
      <c r="C46" s="37">
        <v>0.31167440261340096</v>
      </c>
      <c r="D46" s="38" t="s">
        <v>53</v>
      </c>
      <c r="E46" s="36">
        <v>17.880991200154504</v>
      </c>
      <c r="F46" s="37">
        <v>0.65558911722397362</v>
      </c>
      <c r="G46" s="38" t="s">
        <v>53</v>
      </c>
      <c r="H46" s="36">
        <v>15.668352991565865</v>
      </c>
      <c r="I46" s="37">
        <v>0.66426324766877842</v>
      </c>
      <c r="J46" s="38" t="s">
        <v>53</v>
      </c>
      <c r="K46" s="36">
        <v>35.767985643041769</v>
      </c>
      <c r="L46" s="37">
        <v>2.9701837473500627</v>
      </c>
      <c r="M46" s="38" t="s">
        <v>53</v>
      </c>
      <c r="N46" s="36">
        <v>24.850501542297945</v>
      </c>
      <c r="O46" s="37">
        <v>3.5420872843621174</v>
      </c>
      <c r="P46" s="38" t="s">
        <v>53</v>
      </c>
      <c r="Q46" s="36">
        <v>43.325512246064754</v>
      </c>
      <c r="R46" s="37">
        <v>4.4098181017071605</v>
      </c>
      <c r="S46" s="38" t="s">
        <v>53</v>
      </c>
      <c r="T46" s="16">
        <v>3.0002671387785513</v>
      </c>
      <c r="U46" s="17">
        <v>0.42624395379495661</v>
      </c>
      <c r="V46" s="38" t="s">
        <v>53</v>
      </c>
      <c r="W46" s="16">
        <v>1.9443299871837845</v>
      </c>
      <c r="X46" s="17">
        <v>0.3615254149085298</v>
      </c>
      <c r="Y46" s="39" t="s">
        <v>53</v>
      </c>
    </row>
    <row r="47" spans="1:25" x14ac:dyDescent="0.25">
      <c r="A47" s="15" t="s">
        <v>159</v>
      </c>
      <c r="B47" s="36">
        <v>12.188161728613951</v>
      </c>
      <c r="C47" s="37">
        <v>0.47645498721799551</v>
      </c>
      <c r="D47" s="38" t="s">
        <v>53</v>
      </c>
      <c r="E47" s="36" t="s">
        <v>55</v>
      </c>
      <c r="F47" s="37" t="s">
        <v>55</v>
      </c>
      <c r="G47" s="38" t="s">
        <v>53</v>
      </c>
      <c r="H47" s="36" t="s">
        <v>55</v>
      </c>
      <c r="I47" s="37" t="s">
        <v>55</v>
      </c>
      <c r="J47" s="38" t="s">
        <v>53</v>
      </c>
      <c r="K47" s="36" t="s">
        <v>55</v>
      </c>
      <c r="L47" s="37" t="s">
        <v>55</v>
      </c>
      <c r="M47" s="38" t="s">
        <v>53</v>
      </c>
      <c r="N47" s="36" t="s">
        <v>55</v>
      </c>
      <c r="O47" s="37" t="s">
        <v>55</v>
      </c>
      <c r="P47" s="38" t="s">
        <v>53</v>
      </c>
      <c r="Q47" s="36" t="s">
        <v>55</v>
      </c>
      <c r="R47" s="37" t="s">
        <v>55</v>
      </c>
      <c r="S47" s="38" t="s">
        <v>53</v>
      </c>
      <c r="T47" s="16" t="s">
        <v>55</v>
      </c>
      <c r="U47" s="17" t="s">
        <v>55</v>
      </c>
      <c r="V47" s="38" t="s">
        <v>53</v>
      </c>
      <c r="W47" s="16" t="s">
        <v>55</v>
      </c>
      <c r="X47" s="17" t="s">
        <v>55</v>
      </c>
      <c r="Y47" s="39" t="s">
        <v>53</v>
      </c>
    </row>
    <row r="48" spans="1:25" x14ac:dyDescent="0.25">
      <c r="A48" s="15" t="s">
        <v>160</v>
      </c>
      <c r="B48" s="36">
        <v>20.473115864425338</v>
      </c>
      <c r="C48" s="37">
        <v>1.3408865697378713</v>
      </c>
      <c r="D48" s="38" t="s">
        <v>53</v>
      </c>
      <c r="E48" s="36">
        <v>18.393043461607387</v>
      </c>
      <c r="F48" s="37">
        <v>1.0294856152378626</v>
      </c>
      <c r="G48" s="38" t="s">
        <v>53</v>
      </c>
      <c r="H48" s="36">
        <v>12.361266282373821</v>
      </c>
      <c r="I48" s="37">
        <v>0.8305852602253142</v>
      </c>
      <c r="J48" s="38" t="s">
        <v>53</v>
      </c>
      <c r="K48" s="36">
        <v>37.926306226979513</v>
      </c>
      <c r="L48" s="37">
        <v>2.4226965423234526</v>
      </c>
      <c r="M48" s="38" t="s">
        <v>53</v>
      </c>
      <c r="N48" s="36">
        <v>26.754207722668383</v>
      </c>
      <c r="O48" s="37">
        <v>2.5614932530167405</v>
      </c>
      <c r="P48" s="38" t="s">
        <v>53</v>
      </c>
      <c r="Q48" s="36">
        <v>50.615391066351243</v>
      </c>
      <c r="R48" s="37">
        <v>3.0339892462281388</v>
      </c>
      <c r="S48" s="38" t="s">
        <v>53</v>
      </c>
      <c r="T48" s="16">
        <v>4.3378116996294356</v>
      </c>
      <c r="U48" s="17">
        <v>0.53568084986349584</v>
      </c>
      <c r="V48" s="38" t="s">
        <v>53</v>
      </c>
      <c r="W48" s="16">
        <v>2.8139201575786998</v>
      </c>
      <c r="X48" s="17">
        <v>0.32348327553645395</v>
      </c>
      <c r="Y48" s="39" t="s">
        <v>53</v>
      </c>
    </row>
    <row r="49" spans="1:25" x14ac:dyDescent="0.25">
      <c r="A49" s="15" t="s">
        <v>161</v>
      </c>
      <c r="B49" s="36">
        <v>33.868233035169411</v>
      </c>
      <c r="C49" s="37">
        <v>1.4103551478288376</v>
      </c>
      <c r="D49" s="38" t="s">
        <v>53</v>
      </c>
      <c r="E49" s="36">
        <v>23.634058545244084</v>
      </c>
      <c r="F49" s="37">
        <v>1.0843286144576532</v>
      </c>
      <c r="G49" s="38" t="s">
        <v>53</v>
      </c>
      <c r="H49" s="36">
        <v>17.248666866164303</v>
      </c>
      <c r="I49" s="37">
        <v>1.0883764298652394</v>
      </c>
      <c r="J49" s="38" t="s">
        <v>53</v>
      </c>
      <c r="K49" s="36">
        <v>34.337714886366179</v>
      </c>
      <c r="L49" s="37">
        <v>1.7636502555912541</v>
      </c>
      <c r="M49" s="38" t="s">
        <v>53</v>
      </c>
      <c r="N49" s="36">
        <v>32.839284853095577</v>
      </c>
      <c r="O49" s="37">
        <v>1.9426688355662203</v>
      </c>
      <c r="P49" s="38" t="s">
        <v>53</v>
      </c>
      <c r="Q49" s="36">
        <v>37.060668504780139</v>
      </c>
      <c r="R49" s="37">
        <v>2.6457478843342317</v>
      </c>
      <c r="S49" s="38" t="s">
        <v>53</v>
      </c>
      <c r="T49" s="16">
        <v>2.5096156056437442</v>
      </c>
      <c r="U49" s="17">
        <v>0.25238477054619651</v>
      </c>
      <c r="V49" s="38" t="s">
        <v>53</v>
      </c>
      <c r="W49" s="16">
        <v>1.6391257969832389</v>
      </c>
      <c r="X49" s="17">
        <v>0.17134624935570797</v>
      </c>
      <c r="Y49" s="39" t="s">
        <v>53</v>
      </c>
    </row>
    <row r="50" spans="1:25" x14ac:dyDescent="0.25">
      <c r="A50" s="15" t="s">
        <v>162</v>
      </c>
      <c r="B50" s="36">
        <v>0.85430183715388996</v>
      </c>
      <c r="C50" s="37">
        <v>0.14058186011809648</v>
      </c>
      <c r="D50" s="38" t="s">
        <v>53</v>
      </c>
      <c r="E50" s="36">
        <v>26.132252133443647</v>
      </c>
      <c r="F50" s="37">
        <v>1.0467363454940113</v>
      </c>
      <c r="G50" s="38" t="s">
        <v>53</v>
      </c>
      <c r="H50" s="36">
        <v>25.5021955154422</v>
      </c>
      <c r="I50" s="37">
        <v>1.0456301609033209</v>
      </c>
      <c r="J50" s="38" t="s">
        <v>53</v>
      </c>
      <c r="K50" s="36">
        <v>25.848291965183201</v>
      </c>
      <c r="L50" s="37">
        <v>6.8446542895989531</v>
      </c>
      <c r="M50" s="38" t="s">
        <v>53</v>
      </c>
      <c r="N50" s="36">
        <v>22.367885996462888</v>
      </c>
      <c r="O50" s="37">
        <v>7.6521306419497472</v>
      </c>
      <c r="P50" s="38" t="s">
        <v>53</v>
      </c>
      <c r="Q50" s="36" t="s">
        <v>55</v>
      </c>
      <c r="R50" s="37" t="s">
        <v>55</v>
      </c>
      <c r="S50" s="38" t="s">
        <v>53</v>
      </c>
      <c r="T50" s="16">
        <v>1.0257647483354784</v>
      </c>
      <c r="U50" s="17">
        <v>0.38636484134552546</v>
      </c>
      <c r="V50" s="38" t="s">
        <v>53</v>
      </c>
      <c r="W50" s="16">
        <v>1.7473139573169068</v>
      </c>
      <c r="X50" s="17">
        <v>0.81353393364498039</v>
      </c>
      <c r="Y50" s="39" t="s">
        <v>53</v>
      </c>
    </row>
    <row r="51" spans="1:25" x14ac:dyDescent="0.25">
      <c r="A51" s="15" t="s">
        <v>163</v>
      </c>
      <c r="B51" s="36">
        <v>19.760951782508652</v>
      </c>
      <c r="C51" s="37">
        <v>1.1769923779338967</v>
      </c>
      <c r="D51" s="38" t="s">
        <v>53</v>
      </c>
      <c r="E51" s="36">
        <v>17.303095659818279</v>
      </c>
      <c r="F51" s="37">
        <v>0.8948461401765907</v>
      </c>
      <c r="G51" s="38" t="s">
        <v>53</v>
      </c>
      <c r="H51" s="36">
        <v>15.329273685736972</v>
      </c>
      <c r="I51" s="37">
        <v>0.87390687072224338</v>
      </c>
      <c r="J51" s="38" t="s">
        <v>53</v>
      </c>
      <c r="K51" s="36">
        <v>21.019626686057745</v>
      </c>
      <c r="L51" s="37">
        <v>1.5895728264589257</v>
      </c>
      <c r="M51" s="38" t="s">
        <v>53</v>
      </c>
      <c r="N51" s="36">
        <v>19.899704066058348</v>
      </c>
      <c r="O51" s="37">
        <v>2.1036461761600664</v>
      </c>
      <c r="P51" s="38" t="s">
        <v>53</v>
      </c>
      <c r="Q51" s="36">
        <v>22.527671589657331</v>
      </c>
      <c r="R51" s="37">
        <v>2.6947805437380197</v>
      </c>
      <c r="S51" s="38" t="s">
        <v>53</v>
      </c>
      <c r="T51" s="16">
        <v>1.4706039545516052</v>
      </c>
      <c r="U51" s="17">
        <v>0.15106303673446053</v>
      </c>
      <c r="V51" s="38" t="s">
        <v>53</v>
      </c>
      <c r="W51" s="16">
        <v>1.0629727271807532</v>
      </c>
      <c r="X51" s="17">
        <v>0.1161800553647221</v>
      </c>
      <c r="Y51" s="39" t="s">
        <v>53</v>
      </c>
    </row>
    <row r="52" spans="1:25" x14ac:dyDescent="0.25">
      <c r="A52" s="15" t="s">
        <v>228</v>
      </c>
      <c r="B52" s="36">
        <v>23.012325770304379</v>
      </c>
      <c r="C52" s="37">
        <v>1.519881538268582</v>
      </c>
      <c r="D52" s="38" t="s">
        <v>53</v>
      </c>
      <c r="E52" s="36">
        <v>19.265842653266112</v>
      </c>
      <c r="F52" s="37">
        <v>1.1070886273815008</v>
      </c>
      <c r="G52" s="38" t="s">
        <v>53</v>
      </c>
      <c r="H52" s="36">
        <v>17.835633589833598</v>
      </c>
      <c r="I52" s="37">
        <v>1.1042525536003325</v>
      </c>
      <c r="J52" s="38" t="s">
        <v>53</v>
      </c>
      <c r="K52" s="36">
        <v>19.55862639254385</v>
      </c>
      <c r="L52" s="37">
        <v>1.8125632307279345</v>
      </c>
      <c r="M52" s="38" t="s">
        <v>53</v>
      </c>
      <c r="N52" s="36">
        <v>16.276709881988261</v>
      </c>
      <c r="O52" s="37">
        <v>1.6668691428298501</v>
      </c>
      <c r="P52" s="38" t="s">
        <v>53</v>
      </c>
      <c r="Q52" s="36">
        <v>29.030660771323667</v>
      </c>
      <c r="R52" s="37">
        <v>3.932039817701491</v>
      </c>
      <c r="S52" s="38" t="s">
        <v>53</v>
      </c>
      <c r="T52" s="16">
        <v>1.120032972362395</v>
      </c>
      <c r="U52" s="17">
        <v>0.13195300619803557</v>
      </c>
      <c r="V52" s="38" t="s">
        <v>53</v>
      </c>
      <c r="W52" s="16">
        <v>0.74543737097561813</v>
      </c>
      <c r="X52" s="17">
        <v>8.698189368216265E-2</v>
      </c>
      <c r="Y52" s="39" t="s">
        <v>53</v>
      </c>
    </row>
    <row r="53" spans="1:25" x14ac:dyDescent="0.25">
      <c r="A53" s="15" t="s">
        <v>166</v>
      </c>
      <c r="B53" s="36">
        <v>13.067679806644071</v>
      </c>
      <c r="C53" s="37">
        <v>0.13401021802186819</v>
      </c>
      <c r="D53" s="38" t="s">
        <v>53</v>
      </c>
      <c r="E53" s="36">
        <v>22.640359458166731</v>
      </c>
      <c r="F53" s="37">
        <v>0.16011783821380429</v>
      </c>
      <c r="G53" s="38" t="s">
        <v>53</v>
      </c>
      <c r="H53" s="36">
        <v>20.3740165468054</v>
      </c>
      <c r="I53" s="37">
        <v>0.16350797280239671</v>
      </c>
      <c r="J53" s="38" t="s">
        <v>53</v>
      </c>
      <c r="K53" s="36">
        <v>35.024844668366697</v>
      </c>
      <c r="L53" s="37">
        <v>0.61734891329296926</v>
      </c>
      <c r="M53" s="38" t="s">
        <v>53</v>
      </c>
      <c r="N53" s="36">
        <v>30.06960741727816</v>
      </c>
      <c r="O53" s="37">
        <v>0.74138788088179064</v>
      </c>
      <c r="P53" s="38" t="s">
        <v>53</v>
      </c>
      <c r="Q53" s="36">
        <v>39.849525240992961</v>
      </c>
      <c r="R53" s="37">
        <v>0.93974316633194266</v>
      </c>
      <c r="S53" s="38" t="s">
        <v>53</v>
      </c>
      <c r="T53" s="16">
        <v>2.4266912984422002</v>
      </c>
      <c r="U53" s="17">
        <v>0.12540345735146441</v>
      </c>
      <c r="V53" s="38" t="s">
        <v>53</v>
      </c>
      <c r="W53" s="16">
        <v>1.9288753058615571</v>
      </c>
      <c r="X53" s="17">
        <v>0.1168190157612214</v>
      </c>
      <c r="Y53" s="39" t="s">
        <v>53</v>
      </c>
    </row>
    <row r="54" spans="1:25" x14ac:dyDescent="0.25">
      <c r="A54" s="57" t="s">
        <v>211</v>
      </c>
      <c r="B54" s="36"/>
      <c r="C54" s="37"/>
      <c r="D54" s="38"/>
      <c r="E54" s="36"/>
      <c r="F54" s="37"/>
      <c r="G54" s="38"/>
      <c r="H54" s="36"/>
      <c r="I54" s="37"/>
      <c r="J54" s="38"/>
      <c r="K54" s="36"/>
      <c r="L54" s="37"/>
      <c r="M54" s="38"/>
      <c r="N54" s="36"/>
      <c r="O54" s="37"/>
      <c r="P54" s="38"/>
      <c r="Q54" s="36"/>
      <c r="R54" s="37"/>
      <c r="S54" s="38"/>
      <c r="T54" s="16"/>
      <c r="U54" s="17"/>
      <c r="V54" s="38"/>
      <c r="W54" s="16"/>
      <c r="X54" s="17"/>
      <c r="Y54" s="39"/>
    </row>
    <row r="55" spans="1:25" x14ac:dyDescent="0.25">
      <c r="A55" s="15" t="s">
        <v>169</v>
      </c>
      <c r="B55" s="36">
        <v>0.62059781455420004</v>
      </c>
      <c r="C55" s="37">
        <v>0.12271048399013314</v>
      </c>
      <c r="D55" s="38" t="s">
        <v>53</v>
      </c>
      <c r="E55" s="36">
        <v>52.235682370240788</v>
      </c>
      <c r="F55" s="37">
        <v>1.0898319256520868</v>
      </c>
      <c r="G55" s="38" t="s">
        <v>53</v>
      </c>
      <c r="H55" s="36">
        <v>51.379941077454305</v>
      </c>
      <c r="I55" s="37">
        <v>1.0830596798836203</v>
      </c>
      <c r="J55" s="38" t="s">
        <v>53</v>
      </c>
      <c r="K55" s="36">
        <v>87.611583868271538</v>
      </c>
      <c r="L55" s="37">
        <v>6.0037489399408139</v>
      </c>
      <c r="M55" s="38" t="s">
        <v>53</v>
      </c>
      <c r="N55" s="36" t="s">
        <v>55</v>
      </c>
      <c r="O55" s="37" t="s">
        <v>55</v>
      </c>
      <c r="P55" s="38" t="s">
        <v>53</v>
      </c>
      <c r="Q55" s="36" t="s">
        <v>55</v>
      </c>
      <c r="R55" s="37" t="s">
        <v>55</v>
      </c>
      <c r="S55" s="38" t="s">
        <v>53</v>
      </c>
      <c r="T55" s="16">
        <v>7.1896260762701374</v>
      </c>
      <c r="U55" s="17">
        <v>5.2314225393318585</v>
      </c>
      <c r="V55" s="38" t="s">
        <v>53</v>
      </c>
      <c r="W55" s="16">
        <v>9.1304528104297642</v>
      </c>
      <c r="X55" s="17">
        <v>6.9826584034821702</v>
      </c>
      <c r="Y55" s="39" t="s">
        <v>53</v>
      </c>
    </row>
    <row r="56" spans="1:25" x14ac:dyDescent="0.25">
      <c r="A56" s="15" t="s">
        <v>170</v>
      </c>
      <c r="B56" s="36">
        <v>4.5581922113720896</v>
      </c>
      <c r="C56" s="37">
        <v>0.3258858226592739</v>
      </c>
      <c r="D56" s="38" t="s">
        <v>53</v>
      </c>
      <c r="E56" s="36">
        <v>52.116353362615165</v>
      </c>
      <c r="F56" s="37">
        <v>1.345315479533802</v>
      </c>
      <c r="G56" s="38" t="s">
        <v>53</v>
      </c>
      <c r="H56" s="36">
        <v>51.311294465297273</v>
      </c>
      <c r="I56" s="37">
        <v>1.4208124072933772</v>
      </c>
      <c r="J56" s="38" t="s">
        <v>53</v>
      </c>
      <c r="K56" s="36">
        <v>51.059979076751461</v>
      </c>
      <c r="L56" s="37">
        <v>3.7762701287449185</v>
      </c>
      <c r="M56" s="38" t="s">
        <v>53</v>
      </c>
      <c r="N56" s="36">
        <v>48.137797125376061</v>
      </c>
      <c r="O56" s="37">
        <v>4.8198412630234619</v>
      </c>
      <c r="P56" s="38" t="s">
        <v>53</v>
      </c>
      <c r="Q56" s="36">
        <v>54.265024590274479</v>
      </c>
      <c r="R56" s="37">
        <v>4.8696213229716214</v>
      </c>
      <c r="S56" s="38" t="s">
        <v>53</v>
      </c>
      <c r="T56" s="16">
        <v>0.99287407197139843</v>
      </c>
      <c r="U56" s="17">
        <v>0.16097337700322431</v>
      </c>
      <c r="V56" s="38" t="s">
        <v>53</v>
      </c>
      <c r="W56" s="16">
        <v>0.75760847306285761</v>
      </c>
      <c r="X56" s="17">
        <v>0.12913281900738155</v>
      </c>
      <c r="Y56" s="39" t="s">
        <v>53</v>
      </c>
    </row>
    <row r="57" spans="1:25" x14ac:dyDescent="0.25">
      <c r="A57" s="15" t="s">
        <v>171</v>
      </c>
      <c r="B57" s="36">
        <v>5.2006981077612595</v>
      </c>
      <c r="C57" s="37">
        <v>0.37027052060356908</v>
      </c>
      <c r="D57" s="38" t="s">
        <v>53</v>
      </c>
      <c r="E57" s="36">
        <v>60.448493743344144</v>
      </c>
      <c r="F57" s="37">
        <v>1.2967352404658865</v>
      </c>
      <c r="G57" s="38" t="s">
        <v>53</v>
      </c>
      <c r="H57" s="36">
        <v>58.746564010102951</v>
      </c>
      <c r="I57" s="37">
        <v>1.373070922481191</v>
      </c>
      <c r="J57" s="38" t="s">
        <v>53</v>
      </c>
      <c r="K57" s="36">
        <v>67.020963087016824</v>
      </c>
      <c r="L57" s="37">
        <v>3.4232907934023205</v>
      </c>
      <c r="M57" s="38" t="s">
        <v>53</v>
      </c>
      <c r="N57" s="36">
        <v>62.89183483039595</v>
      </c>
      <c r="O57" s="37">
        <v>4.0882059406009814</v>
      </c>
      <c r="P57" s="38" t="s">
        <v>53</v>
      </c>
      <c r="Q57" s="36">
        <v>72.813674742295177</v>
      </c>
      <c r="R57" s="37">
        <v>5.0224782496126323</v>
      </c>
      <c r="S57" s="38" t="s">
        <v>53</v>
      </c>
      <c r="T57" s="16">
        <v>1.4352432758426132</v>
      </c>
      <c r="U57" s="17">
        <v>0.24040380638200026</v>
      </c>
      <c r="V57" s="38" t="s">
        <v>53</v>
      </c>
      <c r="W57" s="16">
        <v>1.4177401236042022</v>
      </c>
      <c r="X57" s="17">
        <v>0.24760643129051477</v>
      </c>
      <c r="Y57" s="39" t="s">
        <v>53</v>
      </c>
    </row>
    <row r="58" spans="1:25" x14ac:dyDescent="0.25">
      <c r="A58" s="15" t="s">
        <v>172</v>
      </c>
      <c r="B58" s="36">
        <v>4.1471741637499493</v>
      </c>
      <c r="C58" s="37">
        <v>0.3187600924711777</v>
      </c>
      <c r="D58" s="38" t="s">
        <v>53</v>
      </c>
      <c r="E58" s="36">
        <v>23.41027375089611</v>
      </c>
      <c r="F58" s="37">
        <v>1.0357952777759014</v>
      </c>
      <c r="G58" s="38" t="s">
        <v>53</v>
      </c>
      <c r="H58" s="36">
        <v>22.638927419069972</v>
      </c>
      <c r="I58" s="37">
        <v>1.0431547683149256</v>
      </c>
      <c r="J58" s="38" t="s">
        <v>53</v>
      </c>
      <c r="K58" s="36">
        <v>34.009258941881676</v>
      </c>
      <c r="L58" s="37">
        <v>3.5539887855969274</v>
      </c>
      <c r="M58" s="38" t="s">
        <v>53</v>
      </c>
      <c r="N58" s="36">
        <v>31.428594464250832</v>
      </c>
      <c r="O58" s="37">
        <v>3.4292197208604844</v>
      </c>
      <c r="P58" s="38" t="s">
        <v>53</v>
      </c>
      <c r="Q58" s="36">
        <v>39.881716595278441</v>
      </c>
      <c r="R58" s="37">
        <v>7.6678616905377694</v>
      </c>
      <c r="S58" s="38" t="s">
        <v>53</v>
      </c>
      <c r="T58" s="16">
        <v>1.7624486502236101</v>
      </c>
      <c r="U58" s="17">
        <v>0.27086752042047973</v>
      </c>
      <c r="V58" s="38" t="s">
        <v>53</v>
      </c>
      <c r="W58" s="16">
        <v>1.5809406212323949</v>
      </c>
      <c r="X58" s="17">
        <v>0.28099647408619943</v>
      </c>
      <c r="Y58" s="39" t="s">
        <v>53</v>
      </c>
    </row>
    <row r="59" spans="1:25" x14ac:dyDescent="0.25">
      <c r="A59" s="15" t="s">
        <v>173</v>
      </c>
      <c r="B59" s="36">
        <v>2.8167785120561701</v>
      </c>
      <c r="C59" s="37">
        <v>0.32525593627930094</v>
      </c>
      <c r="D59" s="38" t="s">
        <v>53</v>
      </c>
      <c r="E59" s="36">
        <v>53.675067738587003</v>
      </c>
      <c r="F59" s="37">
        <v>1.6423300595733195</v>
      </c>
      <c r="G59" s="38" t="s">
        <v>53</v>
      </c>
      <c r="H59" s="36">
        <v>52.642656895889353</v>
      </c>
      <c r="I59" s="37">
        <v>1.6770595278132943</v>
      </c>
      <c r="J59" s="38" t="s">
        <v>53</v>
      </c>
      <c r="K59" s="36">
        <v>62.453495926052391</v>
      </c>
      <c r="L59" s="37">
        <v>4.2927992525789822</v>
      </c>
      <c r="M59" s="38" t="s">
        <v>53</v>
      </c>
      <c r="N59" s="36">
        <v>55.410811673850191</v>
      </c>
      <c r="O59" s="37">
        <v>6.5345576578089384</v>
      </c>
      <c r="P59" s="38" t="s">
        <v>53</v>
      </c>
      <c r="Q59" s="36">
        <v>69.56529711335854</v>
      </c>
      <c r="R59" s="37">
        <v>6.4870523249718079</v>
      </c>
      <c r="S59" s="38" t="s">
        <v>53</v>
      </c>
      <c r="T59" s="16">
        <v>1.5005276077684035</v>
      </c>
      <c r="U59" s="17">
        <v>0.2766363666973819</v>
      </c>
      <c r="V59" s="38" t="s">
        <v>53</v>
      </c>
      <c r="W59" s="16">
        <v>1.7898195009117708</v>
      </c>
      <c r="X59" s="17">
        <v>0.36381140633577957</v>
      </c>
      <c r="Y59" s="39" t="s">
        <v>53</v>
      </c>
    </row>
    <row r="60" spans="1:25" x14ac:dyDescent="0.25">
      <c r="A60" s="15" t="s">
        <v>174</v>
      </c>
      <c r="B60" s="36">
        <v>0.60093706095619004</v>
      </c>
      <c r="C60" s="37">
        <v>9.1503247379800104E-2</v>
      </c>
      <c r="D60" s="38" t="s">
        <v>53</v>
      </c>
      <c r="E60" s="36">
        <v>49.953882320697204</v>
      </c>
      <c r="F60" s="37">
        <v>0.90360916904407251</v>
      </c>
      <c r="G60" s="38" t="s">
        <v>53</v>
      </c>
      <c r="H60" s="36">
        <v>48.087111107302441</v>
      </c>
      <c r="I60" s="37">
        <v>0.89981863916039284</v>
      </c>
      <c r="J60" s="38" t="s">
        <v>53</v>
      </c>
      <c r="K60" s="36">
        <v>89.314406124456298</v>
      </c>
      <c r="L60" s="37">
        <v>4.2302008690822746</v>
      </c>
      <c r="M60" s="38" t="s">
        <v>53</v>
      </c>
      <c r="N60" s="36">
        <v>88.090967669585922</v>
      </c>
      <c r="O60" s="37">
        <v>6.0813849163677105</v>
      </c>
      <c r="P60" s="38" t="s">
        <v>53</v>
      </c>
      <c r="Q60" s="36" t="s">
        <v>55</v>
      </c>
      <c r="R60" s="37" t="s">
        <v>55</v>
      </c>
      <c r="S60" s="38" t="s">
        <v>53</v>
      </c>
      <c r="T60" s="16">
        <v>9.3976970034939811</v>
      </c>
      <c r="U60" s="17">
        <v>5.0057742662693965</v>
      </c>
      <c r="V60" s="38" t="s">
        <v>53</v>
      </c>
      <c r="W60" s="16">
        <v>9.9912811800692847</v>
      </c>
      <c r="X60" s="17">
        <v>5.7346905260695449</v>
      </c>
      <c r="Y60" s="39" t="s">
        <v>53</v>
      </c>
    </row>
    <row r="61" spans="1:25" x14ac:dyDescent="0.25">
      <c r="A61" s="15" t="s">
        <v>175</v>
      </c>
      <c r="B61" s="36">
        <v>8.1815056453733295</v>
      </c>
      <c r="C61" s="37">
        <v>0.28326741362616487</v>
      </c>
      <c r="D61" s="38" t="s">
        <v>53</v>
      </c>
      <c r="E61" s="36">
        <v>51.802488699809267</v>
      </c>
      <c r="F61" s="37">
        <v>0.60639646839756944</v>
      </c>
      <c r="G61" s="38" t="s">
        <v>53</v>
      </c>
      <c r="H61" s="36">
        <v>53.829152174196004</v>
      </c>
      <c r="I61" s="37">
        <v>0.64374175807816991</v>
      </c>
      <c r="J61" s="38" t="s">
        <v>53</v>
      </c>
      <c r="K61" s="36">
        <v>24.153292292428301</v>
      </c>
      <c r="L61" s="37">
        <v>1.8380634539740865</v>
      </c>
      <c r="M61" s="38" t="s">
        <v>53</v>
      </c>
      <c r="N61" s="36">
        <v>30.979212372061827</v>
      </c>
      <c r="O61" s="37">
        <v>3.6005072998878429</v>
      </c>
      <c r="P61" s="38" t="s">
        <v>53</v>
      </c>
      <c r="Q61" s="36">
        <v>20.278025538861982</v>
      </c>
      <c r="R61" s="37">
        <v>2.4281556038529688</v>
      </c>
      <c r="S61" s="38" t="s">
        <v>53</v>
      </c>
      <c r="T61" s="16">
        <v>0.27320204625306382</v>
      </c>
      <c r="U61" s="17">
        <v>2.7574822531170405E-2</v>
      </c>
      <c r="V61" s="38" t="s">
        <v>53</v>
      </c>
      <c r="W61" s="16">
        <v>0.51964428688501219</v>
      </c>
      <c r="X61" s="17">
        <v>6.4402961092705685E-2</v>
      </c>
      <c r="Y61" s="39" t="s">
        <v>53</v>
      </c>
    </row>
    <row r="62" spans="1:25" x14ac:dyDescent="0.25">
      <c r="A62" s="15" t="s">
        <v>176</v>
      </c>
      <c r="B62" s="36">
        <v>0.15768377421082</v>
      </c>
      <c r="C62" s="37">
        <v>6.2805617268880135E-2</v>
      </c>
      <c r="D62" s="38" t="s">
        <v>53</v>
      </c>
      <c r="E62" s="36">
        <v>5.1678040234260942</v>
      </c>
      <c r="F62" s="37">
        <v>0.60979603084987055</v>
      </c>
      <c r="G62" s="38" t="s">
        <v>53</v>
      </c>
      <c r="H62" s="36">
        <v>5.0116148467714474</v>
      </c>
      <c r="I62" s="37">
        <v>0.58988910672796835</v>
      </c>
      <c r="J62" s="38" t="s">
        <v>53</v>
      </c>
      <c r="K62" s="36" t="s">
        <v>55</v>
      </c>
      <c r="L62" s="37" t="s">
        <v>55</v>
      </c>
      <c r="M62" s="38" t="s">
        <v>53</v>
      </c>
      <c r="N62" s="36" t="s">
        <v>55</v>
      </c>
      <c r="O62" s="37" t="s">
        <v>55</v>
      </c>
      <c r="P62" s="38" t="s">
        <v>53</v>
      </c>
      <c r="Q62" s="36" t="s">
        <v>55</v>
      </c>
      <c r="R62" s="37" t="s">
        <v>55</v>
      </c>
      <c r="S62" s="38" t="s">
        <v>53</v>
      </c>
      <c r="T62" s="16" t="s">
        <v>56</v>
      </c>
      <c r="U62" s="17" t="s">
        <v>56</v>
      </c>
      <c r="V62" s="38" t="s">
        <v>53</v>
      </c>
      <c r="W62" s="16" t="s">
        <v>56</v>
      </c>
      <c r="X62" s="17" t="s">
        <v>56</v>
      </c>
      <c r="Y62" s="39" t="s">
        <v>53</v>
      </c>
    </row>
    <row r="63" spans="1:25" x14ac:dyDescent="0.25">
      <c r="A63" s="15" t="s">
        <v>177</v>
      </c>
      <c r="B63" s="36">
        <v>1.1491597012677</v>
      </c>
      <c r="C63" s="37">
        <v>0.16216895878777934</v>
      </c>
      <c r="D63" s="38" t="s">
        <v>53</v>
      </c>
      <c r="E63" s="36">
        <v>47.102802223720609</v>
      </c>
      <c r="F63" s="37">
        <v>1.6861565676553152</v>
      </c>
      <c r="G63" s="38" t="s">
        <v>53</v>
      </c>
      <c r="H63" s="36">
        <v>45.048798429732948</v>
      </c>
      <c r="I63" s="37">
        <v>1.6538205404965651</v>
      </c>
      <c r="J63" s="38" t="s">
        <v>53</v>
      </c>
      <c r="K63" s="36">
        <v>61.852577590116574</v>
      </c>
      <c r="L63" s="37">
        <v>6.8629513347102193</v>
      </c>
      <c r="M63" s="38" t="s">
        <v>53</v>
      </c>
      <c r="N63" s="36" t="s">
        <v>55</v>
      </c>
      <c r="O63" s="37" t="s">
        <v>55</v>
      </c>
      <c r="P63" s="38" t="s">
        <v>53</v>
      </c>
      <c r="Q63" s="36" t="s">
        <v>55</v>
      </c>
      <c r="R63" s="37" t="s">
        <v>55</v>
      </c>
      <c r="S63" s="38" t="s">
        <v>53</v>
      </c>
      <c r="T63" s="16">
        <v>2.0039921320501288</v>
      </c>
      <c r="U63" s="17">
        <v>0.62911535694303811</v>
      </c>
      <c r="V63" s="38" t="s">
        <v>53</v>
      </c>
      <c r="W63" s="16">
        <v>1.9892910389748981</v>
      </c>
      <c r="X63" s="17">
        <v>0.67436225729073673</v>
      </c>
      <c r="Y63" s="39" t="s">
        <v>53</v>
      </c>
    </row>
    <row r="64" spans="1:25" x14ac:dyDescent="0.25">
      <c r="A64" s="15" t="s">
        <v>178</v>
      </c>
      <c r="B64" s="36">
        <v>10.01996666433617</v>
      </c>
      <c r="C64" s="37">
        <v>0.67284872877412782</v>
      </c>
      <c r="D64" s="38" t="s">
        <v>53</v>
      </c>
      <c r="E64" s="36">
        <v>41.964855297286228</v>
      </c>
      <c r="F64" s="37">
        <v>1.6229005509637919</v>
      </c>
      <c r="G64" s="38" t="s">
        <v>53</v>
      </c>
      <c r="H64" s="36">
        <v>40.245233591253815</v>
      </c>
      <c r="I64" s="37">
        <v>1.6608991552513421</v>
      </c>
      <c r="J64" s="38" t="s">
        <v>53</v>
      </c>
      <c r="K64" s="36">
        <v>52.540661743346625</v>
      </c>
      <c r="L64" s="37">
        <v>2.7598142856961121</v>
      </c>
      <c r="M64" s="38" t="s">
        <v>53</v>
      </c>
      <c r="N64" s="36">
        <v>50.449346102547068</v>
      </c>
      <c r="O64" s="37">
        <v>3.1174319832989066</v>
      </c>
      <c r="P64" s="38" t="s">
        <v>53</v>
      </c>
      <c r="Q64" s="36">
        <v>56.929372514207287</v>
      </c>
      <c r="R64" s="37">
        <v>4.6000957344897504</v>
      </c>
      <c r="S64" s="38" t="s">
        <v>53</v>
      </c>
      <c r="T64" s="16">
        <v>1.6445756189892915</v>
      </c>
      <c r="U64" s="17">
        <v>0.17552550598811981</v>
      </c>
      <c r="V64" s="38" t="s">
        <v>53</v>
      </c>
      <c r="W64" s="16">
        <v>1.3640997747055552</v>
      </c>
      <c r="X64" s="17">
        <v>0.14503972279721314</v>
      </c>
      <c r="Y64" s="39" t="s">
        <v>53</v>
      </c>
    </row>
    <row r="65" spans="1:25" x14ac:dyDescent="0.25">
      <c r="A65" s="15" t="s">
        <v>179</v>
      </c>
      <c r="B65" s="36">
        <v>9.0899092610287795</v>
      </c>
      <c r="C65" s="37">
        <v>0.48598879590199862</v>
      </c>
      <c r="D65" s="38" t="s">
        <v>53</v>
      </c>
      <c r="E65" s="36">
        <v>21.578840306109836</v>
      </c>
      <c r="F65" s="37">
        <v>1.1598910866769081</v>
      </c>
      <c r="G65" s="38" t="s">
        <v>53</v>
      </c>
      <c r="H65" s="36">
        <v>20.985828342067549</v>
      </c>
      <c r="I65" s="37">
        <v>1.1387110473329198</v>
      </c>
      <c r="J65" s="38" t="s">
        <v>53</v>
      </c>
      <c r="K65" s="36">
        <v>22.18130353769482</v>
      </c>
      <c r="L65" s="37">
        <v>2.3087555441836418</v>
      </c>
      <c r="M65" s="38" t="s">
        <v>53</v>
      </c>
      <c r="N65" s="36">
        <v>21.417753630792188</v>
      </c>
      <c r="O65" s="37">
        <v>2.4649735862504403</v>
      </c>
      <c r="P65" s="38" t="s">
        <v>53</v>
      </c>
      <c r="Q65" s="36">
        <v>26.564879287626386</v>
      </c>
      <c r="R65" s="37">
        <v>5.4076302332503126</v>
      </c>
      <c r="S65" s="38" t="s">
        <v>53</v>
      </c>
      <c r="T65" s="16">
        <v>1.0741333273221425</v>
      </c>
      <c r="U65" s="17">
        <v>0.13870700607325634</v>
      </c>
      <c r="V65" s="38" t="s">
        <v>53</v>
      </c>
      <c r="W65" s="16">
        <v>0.93012078464203418</v>
      </c>
      <c r="X65" s="17">
        <v>0.12975047284773306</v>
      </c>
      <c r="Y65" s="39" t="s">
        <v>53</v>
      </c>
    </row>
    <row r="66" spans="1:25" x14ac:dyDescent="0.25">
      <c r="A66" s="15" t="s">
        <v>180</v>
      </c>
      <c r="B66" s="36">
        <v>14.787024402440979</v>
      </c>
      <c r="C66" s="37">
        <v>0.51722412147373786</v>
      </c>
      <c r="D66" s="38" t="s">
        <v>53</v>
      </c>
      <c r="E66" s="36">
        <v>43.707896895508718</v>
      </c>
      <c r="F66" s="37">
        <v>0.71665768350560421</v>
      </c>
      <c r="G66" s="38" t="s">
        <v>53</v>
      </c>
      <c r="H66" s="36">
        <v>42.886986652398321</v>
      </c>
      <c r="I66" s="37">
        <v>0.75137442409043043</v>
      </c>
      <c r="J66" s="38" t="s">
        <v>53</v>
      </c>
      <c r="K66" s="36">
        <v>43.228626206341247</v>
      </c>
      <c r="L66" s="37">
        <v>2.2910690224067087</v>
      </c>
      <c r="M66" s="38" t="s">
        <v>53</v>
      </c>
      <c r="N66" s="36">
        <v>47.67089455462807</v>
      </c>
      <c r="O66" s="37">
        <v>3.9754540737143769</v>
      </c>
      <c r="P66" s="38" t="s">
        <v>53</v>
      </c>
      <c r="Q66" s="36">
        <v>40.813520963026981</v>
      </c>
      <c r="R66" s="37">
        <v>2.6639720350089777</v>
      </c>
      <c r="S66" s="38" t="s">
        <v>53</v>
      </c>
      <c r="T66" s="16">
        <v>1.0149721441970274</v>
      </c>
      <c r="U66" s="17">
        <v>0.10162819018604725</v>
      </c>
      <c r="V66" s="38" t="s">
        <v>53</v>
      </c>
      <c r="W66" s="16">
        <v>0.92529393225611578</v>
      </c>
      <c r="X66" s="17">
        <v>0.13258476964542867</v>
      </c>
      <c r="Y66" s="39" t="s">
        <v>53</v>
      </c>
    </row>
    <row r="67" spans="1:25" x14ac:dyDescent="0.25">
      <c r="A67" s="15" t="s">
        <v>181</v>
      </c>
      <c r="B67" s="36">
        <v>2.92205315239196</v>
      </c>
      <c r="C67" s="37">
        <v>0.26890329558328008</v>
      </c>
      <c r="D67" s="38" t="s">
        <v>53</v>
      </c>
      <c r="E67" s="36">
        <v>79.059409639340359</v>
      </c>
      <c r="F67" s="37">
        <v>1.2866754984982374</v>
      </c>
      <c r="G67" s="38" t="s">
        <v>53</v>
      </c>
      <c r="H67" s="36">
        <v>77.626143787757641</v>
      </c>
      <c r="I67" s="37">
        <v>1.2962378887542532</v>
      </c>
      <c r="J67" s="38" t="s">
        <v>53</v>
      </c>
      <c r="K67" s="36">
        <v>82.228700268939122</v>
      </c>
      <c r="L67" s="37">
        <v>4.2277323107462603</v>
      </c>
      <c r="M67" s="38" t="s">
        <v>53</v>
      </c>
      <c r="N67" s="36">
        <v>85.062553130953205</v>
      </c>
      <c r="O67" s="37">
        <v>4.667104657270265</v>
      </c>
      <c r="P67" s="38" t="s">
        <v>53</v>
      </c>
      <c r="Q67" s="36">
        <v>78.773754057243778</v>
      </c>
      <c r="R67" s="37">
        <v>6.1214694967181771</v>
      </c>
      <c r="S67" s="38" t="s">
        <v>53</v>
      </c>
      <c r="T67" s="16">
        <v>1.3403009662904741</v>
      </c>
      <c r="U67" s="17">
        <v>0.35900386517211119</v>
      </c>
      <c r="V67" s="38" t="s">
        <v>53</v>
      </c>
      <c r="W67" s="16">
        <v>1.2827315317976684</v>
      </c>
      <c r="X67" s="17">
        <v>0.36337013842943561</v>
      </c>
      <c r="Y67" s="39" t="s">
        <v>53</v>
      </c>
    </row>
    <row r="68" spans="1:25" x14ac:dyDescent="0.25">
      <c r="A68" s="15" t="s">
        <v>182</v>
      </c>
      <c r="B68" s="36">
        <v>1.36463088083532</v>
      </c>
      <c r="C68" s="37">
        <v>0.19590177383249022</v>
      </c>
      <c r="D68" s="38" t="s">
        <v>53</v>
      </c>
      <c r="E68" s="36">
        <v>64.37626653392681</v>
      </c>
      <c r="F68" s="37">
        <v>1.1125533643947452</v>
      </c>
      <c r="G68" s="38" t="s">
        <v>53</v>
      </c>
      <c r="H68" s="36">
        <v>62.817652756509858</v>
      </c>
      <c r="I68" s="37">
        <v>1.136671694761431</v>
      </c>
      <c r="J68" s="38" t="s">
        <v>53</v>
      </c>
      <c r="K68" s="36">
        <v>83.384100652545612</v>
      </c>
      <c r="L68" s="37">
        <v>4.951148022574853</v>
      </c>
      <c r="M68" s="38" t="s">
        <v>53</v>
      </c>
      <c r="N68" s="36">
        <v>86.857773062983824</v>
      </c>
      <c r="O68" s="37">
        <v>5.7614034532781186</v>
      </c>
      <c r="P68" s="38" t="s">
        <v>53</v>
      </c>
      <c r="Q68" s="36" t="s">
        <v>55</v>
      </c>
      <c r="R68" s="37" t="s">
        <v>55</v>
      </c>
      <c r="S68" s="38" t="s">
        <v>53</v>
      </c>
      <c r="T68" s="16">
        <v>3.0108491297912892</v>
      </c>
      <c r="U68" s="17">
        <v>1.1118229188054591</v>
      </c>
      <c r="V68" s="38" t="s">
        <v>53</v>
      </c>
      <c r="W68" s="16">
        <v>3.2056255167293823</v>
      </c>
      <c r="X68" s="17">
        <v>1.300144603422607</v>
      </c>
      <c r="Y68" s="39" t="s">
        <v>53</v>
      </c>
    </row>
    <row r="69" spans="1:25" x14ac:dyDescent="0.25">
      <c r="A69" s="15" t="s">
        <v>229</v>
      </c>
      <c r="B69" s="36">
        <v>37.911634723302051</v>
      </c>
      <c r="C69" s="37">
        <v>1.3286600569122331</v>
      </c>
      <c r="D69" s="38" t="s">
        <v>53</v>
      </c>
      <c r="E69" s="36">
        <v>12.597968545899693</v>
      </c>
      <c r="F69" s="37">
        <v>0.76302113413390127</v>
      </c>
      <c r="G69" s="38" t="s">
        <v>53</v>
      </c>
      <c r="H69" s="36">
        <v>11.555557279449852</v>
      </c>
      <c r="I69" s="37">
        <v>0.76370268873419245</v>
      </c>
      <c r="J69" s="38" t="s">
        <v>53</v>
      </c>
      <c r="K69" s="36">
        <v>12.679355200986997</v>
      </c>
      <c r="L69" s="37">
        <v>1.3924553950991503</v>
      </c>
      <c r="M69" s="38" t="s">
        <v>53</v>
      </c>
      <c r="N69" s="36">
        <v>10.418703260701903</v>
      </c>
      <c r="O69" s="37">
        <v>1.2385960515009309</v>
      </c>
      <c r="P69" s="38" t="s">
        <v>53</v>
      </c>
      <c r="Q69" s="36">
        <v>17.090424866578179</v>
      </c>
      <c r="R69" s="37">
        <v>2.271697107402844</v>
      </c>
      <c r="S69" s="38" t="s">
        <v>53</v>
      </c>
      <c r="T69" s="16">
        <v>1.1120944424312598</v>
      </c>
      <c r="U69" s="17">
        <v>0.15671416509041167</v>
      </c>
      <c r="V69" s="38" t="s">
        <v>53</v>
      </c>
      <c r="W69" s="16">
        <v>0.80453786993095899</v>
      </c>
      <c r="X69" s="17">
        <v>0.10945721643710291</v>
      </c>
      <c r="Y69" s="39" t="s">
        <v>53</v>
      </c>
    </row>
    <row r="70" spans="1:25" x14ac:dyDescent="0.25">
      <c r="A70" s="15" t="s">
        <v>183</v>
      </c>
      <c r="B70" s="36">
        <v>0.25111855353339002</v>
      </c>
      <c r="C70" s="37">
        <v>6.652373962470863E-2</v>
      </c>
      <c r="D70" s="38" t="s">
        <v>53</v>
      </c>
      <c r="E70" s="36">
        <v>69.908264397844817</v>
      </c>
      <c r="F70" s="37">
        <v>1.4245701976604332</v>
      </c>
      <c r="G70" s="38" t="s">
        <v>53</v>
      </c>
      <c r="H70" s="36">
        <v>69.273046779517117</v>
      </c>
      <c r="I70" s="37">
        <v>1.4653988697828588</v>
      </c>
      <c r="J70" s="38" t="s">
        <v>53</v>
      </c>
      <c r="K70" s="36">
        <v>99.287126882777017</v>
      </c>
      <c r="L70" s="37">
        <v>0.79251976260955381</v>
      </c>
      <c r="M70" s="38" t="s">
        <v>53</v>
      </c>
      <c r="N70" s="36" t="s">
        <v>55</v>
      </c>
      <c r="O70" s="37" t="s">
        <v>55</v>
      </c>
      <c r="P70" s="38" t="s">
        <v>53</v>
      </c>
      <c r="Q70" s="36" t="s">
        <v>55</v>
      </c>
      <c r="R70" s="37" t="s">
        <v>55</v>
      </c>
      <c r="S70" s="38" t="s">
        <v>53</v>
      </c>
      <c r="T70" s="16" t="s">
        <v>55</v>
      </c>
      <c r="U70" s="17" t="s">
        <v>55</v>
      </c>
      <c r="V70" s="38" t="s">
        <v>53</v>
      </c>
      <c r="W70" s="16" t="s">
        <v>55</v>
      </c>
      <c r="X70" s="17" t="s">
        <v>55</v>
      </c>
      <c r="Y70" s="39" t="s">
        <v>53</v>
      </c>
    </row>
    <row r="71" spans="1:25" x14ac:dyDescent="0.25">
      <c r="A71" s="15" t="s">
        <v>184</v>
      </c>
      <c r="B71" s="36">
        <v>11.560156863178021</v>
      </c>
      <c r="C71" s="37">
        <v>0.53282256980001497</v>
      </c>
      <c r="D71" s="38" t="s">
        <v>53</v>
      </c>
      <c r="E71" s="36">
        <v>41.225404652665389</v>
      </c>
      <c r="F71" s="37">
        <v>1.4049517581070852</v>
      </c>
      <c r="G71" s="38" t="s">
        <v>53</v>
      </c>
      <c r="H71" s="36">
        <v>40.84391459623987</v>
      </c>
      <c r="I71" s="37">
        <v>1.3997042332326277</v>
      </c>
      <c r="J71" s="38" t="s">
        <v>53</v>
      </c>
      <c r="K71" s="36">
        <v>35.627990929653564</v>
      </c>
      <c r="L71" s="37">
        <v>2.3126837121686403</v>
      </c>
      <c r="M71" s="38" t="s">
        <v>53</v>
      </c>
      <c r="N71" s="36">
        <v>35.359976248629323</v>
      </c>
      <c r="O71" s="37">
        <v>2.8509038825046811</v>
      </c>
      <c r="P71" s="38" t="s">
        <v>53</v>
      </c>
      <c r="Q71" s="36">
        <v>35.968031206734615</v>
      </c>
      <c r="R71" s="37">
        <v>3.1743971982626094</v>
      </c>
      <c r="S71" s="38" t="s">
        <v>53</v>
      </c>
      <c r="T71" s="16">
        <v>0.80198413580327665</v>
      </c>
      <c r="U71" s="17">
        <v>7.2054202421492589E-2</v>
      </c>
      <c r="V71" s="38" t="s">
        <v>53</v>
      </c>
      <c r="W71" s="16">
        <v>0.7490385918176744</v>
      </c>
      <c r="X71" s="17">
        <v>7.6438691312448667E-2</v>
      </c>
      <c r="Y71" s="39" t="s">
        <v>53</v>
      </c>
    </row>
    <row r="72" spans="1:25" x14ac:dyDescent="0.25">
      <c r="A72" s="15" t="s">
        <v>185</v>
      </c>
      <c r="B72" s="36">
        <v>8.2053827048399288</v>
      </c>
      <c r="C72" s="37">
        <v>0.44928776108302504</v>
      </c>
      <c r="D72" s="38" t="s">
        <v>53</v>
      </c>
      <c r="E72" s="36">
        <v>64.189705007489238</v>
      </c>
      <c r="F72" s="37">
        <v>0.73053206577131469</v>
      </c>
      <c r="G72" s="38" t="s">
        <v>53</v>
      </c>
      <c r="H72" s="36">
        <v>63.315668420607409</v>
      </c>
      <c r="I72" s="37">
        <v>0.77992493259380702</v>
      </c>
      <c r="J72" s="38" t="s">
        <v>53</v>
      </c>
      <c r="K72" s="36">
        <v>69.488777443411848</v>
      </c>
      <c r="L72" s="37">
        <v>1.8078951620790551</v>
      </c>
      <c r="M72" s="38" t="s">
        <v>53</v>
      </c>
      <c r="N72" s="36">
        <v>63.457220570087905</v>
      </c>
      <c r="O72" s="37">
        <v>2.6021322741722703</v>
      </c>
      <c r="P72" s="38" t="s">
        <v>53</v>
      </c>
      <c r="Q72" s="36">
        <v>75.735999962440133</v>
      </c>
      <c r="R72" s="37">
        <v>2.1531317580663076</v>
      </c>
      <c r="S72" s="38" t="s">
        <v>53</v>
      </c>
      <c r="T72" s="16">
        <v>1.3202696691059856</v>
      </c>
      <c r="U72" s="17">
        <v>0.12036048506184445</v>
      </c>
      <c r="V72" s="38" t="s">
        <v>53</v>
      </c>
      <c r="W72" s="16">
        <v>1.1088849487438919</v>
      </c>
      <c r="X72" s="17">
        <v>9.7868861555705428E-2</v>
      </c>
      <c r="Y72" s="39" t="s">
        <v>53</v>
      </c>
    </row>
    <row r="73" spans="1:25" x14ac:dyDescent="0.25">
      <c r="A73" s="15" t="s">
        <v>186</v>
      </c>
      <c r="B73" s="36">
        <v>1.14746077693674</v>
      </c>
      <c r="C73" s="37">
        <v>0.19367278405325103</v>
      </c>
      <c r="D73" s="38" t="s">
        <v>53</v>
      </c>
      <c r="E73" s="36">
        <v>78.746304591160211</v>
      </c>
      <c r="F73" s="37">
        <v>0.64539640231811046</v>
      </c>
      <c r="G73" s="38" t="s">
        <v>53</v>
      </c>
      <c r="H73" s="36">
        <v>78.246024803442168</v>
      </c>
      <c r="I73" s="37">
        <v>0.67271918439730061</v>
      </c>
      <c r="J73" s="38" t="s">
        <v>53</v>
      </c>
      <c r="K73" s="36">
        <v>88.472001847915806</v>
      </c>
      <c r="L73" s="37">
        <v>5.2250134666548398</v>
      </c>
      <c r="M73" s="38" t="s">
        <v>53</v>
      </c>
      <c r="N73" s="36">
        <v>86.554992443741696</v>
      </c>
      <c r="O73" s="37">
        <v>6.731362415801506</v>
      </c>
      <c r="P73" s="38" t="s">
        <v>53</v>
      </c>
      <c r="Q73" s="36" t="s">
        <v>55</v>
      </c>
      <c r="R73" s="37" t="s">
        <v>55</v>
      </c>
      <c r="S73" s="38" t="s">
        <v>53</v>
      </c>
      <c r="T73" s="16">
        <v>2.2942485231117962</v>
      </c>
      <c r="U73" s="17">
        <v>1.5260240600892601</v>
      </c>
      <c r="V73" s="38" t="s">
        <v>53</v>
      </c>
      <c r="W73" s="16">
        <v>3.3735972262622398</v>
      </c>
      <c r="X73" s="17">
        <v>2.2395131072256382</v>
      </c>
      <c r="Y73" s="39" t="s">
        <v>53</v>
      </c>
    </row>
    <row r="74" spans="1:25" x14ac:dyDescent="0.25">
      <c r="A74" s="15" t="s">
        <v>187</v>
      </c>
      <c r="B74" s="36">
        <v>5.9837011847694299</v>
      </c>
      <c r="C74" s="37">
        <v>0.46419035772446388</v>
      </c>
      <c r="D74" s="38" t="s">
        <v>53</v>
      </c>
      <c r="E74" s="36">
        <v>67.769510783379872</v>
      </c>
      <c r="F74" s="37">
        <v>1.5242364141031473</v>
      </c>
      <c r="G74" s="38" t="s">
        <v>53</v>
      </c>
      <c r="H74" s="36">
        <v>64.661884194696825</v>
      </c>
      <c r="I74" s="37">
        <v>1.5928665922849847</v>
      </c>
      <c r="J74" s="38" t="s">
        <v>53</v>
      </c>
      <c r="K74" s="36">
        <v>79.600741587443295</v>
      </c>
      <c r="L74" s="37">
        <v>3.3550707236839274</v>
      </c>
      <c r="M74" s="38" t="s">
        <v>53</v>
      </c>
      <c r="N74" s="36">
        <v>78.030885904152996</v>
      </c>
      <c r="O74" s="37">
        <v>4.6995049462687746</v>
      </c>
      <c r="P74" s="38" t="s">
        <v>53</v>
      </c>
      <c r="Q74" s="36">
        <v>80.431839797591437</v>
      </c>
      <c r="R74" s="37">
        <v>3.9480290858488032</v>
      </c>
      <c r="S74" s="38" t="s">
        <v>53</v>
      </c>
      <c r="T74" s="16">
        <v>2.1449596022962463</v>
      </c>
      <c r="U74" s="17">
        <v>0.43954970603334031</v>
      </c>
      <c r="V74" s="38" t="s">
        <v>53</v>
      </c>
      <c r="W74" s="16">
        <v>2.0704752376165634</v>
      </c>
      <c r="X74" s="17">
        <v>0.55725208524367131</v>
      </c>
      <c r="Y74" s="39" t="s">
        <v>53</v>
      </c>
    </row>
    <row r="75" spans="1:25" x14ac:dyDescent="0.25">
      <c r="A75" s="15" t="s">
        <v>188</v>
      </c>
      <c r="B75" s="36">
        <v>62.874218024546593</v>
      </c>
      <c r="C75" s="37">
        <v>0.67146253797098432</v>
      </c>
      <c r="D75" s="38" t="s">
        <v>53</v>
      </c>
      <c r="E75" s="36">
        <v>10.803240438035591</v>
      </c>
      <c r="F75" s="37">
        <v>0.53248942430389368</v>
      </c>
      <c r="G75" s="38" t="s">
        <v>53</v>
      </c>
      <c r="H75" s="36">
        <v>14.177331546228306</v>
      </c>
      <c r="I75" s="37">
        <v>0.9593269331592611</v>
      </c>
      <c r="J75" s="38" t="s">
        <v>53</v>
      </c>
      <c r="K75" s="36">
        <v>8.7961553235025836</v>
      </c>
      <c r="L75" s="37">
        <v>0.62411839131151459</v>
      </c>
      <c r="M75" s="38" t="s">
        <v>53</v>
      </c>
      <c r="N75" s="36">
        <v>9.6222804075434425</v>
      </c>
      <c r="O75" s="37">
        <v>0.91714670773899842</v>
      </c>
      <c r="P75" s="38" t="s">
        <v>53</v>
      </c>
      <c r="Q75" s="36">
        <v>7.6306985144300343</v>
      </c>
      <c r="R75" s="37">
        <v>0.8877015987300787</v>
      </c>
      <c r="S75" s="38" t="s">
        <v>53</v>
      </c>
      <c r="T75" s="16">
        <v>0.5845040084746469</v>
      </c>
      <c r="U75" s="17">
        <v>6.3443693286678246E-2</v>
      </c>
      <c r="V75" s="38" t="s">
        <v>53</v>
      </c>
      <c r="W75" s="16">
        <v>0.54055661573720681</v>
      </c>
      <c r="X75" s="17">
        <v>6.0090064345795224E-2</v>
      </c>
      <c r="Y75" s="39" t="s">
        <v>53</v>
      </c>
    </row>
    <row r="76" spans="1:25" x14ac:dyDescent="0.25">
      <c r="A76" s="15" t="s">
        <v>189</v>
      </c>
      <c r="B76" s="36">
        <v>1.64809151960093</v>
      </c>
      <c r="C76" s="37">
        <v>0.22052586057016099</v>
      </c>
      <c r="D76" s="38" t="s">
        <v>53</v>
      </c>
      <c r="E76" s="36">
        <v>45.832798857242615</v>
      </c>
      <c r="F76" s="37">
        <v>1.4078739689742037</v>
      </c>
      <c r="G76" s="38" t="s">
        <v>53</v>
      </c>
      <c r="H76" s="36">
        <v>44.747065289015083</v>
      </c>
      <c r="I76" s="37">
        <v>1.4060828195709867</v>
      </c>
      <c r="J76" s="38" t="s">
        <v>53</v>
      </c>
      <c r="K76" s="36">
        <v>47.77408539901343</v>
      </c>
      <c r="L76" s="37">
        <v>7.4902818748619273</v>
      </c>
      <c r="M76" s="38" t="s">
        <v>53</v>
      </c>
      <c r="N76" s="36">
        <v>46.009657632346247</v>
      </c>
      <c r="O76" s="37">
        <v>7.1283983696533246</v>
      </c>
      <c r="P76" s="38" t="s">
        <v>53</v>
      </c>
      <c r="Q76" s="36" t="s">
        <v>55</v>
      </c>
      <c r="R76" s="37" t="s">
        <v>55</v>
      </c>
      <c r="S76" s="38" t="s">
        <v>53</v>
      </c>
      <c r="T76" s="16">
        <v>1.1362764593401982</v>
      </c>
      <c r="U76" s="17">
        <v>0.35061304172855484</v>
      </c>
      <c r="V76" s="38" t="s">
        <v>53</v>
      </c>
      <c r="W76" s="16">
        <v>1.0308067811507964</v>
      </c>
      <c r="X76" s="17">
        <v>0.30915517152606892</v>
      </c>
      <c r="Y76" s="39" t="s">
        <v>53</v>
      </c>
    </row>
    <row r="77" spans="1:25" x14ac:dyDescent="0.25">
      <c r="A77" s="15" t="s">
        <v>190</v>
      </c>
      <c r="B77" s="36">
        <v>8.7884460025211002</v>
      </c>
      <c r="C77" s="37">
        <v>0.43858351153635072</v>
      </c>
      <c r="D77" s="38" t="s">
        <v>53</v>
      </c>
      <c r="E77" s="36">
        <v>35.885901919867898</v>
      </c>
      <c r="F77" s="37">
        <v>0.81843458265459712</v>
      </c>
      <c r="G77" s="38" t="s">
        <v>53</v>
      </c>
      <c r="H77" s="36">
        <v>34.446251139572048</v>
      </c>
      <c r="I77" s="37">
        <v>0.85930743777594987</v>
      </c>
      <c r="J77" s="38" t="s">
        <v>53</v>
      </c>
      <c r="K77" s="36">
        <v>35.334521786958753</v>
      </c>
      <c r="L77" s="37">
        <v>3.1909757034641819</v>
      </c>
      <c r="M77" s="38" t="s">
        <v>53</v>
      </c>
      <c r="N77" s="36">
        <v>39.639244126540959</v>
      </c>
      <c r="O77" s="37">
        <v>6.3691717488898973</v>
      </c>
      <c r="P77" s="38" t="s">
        <v>53</v>
      </c>
      <c r="Q77" s="36">
        <v>33.947857887640751</v>
      </c>
      <c r="R77" s="37">
        <v>3.8140854384738381</v>
      </c>
      <c r="S77" s="38" t="s">
        <v>53</v>
      </c>
      <c r="T77" s="16">
        <v>1.0418425087602585</v>
      </c>
      <c r="U77" s="17">
        <v>0.15404337568415477</v>
      </c>
      <c r="V77" s="38" t="s">
        <v>53</v>
      </c>
      <c r="W77" s="16">
        <v>1.2338859846499883</v>
      </c>
      <c r="X77" s="17">
        <v>0.2138903316195756</v>
      </c>
      <c r="Y77" s="39" t="s">
        <v>53</v>
      </c>
    </row>
    <row r="78" spans="1:25" x14ac:dyDescent="0.25">
      <c r="A78" s="15" t="s">
        <v>191</v>
      </c>
      <c r="B78" s="36">
        <v>1.44652346304573</v>
      </c>
      <c r="C78" s="37">
        <v>0.16410339723422637</v>
      </c>
      <c r="D78" s="38" t="s">
        <v>53</v>
      </c>
      <c r="E78" s="36">
        <v>42.999746558992221</v>
      </c>
      <c r="F78" s="37">
        <v>1.1471327480622506</v>
      </c>
      <c r="G78" s="38" t="s">
        <v>53</v>
      </c>
      <c r="H78" s="36">
        <v>41.447287347010999</v>
      </c>
      <c r="I78" s="37">
        <v>1.1656068850370844</v>
      </c>
      <c r="J78" s="38" t="s">
        <v>53</v>
      </c>
      <c r="K78" s="36">
        <v>40.718795481410439</v>
      </c>
      <c r="L78" s="37">
        <v>6.6233503768699045</v>
      </c>
      <c r="M78" s="38" t="s">
        <v>53</v>
      </c>
      <c r="N78" s="36">
        <v>39.49259889090316</v>
      </c>
      <c r="O78" s="37">
        <v>7.3657731927337542</v>
      </c>
      <c r="P78" s="38" t="s">
        <v>53</v>
      </c>
      <c r="Q78" s="36" t="s">
        <v>55</v>
      </c>
      <c r="R78" s="37" t="s">
        <v>55</v>
      </c>
      <c r="S78" s="38" t="s">
        <v>53</v>
      </c>
      <c r="T78" s="16">
        <v>0.97657120166919753</v>
      </c>
      <c r="U78" s="17">
        <v>0.27490346822110967</v>
      </c>
      <c r="V78" s="38" t="s">
        <v>53</v>
      </c>
      <c r="W78" s="16">
        <v>1.3539210620121502</v>
      </c>
      <c r="X78" s="17">
        <v>0.43585289453417247</v>
      </c>
      <c r="Y78" s="39" t="s">
        <v>53</v>
      </c>
    </row>
    <row r="79" spans="1:25" x14ac:dyDescent="0.25">
      <c r="A79" s="15" t="s">
        <v>192</v>
      </c>
      <c r="B79" s="36">
        <v>5.7995230908142004</v>
      </c>
      <c r="C79" s="37">
        <v>0.29347800153195563</v>
      </c>
      <c r="D79" s="38" t="s">
        <v>53</v>
      </c>
      <c r="E79" s="36">
        <v>44.419399588987282</v>
      </c>
      <c r="F79" s="37">
        <v>0.69069130257709588</v>
      </c>
      <c r="G79" s="38" t="s">
        <v>53</v>
      </c>
      <c r="H79" s="36">
        <v>44.178524461704022</v>
      </c>
      <c r="I79" s="37">
        <v>0.72583373112391969</v>
      </c>
      <c r="J79" s="38" t="s">
        <v>53</v>
      </c>
      <c r="K79" s="36">
        <v>40.177840729109107</v>
      </c>
      <c r="L79" s="37">
        <v>2.873819681351383</v>
      </c>
      <c r="M79" s="38" t="s">
        <v>53</v>
      </c>
      <c r="N79" s="36">
        <v>36.86645400619701</v>
      </c>
      <c r="O79" s="37">
        <v>3.9674150395901995</v>
      </c>
      <c r="P79" s="38" t="s">
        <v>53</v>
      </c>
      <c r="Q79" s="36">
        <v>45.581644079023455</v>
      </c>
      <c r="R79" s="37">
        <v>3.9307124493582339</v>
      </c>
      <c r="S79" s="38" t="s">
        <v>53</v>
      </c>
      <c r="T79" s="16">
        <v>0.84915580877968844</v>
      </c>
      <c r="U79" s="17">
        <v>0.10305800932193633</v>
      </c>
      <c r="V79" s="38" t="s">
        <v>53</v>
      </c>
      <c r="W79" s="16">
        <v>1.1696200628793598</v>
      </c>
      <c r="X79" s="17">
        <v>0.16019396032985472</v>
      </c>
      <c r="Y79" s="39" t="s">
        <v>53</v>
      </c>
    </row>
    <row r="80" spans="1:25" x14ac:dyDescent="0.25">
      <c r="A80" s="15" t="s">
        <v>193</v>
      </c>
      <c r="B80" s="36">
        <v>0.78286569411312001</v>
      </c>
      <c r="C80" s="37">
        <v>0.10751898920898106</v>
      </c>
      <c r="D80" s="38" t="s">
        <v>53</v>
      </c>
      <c r="E80" s="36">
        <v>73.309590211099035</v>
      </c>
      <c r="F80" s="37">
        <v>1.6191442909540648</v>
      </c>
      <c r="G80" s="38" t="s">
        <v>53</v>
      </c>
      <c r="H80" s="36">
        <v>72.608948517895485</v>
      </c>
      <c r="I80" s="37">
        <v>1.658314773825242</v>
      </c>
      <c r="J80" s="38" t="s">
        <v>53</v>
      </c>
      <c r="K80" s="36">
        <v>91.215019040146444</v>
      </c>
      <c r="L80" s="37">
        <v>3.9710026172401025</v>
      </c>
      <c r="M80" s="38" t="s">
        <v>53</v>
      </c>
      <c r="N80" s="36" t="s">
        <v>55</v>
      </c>
      <c r="O80" s="37" t="s">
        <v>55</v>
      </c>
      <c r="P80" s="38" t="s">
        <v>53</v>
      </c>
      <c r="Q80" s="36" t="s">
        <v>55</v>
      </c>
      <c r="R80" s="37" t="s">
        <v>55</v>
      </c>
      <c r="S80" s="38" t="s">
        <v>53</v>
      </c>
      <c r="T80" s="16">
        <v>4.0361671180877066</v>
      </c>
      <c r="U80" s="17">
        <v>2.6988179012332014</v>
      </c>
      <c r="V80" s="38" t="s">
        <v>53</v>
      </c>
      <c r="W80" s="16">
        <v>4.7784746849302415</v>
      </c>
      <c r="X80" s="17">
        <v>3.3448787504419943</v>
      </c>
      <c r="Y80" s="39" t="s">
        <v>53</v>
      </c>
    </row>
    <row r="81" spans="1:25" x14ac:dyDescent="0.25">
      <c r="A81" s="15" t="s">
        <v>194</v>
      </c>
      <c r="B81" s="36">
        <v>1.6242813171113197</v>
      </c>
      <c r="C81" s="37">
        <v>0.22955526457296968</v>
      </c>
      <c r="D81" s="38" t="s">
        <v>53</v>
      </c>
      <c r="E81" s="36">
        <v>55.136548837694498</v>
      </c>
      <c r="F81" s="37">
        <v>0.72945838756127268</v>
      </c>
      <c r="G81" s="38" t="s">
        <v>53</v>
      </c>
      <c r="H81" s="36">
        <v>53.49902303036211</v>
      </c>
      <c r="I81" s="37">
        <v>0.79920327596894025</v>
      </c>
      <c r="J81" s="38" t="s">
        <v>53</v>
      </c>
      <c r="K81" s="36">
        <v>65.539142443105987</v>
      </c>
      <c r="L81" s="37">
        <v>7.2641130270596586</v>
      </c>
      <c r="M81" s="38" t="s">
        <v>53</v>
      </c>
      <c r="N81" s="36">
        <v>62.835615083664806</v>
      </c>
      <c r="O81" s="37">
        <v>9.5090524164483679</v>
      </c>
      <c r="P81" s="38" t="s">
        <v>53</v>
      </c>
      <c r="Q81" s="36" t="s">
        <v>55</v>
      </c>
      <c r="R81" s="37" t="s">
        <v>55</v>
      </c>
      <c r="S81" s="38" t="s">
        <v>53</v>
      </c>
      <c r="T81" s="16">
        <v>1.6731726845105195</v>
      </c>
      <c r="U81" s="17">
        <v>0.52766306442028865</v>
      </c>
      <c r="V81" s="38" t="s">
        <v>53</v>
      </c>
      <c r="W81" s="16">
        <v>1.7825737319435069</v>
      </c>
      <c r="X81" s="17">
        <v>0.6261904394311143</v>
      </c>
      <c r="Y81" s="39" t="s">
        <v>53</v>
      </c>
    </row>
    <row r="82" spans="1:25" x14ac:dyDescent="0.25">
      <c r="A82" s="15" t="s">
        <v>195</v>
      </c>
      <c r="B82" s="36">
        <v>5.9699964313614702</v>
      </c>
      <c r="C82" s="37">
        <v>0.73436898142229357</v>
      </c>
      <c r="D82" s="38" t="s">
        <v>53</v>
      </c>
      <c r="E82" s="36">
        <v>64.310326286303976</v>
      </c>
      <c r="F82" s="37">
        <v>1.416406081457803</v>
      </c>
      <c r="G82" s="38" t="s">
        <v>53</v>
      </c>
      <c r="H82" s="36">
        <v>62.991859034952036</v>
      </c>
      <c r="I82" s="37">
        <v>1.4503689430510351</v>
      </c>
      <c r="J82" s="38" t="s">
        <v>53</v>
      </c>
      <c r="K82" s="36">
        <v>51.102793963278067</v>
      </c>
      <c r="L82" s="37">
        <v>4.703287671433606</v>
      </c>
      <c r="M82" s="38" t="s">
        <v>53</v>
      </c>
      <c r="N82" s="36">
        <v>64.528149881010762</v>
      </c>
      <c r="O82" s="37">
        <v>7.5466353921986498</v>
      </c>
      <c r="P82" s="38" t="s">
        <v>53</v>
      </c>
      <c r="Q82" s="36">
        <v>43.908548570688133</v>
      </c>
      <c r="R82" s="37">
        <v>5.4329501808565581</v>
      </c>
      <c r="S82" s="38" t="s">
        <v>53</v>
      </c>
      <c r="T82" s="16">
        <v>0.61485610676860525</v>
      </c>
      <c r="U82" s="17">
        <v>0.11236279739072533</v>
      </c>
      <c r="V82" s="38" t="s">
        <v>53</v>
      </c>
      <c r="W82" s="16">
        <v>1.4336032314490701</v>
      </c>
      <c r="X82" s="17">
        <v>0.30225438749546535</v>
      </c>
      <c r="Y82" s="39" t="s">
        <v>53</v>
      </c>
    </row>
    <row r="83" spans="1:25" x14ac:dyDescent="0.25">
      <c r="A83" s="15" t="s">
        <v>196</v>
      </c>
      <c r="B83" s="36">
        <v>0.49027879925130002</v>
      </c>
      <c r="C83" s="37">
        <v>9.9801677578820164E-2</v>
      </c>
      <c r="D83" s="38" t="s">
        <v>53</v>
      </c>
      <c r="E83" s="36">
        <v>54.309498318568906</v>
      </c>
      <c r="F83" s="37">
        <v>1.3364531463893976</v>
      </c>
      <c r="G83" s="38" t="s">
        <v>53</v>
      </c>
      <c r="H83" s="36">
        <v>53.497503232599762</v>
      </c>
      <c r="I83" s="37">
        <v>1.3333342005075148</v>
      </c>
      <c r="J83" s="38" t="s">
        <v>53</v>
      </c>
      <c r="K83" s="36" t="s">
        <v>55</v>
      </c>
      <c r="L83" s="37" t="s">
        <v>55</v>
      </c>
      <c r="M83" s="38" t="s">
        <v>53</v>
      </c>
      <c r="N83" s="36" t="s">
        <v>55</v>
      </c>
      <c r="O83" s="37" t="s">
        <v>55</v>
      </c>
      <c r="P83" s="38" t="s">
        <v>53</v>
      </c>
      <c r="Q83" s="36" t="s">
        <v>55</v>
      </c>
      <c r="R83" s="37" t="s">
        <v>55</v>
      </c>
      <c r="S83" s="38" t="s">
        <v>53</v>
      </c>
      <c r="T83" s="16" t="s">
        <v>56</v>
      </c>
      <c r="U83" s="17" t="s">
        <v>56</v>
      </c>
      <c r="V83" s="38" t="s">
        <v>53</v>
      </c>
      <c r="W83" s="16" t="s">
        <v>56</v>
      </c>
      <c r="X83" s="17" t="s">
        <v>56</v>
      </c>
      <c r="Y83" s="39" t="s">
        <v>53</v>
      </c>
    </row>
    <row r="84" spans="1:25" x14ac:dyDescent="0.25">
      <c r="A84" s="15" t="s">
        <v>197</v>
      </c>
      <c r="B84" s="36">
        <v>1.0367394553478</v>
      </c>
      <c r="C84" s="37">
        <v>0.15659271343211417</v>
      </c>
      <c r="D84" s="38" t="s">
        <v>53</v>
      </c>
      <c r="E84" s="36">
        <v>80.622710648187436</v>
      </c>
      <c r="F84" s="37">
        <v>1.4169927139802763</v>
      </c>
      <c r="G84" s="38" t="s">
        <v>53</v>
      </c>
      <c r="H84" s="36">
        <v>79.589048496414662</v>
      </c>
      <c r="I84" s="37">
        <v>1.4738257123631531</v>
      </c>
      <c r="J84" s="38" t="s">
        <v>53</v>
      </c>
      <c r="K84" s="36">
        <v>89.691654839641515</v>
      </c>
      <c r="L84" s="37">
        <v>4.9488771658730748</v>
      </c>
      <c r="M84" s="38" t="s">
        <v>53</v>
      </c>
      <c r="N84" s="36" t="s">
        <v>55</v>
      </c>
      <c r="O84" s="37" t="s">
        <v>55</v>
      </c>
      <c r="P84" s="38" t="s">
        <v>53</v>
      </c>
      <c r="Q84" s="36">
        <v>92.165633167360994</v>
      </c>
      <c r="R84" s="37">
        <v>5.1044643309246158</v>
      </c>
      <c r="S84" s="38" t="s">
        <v>53</v>
      </c>
      <c r="T84" s="16">
        <v>2.25571980161437</v>
      </c>
      <c r="U84" s="17">
        <v>1.3198558742683779</v>
      </c>
      <c r="V84" s="38" t="s">
        <v>53</v>
      </c>
      <c r="W84" s="16">
        <v>3.3276187089712561</v>
      </c>
      <c r="X84" s="17">
        <v>2.0302091199548906</v>
      </c>
      <c r="Y84" s="39" t="s">
        <v>53</v>
      </c>
    </row>
    <row r="85" spans="1:25" x14ac:dyDescent="0.25">
      <c r="A85" s="15" t="s">
        <v>198</v>
      </c>
      <c r="B85" s="36">
        <v>56.805347904173566</v>
      </c>
      <c r="C85" s="37">
        <v>0.36922238395152129</v>
      </c>
      <c r="D85" s="38" t="s">
        <v>53</v>
      </c>
      <c r="E85" s="36">
        <v>50.895032922511326</v>
      </c>
      <c r="F85" s="37">
        <v>0.43376178607448757</v>
      </c>
      <c r="G85" s="38" t="s">
        <v>53</v>
      </c>
      <c r="H85" s="36">
        <v>65.966782056047265</v>
      </c>
      <c r="I85" s="37">
        <v>0.64666444697666592</v>
      </c>
      <c r="J85" s="38" t="s">
        <v>53</v>
      </c>
      <c r="K85" s="36">
        <v>36.473507924640217</v>
      </c>
      <c r="L85" s="37">
        <v>0.61680380062543427</v>
      </c>
      <c r="M85" s="38" t="s">
        <v>53</v>
      </c>
      <c r="N85" s="36">
        <v>43.772776386732644</v>
      </c>
      <c r="O85" s="37">
        <v>1.2414701849485694</v>
      </c>
      <c r="P85" s="38" t="s">
        <v>53</v>
      </c>
      <c r="Q85" s="36">
        <v>33.361794959025239</v>
      </c>
      <c r="R85" s="37">
        <v>0.68370722147399954</v>
      </c>
      <c r="S85" s="38" t="s">
        <v>53</v>
      </c>
      <c r="T85" s="16">
        <v>0.29623349270061433</v>
      </c>
      <c r="U85" s="17">
        <v>1.2156057822178653E-2</v>
      </c>
      <c r="V85" s="38" t="s">
        <v>53</v>
      </c>
      <c r="W85" s="16">
        <v>0.2887245752388673</v>
      </c>
      <c r="X85" s="17">
        <v>1.3587373699453058E-2</v>
      </c>
      <c r="Y85" s="39" t="s">
        <v>53</v>
      </c>
    </row>
    <row r="86" spans="1:25" x14ac:dyDescent="0.25">
      <c r="A86" s="15" t="s">
        <v>199</v>
      </c>
      <c r="B86" s="36">
        <v>0.78033112696899998</v>
      </c>
      <c r="C86" s="37">
        <v>0.17564163445411793</v>
      </c>
      <c r="D86" s="38" t="s">
        <v>54</v>
      </c>
      <c r="E86" s="36">
        <v>40.838354892071891</v>
      </c>
      <c r="F86" s="37">
        <v>2.1520812942600087</v>
      </c>
      <c r="G86" s="38" t="s">
        <v>53</v>
      </c>
      <c r="H86" s="36">
        <v>39.988109859513912</v>
      </c>
      <c r="I86" s="37">
        <v>2.1970258837239345</v>
      </c>
      <c r="J86" s="38" t="s">
        <v>53</v>
      </c>
      <c r="K86" s="36" t="s">
        <v>55</v>
      </c>
      <c r="L86" s="37" t="s">
        <v>55</v>
      </c>
      <c r="M86" s="38" t="s">
        <v>53</v>
      </c>
      <c r="N86" s="36" t="s">
        <v>55</v>
      </c>
      <c r="O86" s="37" t="s">
        <v>55</v>
      </c>
      <c r="P86" s="38" t="s">
        <v>53</v>
      </c>
      <c r="Q86" s="36" t="s">
        <v>55</v>
      </c>
      <c r="R86" s="37" t="s">
        <v>55</v>
      </c>
      <c r="S86" s="38" t="s">
        <v>53</v>
      </c>
      <c r="T86" s="16" t="s">
        <v>56</v>
      </c>
      <c r="U86" s="17" t="s">
        <v>56</v>
      </c>
      <c r="V86" s="38" t="s">
        <v>54</v>
      </c>
      <c r="W86" s="16" t="s">
        <v>56</v>
      </c>
      <c r="X86" s="17" t="s">
        <v>56</v>
      </c>
      <c r="Y86" s="39" t="s">
        <v>54</v>
      </c>
    </row>
    <row r="87" spans="1:25" x14ac:dyDescent="0.25">
      <c r="A87" s="15" t="s">
        <v>200</v>
      </c>
      <c r="B87" s="36">
        <v>5.7706009253634898</v>
      </c>
      <c r="C87" s="37">
        <v>0.30960017898992509</v>
      </c>
      <c r="D87" s="38" t="s">
        <v>53</v>
      </c>
      <c r="E87" s="36">
        <v>22.093361944210393</v>
      </c>
      <c r="F87" s="37">
        <v>1.2241824950516316</v>
      </c>
      <c r="G87" s="38" t="s">
        <v>53</v>
      </c>
      <c r="H87" s="36">
        <v>21.760652134831478</v>
      </c>
      <c r="I87" s="37">
        <v>1.1916183226021857</v>
      </c>
      <c r="J87" s="38" t="s">
        <v>53</v>
      </c>
      <c r="K87" s="36">
        <v>22.282065094195293</v>
      </c>
      <c r="L87" s="37">
        <v>2.9142598295630395</v>
      </c>
      <c r="M87" s="38" t="s">
        <v>53</v>
      </c>
      <c r="N87" s="36">
        <v>18.891589486760971</v>
      </c>
      <c r="O87" s="37">
        <v>3.5822708348190346</v>
      </c>
      <c r="P87" s="38" t="s">
        <v>53</v>
      </c>
      <c r="Q87" s="36">
        <v>27.68695841215893</v>
      </c>
      <c r="R87" s="37">
        <v>4.3196285271615924</v>
      </c>
      <c r="S87" s="38" t="s">
        <v>53</v>
      </c>
      <c r="T87" s="16">
        <v>1.0313560355810387</v>
      </c>
      <c r="U87" s="17">
        <v>0.16273036210430317</v>
      </c>
      <c r="V87" s="38" t="s">
        <v>53</v>
      </c>
      <c r="W87" s="16">
        <v>1.1446702155686881</v>
      </c>
      <c r="X87" s="17">
        <v>0.18594339341678942</v>
      </c>
      <c r="Y87" s="39" t="s">
        <v>53</v>
      </c>
    </row>
    <row r="88" spans="1:25" x14ac:dyDescent="0.25">
      <c r="A88" s="15" t="s">
        <v>201</v>
      </c>
      <c r="B88" s="36">
        <v>11.867438614087</v>
      </c>
      <c r="C88" s="37">
        <v>1.0844814315091</v>
      </c>
      <c r="D88" s="38" t="s">
        <v>53</v>
      </c>
      <c r="E88" s="36">
        <v>52.355342910974258</v>
      </c>
      <c r="F88" s="37">
        <v>1.458678196100287</v>
      </c>
      <c r="G88" s="38" t="s">
        <v>53</v>
      </c>
      <c r="H88" s="36">
        <v>52.297889545701373</v>
      </c>
      <c r="I88" s="37">
        <v>1.5974361106776538</v>
      </c>
      <c r="J88" s="38" t="s">
        <v>53</v>
      </c>
      <c r="K88" s="36">
        <v>35.844332479568415</v>
      </c>
      <c r="L88" s="37">
        <v>2.9641723881019808</v>
      </c>
      <c r="M88" s="38" t="s">
        <v>53</v>
      </c>
      <c r="N88" s="36">
        <v>36.663603067023466</v>
      </c>
      <c r="O88" s="37">
        <v>3.4713055247301283</v>
      </c>
      <c r="P88" s="38" t="s">
        <v>53</v>
      </c>
      <c r="Q88" s="36">
        <v>34.880420345207</v>
      </c>
      <c r="R88" s="37">
        <v>4.0360282480393526</v>
      </c>
      <c r="S88" s="38" t="s">
        <v>53</v>
      </c>
      <c r="T88" s="16">
        <v>0.51075608700507269</v>
      </c>
      <c r="U88" s="17">
        <v>7.5490479131185839E-2</v>
      </c>
      <c r="V88" s="38" t="s">
        <v>53</v>
      </c>
      <c r="W88" s="16">
        <v>0.49160132393116557</v>
      </c>
      <c r="X88" s="17">
        <v>7.3532826913262198E-2</v>
      </c>
      <c r="Y88" s="39" t="s">
        <v>53</v>
      </c>
    </row>
    <row r="89" spans="1:25" x14ac:dyDescent="0.25">
      <c r="A89" s="15" t="s">
        <v>202</v>
      </c>
      <c r="B89" s="36">
        <v>9.32128952538792</v>
      </c>
      <c r="C89" s="37">
        <v>0.41176693146583127</v>
      </c>
      <c r="D89" s="38" t="s">
        <v>53</v>
      </c>
      <c r="E89" s="36">
        <v>37.704122641078655</v>
      </c>
      <c r="F89" s="37">
        <v>1.5196604317879028</v>
      </c>
      <c r="G89" s="38" t="s">
        <v>53</v>
      </c>
      <c r="H89" s="36">
        <v>37.121640201907425</v>
      </c>
      <c r="I89" s="37">
        <v>1.4767442587761106</v>
      </c>
      <c r="J89" s="38" t="s">
        <v>53</v>
      </c>
      <c r="K89" s="36">
        <v>34.094780076161548</v>
      </c>
      <c r="L89" s="37">
        <v>2.9235715632590602</v>
      </c>
      <c r="M89" s="38" t="s">
        <v>53</v>
      </c>
      <c r="N89" s="36">
        <v>34.22498554628406</v>
      </c>
      <c r="O89" s="37">
        <v>3.095943888239272</v>
      </c>
      <c r="P89" s="38" t="s">
        <v>53</v>
      </c>
      <c r="Q89" s="36">
        <v>33.055788593061685</v>
      </c>
      <c r="R89" s="37">
        <v>7.6869027539793677</v>
      </c>
      <c r="S89" s="38" t="s">
        <v>53</v>
      </c>
      <c r="T89" s="16">
        <v>0.87697290962538621</v>
      </c>
      <c r="U89" s="17">
        <v>0.10901138449988608</v>
      </c>
      <c r="V89" s="38" t="s">
        <v>53</v>
      </c>
      <c r="W89" s="16">
        <v>0.95672604144016893</v>
      </c>
      <c r="X89" s="17">
        <v>0.12542981463803607</v>
      </c>
      <c r="Y89" s="39" t="s">
        <v>53</v>
      </c>
    </row>
    <row r="90" spans="1:25" x14ac:dyDescent="0.25">
      <c r="A90" s="15" t="s">
        <v>203</v>
      </c>
      <c r="B90" s="36">
        <v>24.818877754096949</v>
      </c>
      <c r="C90" s="37">
        <v>0.66661225468237328</v>
      </c>
      <c r="D90" s="38" t="s">
        <v>53</v>
      </c>
      <c r="E90" s="36">
        <v>11.247215754591176</v>
      </c>
      <c r="F90" s="37">
        <v>0.47800268410957369</v>
      </c>
      <c r="G90" s="38" t="s">
        <v>53</v>
      </c>
      <c r="H90" s="36">
        <v>11.94637987780105</v>
      </c>
      <c r="I90" s="37">
        <v>0.4467311597499542</v>
      </c>
      <c r="J90" s="38" t="s">
        <v>53</v>
      </c>
      <c r="K90" s="36">
        <v>8.0412252289041515</v>
      </c>
      <c r="L90" s="37">
        <v>1.263370039264081</v>
      </c>
      <c r="M90" s="38" t="s">
        <v>53</v>
      </c>
      <c r="N90" s="36">
        <v>4.5772657390792668</v>
      </c>
      <c r="O90" s="37">
        <v>1.0478948421624428</v>
      </c>
      <c r="P90" s="38" t="s">
        <v>53</v>
      </c>
      <c r="Q90" s="36">
        <v>9.722930209225785</v>
      </c>
      <c r="R90" s="37">
        <v>1.8101185413170966</v>
      </c>
      <c r="S90" s="38" t="s">
        <v>53</v>
      </c>
      <c r="T90" s="16">
        <v>0.64465128702784702</v>
      </c>
      <c r="U90" s="17">
        <v>0.11182384188782575</v>
      </c>
      <c r="V90" s="38" t="s">
        <v>53</v>
      </c>
      <c r="W90" s="16">
        <v>0.97061505339870302</v>
      </c>
      <c r="X90" s="17">
        <v>0.16311208762487345</v>
      </c>
      <c r="Y90" s="39" t="s">
        <v>53</v>
      </c>
    </row>
    <row r="91" spans="1:25" x14ac:dyDescent="0.25">
      <c r="A91" s="15" t="s">
        <v>204</v>
      </c>
      <c r="B91" s="36">
        <v>0.70330202002704001</v>
      </c>
      <c r="C91" s="37">
        <v>0.1735356080053608</v>
      </c>
      <c r="D91" s="38" t="s">
        <v>53</v>
      </c>
      <c r="E91" s="36">
        <v>17.814379630719536</v>
      </c>
      <c r="F91" s="37">
        <v>0.81191144800664006</v>
      </c>
      <c r="G91" s="38" t="s">
        <v>53</v>
      </c>
      <c r="H91" s="36">
        <v>17.128613780226175</v>
      </c>
      <c r="I91" s="37">
        <v>0.78311202202778885</v>
      </c>
      <c r="J91" s="38" t="s">
        <v>53</v>
      </c>
      <c r="K91" s="36">
        <v>47.808168452852996</v>
      </c>
      <c r="L91" s="37">
        <v>18.45761351152451</v>
      </c>
      <c r="M91" s="38" t="s">
        <v>53</v>
      </c>
      <c r="N91" s="36" t="s">
        <v>55</v>
      </c>
      <c r="O91" s="37" t="s">
        <v>55</v>
      </c>
      <c r="P91" s="38" t="s">
        <v>53</v>
      </c>
      <c r="Q91" s="36" t="s">
        <v>55</v>
      </c>
      <c r="R91" s="37" t="s">
        <v>55</v>
      </c>
      <c r="S91" s="38" t="s">
        <v>53</v>
      </c>
      <c r="T91" s="16">
        <v>4.4417471275471163</v>
      </c>
      <c r="U91" s="17">
        <v>3.2383870550607976</v>
      </c>
      <c r="V91" s="38" t="s">
        <v>53</v>
      </c>
      <c r="W91" s="16">
        <v>6.7852968859057938</v>
      </c>
      <c r="X91" s="17">
        <v>8.4527650491006447</v>
      </c>
      <c r="Y91" s="39" t="s">
        <v>53</v>
      </c>
    </row>
    <row r="92" spans="1:25" x14ac:dyDescent="0.25">
      <c r="A92" s="15" t="s">
        <v>205</v>
      </c>
      <c r="B92" s="36">
        <v>1.0713659373244</v>
      </c>
      <c r="C92" s="37">
        <v>0.43149317383496427</v>
      </c>
      <c r="D92" s="38" t="s">
        <v>53</v>
      </c>
      <c r="E92" s="36">
        <v>59.544753424151672</v>
      </c>
      <c r="F92" s="37">
        <v>1.7363953500744223</v>
      </c>
      <c r="G92" s="38" t="s">
        <v>53</v>
      </c>
      <c r="H92" s="36">
        <v>58.977159748621645</v>
      </c>
      <c r="I92" s="37">
        <v>1.7384686740802513</v>
      </c>
      <c r="J92" s="38" t="s">
        <v>53</v>
      </c>
      <c r="K92" s="36">
        <v>73.910904385203793</v>
      </c>
      <c r="L92" s="37">
        <v>8.5473612372167764</v>
      </c>
      <c r="M92" s="38" t="s">
        <v>53</v>
      </c>
      <c r="N92" s="36">
        <v>75.611246271226534</v>
      </c>
      <c r="O92" s="37">
        <v>7.7292094283122195</v>
      </c>
      <c r="P92" s="38" t="s">
        <v>53</v>
      </c>
      <c r="Q92" s="36" t="s">
        <v>55</v>
      </c>
      <c r="R92" s="37" t="s">
        <v>55</v>
      </c>
      <c r="S92" s="38" t="s">
        <v>53</v>
      </c>
      <c r="T92" s="16">
        <v>1.9895845791426554</v>
      </c>
      <c r="U92" s="17">
        <v>0.85788848244753613</v>
      </c>
      <c r="V92" s="38" t="s">
        <v>53</v>
      </c>
      <c r="W92" s="16">
        <v>0.83997373197278657</v>
      </c>
      <c r="X92" s="17">
        <v>0.44644385095138911</v>
      </c>
      <c r="Y92" s="39" t="s">
        <v>53</v>
      </c>
    </row>
    <row r="93" spans="1:25" x14ac:dyDescent="0.25">
      <c r="A93" s="15" t="s">
        <v>206</v>
      </c>
      <c r="B93" s="36">
        <v>2.3149360382116497</v>
      </c>
      <c r="C93" s="37">
        <v>0.2182451411281752</v>
      </c>
      <c r="D93" s="38" t="s">
        <v>53</v>
      </c>
      <c r="E93" s="36">
        <v>25.906133957643952</v>
      </c>
      <c r="F93" s="37">
        <v>1.4380062630558461</v>
      </c>
      <c r="G93" s="38" t="s">
        <v>53</v>
      </c>
      <c r="H93" s="36">
        <v>25.08495452469079</v>
      </c>
      <c r="I93" s="37">
        <v>1.3692805676593871</v>
      </c>
      <c r="J93" s="38" t="s">
        <v>53</v>
      </c>
      <c r="K93" s="36">
        <v>31.037297951220566</v>
      </c>
      <c r="L93" s="37">
        <v>5.1932106063397381</v>
      </c>
      <c r="M93" s="38" t="s">
        <v>53</v>
      </c>
      <c r="N93" s="36">
        <v>23.237188433385832</v>
      </c>
      <c r="O93" s="37">
        <v>6.4583866270692489</v>
      </c>
      <c r="P93" s="38" t="s">
        <v>53</v>
      </c>
      <c r="Q93" s="36">
        <v>46.148107222394643</v>
      </c>
      <c r="R93" s="37">
        <v>8.4248296572398118</v>
      </c>
      <c r="S93" s="38" t="s">
        <v>53</v>
      </c>
      <c r="T93" s="16">
        <v>1.346673314267413</v>
      </c>
      <c r="U93" s="17">
        <v>0.30034616157480803</v>
      </c>
      <c r="V93" s="38" t="s">
        <v>53</v>
      </c>
      <c r="W93" s="16">
        <v>1.3360019219086916</v>
      </c>
      <c r="X93" s="17">
        <v>0.37144461007783108</v>
      </c>
      <c r="Y93" s="39" t="s">
        <v>53</v>
      </c>
    </row>
    <row r="94" spans="1:25" x14ac:dyDescent="0.25">
      <c r="A94" s="15" t="s">
        <v>207</v>
      </c>
      <c r="B94" s="36">
        <v>55.781255228227387</v>
      </c>
      <c r="C94" s="37">
        <v>0.78306140903694166</v>
      </c>
      <c r="D94" s="38" t="s">
        <v>53</v>
      </c>
      <c r="E94" s="36">
        <v>42.94024983035721</v>
      </c>
      <c r="F94" s="37">
        <v>0.80581369458094643</v>
      </c>
      <c r="G94" s="38" t="s">
        <v>53</v>
      </c>
      <c r="H94" s="36">
        <v>59.72596406457734</v>
      </c>
      <c r="I94" s="37">
        <v>0.92128465017006467</v>
      </c>
      <c r="J94" s="38" t="s">
        <v>53</v>
      </c>
      <c r="K94" s="36">
        <v>26.759420887533409</v>
      </c>
      <c r="L94" s="37">
        <v>0.92794805478641462</v>
      </c>
      <c r="M94" s="38" t="s">
        <v>53</v>
      </c>
      <c r="N94" s="36">
        <v>29.999525809751482</v>
      </c>
      <c r="O94" s="37">
        <v>1.0978041270706107</v>
      </c>
      <c r="P94" s="38" t="s">
        <v>53</v>
      </c>
      <c r="Q94" s="36">
        <v>24.479948333185916</v>
      </c>
      <c r="R94" s="37">
        <v>1.1599332533597275</v>
      </c>
      <c r="S94" s="38" t="s">
        <v>53</v>
      </c>
      <c r="T94" s="16">
        <v>0.24640801269236345</v>
      </c>
      <c r="U94" s="17">
        <v>1.3609844433919391E-2</v>
      </c>
      <c r="V94" s="38" t="s">
        <v>53</v>
      </c>
      <c r="W94" s="16">
        <v>0.30633938386154158</v>
      </c>
      <c r="X94" s="17">
        <v>1.830570044808788E-2</v>
      </c>
      <c r="Y94" s="39" t="s">
        <v>53</v>
      </c>
    </row>
    <row r="95" spans="1:25" x14ac:dyDescent="0.25">
      <c r="A95" s="15" t="s">
        <v>208</v>
      </c>
      <c r="B95" s="36">
        <v>1.2698266694508</v>
      </c>
      <c r="C95" s="37">
        <v>0.18673082341050887</v>
      </c>
      <c r="D95" s="38" t="s">
        <v>53</v>
      </c>
      <c r="E95" s="36">
        <v>41.883546095391431</v>
      </c>
      <c r="F95" s="37">
        <v>1.2764015351939559</v>
      </c>
      <c r="G95" s="38" t="s">
        <v>53</v>
      </c>
      <c r="H95" s="36">
        <v>41.059189444912896</v>
      </c>
      <c r="I95" s="37">
        <v>1.2813583663389472</v>
      </c>
      <c r="J95" s="38" t="s">
        <v>53</v>
      </c>
      <c r="K95" s="36">
        <v>47.809182837361618</v>
      </c>
      <c r="L95" s="37">
        <v>7.6803683262508944</v>
      </c>
      <c r="M95" s="38" t="s">
        <v>53</v>
      </c>
      <c r="N95" s="36">
        <v>46.9649927698675</v>
      </c>
      <c r="O95" s="37">
        <v>9.3302769819556133</v>
      </c>
      <c r="P95" s="38" t="s">
        <v>53</v>
      </c>
      <c r="Q95" s="36">
        <v>48.634812598250818</v>
      </c>
      <c r="R95" s="37">
        <v>12.069546085482472</v>
      </c>
      <c r="S95" s="38" t="s">
        <v>53</v>
      </c>
      <c r="T95" s="16">
        <v>1.3214850993552216</v>
      </c>
      <c r="U95" s="17">
        <v>0.41631770086824832</v>
      </c>
      <c r="V95" s="38" t="s">
        <v>53</v>
      </c>
      <c r="W95" s="16">
        <v>1.9106616821700382</v>
      </c>
      <c r="X95" s="17">
        <v>0.80424382969206687</v>
      </c>
      <c r="Y95" s="39" t="s">
        <v>53</v>
      </c>
    </row>
    <row r="96" spans="1:25" ht="13.8" thickBot="1" x14ac:dyDescent="0.3">
      <c r="A96" s="18" t="s">
        <v>209</v>
      </c>
      <c r="B96" s="40">
        <v>6.2539118959410001E-2</v>
      </c>
      <c r="C96" s="41">
        <v>3.114434172733371E-2</v>
      </c>
      <c r="D96" s="42" t="s">
        <v>53</v>
      </c>
      <c r="E96" s="40">
        <v>0</v>
      </c>
      <c r="F96" s="41" t="s">
        <v>56</v>
      </c>
      <c r="G96" s="42" t="s">
        <v>53</v>
      </c>
      <c r="H96" s="40">
        <v>0</v>
      </c>
      <c r="I96" s="41" t="s">
        <v>56</v>
      </c>
      <c r="J96" s="42" t="s">
        <v>53</v>
      </c>
      <c r="K96" s="40" t="s">
        <v>55</v>
      </c>
      <c r="L96" s="41" t="s">
        <v>55</v>
      </c>
      <c r="M96" s="42" t="s">
        <v>53</v>
      </c>
      <c r="N96" s="40" t="s">
        <v>55</v>
      </c>
      <c r="O96" s="41" t="s">
        <v>55</v>
      </c>
      <c r="P96" s="42" t="s">
        <v>53</v>
      </c>
      <c r="Q96" s="40" t="s">
        <v>55</v>
      </c>
      <c r="R96" s="41" t="s">
        <v>55</v>
      </c>
      <c r="S96" s="42" t="s">
        <v>53</v>
      </c>
      <c r="T96" s="19" t="s">
        <v>55</v>
      </c>
      <c r="U96" s="20" t="s">
        <v>55</v>
      </c>
      <c r="V96" s="42" t="s">
        <v>53</v>
      </c>
      <c r="W96" s="19" t="s">
        <v>55</v>
      </c>
      <c r="X96" s="20" t="s">
        <v>55</v>
      </c>
      <c r="Y96" s="43" t="s">
        <v>53</v>
      </c>
    </row>
    <row r="97" spans="1:25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4" spans="1:25" x14ac:dyDescent="0.25">
      <c r="A104" t="s">
        <v>219</v>
      </c>
    </row>
    <row r="105" spans="1:25" x14ac:dyDescent="0.25">
      <c r="A105" s="33" t="s">
        <v>116</v>
      </c>
      <c r="B105" s="33"/>
      <c r="C105" s="33"/>
      <c r="D105" s="33"/>
    </row>
    <row r="106" spans="1:25" x14ac:dyDescent="0.25">
      <c r="A106" s="27" t="s">
        <v>25</v>
      </c>
    </row>
    <row r="107" spans="1:25" x14ac:dyDescent="0.25">
      <c r="A107" t="s">
        <v>78</v>
      </c>
    </row>
    <row r="108" spans="1:25" x14ac:dyDescent="0.25">
      <c r="A108" s="27" t="s">
        <v>212</v>
      </c>
    </row>
  </sheetData>
  <mergeCells count="10">
    <mergeCell ref="W13:Y13"/>
    <mergeCell ref="T13:V13"/>
    <mergeCell ref="T12:Y12"/>
    <mergeCell ref="B12:D13"/>
    <mergeCell ref="E12:S12"/>
    <mergeCell ref="E13:G13"/>
    <mergeCell ref="K13:M13"/>
    <mergeCell ref="N13:P13"/>
    <mergeCell ref="Q13:S13"/>
    <mergeCell ref="H13:J13"/>
  </mergeCells>
  <conditionalFormatting sqref="T16:T96">
    <cfRule type="expression" dxfId="16" priority="2">
      <formula>ABS(LN(T16)/(U16/T16))&gt;1.96</formula>
    </cfRule>
  </conditionalFormatting>
  <conditionalFormatting sqref="W16:W96">
    <cfRule type="expression" dxfId="15" priority="1">
      <formula>ABS(LN(W16)/(X16/W16))&gt;1.96</formula>
    </cfRule>
  </conditionalFormatting>
  <hyperlinks>
    <hyperlink ref="A1" r:id="rId1" display="https://doi.org/10.1787/b5fd1b8f-en"/>
    <hyperlink ref="A4" r:id="rId2"/>
  </hyperlinks>
  <pageMargins left="0.7" right="0.7" top="0.75" bottom="0.75" header="0.3" footer="0.3"/>
  <pageSetup paperSize="9" orientation="portrait"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08"/>
  <sheetViews>
    <sheetView showGridLines="0" zoomScale="80" zoomScaleNormal="80" workbookViewId="0"/>
  </sheetViews>
  <sheetFormatPr defaultRowHeight="13.2" x14ac:dyDescent="0.25"/>
  <cols>
    <col min="1" max="1" width="28.33203125" customWidth="1"/>
    <col min="2" max="3" width="9" customWidth="1"/>
    <col min="4" max="4" width="2.44140625" customWidth="1"/>
    <col min="5" max="6" width="9" customWidth="1"/>
    <col min="7" max="7" width="2.44140625" customWidth="1"/>
    <col min="8" max="9" width="9" customWidth="1"/>
    <col min="10" max="10" width="2.44140625" customWidth="1"/>
    <col min="11" max="12" width="9" customWidth="1"/>
    <col min="13" max="13" width="2.44140625" customWidth="1"/>
    <col min="14" max="15" width="9" customWidth="1"/>
    <col min="16" max="16" width="2.44140625" customWidth="1"/>
    <col min="17" max="18" width="9" customWidth="1"/>
    <col min="19" max="19" width="2.44140625" customWidth="1"/>
    <col min="20" max="21" width="9" customWidth="1"/>
    <col min="22" max="22" width="2.44140625" customWidth="1"/>
    <col min="23" max="24" width="9" customWidth="1"/>
    <col min="25" max="25" width="2.44140625" customWidth="1"/>
  </cols>
  <sheetData>
    <row r="1" spans="1:25" s="115" customFormat="1" x14ac:dyDescent="0.25">
      <c r="A1" s="116" t="s">
        <v>232</v>
      </c>
    </row>
    <row r="2" spans="1:25" s="115" customFormat="1" x14ac:dyDescent="0.25">
      <c r="A2" s="115" t="s">
        <v>233</v>
      </c>
      <c r="B2" s="115" t="s">
        <v>234</v>
      </c>
    </row>
    <row r="3" spans="1:25" s="115" customFormat="1" x14ac:dyDescent="0.25">
      <c r="A3" s="115" t="s">
        <v>235</v>
      </c>
    </row>
    <row r="4" spans="1:25" s="115" customFormat="1" x14ac:dyDescent="0.25">
      <c r="A4" s="116" t="s">
        <v>236</v>
      </c>
    </row>
    <row r="5" spans="1:25" s="115" customFormat="1" x14ac:dyDescent="0.25"/>
    <row r="6" spans="1:25" x14ac:dyDescent="0.25">
      <c r="A6" s="2" t="s">
        <v>121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S6" s="7"/>
      <c r="T6" s="1"/>
      <c r="Y6" s="1"/>
    </row>
    <row r="7" spans="1:25" x14ac:dyDescent="0.25">
      <c r="A7" s="6" t="s">
        <v>31</v>
      </c>
      <c r="B7" s="6"/>
      <c r="C7" s="2"/>
      <c r="D7" s="6"/>
      <c r="E7" s="6"/>
      <c r="F7" s="6"/>
      <c r="G7" s="6"/>
      <c r="H7" s="6"/>
      <c r="I7" s="2"/>
      <c r="J7" s="6"/>
      <c r="K7" s="6"/>
      <c r="L7" s="2"/>
      <c r="M7" s="6"/>
      <c r="N7" s="6"/>
      <c r="O7" s="6"/>
      <c r="P7" s="6"/>
      <c r="Q7" s="6"/>
      <c r="R7" s="6"/>
      <c r="T7" s="6"/>
      <c r="U7" s="6"/>
      <c r="V7" s="6"/>
      <c r="W7" s="6"/>
      <c r="X7" s="6"/>
      <c r="Y7" s="6"/>
    </row>
    <row r="8" spans="1:25" x14ac:dyDescent="0.25">
      <c r="A8" s="28" t="s">
        <v>27</v>
      </c>
      <c r="B8" s="7"/>
      <c r="C8" s="7"/>
      <c r="D8" s="7"/>
      <c r="E8" s="7"/>
      <c r="F8" s="7"/>
      <c r="G8" s="7"/>
      <c r="H8" s="7"/>
      <c r="J8" s="7"/>
      <c r="K8" s="7"/>
      <c r="L8" s="26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</row>
    <row r="9" spans="1:25" x14ac:dyDescent="0.25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</row>
    <row r="10" spans="1:25" x14ac:dyDescent="0.25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</row>
    <row r="11" spans="1:25" ht="13.8" thickBot="1" x14ac:dyDescent="0.3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60.75" customHeight="1" x14ac:dyDescent="0.25">
      <c r="A12" s="8"/>
      <c r="B12" s="85" t="s">
        <v>8</v>
      </c>
      <c r="C12" s="86"/>
      <c r="D12" s="87"/>
      <c r="E12" s="83" t="s">
        <v>28</v>
      </c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7"/>
      <c r="S12" s="78"/>
      <c r="T12" s="96" t="s">
        <v>70</v>
      </c>
      <c r="U12" s="91"/>
      <c r="V12" s="91"/>
      <c r="W12" s="91"/>
      <c r="X12" s="91"/>
      <c r="Y12" s="92"/>
    </row>
    <row r="13" spans="1:25" ht="90" customHeight="1" x14ac:dyDescent="0.25">
      <c r="A13" s="9"/>
      <c r="B13" s="88"/>
      <c r="C13" s="89"/>
      <c r="D13" s="90"/>
      <c r="E13" s="82" t="s">
        <v>26</v>
      </c>
      <c r="F13" s="80"/>
      <c r="G13" s="81"/>
      <c r="H13" s="82" t="s">
        <v>5</v>
      </c>
      <c r="I13" s="80"/>
      <c r="J13" s="81"/>
      <c r="K13" s="82" t="s">
        <v>6</v>
      </c>
      <c r="L13" s="80"/>
      <c r="M13" s="81"/>
      <c r="N13" s="82" t="s">
        <v>47</v>
      </c>
      <c r="O13" s="80"/>
      <c r="P13" s="81"/>
      <c r="Q13" s="82" t="s">
        <v>48</v>
      </c>
      <c r="R13" s="80"/>
      <c r="S13" s="81"/>
      <c r="T13" s="82" t="s">
        <v>80</v>
      </c>
      <c r="U13" s="80"/>
      <c r="V13" s="81"/>
      <c r="W13" s="82" t="s">
        <v>51</v>
      </c>
      <c r="X13" s="80"/>
      <c r="Y13" s="84"/>
    </row>
    <row r="14" spans="1:25" ht="26.4" x14ac:dyDescent="0.25">
      <c r="A14" s="10"/>
      <c r="B14" s="11" t="s">
        <v>0</v>
      </c>
      <c r="C14" s="12" t="s">
        <v>1</v>
      </c>
      <c r="D14" s="13" t="s">
        <v>2</v>
      </c>
      <c r="E14" s="11" t="s">
        <v>0</v>
      </c>
      <c r="F14" s="12" t="s">
        <v>1</v>
      </c>
      <c r="G14" s="13" t="s">
        <v>2</v>
      </c>
      <c r="H14" s="11" t="s">
        <v>0</v>
      </c>
      <c r="I14" s="12" t="s">
        <v>1</v>
      </c>
      <c r="J14" s="13" t="s">
        <v>2</v>
      </c>
      <c r="K14" s="11" t="s">
        <v>0</v>
      </c>
      <c r="L14" s="12" t="s">
        <v>1</v>
      </c>
      <c r="M14" s="13" t="s">
        <v>2</v>
      </c>
      <c r="N14" s="11" t="s">
        <v>0</v>
      </c>
      <c r="O14" s="12" t="s">
        <v>1</v>
      </c>
      <c r="P14" s="13" t="s">
        <v>2</v>
      </c>
      <c r="Q14" s="11" t="s">
        <v>0</v>
      </c>
      <c r="R14" s="12" t="s">
        <v>1</v>
      </c>
      <c r="S14" s="13" t="s">
        <v>2</v>
      </c>
      <c r="T14" s="11" t="s">
        <v>14</v>
      </c>
      <c r="U14" s="12" t="s">
        <v>1</v>
      </c>
      <c r="V14" s="13" t="s">
        <v>2</v>
      </c>
      <c r="W14" s="11" t="s">
        <v>14</v>
      </c>
      <c r="X14" s="12" t="s">
        <v>1</v>
      </c>
      <c r="Y14" s="14" t="s">
        <v>2</v>
      </c>
    </row>
    <row r="15" spans="1:25" ht="13.5" customHeight="1" x14ac:dyDescent="0.25">
      <c r="A15" s="51" t="s">
        <v>210</v>
      </c>
      <c r="B15" s="52"/>
      <c r="C15" s="53"/>
      <c r="D15" s="54"/>
      <c r="E15" s="52"/>
      <c r="F15" s="53"/>
      <c r="G15" s="54"/>
      <c r="H15" s="52"/>
      <c r="I15" s="53"/>
      <c r="J15" s="54"/>
      <c r="K15" s="52"/>
      <c r="L15" s="53"/>
      <c r="M15" s="54"/>
      <c r="N15" s="55"/>
      <c r="O15" s="54"/>
      <c r="P15" s="54"/>
      <c r="Q15" s="55"/>
      <c r="R15" s="54"/>
      <c r="S15" s="54"/>
      <c r="T15" s="55"/>
      <c r="U15" s="54"/>
      <c r="V15" s="54"/>
      <c r="W15" s="55"/>
      <c r="X15" s="54"/>
      <c r="Y15" s="56"/>
    </row>
    <row r="16" spans="1:25" x14ac:dyDescent="0.25">
      <c r="A16" s="15" t="s">
        <v>130</v>
      </c>
      <c r="B16" s="36">
        <v>27.70876328155763</v>
      </c>
      <c r="C16" s="37">
        <v>0.84465675737519963</v>
      </c>
      <c r="D16" s="38" t="s">
        <v>53</v>
      </c>
      <c r="E16" s="36">
        <v>68.221510646806095</v>
      </c>
      <c r="F16" s="37">
        <v>0.64789184452936432</v>
      </c>
      <c r="G16" s="38" t="s">
        <v>53</v>
      </c>
      <c r="H16" s="36">
        <v>64.190527125194279</v>
      </c>
      <c r="I16" s="37">
        <v>0.6819918939140337</v>
      </c>
      <c r="J16" s="38" t="s">
        <v>53</v>
      </c>
      <c r="K16" s="36">
        <v>80.338086515852453</v>
      </c>
      <c r="L16" s="37">
        <v>0.83878959102887851</v>
      </c>
      <c r="M16" s="38" t="s">
        <v>53</v>
      </c>
      <c r="N16" s="36">
        <v>80.744083489614695</v>
      </c>
      <c r="O16" s="37">
        <v>1.1214215018077627</v>
      </c>
      <c r="P16" s="38" t="s">
        <v>53</v>
      </c>
      <c r="Q16" s="36">
        <v>79.947410315478436</v>
      </c>
      <c r="R16" s="37">
        <v>1.1884530274936285</v>
      </c>
      <c r="S16" s="38" t="s">
        <v>53</v>
      </c>
      <c r="T16" s="16">
        <v>2.2794112627573599</v>
      </c>
      <c r="U16" s="17">
        <v>0.12219176327317513</v>
      </c>
      <c r="V16" s="38" t="s">
        <v>53</v>
      </c>
      <c r="W16" s="16">
        <v>2.7750832721483483</v>
      </c>
      <c r="X16" s="17">
        <v>0.20329526297258188</v>
      </c>
      <c r="Y16" s="39" t="s">
        <v>53</v>
      </c>
    </row>
    <row r="17" spans="1:25" x14ac:dyDescent="0.25">
      <c r="A17" s="15" t="s">
        <v>131</v>
      </c>
      <c r="B17" s="36">
        <v>22.686235321470399</v>
      </c>
      <c r="C17" s="37">
        <v>1.1527352979062462</v>
      </c>
      <c r="D17" s="38" t="s">
        <v>53</v>
      </c>
      <c r="E17" s="36">
        <v>47.99576380698776</v>
      </c>
      <c r="F17" s="37">
        <v>0.87444990334878858</v>
      </c>
      <c r="G17" s="38" t="s">
        <v>53</v>
      </c>
      <c r="H17" s="36">
        <v>49.240753665051109</v>
      </c>
      <c r="I17" s="37">
        <v>0.97519151331093701</v>
      </c>
      <c r="J17" s="38" t="s">
        <v>53</v>
      </c>
      <c r="K17" s="36">
        <v>44.330981490394329</v>
      </c>
      <c r="L17" s="37">
        <v>1.9975281205421385</v>
      </c>
      <c r="M17" s="38" t="s">
        <v>53</v>
      </c>
      <c r="N17" s="36">
        <v>43.367864968332107</v>
      </c>
      <c r="O17" s="37">
        <v>2.2596831811162019</v>
      </c>
      <c r="P17" s="38" t="s">
        <v>53</v>
      </c>
      <c r="Q17" s="36">
        <v>46.222426304824801</v>
      </c>
      <c r="R17" s="37">
        <v>2.943308532073925</v>
      </c>
      <c r="S17" s="38" t="s">
        <v>53</v>
      </c>
      <c r="T17" s="16">
        <v>0.82088868446059426</v>
      </c>
      <c r="U17" s="17">
        <v>7.4567433297501345E-2</v>
      </c>
      <c r="V17" s="38" t="s">
        <v>53</v>
      </c>
      <c r="W17" s="16">
        <v>1.6958533981121389</v>
      </c>
      <c r="X17" s="17">
        <v>0.14820156239205551</v>
      </c>
      <c r="Y17" s="39" t="s">
        <v>53</v>
      </c>
    </row>
    <row r="18" spans="1:25" x14ac:dyDescent="0.25">
      <c r="A18" s="15" t="s">
        <v>132</v>
      </c>
      <c r="B18" s="36">
        <v>18.059454688726909</v>
      </c>
      <c r="C18" s="37">
        <v>0.85847510420573059</v>
      </c>
      <c r="D18" s="38" t="s">
        <v>53</v>
      </c>
      <c r="E18" s="36">
        <v>68.84750234019856</v>
      </c>
      <c r="F18" s="37">
        <v>0.81681153649451865</v>
      </c>
      <c r="G18" s="38" t="s">
        <v>53</v>
      </c>
      <c r="H18" s="36">
        <v>70.1282928491447</v>
      </c>
      <c r="I18" s="37">
        <v>0.90650608739139649</v>
      </c>
      <c r="J18" s="38" t="s">
        <v>53</v>
      </c>
      <c r="K18" s="36">
        <v>64.973041628172197</v>
      </c>
      <c r="L18" s="37">
        <v>1.8300823434803728</v>
      </c>
      <c r="M18" s="38" t="s">
        <v>53</v>
      </c>
      <c r="N18" s="36">
        <v>67.46283663539046</v>
      </c>
      <c r="O18" s="37">
        <v>2.0641589978269392</v>
      </c>
      <c r="P18" s="38" t="s">
        <v>53</v>
      </c>
      <c r="Q18" s="36">
        <v>61.561919058509162</v>
      </c>
      <c r="R18" s="37">
        <v>3.1212321870515249</v>
      </c>
      <c r="S18" s="38" t="s">
        <v>53</v>
      </c>
      <c r="T18" s="16">
        <v>0.79012817422124693</v>
      </c>
      <c r="U18" s="17">
        <v>7.1593586392809064E-2</v>
      </c>
      <c r="V18" s="38" t="s">
        <v>53</v>
      </c>
      <c r="W18" s="16">
        <v>2.4005652872751577</v>
      </c>
      <c r="X18" s="17">
        <v>0.22922975392272141</v>
      </c>
      <c r="Y18" s="39" t="s">
        <v>53</v>
      </c>
    </row>
    <row r="19" spans="1:25" x14ac:dyDescent="0.25">
      <c r="A19" s="15" t="s">
        <v>133</v>
      </c>
      <c r="B19" s="36">
        <v>34.969966286453818</v>
      </c>
      <c r="C19" s="37">
        <v>1.4227690605278804</v>
      </c>
      <c r="D19" s="38" t="s">
        <v>53</v>
      </c>
      <c r="E19" s="36">
        <v>87.031687464101267</v>
      </c>
      <c r="F19" s="37">
        <v>0.43385761662117511</v>
      </c>
      <c r="G19" s="38" t="s">
        <v>53</v>
      </c>
      <c r="H19" s="36">
        <v>85.330879597801868</v>
      </c>
      <c r="I19" s="37">
        <v>0.50581011271506426</v>
      </c>
      <c r="J19" s="38" t="s">
        <v>53</v>
      </c>
      <c r="K19" s="36">
        <v>91.571449175388366</v>
      </c>
      <c r="L19" s="37">
        <v>0.56822582483481954</v>
      </c>
      <c r="M19" s="38" t="s">
        <v>53</v>
      </c>
      <c r="N19" s="36">
        <v>91.443430309389285</v>
      </c>
      <c r="O19" s="37">
        <v>0.83249105253249034</v>
      </c>
      <c r="P19" s="38" t="s">
        <v>53</v>
      </c>
      <c r="Q19" s="36">
        <v>91.708308922277936</v>
      </c>
      <c r="R19" s="37">
        <v>0.67256866785882796</v>
      </c>
      <c r="S19" s="38" t="s">
        <v>53</v>
      </c>
      <c r="T19" s="16">
        <v>1.8676911541173999</v>
      </c>
      <c r="U19" s="17">
        <v>0.14270386872089585</v>
      </c>
      <c r="V19" s="38" t="s">
        <v>53</v>
      </c>
      <c r="W19" s="16">
        <v>2.3877922163077958</v>
      </c>
      <c r="X19" s="17">
        <v>0.20560328972938183</v>
      </c>
      <c r="Y19" s="39" t="s">
        <v>53</v>
      </c>
    </row>
    <row r="20" spans="1:25" x14ac:dyDescent="0.25">
      <c r="A20" s="15" t="s">
        <v>134</v>
      </c>
      <c r="B20" s="36">
        <v>3.3908614801180597</v>
      </c>
      <c r="C20" s="37">
        <v>0.38959486833610874</v>
      </c>
      <c r="D20" s="38" t="s">
        <v>53</v>
      </c>
      <c r="E20" s="36">
        <v>84.793189792268336</v>
      </c>
      <c r="F20" s="37">
        <v>0.7857315518663992</v>
      </c>
      <c r="G20" s="38" t="s">
        <v>53</v>
      </c>
      <c r="H20" s="36">
        <v>85.582586804989901</v>
      </c>
      <c r="I20" s="37">
        <v>0.7698111788809876</v>
      </c>
      <c r="J20" s="38" t="s">
        <v>53</v>
      </c>
      <c r="K20" s="36">
        <v>78.311119082222277</v>
      </c>
      <c r="L20" s="37">
        <v>3.0064515825161049</v>
      </c>
      <c r="M20" s="38" t="s">
        <v>53</v>
      </c>
      <c r="N20" s="36">
        <v>77.267718458616031</v>
      </c>
      <c r="O20" s="37">
        <v>7.6770835541058391</v>
      </c>
      <c r="P20" s="38" t="s">
        <v>53</v>
      </c>
      <c r="Q20" s="36">
        <v>78.58687140609463</v>
      </c>
      <c r="R20" s="37">
        <v>3.2442574545263079</v>
      </c>
      <c r="S20" s="38" t="s">
        <v>53</v>
      </c>
      <c r="T20" s="16">
        <v>0.60825792126460221</v>
      </c>
      <c r="U20" s="17">
        <v>0.1000720173184262</v>
      </c>
      <c r="V20" s="38" t="s">
        <v>53</v>
      </c>
      <c r="W20" s="16">
        <v>0.62354371263059738</v>
      </c>
      <c r="X20" s="17">
        <v>0.10881797241493345</v>
      </c>
      <c r="Y20" s="39" t="s">
        <v>53</v>
      </c>
    </row>
    <row r="21" spans="1:25" x14ac:dyDescent="0.25">
      <c r="A21" s="15" t="s">
        <v>135</v>
      </c>
      <c r="B21" s="36">
        <v>0.55659208363787993</v>
      </c>
      <c r="C21" s="37">
        <v>0.12058001255994841</v>
      </c>
      <c r="D21" s="38" t="s">
        <v>53</v>
      </c>
      <c r="E21" s="36">
        <v>75.638972871186652</v>
      </c>
      <c r="F21" s="37">
        <v>1.1610287899772733</v>
      </c>
      <c r="G21" s="38" t="s">
        <v>53</v>
      </c>
      <c r="H21" s="36">
        <v>76.360444558904888</v>
      </c>
      <c r="I21" s="37">
        <v>1.1169011283653116</v>
      </c>
      <c r="J21" s="38" t="s">
        <v>53</v>
      </c>
      <c r="K21" s="36">
        <v>52.109904278588516</v>
      </c>
      <c r="L21" s="37">
        <v>7.3939240916312361</v>
      </c>
      <c r="M21" s="38" t="s">
        <v>53</v>
      </c>
      <c r="N21" s="36" t="s">
        <v>55</v>
      </c>
      <c r="O21" s="37" t="s">
        <v>55</v>
      </c>
      <c r="P21" s="38" t="s">
        <v>53</v>
      </c>
      <c r="Q21" s="36" t="s">
        <v>55</v>
      </c>
      <c r="R21" s="37" t="s">
        <v>55</v>
      </c>
      <c r="S21" s="38" t="s">
        <v>53</v>
      </c>
      <c r="T21" s="16">
        <v>0.33685687227894029</v>
      </c>
      <c r="U21" s="17">
        <v>0.10278807308422945</v>
      </c>
      <c r="V21" s="38" t="s">
        <v>53</v>
      </c>
      <c r="W21" s="16">
        <v>0.57692473543424128</v>
      </c>
      <c r="X21" s="17">
        <v>0.22505222302458683</v>
      </c>
      <c r="Y21" s="39" t="s">
        <v>53</v>
      </c>
    </row>
    <row r="22" spans="1:25" x14ac:dyDescent="0.25">
      <c r="A22" s="15" t="s">
        <v>136</v>
      </c>
      <c r="B22" s="36">
        <v>4.1464036037107297</v>
      </c>
      <c r="C22" s="37">
        <v>0.38608926670904103</v>
      </c>
      <c r="D22" s="38" t="s">
        <v>53</v>
      </c>
      <c r="E22" s="36">
        <v>64.470245951126557</v>
      </c>
      <c r="F22" s="37">
        <v>1.0921512766175785</v>
      </c>
      <c r="G22" s="38" t="s">
        <v>53</v>
      </c>
      <c r="H22" s="36">
        <v>64.729943150232643</v>
      </c>
      <c r="I22" s="37">
        <v>1.1112181149383014</v>
      </c>
      <c r="J22" s="38" t="s">
        <v>53</v>
      </c>
      <c r="K22" s="36">
        <v>61.670970819845216</v>
      </c>
      <c r="L22" s="37">
        <v>3.7686916562962511</v>
      </c>
      <c r="M22" s="38" t="s">
        <v>53</v>
      </c>
      <c r="N22" s="36">
        <v>57.993123520365884</v>
      </c>
      <c r="O22" s="37">
        <v>5.9525536726652639</v>
      </c>
      <c r="P22" s="38" t="s">
        <v>53</v>
      </c>
      <c r="Q22" s="36">
        <v>65.226811648263279</v>
      </c>
      <c r="R22" s="37">
        <v>4.8084929542052182</v>
      </c>
      <c r="S22" s="38" t="s">
        <v>53</v>
      </c>
      <c r="T22" s="16">
        <v>0.87670535251218296</v>
      </c>
      <c r="U22" s="17">
        <v>0.14368705925945582</v>
      </c>
      <c r="V22" s="38" t="s">
        <v>53</v>
      </c>
      <c r="W22" s="16">
        <v>2.1084285094738409</v>
      </c>
      <c r="X22" s="17">
        <v>0.63461490182945035</v>
      </c>
      <c r="Y22" s="39" t="s">
        <v>53</v>
      </c>
    </row>
    <row r="23" spans="1:25" x14ac:dyDescent="0.25">
      <c r="A23" s="15" t="s">
        <v>137</v>
      </c>
      <c r="B23" s="36">
        <v>10.653250682536131</v>
      </c>
      <c r="C23" s="37">
        <v>0.438296984314206</v>
      </c>
      <c r="D23" s="38" t="s">
        <v>53</v>
      </c>
      <c r="E23" s="36">
        <v>64.046860911292072</v>
      </c>
      <c r="F23" s="37">
        <v>0.87239830230776572</v>
      </c>
      <c r="G23" s="38" t="s">
        <v>53</v>
      </c>
      <c r="H23" s="36">
        <v>64.833006738784377</v>
      </c>
      <c r="I23" s="37">
        <v>0.95405490471311039</v>
      </c>
      <c r="J23" s="38" t="s">
        <v>53</v>
      </c>
      <c r="K23" s="36">
        <v>59.278342113489494</v>
      </c>
      <c r="L23" s="37">
        <v>1.9653641059198041</v>
      </c>
      <c r="M23" s="38" t="s">
        <v>53</v>
      </c>
      <c r="N23" s="36">
        <v>62.138367146525319</v>
      </c>
      <c r="O23" s="37">
        <v>2.1612314330501157</v>
      </c>
      <c r="P23" s="38" t="s">
        <v>53</v>
      </c>
      <c r="Q23" s="36">
        <v>47.322310858769079</v>
      </c>
      <c r="R23" s="37">
        <v>4.7246940796301393</v>
      </c>
      <c r="S23" s="38" t="s">
        <v>53</v>
      </c>
      <c r="T23" s="16">
        <v>0.78960460576418567</v>
      </c>
      <c r="U23" s="17">
        <v>7.1487927009106389E-2</v>
      </c>
      <c r="V23" s="38" t="s">
        <v>53</v>
      </c>
      <c r="W23" s="16">
        <v>2.3069043327715395</v>
      </c>
      <c r="X23" s="17">
        <v>0.26039410926703349</v>
      </c>
      <c r="Y23" s="39" t="s">
        <v>53</v>
      </c>
    </row>
    <row r="24" spans="1:25" x14ac:dyDescent="0.25">
      <c r="A24" s="15" t="s">
        <v>138</v>
      </c>
      <c r="B24" s="36">
        <v>10.392582509365699</v>
      </c>
      <c r="C24" s="37">
        <v>0.46505302845390067</v>
      </c>
      <c r="D24" s="38" t="s">
        <v>53</v>
      </c>
      <c r="E24" s="36">
        <v>69.994719274490834</v>
      </c>
      <c r="F24" s="37">
        <v>0.87139161832122825</v>
      </c>
      <c r="G24" s="38" t="s">
        <v>53</v>
      </c>
      <c r="H24" s="36">
        <v>70.807516602248739</v>
      </c>
      <c r="I24" s="37">
        <v>0.89998457448343372</v>
      </c>
      <c r="J24" s="38" t="s">
        <v>53</v>
      </c>
      <c r="K24" s="36">
        <v>63.151193316494847</v>
      </c>
      <c r="L24" s="37">
        <v>2.2292444605000385</v>
      </c>
      <c r="M24" s="38" t="s">
        <v>53</v>
      </c>
      <c r="N24" s="36">
        <v>62.799698814124525</v>
      </c>
      <c r="O24" s="37">
        <v>2.1970214747910712</v>
      </c>
      <c r="P24" s="38" t="s">
        <v>53</v>
      </c>
      <c r="Q24" s="36">
        <v>67.776031863703764</v>
      </c>
      <c r="R24" s="37">
        <v>8.775727525823152</v>
      </c>
      <c r="S24" s="38" t="s">
        <v>53</v>
      </c>
      <c r="T24" s="16">
        <v>0.70656124437966039</v>
      </c>
      <c r="U24" s="17">
        <v>6.7805564492036077E-2</v>
      </c>
      <c r="V24" s="38" t="s">
        <v>53</v>
      </c>
      <c r="W24" s="16">
        <v>0.93792282159332874</v>
      </c>
      <c r="X24" s="17">
        <v>9.9788019249696477E-2</v>
      </c>
      <c r="Y24" s="39" t="s">
        <v>53</v>
      </c>
    </row>
    <row r="25" spans="1:25" x14ac:dyDescent="0.25">
      <c r="A25" s="15" t="s">
        <v>139</v>
      </c>
      <c r="B25" s="36">
        <v>5.7757806421643902</v>
      </c>
      <c r="C25" s="37">
        <v>0.47656616025151088</v>
      </c>
      <c r="D25" s="38" t="s">
        <v>53</v>
      </c>
      <c r="E25" s="36">
        <v>63.581350822978578</v>
      </c>
      <c r="F25" s="37">
        <v>0.92649226060380119</v>
      </c>
      <c r="G25" s="38" t="s">
        <v>53</v>
      </c>
      <c r="H25" s="36">
        <v>63.512535306154817</v>
      </c>
      <c r="I25" s="37">
        <v>0.94706319923418181</v>
      </c>
      <c r="J25" s="38" t="s">
        <v>53</v>
      </c>
      <c r="K25" s="36">
        <v>68.027605699885058</v>
      </c>
      <c r="L25" s="37">
        <v>2.8012323103451675</v>
      </c>
      <c r="M25" s="38" t="s">
        <v>53</v>
      </c>
      <c r="N25" s="36">
        <v>69.328860659668962</v>
      </c>
      <c r="O25" s="37">
        <v>4.1308495887711878</v>
      </c>
      <c r="P25" s="38" t="s">
        <v>53</v>
      </c>
      <c r="Q25" s="36">
        <v>67.0596910412727</v>
      </c>
      <c r="R25" s="37">
        <v>3.9013892581339817</v>
      </c>
      <c r="S25" s="38" t="s">
        <v>53</v>
      </c>
      <c r="T25" s="16">
        <v>1.222346304717199</v>
      </c>
      <c r="U25" s="17">
        <v>0.1574767445918118</v>
      </c>
      <c r="V25" s="38" t="s">
        <v>53</v>
      </c>
      <c r="W25" s="16">
        <v>3.0032598797259005</v>
      </c>
      <c r="X25" s="17">
        <v>0.49952175826891532</v>
      </c>
      <c r="Y25" s="39" t="s">
        <v>53</v>
      </c>
    </row>
    <row r="26" spans="1:25" x14ac:dyDescent="0.25">
      <c r="A26" s="15" t="s">
        <v>140</v>
      </c>
      <c r="B26" s="36">
        <v>14.292398074125421</v>
      </c>
      <c r="C26" s="37">
        <v>0.93597142687811641</v>
      </c>
      <c r="D26" s="38" t="s">
        <v>53</v>
      </c>
      <c r="E26" s="36">
        <v>78.338751860749099</v>
      </c>
      <c r="F26" s="37">
        <v>0.65863516361969254</v>
      </c>
      <c r="G26" s="38" t="s">
        <v>53</v>
      </c>
      <c r="H26" s="36">
        <v>78.935193571646394</v>
      </c>
      <c r="I26" s="37">
        <v>0.75197754351972956</v>
      </c>
      <c r="J26" s="38" t="s">
        <v>53</v>
      </c>
      <c r="K26" s="36">
        <v>76.055547984198697</v>
      </c>
      <c r="L26" s="37">
        <v>1.870001413798605</v>
      </c>
      <c r="M26" s="38" t="s">
        <v>53</v>
      </c>
      <c r="N26" s="36">
        <v>76.624451282732508</v>
      </c>
      <c r="O26" s="37">
        <v>2.2260909605788228</v>
      </c>
      <c r="P26" s="38" t="s">
        <v>53</v>
      </c>
      <c r="Q26" s="36">
        <v>74.872300359699096</v>
      </c>
      <c r="R26" s="37">
        <v>3.004689420202161</v>
      </c>
      <c r="S26" s="38" t="s">
        <v>53</v>
      </c>
      <c r="T26" s="16">
        <v>0.84764263269175466</v>
      </c>
      <c r="U26" s="17">
        <v>0.10080445667056226</v>
      </c>
      <c r="V26" s="38" t="s">
        <v>53</v>
      </c>
      <c r="W26" s="16">
        <v>1.2968392523175671</v>
      </c>
      <c r="X26" s="17">
        <v>0.15686465872215646</v>
      </c>
      <c r="Y26" s="39" t="s">
        <v>53</v>
      </c>
    </row>
    <row r="27" spans="1:25" x14ac:dyDescent="0.25">
      <c r="A27" s="15" t="s">
        <v>141</v>
      </c>
      <c r="B27" s="36">
        <v>22.168807967597882</v>
      </c>
      <c r="C27" s="37">
        <v>1.1487898067601798</v>
      </c>
      <c r="D27" s="38" t="s">
        <v>53</v>
      </c>
      <c r="E27" s="36">
        <v>33.867804122202458</v>
      </c>
      <c r="F27" s="37">
        <v>1.0822312217046774</v>
      </c>
      <c r="G27" s="38" t="s">
        <v>53</v>
      </c>
      <c r="H27" s="36">
        <v>35.072043550835971</v>
      </c>
      <c r="I27" s="37">
        <v>1.2522885803636539</v>
      </c>
      <c r="J27" s="38" t="s">
        <v>53</v>
      </c>
      <c r="K27" s="36">
        <v>29.195026672993642</v>
      </c>
      <c r="L27" s="37">
        <v>1.9355305456978227</v>
      </c>
      <c r="M27" s="38" t="s">
        <v>53</v>
      </c>
      <c r="N27" s="36">
        <v>28.810965373111351</v>
      </c>
      <c r="O27" s="37">
        <v>2.3235474775323799</v>
      </c>
      <c r="P27" s="38" t="s">
        <v>53</v>
      </c>
      <c r="Q27" s="36">
        <v>30.255067579895588</v>
      </c>
      <c r="R27" s="37">
        <v>3.1268406109294227</v>
      </c>
      <c r="S27" s="38" t="s">
        <v>53</v>
      </c>
      <c r="T27" s="16">
        <v>0.76333605334722288</v>
      </c>
      <c r="U27" s="17">
        <v>7.6074581047746198E-2</v>
      </c>
      <c r="V27" s="38" t="s">
        <v>53</v>
      </c>
      <c r="W27" s="16">
        <v>2.208199715761928</v>
      </c>
      <c r="X27" s="17">
        <v>0.27157508621690724</v>
      </c>
      <c r="Y27" s="39" t="s">
        <v>53</v>
      </c>
    </row>
    <row r="28" spans="1:25" x14ac:dyDescent="0.25">
      <c r="A28" s="15" t="s">
        <v>142</v>
      </c>
      <c r="B28" s="36">
        <v>11.69610290505079</v>
      </c>
      <c r="C28" s="37">
        <v>0.66265154560738204</v>
      </c>
      <c r="D28" s="38" t="s">
        <v>53</v>
      </c>
      <c r="E28" s="36">
        <v>74.359131650058032</v>
      </c>
      <c r="F28" s="37">
        <v>1.1717291281545035</v>
      </c>
      <c r="G28" s="38" t="s">
        <v>53</v>
      </c>
      <c r="H28" s="36">
        <v>77.09751222071678</v>
      </c>
      <c r="I28" s="37">
        <v>1.142183091092682</v>
      </c>
      <c r="J28" s="38" t="s">
        <v>53</v>
      </c>
      <c r="K28" s="36">
        <v>58.804913722437611</v>
      </c>
      <c r="L28" s="37">
        <v>2.233388776978988</v>
      </c>
      <c r="M28" s="38" t="s">
        <v>53</v>
      </c>
      <c r="N28" s="36">
        <v>60.076185278119496</v>
      </c>
      <c r="O28" s="37">
        <v>2.6835904359705629</v>
      </c>
      <c r="P28" s="38" t="s">
        <v>53</v>
      </c>
      <c r="Q28" s="36">
        <v>55.262518324678169</v>
      </c>
      <c r="R28" s="37">
        <v>3.8681868053446742</v>
      </c>
      <c r="S28" s="38" t="s">
        <v>53</v>
      </c>
      <c r="T28" s="16">
        <v>0.42404354743205791</v>
      </c>
      <c r="U28" s="17">
        <v>4.322322760151983E-2</v>
      </c>
      <c r="V28" s="38" t="s">
        <v>53</v>
      </c>
      <c r="W28" s="16">
        <v>0.91934721955481258</v>
      </c>
      <c r="X28" s="17">
        <v>9.6728055754457795E-2</v>
      </c>
      <c r="Y28" s="39" t="s">
        <v>53</v>
      </c>
    </row>
    <row r="29" spans="1:25" x14ac:dyDescent="0.25">
      <c r="A29" s="15" t="s">
        <v>143</v>
      </c>
      <c r="B29" s="36">
        <v>2.5521960850758401</v>
      </c>
      <c r="C29" s="37">
        <v>0.30831545416996642</v>
      </c>
      <c r="D29" s="38" t="s">
        <v>53</v>
      </c>
      <c r="E29" s="36">
        <v>51.487974334250765</v>
      </c>
      <c r="F29" s="37">
        <v>0.97522539199777991</v>
      </c>
      <c r="G29" s="38" t="s">
        <v>53</v>
      </c>
      <c r="H29" s="36">
        <v>51.358002659986965</v>
      </c>
      <c r="I29" s="37">
        <v>0.97611134463831684</v>
      </c>
      <c r="J29" s="38" t="s">
        <v>53</v>
      </c>
      <c r="K29" s="36">
        <v>61.021220892532313</v>
      </c>
      <c r="L29" s="37">
        <v>4.6173922879974869</v>
      </c>
      <c r="M29" s="38" t="s">
        <v>53</v>
      </c>
      <c r="N29" s="36">
        <v>69.700998098866933</v>
      </c>
      <c r="O29" s="37">
        <v>5.8984112736885974</v>
      </c>
      <c r="P29" s="38" t="s">
        <v>53</v>
      </c>
      <c r="Q29" s="36">
        <v>51.061248328406542</v>
      </c>
      <c r="R29" s="37">
        <v>7.2549969734737845</v>
      </c>
      <c r="S29" s="38" t="s">
        <v>53</v>
      </c>
      <c r="T29" s="16">
        <v>1.4827090377765719</v>
      </c>
      <c r="U29" s="17">
        <v>0.28174459400946161</v>
      </c>
      <c r="V29" s="38" t="s">
        <v>53</v>
      </c>
      <c r="W29" s="16">
        <v>1.0734100968117879</v>
      </c>
      <c r="X29" s="17">
        <v>0.23922198485954196</v>
      </c>
      <c r="Y29" s="39" t="s">
        <v>53</v>
      </c>
    </row>
    <row r="30" spans="1:25" x14ac:dyDescent="0.25">
      <c r="A30" s="15" t="s">
        <v>144</v>
      </c>
      <c r="B30" s="36">
        <v>5.5922790641216604</v>
      </c>
      <c r="C30" s="37">
        <v>0.40139673553959726</v>
      </c>
      <c r="D30" s="38" t="s">
        <v>53</v>
      </c>
      <c r="E30" s="36">
        <v>61.921048524820776</v>
      </c>
      <c r="F30" s="37">
        <v>0.79523592679261834</v>
      </c>
      <c r="G30" s="38" t="s">
        <v>53</v>
      </c>
      <c r="H30" s="36">
        <v>62.516041667550269</v>
      </c>
      <c r="I30" s="37">
        <v>0.81507105953262049</v>
      </c>
      <c r="J30" s="38" t="s">
        <v>53</v>
      </c>
      <c r="K30" s="36">
        <v>55.258144017593693</v>
      </c>
      <c r="L30" s="37">
        <v>3.8007393857900307</v>
      </c>
      <c r="M30" s="38" t="s">
        <v>53</v>
      </c>
      <c r="N30" s="36">
        <v>59.899983422298853</v>
      </c>
      <c r="O30" s="37">
        <v>5.9183613016492407</v>
      </c>
      <c r="P30" s="38" t="s">
        <v>53</v>
      </c>
      <c r="Q30" s="36">
        <v>51.544381561133676</v>
      </c>
      <c r="R30" s="37">
        <v>4.9237399692096862</v>
      </c>
      <c r="S30" s="38" t="s">
        <v>53</v>
      </c>
      <c r="T30" s="16">
        <v>0.74051911408113469</v>
      </c>
      <c r="U30" s="17">
        <v>0.11820082335223421</v>
      </c>
      <c r="V30" s="38" t="s">
        <v>53</v>
      </c>
      <c r="W30" s="16">
        <v>1.4239196445986548</v>
      </c>
      <c r="X30" s="17">
        <v>0.2762910005925831</v>
      </c>
      <c r="Y30" s="39" t="s">
        <v>53</v>
      </c>
    </row>
    <row r="31" spans="1:25" x14ac:dyDescent="0.25">
      <c r="A31" s="15" t="s">
        <v>145</v>
      </c>
      <c r="B31" s="36">
        <v>17.860838929942929</v>
      </c>
      <c r="C31" s="37">
        <v>0.91486176844457701</v>
      </c>
      <c r="D31" s="38" t="s">
        <v>53</v>
      </c>
      <c r="E31" s="36">
        <v>79.665787826762497</v>
      </c>
      <c r="F31" s="37">
        <v>0.81443542312796235</v>
      </c>
      <c r="G31" s="38" t="s">
        <v>53</v>
      </c>
      <c r="H31" s="36">
        <v>79.530176339799752</v>
      </c>
      <c r="I31" s="37">
        <v>0.89082860776147688</v>
      </c>
      <c r="J31" s="38" t="s">
        <v>53</v>
      </c>
      <c r="K31" s="36">
        <v>81.506857500523381</v>
      </c>
      <c r="L31" s="37">
        <v>1.286667432698924</v>
      </c>
      <c r="M31" s="38" t="s">
        <v>53</v>
      </c>
      <c r="N31" s="36">
        <v>82.904265691439988</v>
      </c>
      <c r="O31" s="37">
        <v>2.0922746135052446</v>
      </c>
      <c r="P31" s="38" t="s">
        <v>53</v>
      </c>
      <c r="Q31" s="36">
        <v>80.36583471281034</v>
      </c>
      <c r="R31" s="37">
        <v>1.9724976154229732</v>
      </c>
      <c r="S31" s="38" t="s">
        <v>53</v>
      </c>
      <c r="T31" s="16">
        <v>1.134398357620285</v>
      </c>
      <c r="U31" s="17">
        <v>0.1025904335035706</v>
      </c>
      <c r="V31" s="38" t="s">
        <v>53</v>
      </c>
      <c r="W31" s="16">
        <v>1.4674022608432569</v>
      </c>
      <c r="X31" s="17">
        <v>0.15321261470175912</v>
      </c>
      <c r="Y31" s="39" t="s">
        <v>53</v>
      </c>
    </row>
    <row r="32" spans="1:25" x14ac:dyDescent="0.25">
      <c r="A32" s="15" t="s">
        <v>146</v>
      </c>
      <c r="B32" s="36">
        <v>16.416253414977149</v>
      </c>
      <c r="C32" s="37">
        <v>1.0738364165803722</v>
      </c>
      <c r="D32" s="38" t="s">
        <v>53</v>
      </c>
      <c r="E32" s="36">
        <v>73.045335520830719</v>
      </c>
      <c r="F32" s="37">
        <v>1.0014097386133229</v>
      </c>
      <c r="G32" s="38" t="s">
        <v>53</v>
      </c>
      <c r="H32" s="36">
        <v>74.81562274927775</v>
      </c>
      <c r="I32" s="37">
        <v>0.94938420045591077</v>
      </c>
      <c r="J32" s="38" t="s">
        <v>53</v>
      </c>
      <c r="K32" s="36">
        <v>75.336485766096231</v>
      </c>
      <c r="L32" s="37">
        <v>1.9193542769456284</v>
      </c>
      <c r="M32" s="38" t="s">
        <v>53</v>
      </c>
      <c r="N32" s="36">
        <v>79.46150503507539</v>
      </c>
      <c r="O32" s="37">
        <v>1.8534103441994312</v>
      </c>
      <c r="P32" s="38" t="s">
        <v>53</v>
      </c>
      <c r="Q32" s="36">
        <v>62.521931567757903</v>
      </c>
      <c r="R32" s="37">
        <v>3.2243789844359974</v>
      </c>
      <c r="S32" s="38" t="s">
        <v>53</v>
      </c>
      <c r="T32" s="16">
        <v>1.0282277456446121</v>
      </c>
      <c r="U32" s="17">
        <v>0.1071907439027225</v>
      </c>
      <c r="V32" s="38" t="s">
        <v>53</v>
      </c>
      <c r="W32" s="16">
        <v>1.199144266824328</v>
      </c>
      <c r="X32" s="17">
        <v>0.12995515444407532</v>
      </c>
      <c r="Y32" s="39" t="s">
        <v>53</v>
      </c>
    </row>
    <row r="33" spans="1:25" x14ac:dyDescent="0.25">
      <c r="A33" s="15" t="s">
        <v>147</v>
      </c>
      <c r="B33" s="36">
        <v>10.025087167799541</v>
      </c>
      <c r="C33" s="37">
        <v>0.4917084931015509</v>
      </c>
      <c r="D33" s="38" t="s">
        <v>53</v>
      </c>
      <c r="E33" s="36">
        <v>60.521422896827815</v>
      </c>
      <c r="F33" s="37">
        <v>0.76911641224034855</v>
      </c>
      <c r="G33" s="38" t="s">
        <v>53</v>
      </c>
      <c r="H33" s="36">
        <v>61.927552042604106</v>
      </c>
      <c r="I33" s="37">
        <v>0.82172834187407373</v>
      </c>
      <c r="J33" s="38" t="s">
        <v>53</v>
      </c>
      <c r="K33" s="36">
        <v>49.913045729967791</v>
      </c>
      <c r="L33" s="37">
        <v>2.4779536080538893</v>
      </c>
      <c r="M33" s="38" t="s">
        <v>53</v>
      </c>
      <c r="N33" s="36">
        <v>49.767579858977776</v>
      </c>
      <c r="O33" s="37">
        <v>3.230506559247325</v>
      </c>
      <c r="P33" s="38" t="s">
        <v>53</v>
      </c>
      <c r="Q33" s="36">
        <v>50.087538743664005</v>
      </c>
      <c r="R33" s="37">
        <v>3.3088738282421475</v>
      </c>
      <c r="S33" s="38" t="s">
        <v>53</v>
      </c>
      <c r="T33" s="16">
        <v>0.61265550023139637</v>
      </c>
      <c r="U33" s="17">
        <v>6.2395521558961151E-2</v>
      </c>
      <c r="V33" s="38" t="s">
        <v>53</v>
      </c>
      <c r="W33" s="16">
        <v>1.0736051380411713</v>
      </c>
      <c r="X33" s="17">
        <v>0.11543576616851479</v>
      </c>
      <c r="Y33" s="39" t="s">
        <v>53</v>
      </c>
    </row>
    <row r="34" spans="1:25" x14ac:dyDescent="0.25">
      <c r="A34" s="15" t="s">
        <v>148</v>
      </c>
      <c r="B34" s="36">
        <v>0.62269075696213994</v>
      </c>
      <c r="C34" s="37">
        <v>0.13447373995918133</v>
      </c>
      <c r="D34" s="38" t="s">
        <v>53</v>
      </c>
      <c r="E34" s="36">
        <v>74.129605017077751</v>
      </c>
      <c r="F34" s="37">
        <v>0.78129151200506497</v>
      </c>
      <c r="G34" s="38" t="s">
        <v>53</v>
      </c>
      <c r="H34" s="36" t="s">
        <v>128</v>
      </c>
      <c r="I34" s="37" t="s">
        <v>128</v>
      </c>
      <c r="J34" s="38" t="s">
        <v>53</v>
      </c>
      <c r="K34" s="36" t="s">
        <v>128</v>
      </c>
      <c r="L34" s="37" t="s">
        <v>128</v>
      </c>
      <c r="M34" s="38" t="s">
        <v>53</v>
      </c>
      <c r="N34" s="36" t="s">
        <v>128</v>
      </c>
      <c r="O34" s="37" t="s">
        <v>128</v>
      </c>
      <c r="P34" s="38" t="s">
        <v>53</v>
      </c>
      <c r="Q34" s="36" t="s">
        <v>128</v>
      </c>
      <c r="R34" s="37" t="s">
        <v>128</v>
      </c>
      <c r="S34" s="38" t="s">
        <v>53</v>
      </c>
      <c r="T34" s="16" t="s">
        <v>128</v>
      </c>
      <c r="U34" s="17" t="s">
        <v>128</v>
      </c>
      <c r="V34" s="38" t="s">
        <v>53</v>
      </c>
      <c r="W34" s="16" t="s">
        <v>128</v>
      </c>
      <c r="X34" s="17" t="s">
        <v>128</v>
      </c>
      <c r="Y34" s="39" t="s">
        <v>53</v>
      </c>
    </row>
    <row r="35" spans="1:25" x14ac:dyDescent="0.25">
      <c r="A35" s="15" t="s">
        <v>149</v>
      </c>
      <c r="B35" s="36">
        <v>0.16599464463225999</v>
      </c>
      <c r="C35" s="37">
        <v>8.9871829952017257E-2</v>
      </c>
      <c r="D35" s="38" t="s">
        <v>53</v>
      </c>
      <c r="E35" s="36">
        <v>89.418545280531148</v>
      </c>
      <c r="F35" s="37">
        <v>0.71013239173865061</v>
      </c>
      <c r="G35" s="38" t="s">
        <v>53</v>
      </c>
      <c r="H35" s="36">
        <v>89.795852093073094</v>
      </c>
      <c r="I35" s="37">
        <v>0.68950655496395918</v>
      </c>
      <c r="J35" s="38" t="s">
        <v>53</v>
      </c>
      <c r="K35" s="36" t="s">
        <v>55</v>
      </c>
      <c r="L35" s="37" t="s">
        <v>55</v>
      </c>
      <c r="M35" s="38" t="s">
        <v>53</v>
      </c>
      <c r="N35" s="36" t="s">
        <v>55</v>
      </c>
      <c r="O35" s="37" t="s">
        <v>55</v>
      </c>
      <c r="P35" s="38" t="s">
        <v>53</v>
      </c>
      <c r="Q35" s="36" t="s">
        <v>55</v>
      </c>
      <c r="R35" s="37" t="s">
        <v>55</v>
      </c>
      <c r="S35" s="38" t="s">
        <v>53</v>
      </c>
      <c r="T35" s="16" t="s">
        <v>56</v>
      </c>
      <c r="U35" s="17" t="s">
        <v>56</v>
      </c>
      <c r="V35" s="38" t="s">
        <v>53</v>
      </c>
      <c r="W35" s="16" t="s">
        <v>56</v>
      </c>
      <c r="X35" s="17" t="s">
        <v>56</v>
      </c>
      <c r="Y35" s="39" t="s">
        <v>53</v>
      </c>
    </row>
    <row r="36" spans="1:25" x14ac:dyDescent="0.25">
      <c r="A36" s="15" t="s">
        <v>150</v>
      </c>
      <c r="B36" s="36">
        <v>4.4397198134590603</v>
      </c>
      <c r="C36" s="37">
        <v>0.33685609843229053</v>
      </c>
      <c r="D36" s="38" t="s">
        <v>53</v>
      </c>
      <c r="E36" s="36">
        <v>64.591091461971999</v>
      </c>
      <c r="F36" s="37">
        <v>0.79228904091513086</v>
      </c>
      <c r="G36" s="38" t="s">
        <v>53</v>
      </c>
      <c r="H36" s="36">
        <v>64.924740114134707</v>
      </c>
      <c r="I36" s="37">
        <v>0.80154884724256137</v>
      </c>
      <c r="J36" s="38" t="s">
        <v>53</v>
      </c>
      <c r="K36" s="36">
        <v>59.849599313917537</v>
      </c>
      <c r="L36" s="37">
        <v>3.3540953840843351</v>
      </c>
      <c r="M36" s="38" t="s">
        <v>53</v>
      </c>
      <c r="N36" s="36">
        <v>56.154185428068168</v>
      </c>
      <c r="O36" s="37">
        <v>3.8128809254181939</v>
      </c>
      <c r="P36" s="38" t="s">
        <v>53</v>
      </c>
      <c r="Q36" s="36">
        <v>75.002589070229675</v>
      </c>
      <c r="R36" s="37">
        <v>5.2086407943230242</v>
      </c>
      <c r="S36" s="38" t="s">
        <v>53</v>
      </c>
      <c r="T36" s="16">
        <v>0.80530805140373318</v>
      </c>
      <c r="U36" s="17">
        <v>0.11767099754010582</v>
      </c>
      <c r="V36" s="38" t="s">
        <v>53</v>
      </c>
      <c r="W36" s="16">
        <v>0.74020202646071809</v>
      </c>
      <c r="X36" s="17">
        <v>0.11520957171586688</v>
      </c>
      <c r="Y36" s="39" t="s">
        <v>53</v>
      </c>
    </row>
    <row r="37" spans="1:25" x14ac:dyDescent="0.25">
      <c r="A37" s="15" t="s">
        <v>151</v>
      </c>
      <c r="B37" s="36">
        <v>1.5599249777116999</v>
      </c>
      <c r="C37" s="37">
        <v>0.13051569969861895</v>
      </c>
      <c r="D37" s="38" t="s">
        <v>53</v>
      </c>
      <c r="E37" s="36">
        <v>71.662925663437719</v>
      </c>
      <c r="F37" s="37">
        <v>0.62848954305895066</v>
      </c>
      <c r="G37" s="38" t="s">
        <v>53</v>
      </c>
      <c r="H37" s="36">
        <v>71.956011400734994</v>
      </c>
      <c r="I37" s="37">
        <v>0.64232664768644254</v>
      </c>
      <c r="J37" s="38" t="s">
        <v>53</v>
      </c>
      <c r="K37" s="36">
        <v>75.880110295058557</v>
      </c>
      <c r="L37" s="37">
        <v>4.059934911048769</v>
      </c>
      <c r="M37" s="38" t="s">
        <v>53</v>
      </c>
      <c r="N37" s="36">
        <v>78.629871842611564</v>
      </c>
      <c r="O37" s="37">
        <v>3.6982146012133628</v>
      </c>
      <c r="P37" s="38" t="s">
        <v>53</v>
      </c>
      <c r="Q37" s="36">
        <v>65.811663880354359</v>
      </c>
      <c r="R37" s="37">
        <v>11.613133416674925</v>
      </c>
      <c r="S37" s="38" t="s">
        <v>53</v>
      </c>
      <c r="T37" s="16">
        <v>1.226098428662491</v>
      </c>
      <c r="U37" s="17">
        <v>0.29119980170843401</v>
      </c>
      <c r="V37" s="38" t="s">
        <v>53</v>
      </c>
      <c r="W37" s="16">
        <v>1.5208337688626878</v>
      </c>
      <c r="X37" s="17">
        <v>0.39315943309432794</v>
      </c>
      <c r="Y37" s="39" t="s">
        <v>53</v>
      </c>
    </row>
    <row r="38" spans="1:25" x14ac:dyDescent="0.25">
      <c r="A38" s="15" t="s">
        <v>152</v>
      </c>
      <c r="B38" s="36">
        <v>54.87180939703277</v>
      </c>
      <c r="C38" s="37">
        <v>0.64370888429344009</v>
      </c>
      <c r="D38" s="38" t="s">
        <v>53</v>
      </c>
      <c r="E38" s="36">
        <v>61.531793397074907</v>
      </c>
      <c r="F38" s="37">
        <v>0.59916659257456417</v>
      </c>
      <c r="G38" s="38" t="s">
        <v>53</v>
      </c>
      <c r="H38" s="36">
        <v>64.683529034031011</v>
      </c>
      <c r="I38" s="37">
        <v>1.0441016431170702</v>
      </c>
      <c r="J38" s="38" t="s">
        <v>53</v>
      </c>
      <c r="K38" s="36">
        <v>59.499127438972401</v>
      </c>
      <c r="L38" s="37">
        <v>0.83305440055978264</v>
      </c>
      <c r="M38" s="38" t="s">
        <v>53</v>
      </c>
      <c r="N38" s="36">
        <v>56.017161994617204</v>
      </c>
      <c r="O38" s="37">
        <v>1.1668764414520159</v>
      </c>
      <c r="P38" s="38" t="s">
        <v>53</v>
      </c>
      <c r="Q38" s="36">
        <v>63.893911694634234</v>
      </c>
      <c r="R38" s="37">
        <v>1.324218971592408</v>
      </c>
      <c r="S38" s="38" t="s">
        <v>53</v>
      </c>
      <c r="T38" s="16">
        <v>0.80210238995765482</v>
      </c>
      <c r="U38" s="17">
        <v>4.8869437334227897E-2</v>
      </c>
      <c r="V38" s="38" t="s">
        <v>53</v>
      </c>
      <c r="W38" s="16">
        <v>1.4123637660604667</v>
      </c>
      <c r="X38" s="17">
        <v>9.561884186701454E-2</v>
      </c>
      <c r="Y38" s="39" t="s">
        <v>53</v>
      </c>
    </row>
    <row r="39" spans="1:25" x14ac:dyDescent="0.25">
      <c r="A39" s="15" t="s">
        <v>153</v>
      </c>
      <c r="B39" s="36">
        <v>1.56142115515159</v>
      </c>
      <c r="C39" s="37">
        <v>0.26845505611360826</v>
      </c>
      <c r="D39" s="38" t="s">
        <v>53</v>
      </c>
      <c r="E39" s="36">
        <v>83.319381416650799</v>
      </c>
      <c r="F39" s="37">
        <v>0.75392855221462485</v>
      </c>
      <c r="G39" s="38" t="s">
        <v>53</v>
      </c>
      <c r="H39" s="36">
        <v>83.632021732655957</v>
      </c>
      <c r="I39" s="37">
        <v>0.75852090136466688</v>
      </c>
      <c r="J39" s="38" t="s">
        <v>53</v>
      </c>
      <c r="K39" s="36">
        <v>77.439512731689391</v>
      </c>
      <c r="L39" s="37">
        <v>7.2003450360877768</v>
      </c>
      <c r="M39" s="38" t="s">
        <v>53</v>
      </c>
      <c r="N39" s="36">
        <v>68.213287556609785</v>
      </c>
      <c r="O39" s="37">
        <v>10.97516559288759</v>
      </c>
      <c r="P39" s="38" t="s">
        <v>54</v>
      </c>
      <c r="Q39" s="36">
        <v>86.392271918639025</v>
      </c>
      <c r="R39" s="37">
        <v>7.1145698403437718</v>
      </c>
      <c r="S39" s="38" t="s">
        <v>53</v>
      </c>
      <c r="T39" s="16">
        <v>0.67179461024195219</v>
      </c>
      <c r="U39" s="17">
        <v>0.31017901168106621</v>
      </c>
      <c r="V39" s="38" t="s">
        <v>53</v>
      </c>
      <c r="W39" s="16">
        <v>1.6941102372711692</v>
      </c>
      <c r="X39" s="17">
        <v>0.87218250070207837</v>
      </c>
      <c r="Y39" s="39" t="s">
        <v>53</v>
      </c>
    </row>
    <row r="40" spans="1:25" x14ac:dyDescent="0.25">
      <c r="A40" s="15" t="s">
        <v>226</v>
      </c>
      <c r="B40" s="36">
        <v>13.767365553432789</v>
      </c>
      <c r="C40" s="37">
        <v>1.1613432186534565</v>
      </c>
      <c r="D40" s="38" t="s">
        <v>53</v>
      </c>
      <c r="E40" s="36">
        <v>68.905295202178408</v>
      </c>
      <c r="F40" s="37">
        <v>0.93849528615585986</v>
      </c>
      <c r="G40" s="38" t="s">
        <v>53</v>
      </c>
      <c r="H40" s="36">
        <v>68.247374457339916</v>
      </c>
      <c r="I40" s="37">
        <v>0.99759359794162061</v>
      </c>
      <c r="J40" s="38" t="s">
        <v>53</v>
      </c>
      <c r="K40" s="36">
        <v>74.216940662402138</v>
      </c>
      <c r="L40" s="37">
        <v>2.8633159191074413</v>
      </c>
      <c r="M40" s="38" t="s">
        <v>54</v>
      </c>
      <c r="N40" s="36">
        <v>73.814197813436493</v>
      </c>
      <c r="O40" s="37">
        <v>3.1932626173289784</v>
      </c>
      <c r="P40" s="38" t="s">
        <v>53</v>
      </c>
      <c r="Q40" s="36">
        <v>76.365750933574787</v>
      </c>
      <c r="R40" s="37">
        <v>5.471008291132395</v>
      </c>
      <c r="S40" s="38" t="s">
        <v>54</v>
      </c>
      <c r="T40" s="16">
        <v>1.339251968147543</v>
      </c>
      <c r="U40" s="17">
        <v>0.2178937956398542</v>
      </c>
      <c r="V40" s="38" t="s">
        <v>53</v>
      </c>
      <c r="W40" s="16">
        <v>5.2164699685441889</v>
      </c>
      <c r="X40" s="17">
        <v>1.1785098795124189</v>
      </c>
      <c r="Y40" s="39" t="s">
        <v>53</v>
      </c>
    </row>
    <row r="41" spans="1:25" x14ac:dyDescent="0.25">
      <c r="A41" s="15" t="s">
        <v>154</v>
      </c>
      <c r="B41" s="36">
        <v>26.459841142840613</v>
      </c>
      <c r="C41" s="37">
        <v>1.3482097436076308</v>
      </c>
      <c r="D41" s="38" t="s">
        <v>53</v>
      </c>
      <c r="E41" s="36">
        <v>61.084562598470846</v>
      </c>
      <c r="F41" s="37">
        <v>0.87133945471686469</v>
      </c>
      <c r="G41" s="38" t="s">
        <v>53</v>
      </c>
      <c r="H41" s="36">
        <v>57.436913371956123</v>
      </c>
      <c r="I41" s="37">
        <v>0.92240741889485744</v>
      </c>
      <c r="J41" s="38" t="s">
        <v>53</v>
      </c>
      <c r="K41" s="36">
        <v>72.434293050450862</v>
      </c>
      <c r="L41" s="37">
        <v>1.287054863312693</v>
      </c>
      <c r="M41" s="38" t="s">
        <v>53</v>
      </c>
      <c r="N41" s="36">
        <v>73.13224753473817</v>
      </c>
      <c r="O41" s="37">
        <v>1.7312711906403007</v>
      </c>
      <c r="P41" s="38" t="s">
        <v>53</v>
      </c>
      <c r="Q41" s="36">
        <v>71.876328876031721</v>
      </c>
      <c r="R41" s="37">
        <v>1.5656843588494347</v>
      </c>
      <c r="S41" s="38" t="s">
        <v>53</v>
      </c>
      <c r="T41" s="16">
        <v>1.9472293396941689</v>
      </c>
      <c r="U41" s="17">
        <v>0.14504200785158014</v>
      </c>
      <c r="V41" s="38" t="s">
        <v>53</v>
      </c>
      <c r="W41" s="16">
        <v>2.2054620234540412</v>
      </c>
      <c r="X41" s="17">
        <v>0.18555081198589998</v>
      </c>
      <c r="Y41" s="39" t="s">
        <v>53</v>
      </c>
    </row>
    <row r="42" spans="1:25" x14ac:dyDescent="0.25">
      <c r="A42" s="15" t="s">
        <v>155</v>
      </c>
      <c r="B42" s="36">
        <v>12.39989609171765</v>
      </c>
      <c r="C42" s="37">
        <v>0.77280409093371216</v>
      </c>
      <c r="D42" s="38" t="s">
        <v>53</v>
      </c>
      <c r="E42" s="36">
        <v>67.507633189363361</v>
      </c>
      <c r="F42" s="37">
        <v>0.96547131245626683</v>
      </c>
      <c r="G42" s="38" t="s">
        <v>53</v>
      </c>
      <c r="H42" s="36">
        <v>66.525061923707597</v>
      </c>
      <c r="I42" s="37">
        <v>1.0031022419548719</v>
      </c>
      <c r="J42" s="38" t="s">
        <v>53</v>
      </c>
      <c r="K42" s="36">
        <v>77.508843557231344</v>
      </c>
      <c r="L42" s="37">
        <v>1.9519031480419891</v>
      </c>
      <c r="M42" s="38" t="s">
        <v>53</v>
      </c>
      <c r="N42" s="36">
        <v>79.363593932732584</v>
      </c>
      <c r="O42" s="37">
        <v>2.5779668509928633</v>
      </c>
      <c r="P42" s="38" t="s">
        <v>53</v>
      </c>
      <c r="Q42" s="36">
        <v>75.639544569132013</v>
      </c>
      <c r="R42" s="37">
        <v>2.3443096263188838</v>
      </c>
      <c r="S42" s="38" t="s">
        <v>53</v>
      </c>
      <c r="T42" s="16">
        <v>1.7340993106195861</v>
      </c>
      <c r="U42" s="17">
        <v>0.19602842814417865</v>
      </c>
      <c r="V42" s="38" t="s">
        <v>53</v>
      </c>
      <c r="W42" s="16">
        <v>4.5608479248717044</v>
      </c>
      <c r="X42" s="17">
        <v>0.62394291275684211</v>
      </c>
      <c r="Y42" s="39" t="s">
        <v>53</v>
      </c>
    </row>
    <row r="43" spans="1:25" x14ac:dyDescent="0.25">
      <c r="A43" s="15" t="s">
        <v>156</v>
      </c>
      <c r="B43" s="36">
        <v>0.64312078856707999</v>
      </c>
      <c r="C43" s="37">
        <v>0.19031100288588151</v>
      </c>
      <c r="D43" s="38" t="s">
        <v>53</v>
      </c>
      <c r="E43" s="36">
        <v>56.994551422666262</v>
      </c>
      <c r="F43" s="37">
        <v>1.0911236532037878</v>
      </c>
      <c r="G43" s="38" t="s">
        <v>53</v>
      </c>
      <c r="H43" s="36">
        <v>57.025646030108611</v>
      </c>
      <c r="I43" s="37">
        <v>1.0979291902777959</v>
      </c>
      <c r="J43" s="38" t="s">
        <v>53</v>
      </c>
      <c r="K43" s="36" t="s">
        <v>55</v>
      </c>
      <c r="L43" s="37" t="s">
        <v>55</v>
      </c>
      <c r="M43" s="38" t="s">
        <v>53</v>
      </c>
      <c r="N43" s="36" t="s">
        <v>55</v>
      </c>
      <c r="O43" s="37" t="s">
        <v>55</v>
      </c>
      <c r="P43" s="38" t="s">
        <v>53</v>
      </c>
      <c r="Q43" s="36" t="s">
        <v>55</v>
      </c>
      <c r="R43" s="37" t="s">
        <v>55</v>
      </c>
      <c r="S43" s="38" t="s">
        <v>53</v>
      </c>
      <c r="T43" s="16" t="s">
        <v>56</v>
      </c>
      <c r="U43" s="17" t="s">
        <v>56</v>
      </c>
      <c r="V43" s="38" t="s">
        <v>53</v>
      </c>
      <c r="W43" s="16" t="s">
        <v>56</v>
      </c>
      <c r="X43" s="17" t="s">
        <v>56</v>
      </c>
      <c r="Y43" s="39" t="s">
        <v>53</v>
      </c>
    </row>
    <row r="44" spans="1:25" x14ac:dyDescent="0.25">
      <c r="A44" s="15" t="s">
        <v>227</v>
      </c>
      <c r="B44" s="36">
        <v>6.9632335887591799</v>
      </c>
      <c r="C44" s="37">
        <v>0.57149006614731868</v>
      </c>
      <c r="D44" s="38" t="s">
        <v>53</v>
      </c>
      <c r="E44" s="36">
        <v>73.625120831139469</v>
      </c>
      <c r="F44" s="37">
        <v>0.79783622056930448</v>
      </c>
      <c r="G44" s="38" t="s">
        <v>53</v>
      </c>
      <c r="H44" s="36">
        <v>74.419147652469064</v>
      </c>
      <c r="I44" s="37">
        <v>0.85084601320422248</v>
      </c>
      <c r="J44" s="38" t="s">
        <v>53</v>
      </c>
      <c r="K44" s="36">
        <v>66.442321365184512</v>
      </c>
      <c r="L44" s="37">
        <v>3.4976013353675222</v>
      </c>
      <c r="M44" s="38" t="s">
        <v>53</v>
      </c>
      <c r="N44" s="36">
        <v>72.640479556503905</v>
      </c>
      <c r="O44" s="37">
        <v>3.9128574911231366</v>
      </c>
      <c r="P44" s="38" t="s">
        <v>53</v>
      </c>
      <c r="Q44" s="36">
        <v>57.6649229480362</v>
      </c>
      <c r="R44" s="37">
        <v>5.8734806880203108</v>
      </c>
      <c r="S44" s="38" t="s">
        <v>53</v>
      </c>
      <c r="T44" s="16">
        <v>0.68058630351466143</v>
      </c>
      <c r="U44" s="17">
        <v>0.11494182691884706</v>
      </c>
      <c r="V44" s="38" t="s">
        <v>53</v>
      </c>
      <c r="W44" s="16">
        <v>0.88846746023046919</v>
      </c>
      <c r="X44" s="17">
        <v>0.14676039447199349</v>
      </c>
      <c r="Y44" s="39" t="s">
        <v>53</v>
      </c>
    </row>
    <row r="45" spans="1:25" x14ac:dyDescent="0.25">
      <c r="A45" s="15" t="s">
        <v>157</v>
      </c>
      <c r="B45" s="36">
        <v>1.18853098725919</v>
      </c>
      <c r="C45" s="37">
        <v>0.16842230016552609</v>
      </c>
      <c r="D45" s="38" t="s">
        <v>53</v>
      </c>
      <c r="E45" s="36">
        <v>65.921257694535754</v>
      </c>
      <c r="F45" s="37">
        <v>1.1115874342721952</v>
      </c>
      <c r="G45" s="38" t="s">
        <v>53</v>
      </c>
      <c r="H45" s="36">
        <v>66.411159987467585</v>
      </c>
      <c r="I45" s="37">
        <v>1.109249120998304</v>
      </c>
      <c r="J45" s="38" t="s">
        <v>53</v>
      </c>
      <c r="K45" s="36">
        <v>55.959370210645396</v>
      </c>
      <c r="L45" s="37">
        <v>6.2479622093808498</v>
      </c>
      <c r="M45" s="38" t="s">
        <v>53</v>
      </c>
      <c r="N45" s="36">
        <v>70.547145017110907</v>
      </c>
      <c r="O45" s="37">
        <v>9.1636244187702225</v>
      </c>
      <c r="P45" s="38" t="s">
        <v>53</v>
      </c>
      <c r="Q45" s="36" t="s">
        <v>55</v>
      </c>
      <c r="R45" s="37" t="s">
        <v>55</v>
      </c>
      <c r="S45" s="38" t="s">
        <v>53</v>
      </c>
      <c r="T45" s="16">
        <v>0.64264811351105244</v>
      </c>
      <c r="U45" s="17">
        <v>0.1690982701868731</v>
      </c>
      <c r="V45" s="38" t="s">
        <v>53</v>
      </c>
      <c r="W45" s="16">
        <v>1.0739142732145679</v>
      </c>
      <c r="X45" s="17">
        <v>0.4423606942535544</v>
      </c>
      <c r="Y45" s="39" t="s">
        <v>53</v>
      </c>
    </row>
    <row r="46" spans="1:25" x14ac:dyDescent="0.25">
      <c r="A46" s="15" t="s">
        <v>158</v>
      </c>
      <c r="B46" s="36">
        <v>8.8801416636658708</v>
      </c>
      <c r="C46" s="37">
        <v>0.31167440261340096</v>
      </c>
      <c r="D46" s="38" t="s">
        <v>53</v>
      </c>
      <c r="E46" s="36">
        <v>65.952509686100385</v>
      </c>
      <c r="F46" s="37">
        <v>0.5854672390849579</v>
      </c>
      <c r="G46" s="38" t="s">
        <v>53</v>
      </c>
      <c r="H46" s="36">
        <v>67.082127774850377</v>
      </c>
      <c r="I46" s="37">
        <v>0.60851442766687991</v>
      </c>
      <c r="J46" s="38" t="s">
        <v>53</v>
      </c>
      <c r="K46" s="36">
        <v>54.521491809260006</v>
      </c>
      <c r="L46" s="37">
        <v>3.0088024457984792</v>
      </c>
      <c r="M46" s="38" t="s">
        <v>53</v>
      </c>
      <c r="N46" s="36">
        <v>58.620375963874316</v>
      </c>
      <c r="O46" s="37">
        <v>4.323058070964465</v>
      </c>
      <c r="P46" s="38" t="s">
        <v>53</v>
      </c>
      <c r="Q46" s="36">
        <v>51.6806154690684</v>
      </c>
      <c r="R46" s="37">
        <v>3.8332533031412779</v>
      </c>
      <c r="S46" s="38" t="s">
        <v>53</v>
      </c>
      <c r="T46" s="16">
        <v>0.58828319945035712</v>
      </c>
      <c r="U46" s="17">
        <v>7.3502404801201487E-2</v>
      </c>
      <c r="V46" s="38" t="s">
        <v>53</v>
      </c>
      <c r="W46" s="16">
        <v>1.7348722323594368</v>
      </c>
      <c r="X46" s="17">
        <v>0.22538979834469833</v>
      </c>
      <c r="Y46" s="39" t="s">
        <v>53</v>
      </c>
    </row>
    <row r="47" spans="1:25" x14ac:dyDescent="0.25">
      <c r="A47" s="15" t="s">
        <v>159</v>
      </c>
      <c r="B47" s="36">
        <v>12.188161728613951</v>
      </c>
      <c r="C47" s="37">
        <v>0.47645498721799551</v>
      </c>
      <c r="D47" s="38" t="s">
        <v>53</v>
      </c>
      <c r="E47" s="36">
        <v>76.567307654061082</v>
      </c>
      <c r="F47" s="37">
        <v>0.49055411074576605</v>
      </c>
      <c r="G47" s="38" t="s">
        <v>53</v>
      </c>
      <c r="H47" s="36">
        <v>78.028701865542189</v>
      </c>
      <c r="I47" s="37">
        <v>0.43479632285702624</v>
      </c>
      <c r="J47" s="38" t="s">
        <v>53</v>
      </c>
      <c r="K47" s="36">
        <v>68.507564072903932</v>
      </c>
      <c r="L47" s="37">
        <v>1.4357235353663498</v>
      </c>
      <c r="M47" s="38" t="s">
        <v>53</v>
      </c>
      <c r="N47" s="36">
        <v>72.193260133278386</v>
      </c>
      <c r="O47" s="37">
        <v>1.7508742749893842</v>
      </c>
      <c r="P47" s="38" t="s">
        <v>53</v>
      </c>
      <c r="Q47" s="36">
        <v>66.007692650280518</v>
      </c>
      <c r="R47" s="37">
        <v>1.7538625540280219</v>
      </c>
      <c r="S47" s="38" t="s">
        <v>53</v>
      </c>
      <c r="T47" s="16">
        <v>0.6125387876448688</v>
      </c>
      <c r="U47" s="17">
        <v>3.6679047220857637E-2</v>
      </c>
      <c r="V47" s="38" t="s">
        <v>53</v>
      </c>
      <c r="W47" s="16" t="s">
        <v>55</v>
      </c>
      <c r="X47" s="17" t="s">
        <v>55</v>
      </c>
      <c r="Y47" s="39" t="s">
        <v>53</v>
      </c>
    </row>
    <row r="48" spans="1:25" x14ac:dyDescent="0.25">
      <c r="A48" s="15" t="s">
        <v>160</v>
      </c>
      <c r="B48" s="36">
        <v>20.473115864425338</v>
      </c>
      <c r="C48" s="37">
        <v>1.3408865697378713</v>
      </c>
      <c r="D48" s="38" t="s">
        <v>53</v>
      </c>
      <c r="E48" s="36">
        <v>69.777243919173344</v>
      </c>
      <c r="F48" s="37">
        <v>0.90220828489100435</v>
      </c>
      <c r="G48" s="38" t="s">
        <v>53</v>
      </c>
      <c r="H48" s="36">
        <v>69.494263089602029</v>
      </c>
      <c r="I48" s="37">
        <v>0.97094622653664286</v>
      </c>
      <c r="J48" s="38" t="s">
        <v>53</v>
      </c>
      <c r="K48" s="36">
        <v>72.828034795392924</v>
      </c>
      <c r="L48" s="37">
        <v>1.5590798596570927</v>
      </c>
      <c r="M48" s="38" t="s">
        <v>53</v>
      </c>
      <c r="N48" s="36">
        <v>76.765058683838618</v>
      </c>
      <c r="O48" s="37">
        <v>1.8940806349254158</v>
      </c>
      <c r="P48" s="38" t="s">
        <v>53</v>
      </c>
      <c r="Q48" s="36">
        <v>68.240102932658004</v>
      </c>
      <c r="R48" s="37">
        <v>2.6287080240311695</v>
      </c>
      <c r="S48" s="38" t="s">
        <v>53</v>
      </c>
      <c r="T48" s="16">
        <v>1.176549240049606</v>
      </c>
      <c r="U48" s="17">
        <v>9.594818668527004E-2</v>
      </c>
      <c r="V48" s="38" t="s">
        <v>53</v>
      </c>
      <c r="W48" s="16">
        <v>4.6852256122405711</v>
      </c>
      <c r="X48" s="17">
        <v>0.66404409880693616</v>
      </c>
      <c r="Y48" s="39" t="s">
        <v>53</v>
      </c>
    </row>
    <row r="49" spans="1:25" x14ac:dyDescent="0.25">
      <c r="A49" s="15" t="s">
        <v>161</v>
      </c>
      <c r="B49" s="36">
        <v>33.868233035169411</v>
      </c>
      <c r="C49" s="37">
        <v>1.4103551478288376</v>
      </c>
      <c r="D49" s="38" t="s">
        <v>53</v>
      </c>
      <c r="E49" s="36">
        <v>52.501394160742919</v>
      </c>
      <c r="F49" s="37">
        <v>1.1086488223516797</v>
      </c>
      <c r="G49" s="38" t="s">
        <v>53</v>
      </c>
      <c r="H49" s="36">
        <v>54.208004164241132</v>
      </c>
      <c r="I49" s="37">
        <v>1.3005309469967836</v>
      </c>
      <c r="J49" s="38" t="s">
        <v>53</v>
      </c>
      <c r="K49" s="36">
        <v>50.186510596233525</v>
      </c>
      <c r="L49" s="37">
        <v>1.5209240598829243</v>
      </c>
      <c r="M49" s="38" t="s">
        <v>53</v>
      </c>
      <c r="N49" s="36">
        <v>51.169296762575279</v>
      </c>
      <c r="O49" s="37">
        <v>1.8248146767689439</v>
      </c>
      <c r="P49" s="38" t="s">
        <v>53</v>
      </c>
      <c r="Q49" s="36">
        <v>48.369092531000717</v>
      </c>
      <c r="R49" s="37">
        <v>2.4232073235105274</v>
      </c>
      <c r="S49" s="38" t="s">
        <v>53</v>
      </c>
      <c r="T49" s="16">
        <v>0.85107178125822036</v>
      </c>
      <c r="U49" s="17">
        <v>5.76534811711467E-2</v>
      </c>
      <c r="V49" s="38" t="s">
        <v>53</v>
      </c>
      <c r="W49" s="16">
        <v>1.7679122440112183</v>
      </c>
      <c r="X49" s="17">
        <v>0.15666642616755752</v>
      </c>
      <c r="Y49" s="39" t="s">
        <v>53</v>
      </c>
    </row>
    <row r="50" spans="1:25" x14ac:dyDescent="0.25">
      <c r="A50" s="15" t="s">
        <v>162</v>
      </c>
      <c r="B50" s="36">
        <v>0.85430183715388996</v>
      </c>
      <c r="C50" s="37">
        <v>0.14058186011809648</v>
      </c>
      <c r="D50" s="38" t="s">
        <v>53</v>
      </c>
      <c r="E50" s="36">
        <v>87.094648030894746</v>
      </c>
      <c r="F50" s="37">
        <v>0.46765695304166</v>
      </c>
      <c r="G50" s="38" t="s">
        <v>53</v>
      </c>
      <c r="H50" s="36">
        <v>87.46468401585112</v>
      </c>
      <c r="I50" s="37">
        <v>0.4585518609043292</v>
      </c>
      <c r="J50" s="38" t="s">
        <v>53</v>
      </c>
      <c r="K50" s="36">
        <v>84.870609809681568</v>
      </c>
      <c r="L50" s="37">
        <v>4.1007547252975147</v>
      </c>
      <c r="M50" s="38" t="s">
        <v>53</v>
      </c>
      <c r="N50" s="36">
        <v>80.758760824913892</v>
      </c>
      <c r="O50" s="37">
        <v>5.1928797892654099</v>
      </c>
      <c r="P50" s="38" t="s">
        <v>53</v>
      </c>
      <c r="Q50" s="36" t="s">
        <v>55</v>
      </c>
      <c r="R50" s="37" t="s">
        <v>55</v>
      </c>
      <c r="S50" s="38" t="s">
        <v>53</v>
      </c>
      <c r="T50" s="16">
        <v>0.8039674234170211</v>
      </c>
      <c r="U50" s="17">
        <v>0.30561787104028504</v>
      </c>
      <c r="V50" s="38" t="s">
        <v>53</v>
      </c>
      <c r="W50" s="16">
        <v>0.61820127996510932</v>
      </c>
      <c r="X50" s="17">
        <v>0.30170664504375083</v>
      </c>
      <c r="Y50" s="39" t="s">
        <v>53</v>
      </c>
    </row>
    <row r="51" spans="1:25" x14ac:dyDescent="0.25">
      <c r="A51" s="15" t="s">
        <v>163</v>
      </c>
      <c r="B51" s="36">
        <v>19.760951782508652</v>
      </c>
      <c r="C51" s="37">
        <v>1.1769923779338967</v>
      </c>
      <c r="D51" s="38" t="s">
        <v>53</v>
      </c>
      <c r="E51" s="36">
        <v>64.127120828088962</v>
      </c>
      <c r="F51" s="37">
        <v>0.85884021131338495</v>
      </c>
      <c r="G51" s="38" t="s">
        <v>53</v>
      </c>
      <c r="H51" s="36">
        <v>61.575493740938114</v>
      </c>
      <c r="I51" s="37">
        <v>0.96535007377975168</v>
      </c>
      <c r="J51" s="38" t="s">
        <v>53</v>
      </c>
      <c r="K51" s="36">
        <v>77.113438498207969</v>
      </c>
      <c r="L51" s="37">
        <v>1.4216936724239781</v>
      </c>
      <c r="M51" s="38" t="s">
        <v>53</v>
      </c>
      <c r="N51" s="36">
        <v>77.50839107660596</v>
      </c>
      <c r="O51" s="37">
        <v>1.9332858929927317</v>
      </c>
      <c r="P51" s="38" t="s">
        <v>53</v>
      </c>
      <c r="Q51" s="36">
        <v>76.581110384742175</v>
      </c>
      <c r="R51" s="37">
        <v>1.9991048523350354</v>
      </c>
      <c r="S51" s="38" t="s">
        <v>53</v>
      </c>
      <c r="T51" s="16">
        <v>2.102567334368163</v>
      </c>
      <c r="U51" s="17">
        <v>0.18975029444044442</v>
      </c>
      <c r="V51" s="38" t="s">
        <v>53</v>
      </c>
      <c r="W51" s="16">
        <v>3.7900622453268258</v>
      </c>
      <c r="X51" s="17">
        <v>0.40980526367773723</v>
      </c>
      <c r="Y51" s="39" t="s">
        <v>53</v>
      </c>
    </row>
    <row r="52" spans="1:25" x14ac:dyDescent="0.25">
      <c r="A52" s="15" t="s">
        <v>228</v>
      </c>
      <c r="B52" s="36">
        <v>23.012325770304379</v>
      </c>
      <c r="C52" s="37">
        <v>1.519881538268582</v>
      </c>
      <c r="D52" s="38" t="s">
        <v>53</v>
      </c>
      <c r="E52" s="36">
        <v>88.810070971445469</v>
      </c>
      <c r="F52" s="37">
        <v>0.63348177151664176</v>
      </c>
      <c r="G52" s="38" t="s">
        <v>53</v>
      </c>
      <c r="H52" s="36">
        <v>89.521293954310693</v>
      </c>
      <c r="I52" s="37">
        <v>0.68594791576261815</v>
      </c>
      <c r="J52" s="38" t="s">
        <v>53</v>
      </c>
      <c r="K52" s="36">
        <v>88.486243163195226</v>
      </c>
      <c r="L52" s="37">
        <v>1.1238962173469875</v>
      </c>
      <c r="M52" s="38" t="s">
        <v>53</v>
      </c>
      <c r="N52" s="36">
        <v>88.654327543249963</v>
      </c>
      <c r="O52" s="37">
        <v>1.4954327913515431</v>
      </c>
      <c r="P52" s="38" t="s">
        <v>53</v>
      </c>
      <c r="Q52" s="36">
        <v>88.005625057050878</v>
      </c>
      <c r="R52" s="37">
        <v>1.6514153461471064</v>
      </c>
      <c r="S52" s="38" t="s">
        <v>53</v>
      </c>
      <c r="T52" s="16">
        <v>0.89958045308725987</v>
      </c>
      <c r="U52" s="17">
        <v>0.11379806525568371</v>
      </c>
      <c r="V52" s="38" t="s">
        <v>53</v>
      </c>
      <c r="W52" s="16">
        <v>1.4022078216098963</v>
      </c>
      <c r="X52" s="17">
        <v>0.18282732193003864</v>
      </c>
      <c r="Y52" s="39" t="s">
        <v>53</v>
      </c>
    </row>
    <row r="53" spans="1:25" x14ac:dyDescent="0.25">
      <c r="A53" s="15" t="s">
        <v>166</v>
      </c>
      <c r="B53" s="36">
        <v>13.067679806644071</v>
      </c>
      <c r="C53" s="37">
        <v>0.13401021802186819</v>
      </c>
      <c r="D53" s="38" t="s">
        <v>53</v>
      </c>
      <c r="E53" s="36">
        <v>68.743994760818978</v>
      </c>
      <c r="F53" s="37">
        <v>0.1439067160636715</v>
      </c>
      <c r="G53" s="38" t="s">
        <v>53</v>
      </c>
      <c r="H53" s="36">
        <v>68.867770163954219</v>
      </c>
      <c r="I53" s="37">
        <v>0.15501526319518849</v>
      </c>
      <c r="J53" s="38" t="s">
        <v>53</v>
      </c>
      <c r="K53" s="36">
        <v>66.608799506187864</v>
      </c>
      <c r="L53" s="37">
        <v>0.56002279209927719</v>
      </c>
      <c r="M53" s="38" t="s">
        <v>53</v>
      </c>
      <c r="N53" s="36">
        <v>68.180634361691759</v>
      </c>
      <c r="O53" s="37">
        <v>0.74318028261878133</v>
      </c>
      <c r="P53" s="38" t="s">
        <v>53</v>
      </c>
      <c r="Q53" s="36">
        <v>65.563537762079719</v>
      </c>
      <c r="R53" s="37">
        <v>0.83353188622907093</v>
      </c>
      <c r="S53" s="38" t="s">
        <v>53</v>
      </c>
      <c r="T53" s="16">
        <v>1.018276409475209</v>
      </c>
      <c r="U53" s="17">
        <v>2.6505562768940599E-2</v>
      </c>
      <c r="V53" s="38" t="s">
        <v>53</v>
      </c>
      <c r="W53" s="16">
        <v>1.902706019536651</v>
      </c>
      <c r="X53" s="17">
        <v>6.7907301268352802E-2</v>
      </c>
      <c r="Y53" s="39" t="s">
        <v>53</v>
      </c>
    </row>
    <row r="54" spans="1:25" x14ac:dyDescent="0.25">
      <c r="A54" s="57" t="s">
        <v>211</v>
      </c>
      <c r="B54" s="36"/>
      <c r="C54" s="37"/>
      <c r="D54" s="38"/>
      <c r="E54" s="36"/>
      <c r="F54" s="37"/>
      <c r="G54" s="38"/>
      <c r="H54" s="36"/>
      <c r="I54" s="37"/>
      <c r="J54" s="38"/>
      <c r="K54" s="36"/>
      <c r="L54" s="37"/>
      <c r="M54" s="38"/>
      <c r="N54" s="36"/>
      <c r="O54" s="37"/>
      <c r="P54" s="38"/>
      <c r="Q54" s="36"/>
      <c r="R54" s="37"/>
      <c r="S54" s="38"/>
      <c r="T54" s="16"/>
      <c r="U54" s="17"/>
      <c r="V54" s="38"/>
      <c r="W54" s="16"/>
      <c r="X54" s="17"/>
      <c r="Y54" s="39"/>
    </row>
    <row r="55" spans="1:25" x14ac:dyDescent="0.25">
      <c r="A55" s="15" t="s">
        <v>169</v>
      </c>
      <c r="B55" s="36">
        <v>0.62059781455420004</v>
      </c>
      <c r="C55" s="37">
        <v>0.12271048399013314</v>
      </c>
      <c r="D55" s="38" t="s">
        <v>53</v>
      </c>
      <c r="E55" s="36">
        <v>65.209703125796906</v>
      </c>
      <c r="F55" s="37">
        <v>0.75618342542661254</v>
      </c>
      <c r="G55" s="38" t="s">
        <v>53</v>
      </c>
      <c r="H55" s="36">
        <v>65.629798781512093</v>
      </c>
      <c r="I55" s="37">
        <v>0.76149597026597082</v>
      </c>
      <c r="J55" s="38" t="s">
        <v>53</v>
      </c>
      <c r="K55" s="36">
        <v>51.264965214011063</v>
      </c>
      <c r="L55" s="37">
        <v>10.688972037413887</v>
      </c>
      <c r="M55" s="38" t="s">
        <v>53</v>
      </c>
      <c r="N55" s="36" t="s">
        <v>55</v>
      </c>
      <c r="O55" s="37" t="s">
        <v>55</v>
      </c>
      <c r="P55" s="38" t="s">
        <v>53</v>
      </c>
      <c r="Q55" s="36" t="s">
        <v>55</v>
      </c>
      <c r="R55" s="37" t="s">
        <v>55</v>
      </c>
      <c r="S55" s="38" t="s">
        <v>53</v>
      </c>
      <c r="T55" s="16">
        <v>0.55088429147645301</v>
      </c>
      <c r="U55" s="17">
        <v>0.24272866342492874</v>
      </c>
      <c r="V55" s="38" t="s">
        <v>53</v>
      </c>
      <c r="W55" s="16">
        <v>0.89633364620381917</v>
      </c>
      <c r="X55" s="17">
        <v>0.35516951960329984</v>
      </c>
      <c r="Y55" s="39" t="s">
        <v>53</v>
      </c>
    </row>
    <row r="56" spans="1:25" x14ac:dyDescent="0.25">
      <c r="A56" s="15" t="s">
        <v>170</v>
      </c>
      <c r="B56" s="36">
        <v>4.5581922113720896</v>
      </c>
      <c r="C56" s="37">
        <v>0.3258858226592739</v>
      </c>
      <c r="D56" s="38" t="s">
        <v>53</v>
      </c>
      <c r="E56" s="36">
        <v>66.902074921667747</v>
      </c>
      <c r="F56" s="37">
        <v>0.91234914127237732</v>
      </c>
      <c r="G56" s="38" t="s">
        <v>53</v>
      </c>
      <c r="H56" s="36">
        <v>67.368126760545863</v>
      </c>
      <c r="I56" s="37">
        <v>0.93166269318511286</v>
      </c>
      <c r="J56" s="38" t="s">
        <v>53</v>
      </c>
      <c r="K56" s="36">
        <v>68.640082012369945</v>
      </c>
      <c r="L56" s="37">
        <v>3.1179037414889597</v>
      </c>
      <c r="M56" s="38" t="s">
        <v>53</v>
      </c>
      <c r="N56" s="36">
        <v>71.247079089573006</v>
      </c>
      <c r="O56" s="37">
        <v>4.0795928163132835</v>
      </c>
      <c r="P56" s="38" t="s">
        <v>53</v>
      </c>
      <c r="Q56" s="36">
        <v>65.781742875497855</v>
      </c>
      <c r="R56" s="37">
        <v>4.319536540388115</v>
      </c>
      <c r="S56" s="38" t="s">
        <v>53</v>
      </c>
      <c r="T56" s="16">
        <v>1.0602063097635619</v>
      </c>
      <c r="U56" s="17">
        <v>0.15721612640987812</v>
      </c>
      <c r="V56" s="38" t="s">
        <v>53</v>
      </c>
      <c r="W56" s="16">
        <v>1.1499736054319865</v>
      </c>
      <c r="X56" s="17">
        <v>0.15843734169184345</v>
      </c>
      <c r="Y56" s="39" t="s">
        <v>53</v>
      </c>
    </row>
    <row r="57" spans="1:25" x14ac:dyDescent="0.25">
      <c r="A57" s="15" t="s">
        <v>171</v>
      </c>
      <c r="B57" s="36">
        <v>5.2006981077612595</v>
      </c>
      <c r="C57" s="37">
        <v>0.37027052060356908</v>
      </c>
      <c r="D57" s="38" t="s">
        <v>53</v>
      </c>
      <c r="E57" s="36">
        <v>62.844341680468638</v>
      </c>
      <c r="F57" s="37">
        <v>0.94760607110904915</v>
      </c>
      <c r="G57" s="38" t="s">
        <v>53</v>
      </c>
      <c r="H57" s="36">
        <v>63.725736851105673</v>
      </c>
      <c r="I57" s="37">
        <v>1.0021832583337316</v>
      </c>
      <c r="J57" s="38" t="s">
        <v>53</v>
      </c>
      <c r="K57" s="36">
        <v>62.33523603681251</v>
      </c>
      <c r="L57" s="37">
        <v>2.7331647281286351</v>
      </c>
      <c r="M57" s="38" t="s">
        <v>53</v>
      </c>
      <c r="N57" s="36">
        <v>66.397796641276074</v>
      </c>
      <c r="O57" s="37">
        <v>3.1830852718798361</v>
      </c>
      <c r="P57" s="38" t="s">
        <v>53</v>
      </c>
      <c r="Q57" s="36">
        <v>56.635911457582907</v>
      </c>
      <c r="R57" s="37">
        <v>4.7838739632693272</v>
      </c>
      <c r="S57" s="38" t="s">
        <v>53</v>
      </c>
      <c r="T57" s="16">
        <v>0.94206763095491453</v>
      </c>
      <c r="U57" s="17">
        <v>0.12096241868612051</v>
      </c>
      <c r="V57" s="38" t="s">
        <v>53</v>
      </c>
      <c r="W57" s="16">
        <v>1.0966449338282926</v>
      </c>
      <c r="X57" s="17">
        <v>0.15056389718054386</v>
      </c>
      <c r="Y57" s="39" t="s">
        <v>53</v>
      </c>
    </row>
    <row r="58" spans="1:25" x14ac:dyDescent="0.25">
      <c r="A58" s="15" t="s">
        <v>172</v>
      </c>
      <c r="B58" s="36">
        <v>4.1471741637499493</v>
      </c>
      <c r="C58" s="37">
        <v>0.3187600924711777</v>
      </c>
      <c r="D58" s="38" t="s">
        <v>53</v>
      </c>
      <c r="E58" s="36">
        <v>77.355994781883439</v>
      </c>
      <c r="F58" s="37">
        <v>0.72680355529504115</v>
      </c>
      <c r="G58" s="38" t="s">
        <v>53</v>
      </c>
      <c r="H58" s="36">
        <v>77.724143592938461</v>
      </c>
      <c r="I58" s="37">
        <v>0.75721784017891158</v>
      </c>
      <c r="J58" s="38" t="s">
        <v>53</v>
      </c>
      <c r="K58" s="36">
        <v>73.48803177450165</v>
      </c>
      <c r="L58" s="37">
        <v>2.7207866673201386</v>
      </c>
      <c r="M58" s="38" t="s">
        <v>53</v>
      </c>
      <c r="N58" s="36">
        <v>74.986695757342332</v>
      </c>
      <c r="O58" s="37">
        <v>3.3325491042451758</v>
      </c>
      <c r="P58" s="38" t="s">
        <v>53</v>
      </c>
      <c r="Q58" s="36">
        <v>70.077731500216331</v>
      </c>
      <c r="R58" s="37">
        <v>5.027926400918866</v>
      </c>
      <c r="S58" s="38" t="s">
        <v>53</v>
      </c>
      <c r="T58" s="16">
        <v>0.79442537815040559</v>
      </c>
      <c r="U58" s="17">
        <v>0.11439218275216806</v>
      </c>
      <c r="V58" s="38" t="s">
        <v>53</v>
      </c>
      <c r="W58" s="16">
        <v>1.0496845757086284</v>
      </c>
      <c r="X58" s="17">
        <v>0.1932645490855254</v>
      </c>
      <c r="Y58" s="39" t="s">
        <v>53</v>
      </c>
    </row>
    <row r="59" spans="1:25" x14ac:dyDescent="0.25">
      <c r="A59" s="15" t="s">
        <v>173</v>
      </c>
      <c r="B59" s="36">
        <v>2.8167785120561701</v>
      </c>
      <c r="C59" s="37">
        <v>0.32525593627930094</v>
      </c>
      <c r="D59" s="38" t="s">
        <v>53</v>
      </c>
      <c r="E59" s="36">
        <v>66.525276468092471</v>
      </c>
      <c r="F59" s="37">
        <v>1.34419851486771</v>
      </c>
      <c r="G59" s="38" t="s">
        <v>53</v>
      </c>
      <c r="H59" s="36">
        <v>66.876161130069889</v>
      </c>
      <c r="I59" s="37">
        <v>1.363946205486315</v>
      </c>
      <c r="J59" s="38" t="s">
        <v>53</v>
      </c>
      <c r="K59" s="36">
        <v>67.13253738043025</v>
      </c>
      <c r="L59" s="37">
        <v>4.0175814664250007</v>
      </c>
      <c r="M59" s="38" t="s">
        <v>53</v>
      </c>
      <c r="N59" s="36">
        <v>79.47336621280985</v>
      </c>
      <c r="O59" s="37">
        <v>5.0941564308668399</v>
      </c>
      <c r="P59" s="38" t="s">
        <v>53</v>
      </c>
      <c r="Q59" s="36">
        <v>55.136614441345088</v>
      </c>
      <c r="R59" s="37">
        <v>4.7611751777073934</v>
      </c>
      <c r="S59" s="38" t="s">
        <v>53</v>
      </c>
      <c r="T59" s="16">
        <v>1.011663805670455</v>
      </c>
      <c r="U59" s="17">
        <v>0.18661006370120692</v>
      </c>
      <c r="V59" s="38" t="s">
        <v>53</v>
      </c>
      <c r="W59" s="16">
        <v>1.110555173365412</v>
      </c>
      <c r="X59" s="17">
        <v>0.23904194799475956</v>
      </c>
      <c r="Y59" s="39" t="s">
        <v>53</v>
      </c>
    </row>
    <row r="60" spans="1:25" x14ac:dyDescent="0.25">
      <c r="A60" s="15" t="s">
        <v>174</v>
      </c>
      <c r="B60" s="36">
        <v>0.60093706095619004</v>
      </c>
      <c r="C60" s="37">
        <v>9.1503247379800104E-2</v>
      </c>
      <c r="D60" s="38" t="s">
        <v>53</v>
      </c>
      <c r="E60" s="36">
        <v>74.842227055198393</v>
      </c>
      <c r="F60" s="37">
        <v>0.78889651196568711</v>
      </c>
      <c r="G60" s="38" t="s">
        <v>53</v>
      </c>
      <c r="H60" s="36">
        <v>76.237748260676625</v>
      </c>
      <c r="I60" s="37">
        <v>0.72469100031183353</v>
      </c>
      <c r="J60" s="38" t="s">
        <v>53</v>
      </c>
      <c r="K60" s="36">
        <v>49.604306591624805</v>
      </c>
      <c r="L60" s="37">
        <v>8.3595836723338284</v>
      </c>
      <c r="M60" s="38" t="s">
        <v>53</v>
      </c>
      <c r="N60" s="36">
        <v>51.411936559206318</v>
      </c>
      <c r="O60" s="37">
        <v>9.2446731144637084</v>
      </c>
      <c r="P60" s="38" t="s">
        <v>53</v>
      </c>
      <c r="Q60" s="36" t="s">
        <v>55</v>
      </c>
      <c r="R60" s="37" t="s">
        <v>55</v>
      </c>
      <c r="S60" s="38" t="s">
        <v>53</v>
      </c>
      <c r="T60" s="16">
        <v>0.30679163471460341</v>
      </c>
      <c r="U60" s="17">
        <v>0.10188797194290616</v>
      </c>
      <c r="V60" s="38" t="s">
        <v>53</v>
      </c>
      <c r="W60" s="16">
        <v>0.50366470055845791</v>
      </c>
      <c r="X60" s="17">
        <v>0.16297087748825792</v>
      </c>
      <c r="Y60" s="39" t="s">
        <v>53</v>
      </c>
    </row>
    <row r="61" spans="1:25" x14ac:dyDescent="0.25">
      <c r="A61" s="15" t="s">
        <v>175</v>
      </c>
      <c r="B61" s="36">
        <v>8.1815056453733295</v>
      </c>
      <c r="C61" s="37">
        <v>0.28326741362616487</v>
      </c>
      <c r="D61" s="38" t="s">
        <v>53</v>
      </c>
      <c r="E61" s="36">
        <v>66.073291791701351</v>
      </c>
      <c r="F61" s="37">
        <v>0.54075068246981928</v>
      </c>
      <c r="G61" s="38" t="s">
        <v>53</v>
      </c>
      <c r="H61" s="36">
        <v>65.448249012670189</v>
      </c>
      <c r="I61" s="37">
        <v>0.60499830367690299</v>
      </c>
      <c r="J61" s="38" t="s">
        <v>53</v>
      </c>
      <c r="K61" s="36">
        <v>74.214296598048136</v>
      </c>
      <c r="L61" s="37">
        <v>2.0154749272216144</v>
      </c>
      <c r="M61" s="38" t="s">
        <v>53</v>
      </c>
      <c r="N61" s="36">
        <v>72.405003458850942</v>
      </c>
      <c r="O61" s="37">
        <v>3.328005141667683</v>
      </c>
      <c r="P61" s="38" t="s">
        <v>53</v>
      </c>
      <c r="Q61" s="36">
        <v>75.246606552586996</v>
      </c>
      <c r="R61" s="37">
        <v>2.4280500266686849</v>
      </c>
      <c r="S61" s="38" t="s">
        <v>53</v>
      </c>
      <c r="T61" s="16">
        <v>1.5194297344573811</v>
      </c>
      <c r="U61" s="17">
        <v>0.17607307803664188</v>
      </c>
      <c r="V61" s="38" t="s">
        <v>53</v>
      </c>
      <c r="W61" s="16">
        <v>0.79818309728503245</v>
      </c>
      <c r="X61" s="17">
        <v>0.10605331357504866</v>
      </c>
      <c r="Y61" s="39" t="s">
        <v>53</v>
      </c>
    </row>
    <row r="62" spans="1:25" x14ac:dyDescent="0.25">
      <c r="A62" s="15" t="s">
        <v>176</v>
      </c>
      <c r="B62" s="36">
        <v>0.15768377421082</v>
      </c>
      <c r="C62" s="37">
        <v>6.2805617268880135E-2</v>
      </c>
      <c r="D62" s="38" t="s">
        <v>53</v>
      </c>
      <c r="E62" s="36">
        <v>78.110705842032331</v>
      </c>
      <c r="F62" s="37">
        <v>0.98144067382960953</v>
      </c>
      <c r="G62" s="38" t="s">
        <v>53</v>
      </c>
      <c r="H62" s="36">
        <v>78.217392824183193</v>
      </c>
      <c r="I62" s="37">
        <v>0.96332743161126</v>
      </c>
      <c r="J62" s="38" t="s">
        <v>53</v>
      </c>
      <c r="K62" s="36" t="s">
        <v>55</v>
      </c>
      <c r="L62" s="37" t="s">
        <v>55</v>
      </c>
      <c r="M62" s="38" t="s">
        <v>53</v>
      </c>
      <c r="N62" s="36" t="s">
        <v>55</v>
      </c>
      <c r="O62" s="37" t="s">
        <v>55</v>
      </c>
      <c r="P62" s="38" t="s">
        <v>53</v>
      </c>
      <c r="Q62" s="36" t="s">
        <v>55</v>
      </c>
      <c r="R62" s="37" t="s">
        <v>55</v>
      </c>
      <c r="S62" s="38" t="s">
        <v>53</v>
      </c>
      <c r="T62" s="16" t="s">
        <v>56</v>
      </c>
      <c r="U62" s="17" t="s">
        <v>56</v>
      </c>
      <c r="V62" s="38" t="s">
        <v>53</v>
      </c>
      <c r="W62" s="16" t="s">
        <v>56</v>
      </c>
      <c r="X62" s="17" t="s">
        <v>56</v>
      </c>
      <c r="Y62" s="39" t="s">
        <v>53</v>
      </c>
    </row>
    <row r="63" spans="1:25" x14ac:dyDescent="0.25">
      <c r="A63" s="15" t="s">
        <v>177</v>
      </c>
      <c r="B63" s="36">
        <v>1.1491597012677</v>
      </c>
      <c r="C63" s="37">
        <v>0.16216895878777934</v>
      </c>
      <c r="D63" s="38" t="s">
        <v>53</v>
      </c>
      <c r="E63" s="36">
        <v>64.300410949892935</v>
      </c>
      <c r="F63" s="37">
        <v>1.2392550697418336</v>
      </c>
      <c r="G63" s="38" t="s">
        <v>53</v>
      </c>
      <c r="H63" s="36">
        <v>65.735807737567185</v>
      </c>
      <c r="I63" s="37">
        <v>1.2639756861626283</v>
      </c>
      <c r="J63" s="38" t="s">
        <v>53</v>
      </c>
      <c r="K63" s="36">
        <v>66.564257979710277</v>
      </c>
      <c r="L63" s="37">
        <v>6.1754354879457534</v>
      </c>
      <c r="M63" s="38" t="s">
        <v>53</v>
      </c>
      <c r="N63" s="36" t="s">
        <v>55</v>
      </c>
      <c r="O63" s="37" t="s">
        <v>55</v>
      </c>
      <c r="P63" s="38" t="s">
        <v>53</v>
      </c>
      <c r="Q63" s="36" t="s">
        <v>55</v>
      </c>
      <c r="R63" s="37" t="s">
        <v>55</v>
      </c>
      <c r="S63" s="38" t="s">
        <v>53</v>
      </c>
      <c r="T63" s="16">
        <v>1.0376923633999779</v>
      </c>
      <c r="U63" s="17">
        <v>0.33342154058841778</v>
      </c>
      <c r="V63" s="38" t="s">
        <v>53</v>
      </c>
      <c r="W63" s="16">
        <v>1.8135668719592777</v>
      </c>
      <c r="X63" s="17">
        <v>0.75941911408873131</v>
      </c>
      <c r="Y63" s="39" t="s">
        <v>53</v>
      </c>
    </row>
    <row r="64" spans="1:25" x14ac:dyDescent="0.25">
      <c r="A64" s="15" t="s">
        <v>178</v>
      </c>
      <c r="B64" s="36">
        <v>10.01996666433617</v>
      </c>
      <c r="C64" s="37">
        <v>0.67284872877412782</v>
      </c>
      <c r="D64" s="38" t="s">
        <v>53</v>
      </c>
      <c r="E64" s="36">
        <v>85.742920003739158</v>
      </c>
      <c r="F64" s="37">
        <v>0.69090547267607327</v>
      </c>
      <c r="G64" s="38" t="s">
        <v>53</v>
      </c>
      <c r="H64" s="36">
        <v>86.599913053879973</v>
      </c>
      <c r="I64" s="37">
        <v>0.70339600009852143</v>
      </c>
      <c r="J64" s="38" t="s">
        <v>53</v>
      </c>
      <c r="K64" s="36">
        <v>80.713579647628066</v>
      </c>
      <c r="L64" s="37">
        <v>1.7765669921369687</v>
      </c>
      <c r="M64" s="38" t="s">
        <v>53</v>
      </c>
      <c r="N64" s="36">
        <v>79.6138813972983</v>
      </c>
      <c r="O64" s="37">
        <v>2.129689899821039</v>
      </c>
      <c r="P64" s="38" t="s">
        <v>53</v>
      </c>
      <c r="Q64" s="36">
        <v>83.081041819116436</v>
      </c>
      <c r="R64" s="37">
        <v>2.7521438341451985</v>
      </c>
      <c r="S64" s="38" t="s">
        <v>53</v>
      </c>
      <c r="T64" s="16">
        <v>0.64756747886026189</v>
      </c>
      <c r="U64" s="17">
        <v>8.0760889362287508E-2</v>
      </c>
      <c r="V64" s="38" t="s">
        <v>53</v>
      </c>
      <c r="W64" s="16">
        <v>0.87922369779876741</v>
      </c>
      <c r="X64" s="17">
        <v>0.11436345931729584</v>
      </c>
      <c r="Y64" s="39" t="s">
        <v>53</v>
      </c>
    </row>
    <row r="65" spans="1:25" x14ac:dyDescent="0.25">
      <c r="A65" s="15" t="s">
        <v>179</v>
      </c>
      <c r="B65" s="36">
        <v>9.0899092610287795</v>
      </c>
      <c r="C65" s="37">
        <v>0.48598879590199862</v>
      </c>
      <c r="D65" s="38" t="s">
        <v>53</v>
      </c>
      <c r="E65" s="36">
        <v>51.036719808332975</v>
      </c>
      <c r="F65" s="37">
        <v>0.92616599924969789</v>
      </c>
      <c r="G65" s="38" t="s">
        <v>53</v>
      </c>
      <c r="H65" s="36">
        <v>51.297955761175103</v>
      </c>
      <c r="I65" s="37">
        <v>0.96791145758097752</v>
      </c>
      <c r="J65" s="38" t="s">
        <v>53</v>
      </c>
      <c r="K65" s="36">
        <v>50.491667249954361</v>
      </c>
      <c r="L65" s="37">
        <v>2.3167023694522517</v>
      </c>
      <c r="M65" s="38" t="s">
        <v>53</v>
      </c>
      <c r="N65" s="36">
        <v>50.865589769224698</v>
      </c>
      <c r="O65" s="37">
        <v>2.3804336314883523</v>
      </c>
      <c r="P65" s="38" t="s">
        <v>53</v>
      </c>
      <c r="Q65" s="36">
        <v>48.349217579495033</v>
      </c>
      <c r="R65" s="37">
        <v>6.6798743107044274</v>
      </c>
      <c r="S65" s="38" t="s">
        <v>53</v>
      </c>
      <c r="T65" s="16">
        <v>0.96825231141048695</v>
      </c>
      <c r="U65" s="17">
        <v>9.0893920860573643E-2</v>
      </c>
      <c r="V65" s="38" t="s">
        <v>53</v>
      </c>
      <c r="W65" s="16">
        <v>1.2532941800189912</v>
      </c>
      <c r="X65" s="17">
        <v>0.12792231309127902</v>
      </c>
      <c r="Y65" s="39" t="s">
        <v>53</v>
      </c>
    </row>
    <row r="66" spans="1:25" x14ac:dyDescent="0.25">
      <c r="A66" s="15" t="s">
        <v>180</v>
      </c>
      <c r="B66" s="36">
        <v>14.787024402440979</v>
      </c>
      <c r="C66" s="37">
        <v>0.51722412147373786</v>
      </c>
      <c r="D66" s="38" t="s">
        <v>53</v>
      </c>
      <c r="E66" s="36">
        <v>80.915473387734281</v>
      </c>
      <c r="F66" s="37">
        <v>0.52276749955959312</v>
      </c>
      <c r="G66" s="38" t="s">
        <v>53</v>
      </c>
      <c r="H66" s="36">
        <v>82.60008431581106</v>
      </c>
      <c r="I66" s="37">
        <v>0.53102061151446756</v>
      </c>
      <c r="J66" s="38" t="s">
        <v>53</v>
      </c>
      <c r="K66" s="36">
        <v>76.092699823036824</v>
      </c>
      <c r="L66" s="37">
        <v>1.7265280510829397</v>
      </c>
      <c r="M66" s="38" t="s">
        <v>53</v>
      </c>
      <c r="N66" s="36">
        <v>78.167792689481601</v>
      </c>
      <c r="O66" s="37">
        <v>3.1885885543827297</v>
      </c>
      <c r="P66" s="38" t="s">
        <v>53</v>
      </c>
      <c r="Q66" s="36">
        <v>74.952763052735889</v>
      </c>
      <c r="R66" s="37">
        <v>1.7820654700446754</v>
      </c>
      <c r="S66" s="38" t="s">
        <v>53</v>
      </c>
      <c r="T66" s="16">
        <v>0.67046961389396009</v>
      </c>
      <c r="U66" s="17">
        <v>7.0256210553273662E-2</v>
      </c>
      <c r="V66" s="38" t="s">
        <v>53</v>
      </c>
      <c r="W66" s="16">
        <v>0.72098929083929963</v>
      </c>
      <c r="X66" s="17">
        <v>9.2726976393629701E-2</v>
      </c>
      <c r="Y66" s="39" t="s">
        <v>53</v>
      </c>
    </row>
    <row r="67" spans="1:25" x14ac:dyDescent="0.25">
      <c r="A67" s="15" t="s">
        <v>181</v>
      </c>
      <c r="B67" s="36">
        <v>2.92205315239196</v>
      </c>
      <c r="C67" s="37">
        <v>0.26890329558328008</v>
      </c>
      <c r="D67" s="38" t="s">
        <v>53</v>
      </c>
      <c r="E67" s="36">
        <v>62.604491014262685</v>
      </c>
      <c r="F67" s="37">
        <v>1.4846469708774968</v>
      </c>
      <c r="G67" s="38" t="s">
        <v>53</v>
      </c>
      <c r="H67" s="36">
        <v>64.047474739240471</v>
      </c>
      <c r="I67" s="37">
        <v>1.4961695585275854</v>
      </c>
      <c r="J67" s="38" t="s">
        <v>53</v>
      </c>
      <c r="K67" s="36">
        <v>52.686373399193073</v>
      </c>
      <c r="L67" s="37">
        <v>6.0029924411022684</v>
      </c>
      <c r="M67" s="38" t="s">
        <v>53</v>
      </c>
      <c r="N67" s="36">
        <v>48.564876635407025</v>
      </c>
      <c r="O67" s="37">
        <v>7.194217221645097</v>
      </c>
      <c r="P67" s="38" t="s">
        <v>53</v>
      </c>
      <c r="Q67" s="36">
        <v>57.210744420011849</v>
      </c>
      <c r="R67" s="37">
        <v>8.3426431237106087</v>
      </c>
      <c r="S67" s="38" t="s">
        <v>53</v>
      </c>
      <c r="T67" s="16">
        <v>0.62508554553170026</v>
      </c>
      <c r="U67" s="17">
        <v>0.15502002395360251</v>
      </c>
      <c r="V67" s="38" t="s">
        <v>53</v>
      </c>
      <c r="W67" s="16">
        <v>0.81250167445966059</v>
      </c>
      <c r="X67" s="17">
        <v>0.2687515492010249</v>
      </c>
      <c r="Y67" s="39" t="s">
        <v>53</v>
      </c>
    </row>
    <row r="68" spans="1:25" x14ac:dyDescent="0.25">
      <c r="A68" s="15" t="s">
        <v>182</v>
      </c>
      <c r="B68" s="36">
        <v>1.36463088083532</v>
      </c>
      <c r="C68" s="37">
        <v>0.19590177383249022</v>
      </c>
      <c r="D68" s="38" t="s">
        <v>53</v>
      </c>
      <c r="E68" s="36">
        <v>73.984764476207204</v>
      </c>
      <c r="F68" s="37">
        <v>0.69242513685955809</v>
      </c>
      <c r="G68" s="38" t="s">
        <v>53</v>
      </c>
      <c r="H68" s="36">
        <v>75.507253069206115</v>
      </c>
      <c r="I68" s="37">
        <v>0.70779701075886026</v>
      </c>
      <c r="J68" s="38" t="s">
        <v>53</v>
      </c>
      <c r="K68" s="36">
        <v>60.06210345921437</v>
      </c>
      <c r="L68" s="37">
        <v>7.0369254832231496</v>
      </c>
      <c r="M68" s="38" t="s">
        <v>53</v>
      </c>
      <c r="N68" s="36">
        <v>62.952660656798088</v>
      </c>
      <c r="O68" s="37">
        <v>9.3510631591113853</v>
      </c>
      <c r="P68" s="38" t="s">
        <v>53</v>
      </c>
      <c r="Q68" s="36" t="s">
        <v>55</v>
      </c>
      <c r="R68" s="37" t="s">
        <v>55</v>
      </c>
      <c r="S68" s="38" t="s">
        <v>53</v>
      </c>
      <c r="T68" s="16">
        <v>0.48782508317463102</v>
      </c>
      <c r="U68" s="17">
        <v>0.14746243460360248</v>
      </c>
      <c r="V68" s="38" t="s">
        <v>53</v>
      </c>
      <c r="W68" s="16">
        <v>0.74463937626151711</v>
      </c>
      <c r="X68" s="17">
        <v>0.34134047037595072</v>
      </c>
      <c r="Y68" s="39" t="s">
        <v>53</v>
      </c>
    </row>
    <row r="69" spans="1:25" x14ac:dyDescent="0.25">
      <c r="A69" s="15" t="s">
        <v>229</v>
      </c>
      <c r="B69" s="36">
        <v>37.911634723302051</v>
      </c>
      <c r="C69" s="37">
        <v>1.3286600569122331</v>
      </c>
      <c r="D69" s="38" t="s">
        <v>53</v>
      </c>
      <c r="E69" s="36">
        <v>75.744428328796957</v>
      </c>
      <c r="F69" s="37">
        <v>0.94019379793289504</v>
      </c>
      <c r="G69" s="38" t="s">
        <v>53</v>
      </c>
      <c r="H69" s="36">
        <v>76.927590911320209</v>
      </c>
      <c r="I69" s="37">
        <v>0.94108427364862135</v>
      </c>
      <c r="J69" s="38" t="s">
        <v>53</v>
      </c>
      <c r="K69" s="36">
        <v>74.65401492758194</v>
      </c>
      <c r="L69" s="37">
        <v>1.3967410008549657</v>
      </c>
      <c r="M69" s="38" t="s">
        <v>53</v>
      </c>
      <c r="N69" s="36">
        <v>75.639334469454539</v>
      </c>
      <c r="O69" s="37">
        <v>1.4939083372902378</v>
      </c>
      <c r="P69" s="38" t="s">
        <v>53</v>
      </c>
      <c r="Q69" s="36">
        <v>72.755113266238752</v>
      </c>
      <c r="R69" s="37">
        <v>2.3490356905407568</v>
      </c>
      <c r="S69" s="38" t="s">
        <v>53</v>
      </c>
      <c r="T69" s="16">
        <v>0.88339473341973151</v>
      </c>
      <c r="U69" s="17">
        <v>6.2836742706047E-2</v>
      </c>
      <c r="V69" s="38" t="s">
        <v>53</v>
      </c>
      <c r="W69" s="16">
        <v>1.3950177618843513</v>
      </c>
      <c r="X69" s="17">
        <v>9.8299415984788571E-2</v>
      </c>
      <c r="Y69" s="39" t="s">
        <v>53</v>
      </c>
    </row>
    <row r="70" spans="1:25" x14ac:dyDescent="0.25">
      <c r="A70" s="15" t="s">
        <v>183</v>
      </c>
      <c r="B70" s="36">
        <v>0.25111855353339002</v>
      </c>
      <c r="C70" s="37">
        <v>6.652373962470863E-2</v>
      </c>
      <c r="D70" s="38" t="s">
        <v>53</v>
      </c>
      <c r="E70" s="36">
        <v>73.651715412251619</v>
      </c>
      <c r="F70" s="37">
        <v>1.2037703313559842</v>
      </c>
      <c r="G70" s="38" t="s">
        <v>53</v>
      </c>
      <c r="H70" s="36">
        <v>74.274747601216717</v>
      </c>
      <c r="I70" s="37">
        <v>1.2146215963222062</v>
      </c>
      <c r="J70" s="38" t="s">
        <v>53</v>
      </c>
      <c r="K70" s="36">
        <v>41.68298072131045</v>
      </c>
      <c r="L70" s="37">
        <v>13.135986099818092</v>
      </c>
      <c r="M70" s="38" t="s">
        <v>53</v>
      </c>
      <c r="N70" s="36" t="s">
        <v>55</v>
      </c>
      <c r="O70" s="37" t="s">
        <v>55</v>
      </c>
      <c r="P70" s="38" t="s">
        <v>53</v>
      </c>
      <c r="Q70" s="36" t="s">
        <v>55</v>
      </c>
      <c r="R70" s="37" t="s">
        <v>55</v>
      </c>
      <c r="S70" s="38" t="s">
        <v>53</v>
      </c>
      <c r="T70" s="16">
        <v>0.24756403202662541</v>
      </c>
      <c r="U70" s="17">
        <v>0.14232566165217039</v>
      </c>
      <c r="V70" s="38" t="s">
        <v>53</v>
      </c>
      <c r="W70" s="16">
        <v>0.40975411083853547</v>
      </c>
      <c r="X70" s="17">
        <v>0.2434942242142962</v>
      </c>
      <c r="Y70" s="39" t="s">
        <v>53</v>
      </c>
    </row>
    <row r="71" spans="1:25" x14ac:dyDescent="0.25">
      <c r="A71" s="15" t="s">
        <v>184</v>
      </c>
      <c r="B71" s="36">
        <v>11.560156863178021</v>
      </c>
      <c r="C71" s="37">
        <v>0.53282256980001497</v>
      </c>
      <c r="D71" s="38" t="s">
        <v>53</v>
      </c>
      <c r="E71" s="36">
        <v>62.284228577679293</v>
      </c>
      <c r="F71" s="37">
        <v>0.86097475203544727</v>
      </c>
      <c r="G71" s="38" t="s">
        <v>53</v>
      </c>
      <c r="H71" s="36">
        <v>62.692464235951675</v>
      </c>
      <c r="I71" s="37">
        <v>0.90292474059071293</v>
      </c>
      <c r="J71" s="38" t="s">
        <v>53</v>
      </c>
      <c r="K71" s="36">
        <v>61.853801082049287</v>
      </c>
      <c r="L71" s="37">
        <v>1.7497571368858984</v>
      </c>
      <c r="M71" s="38" t="s">
        <v>53</v>
      </c>
      <c r="N71" s="36">
        <v>65.344250220525481</v>
      </c>
      <c r="O71" s="37">
        <v>2.3805394251940633</v>
      </c>
      <c r="P71" s="38" t="s">
        <v>53</v>
      </c>
      <c r="Q71" s="36">
        <v>57.425337358909111</v>
      </c>
      <c r="R71" s="37">
        <v>2.4150754021925041</v>
      </c>
      <c r="S71" s="38" t="s">
        <v>53</v>
      </c>
      <c r="T71" s="16">
        <v>0.9649311944069483</v>
      </c>
      <c r="U71" s="17">
        <v>7.3386272756860563E-2</v>
      </c>
      <c r="V71" s="38" t="s">
        <v>53</v>
      </c>
      <c r="W71" s="16">
        <v>0.86762282213293429</v>
      </c>
      <c r="X71" s="17">
        <v>7.7700276942937185E-2</v>
      </c>
      <c r="Y71" s="39" t="s">
        <v>53</v>
      </c>
    </row>
    <row r="72" spans="1:25" x14ac:dyDescent="0.25">
      <c r="A72" s="15" t="s">
        <v>185</v>
      </c>
      <c r="B72" s="36">
        <v>8.2053827048399288</v>
      </c>
      <c r="C72" s="37">
        <v>0.44928776108302504</v>
      </c>
      <c r="D72" s="38" t="s">
        <v>53</v>
      </c>
      <c r="E72" s="36">
        <v>58.199282218221541</v>
      </c>
      <c r="F72" s="37">
        <v>0.63084482145584597</v>
      </c>
      <c r="G72" s="38" t="s">
        <v>53</v>
      </c>
      <c r="H72" s="36">
        <v>58.653640601447613</v>
      </c>
      <c r="I72" s="37">
        <v>0.63869785985645222</v>
      </c>
      <c r="J72" s="38" t="s">
        <v>53</v>
      </c>
      <c r="K72" s="36">
        <v>56.31358827894487</v>
      </c>
      <c r="L72" s="37">
        <v>1.9312699150800896</v>
      </c>
      <c r="M72" s="38" t="s">
        <v>53</v>
      </c>
      <c r="N72" s="36">
        <v>55.137640338532591</v>
      </c>
      <c r="O72" s="37">
        <v>3.0348731273586731</v>
      </c>
      <c r="P72" s="38" t="s">
        <v>53</v>
      </c>
      <c r="Q72" s="36">
        <v>57.541390202213151</v>
      </c>
      <c r="R72" s="37">
        <v>2.1078473771100605</v>
      </c>
      <c r="S72" s="38" t="s">
        <v>53</v>
      </c>
      <c r="T72" s="16">
        <v>0.9086761277007479</v>
      </c>
      <c r="U72" s="17">
        <v>7.1483197916660191E-2</v>
      </c>
      <c r="V72" s="38" t="s">
        <v>53</v>
      </c>
      <c r="W72" s="16">
        <v>1.1065285606929987</v>
      </c>
      <c r="X72" s="17">
        <v>8.9386012079870153E-2</v>
      </c>
      <c r="Y72" s="39" t="s">
        <v>53</v>
      </c>
    </row>
    <row r="73" spans="1:25" x14ac:dyDescent="0.25">
      <c r="A73" s="15" t="s">
        <v>186</v>
      </c>
      <c r="B73" s="36">
        <v>1.14746077693674</v>
      </c>
      <c r="C73" s="37">
        <v>0.19367278405325103</v>
      </c>
      <c r="D73" s="38" t="s">
        <v>53</v>
      </c>
      <c r="E73" s="36">
        <v>65.369232763570878</v>
      </c>
      <c r="F73" s="37">
        <v>0.7818187688702769</v>
      </c>
      <c r="G73" s="38" t="s">
        <v>53</v>
      </c>
      <c r="H73" s="36">
        <v>65.705996840250521</v>
      </c>
      <c r="I73" s="37">
        <v>0.76442023913874158</v>
      </c>
      <c r="J73" s="38" t="s">
        <v>53</v>
      </c>
      <c r="K73" s="36">
        <v>65.181802346061673</v>
      </c>
      <c r="L73" s="37">
        <v>6.8679737702834647</v>
      </c>
      <c r="M73" s="38" t="s">
        <v>53</v>
      </c>
      <c r="N73" s="36">
        <v>65.054794884947242</v>
      </c>
      <c r="O73" s="37">
        <v>7.3438521832315002</v>
      </c>
      <c r="P73" s="38" t="s">
        <v>53</v>
      </c>
      <c r="Q73" s="36" t="s">
        <v>55</v>
      </c>
      <c r="R73" s="37" t="s">
        <v>55</v>
      </c>
      <c r="S73" s="38" t="s">
        <v>53</v>
      </c>
      <c r="T73" s="16">
        <v>0.97708704094378795</v>
      </c>
      <c r="U73" s="17">
        <v>0.30553229967242607</v>
      </c>
      <c r="V73" s="38" t="s">
        <v>53</v>
      </c>
      <c r="W73" s="16">
        <v>1.0454867573242372</v>
      </c>
      <c r="X73" s="17">
        <v>0.36148088110563531</v>
      </c>
      <c r="Y73" s="39" t="s">
        <v>53</v>
      </c>
    </row>
    <row r="74" spans="1:25" x14ac:dyDescent="0.25">
      <c r="A74" s="15" t="s">
        <v>187</v>
      </c>
      <c r="B74" s="36">
        <v>5.9837011847694299</v>
      </c>
      <c r="C74" s="37">
        <v>0.46419035772446388</v>
      </c>
      <c r="D74" s="38" t="s">
        <v>53</v>
      </c>
      <c r="E74" s="36">
        <v>48.684351578013256</v>
      </c>
      <c r="F74" s="37">
        <v>1.3459995659226516</v>
      </c>
      <c r="G74" s="38" t="s">
        <v>53</v>
      </c>
      <c r="H74" s="36">
        <v>50.405595793795698</v>
      </c>
      <c r="I74" s="37">
        <v>1.4612596477352289</v>
      </c>
      <c r="J74" s="38" t="s">
        <v>53</v>
      </c>
      <c r="K74" s="36">
        <v>46.296859302971598</v>
      </c>
      <c r="L74" s="37">
        <v>3.3466911092040821</v>
      </c>
      <c r="M74" s="38" t="s">
        <v>53</v>
      </c>
      <c r="N74" s="36">
        <v>40.668608627639266</v>
      </c>
      <c r="O74" s="37">
        <v>5.4303931122813971</v>
      </c>
      <c r="P74" s="38" t="s">
        <v>53</v>
      </c>
      <c r="Q74" s="36">
        <v>49.25312797553358</v>
      </c>
      <c r="R74" s="37">
        <v>4.2234542498667631</v>
      </c>
      <c r="S74" s="38" t="s">
        <v>53</v>
      </c>
      <c r="T74" s="16">
        <v>0.84821465396479301</v>
      </c>
      <c r="U74" s="17">
        <v>0.11469236006272232</v>
      </c>
      <c r="V74" s="38" t="s">
        <v>53</v>
      </c>
      <c r="W74" s="16">
        <v>1.17947314139076</v>
      </c>
      <c r="X74" s="17">
        <v>0.1853129291997139</v>
      </c>
      <c r="Y74" s="39" t="s">
        <v>53</v>
      </c>
    </row>
    <row r="75" spans="1:25" x14ac:dyDescent="0.25">
      <c r="A75" s="15" t="s">
        <v>188</v>
      </c>
      <c r="B75" s="36">
        <v>62.874218024546593</v>
      </c>
      <c r="C75" s="37">
        <v>0.67146253797098432</v>
      </c>
      <c r="D75" s="38" t="s">
        <v>53</v>
      </c>
      <c r="E75" s="36">
        <v>75.937851338903613</v>
      </c>
      <c r="F75" s="37">
        <v>0.68412679351331396</v>
      </c>
      <c r="G75" s="38" t="s">
        <v>53</v>
      </c>
      <c r="H75" s="36">
        <v>72.068334347066894</v>
      </c>
      <c r="I75" s="37">
        <v>1.1993178388311179</v>
      </c>
      <c r="J75" s="38" t="s">
        <v>53</v>
      </c>
      <c r="K75" s="36">
        <v>78.40232504222034</v>
      </c>
      <c r="L75" s="37">
        <v>0.85508141587500963</v>
      </c>
      <c r="M75" s="38" t="s">
        <v>53</v>
      </c>
      <c r="N75" s="36">
        <v>75.962259842682215</v>
      </c>
      <c r="O75" s="37">
        <v>1.2256597613489995</v>
      </c>
      <c r="P75" s="38" t="s">
        <v>53</v>
      </c>
      <c r="Q75" s="36">
        <v>81.844649523487462</v>
      </c>
      <c r="R75" s="37">
        <v>1.210476667254424</v>
      </c>
      <c r="S75" s="38" t="s">
        <v>53</v>
      </c>
      <c r="T75" s="16">
        <v>1.406935834993553</v>
      </c>
      <c r="U75" s="17">
        <v>0.11291010691620691</v>
      </c>
      <c r="V75" s="38" t="s">
        <v>53</v>
      </c>
      <c r="W75" s="16">
        <v>1.3400858010845091</v>
      </c>
      <c r="X75" s="17">
        <v>0.13020946273250641</v>
      </c>
      <c r="Y75" s="39" t="s">
        <v>53</v>
      </c>
    </row>
    <row r="76" spans="1:25" x14ac:dyDescent="0.25">
      <c r="A76" s="15" t="s">
        <v>189</v>
      </c>
      <c r="B76" s="36">
        <v>1.64809151960093</v>
      </c>
      <c r="C76" s="37">
        <v>0.22052586057016099</v>
      </c>
      <c r="D76" s="38" t="s">
        <v>53</v>
      </c>
      <c r="E76" s="36">
        <v>72.609486008107268</v>
      </c>
      <c r="F76" s="37">
        <v>1.0845137908863671</v>
      </c>
      <c r="G76" s="38" t="s">
        <v>53</v>
      </c>
      <c r="H76" s="36">
        <v>73.268762159548714</v>
      </c>
      <c r="I76" s="37">
        <v>1.0921465875555321</v>
      </c>
      <c r="J76" s="38" t="s">
        <v>53</v>
      </c>
      <c r="K76" s="36">
        <v>73.339228976483611</v>
      </c>
      <c r="L76" s="37">
        <v>4.0080349690670953</v>
      </c>
      <c r="M76" s="38" t="s">
        <v>53</v>
      </c>
      <c r="N76" s="36">
        <v>77.185756661379784</v>
      </c>
      <c r="O76" s="37">
        <v>4.5130381647205704</v>
      </c>
      <c r="P76" s="38" t="s">
        <v>53</v>
      </c>
      <c r="Q76" s="36" t="s">
        <v>55</v>
      </c>
      <c r="R76" s="37" t="s">
        <v>55</v>
      </c>
      <c r="S76" s="38" t="s">
        <v>53</v>
      </c>
      <c r="T76" s="16">
        <v>1.0036044602492651</v>
      </c>
      <c r="U76" s="17">
        <v>0.21832644292814538</v>
      </c>
      <c r="V76" s="38" t="s">
        <v>53</v>
      </c>
      <c r="W76" s="16">
        <v>1.2825294630728958</v>
      </c>
      <c r="X76" s="17">
        <v>0.32825246507218692</v>
      </c>
      <c r="Y76" s="39" t="s">
        <v>53</v>
      </c>
    </row>
    <row r="77" spans="1:25" x14ac:dyDescent="0.25">
      <c r="A77" s="15" t="s">
        <v>190</v>
      </c>
      <c r="B77" s="36">
        <v>8.7884460025211002</v>
      </c>
      <c r="C77" s="37">
        <v>0.43858351153635072</v>
      </c>
      <c r="D77" s="38" t="s">
        <v>53</v>
      </c>
      <c r="E77" s="36">
        <v>61.343467881650604</v>
      </c>
      <c r="F77" s="37">
        <v>0.7444896657945741</v>
      </c>
      <c r="G77" s="38" t="s">
        <v>53</v>
      </c>
      <c r="H77" s="36">
        <v>62.293290093439232</v>
      </c>
      <c r="I77" s="37">
        <v>0.77731084809322759</v>
      </c>
      <c r="J77" s="38" t="s">
        <v>53</v>
      </c>
      <c r="K77" s="36">
        <v>60.507898135932869</v>
      </c>
      <c r="L77" s="37">
        <v>2.699581953483809</v>
      </c>
      <c r="M77" s="38" t="s">
        <v>53</v>
      </c>
      <c r="N77" s="36">
        <v>63.709199955865238</v>
      </c>
      <c r="O77" s="37">
        <v>6.0276641996924401</v>
      </c>
      <c r="P77" s="38" t="s">
        <v>53</v>
      </c>
      <c r="Q77" s="36">
        <v>59.469766424282753</v>
      </c>
      <c r="R77" s="37">
        <v>3.0211043776626987</v>
      </c>
      <c r="S77" s="38" t="s">
        <v>53</v>
      </c>
      <c r="T77" s="16">
        <v>0.9274258041190373</v>
      </c>
      <c r="U77" s="17">
        <v>0.10533905045390511</v>
      </c>
      <c r="V77" s="38" t="s">
        <v>53</v>
      </c>
      <c r="W77" s="16">
        <v>0.84565282442826772</v>
      </c>
      <c r="X77" s="17">
        <v>0.13605905427679962</v>
      </c>
      <c r="Y77" s="39" t="s">
        <v>53</v>
      </c>
    </row>
    <row r="78" spans="1:25" x14ac:dyDescent="0.25">
      <c r="A78" s="15" t="s">
        <v>191</v>
      </c>
      <c r="B78" s="36">
        <v>1.44652346304573</v>
      </c>
      <c r="C78" s="37">
        <v>0.16410339723422637</v>
      </c>
      <c r="D78" s="38" t="s">
        <v>53</v>
      </c>
      <c r="E78" s="36">
        <v>47.789818049509307</v>
      </c>
      <c r="F78" s="37">
        <v>0.92681269441955272</v>
      </c>
      <c r="G78" s="38" t="s">
        <v>53</v>
      </c>
      <c r="H78" s="36">
        <v>48.897079057128792</v>
      </c>
      <c r="I78" s="37">
        <v>0.97706646994417057</v>
      </c>
      <c r="J78" s="38" t="s">
        <v>53</v>
      </c>
      <c r="K78" s="36">
        <v>51.692953362020098</v>
      </c>
      <c r="L78" s="37">
        <v>4.9541771375686716</v>
      </c>
      <c r="M78" s="38" t="s">
        <v>53</v>
      </c>
      <c r="N78" s="36">
        <v>50.670615217193685</v>
      </c>
      <c r="O78" s="37">
        <v>5.2011667178791683</v>
      </c>
      <c r="P78" s="38" t="s">
        <v>53</v>
      </c>
      <c r="Q78" s="36" t="s">
        <v>55</v>
      </c>
      <c r="R78" s="37" t="s">
        <v>55</v>
      </c>
      <c r="S78" s="38" t="s">
        <v>53</v>
      </c>
      <c r="T78" s="16">
        <v>1.1183652553671191</v>
      </c>
      <c r="U78" s="17">
        <v>0.22956888446309956</v>
      </c>
      <c r="V78" s="38" t="s">
        <v>53</v>
      </c>
      <c r="W78" s="16">
        <v>0.84766554615852618</v>
      </c>
      <c r="X78" s="17">
        <v>0.31616794317091895</v>
      </c>
      <c r="Y78" s="39" t="s">
        <v>53</v>
      </c>
    </row>
    <row r="79" spans="1:25" x14ac:dyDescent="0.25">
      <c r="A79" s="15" t="s">
        <v>192</v>
      </c>
      <c r="B79" s="36">
        <v>5.7995230908142004</v>
      </c>
      <c r="C79" s="37">
        <v>0.29347800153195563</v>
      </c>
      <c r="D79" s="38" t="s">
        <v>53</v>
      </c>
      <c r="E79" s="36">
        <v>78.394390245504795</v>
      </c>
      <c r="F79" s="37">
        <v>0.53806571790856406</v>
      </c>
      <c r="G79" s="38" t="s">
        <v>53</v>
      </c>
      <c r="H79" s="36">
        <v>78.676104175113196</v>
      </c>
      <c r="I79" s="37">
        <v>0.57504301060732821</v>
      </c>
      <c r="J79" s="38" t="s">
        <v>53</v>
      </c>
      <c r="K79" s="36">
        <v>79.137682556357149</v>
      </c>
      <c r="L79" s="37">
        <v>2.3013024034244838</v>
      </c>
      <c r="M79" s="38" t="s">
        <v>53</v>
      </c>
      <c r="N79" s="36">
        <v>81.349781238263148</v>
      </c>
      <c r="O79" s="37">
        <v>3.005375595477624</v>
      </c>
      <c r="P79" s="38" t="s">
        <v>53</v>
      </c>
      <c r="Q79" s="36">
        <v>75.527791212372904</v>
      </c>
      <c r="R79" s="37">
        <v>3.1138155539176608</v>
      </c>
      <c r="S79" s="38" t="s">
        <v>53</v>
      </c>
      <c r="T79" s="16">
        <v>1.0281215908849299</v>
      </c>
      <c r="U79" s="17">
        <v>0.1498054953894972</v>
      </c>
      <c r="V79" s="38" t="s">
        <v>53</v>
      </c>
      <c r="W79" s="16">
        <v>0.84409442941274393</v>
      </c>
      <c r="X79" s="17">
        <v>0.13725643816951827</v>
      </c>
      <c r="Y79" s="39" t="s">
        <v>53</v>
      </c>
    </row>
    <row r="80" spans="1:25" x14ac:dyDescent="0.25">
      <c r="A80" s="15" t="s">
        <v>193</v>
      </c>
      <c r="B80" s="36">
        <v>0.78286569411312001</v>
      </c>
      <c r="C80" s="37">
        <v>0.10751898920898106</v>
      </c>
      <c r="D80" s="38" t="s">
        <v>53</v>
      </c>
      <c r="E80" s="36">
        <v>40.724203192058951</v>
      </c>
      <c r="F80" s="37">
        <v>1.0937220588741929</v>
      </c>
      <c r="G80" s="38" t="s">
        <v>53</v>
      </c>
      <c r="H80" s="36">
        <v>40.901388683362953</v>
      </c>
      <c r="I80" s="37">
        <v>1.1118140794412676</v>
      </c>
      <c r="J80" s="38" t="s">
        <v>53</v>
      </c>
      <c r="K80" s="36">
        <v>50.739551845556932</v>
      </c>
      <c r="L80" s="37">
        <v>5.6331961741803234</v>
      </c>
      <c r="M80" s="38" t="s">
        <v>53</v>
      </c>
      <c r="N80" s="36" t="s">
        <v>55</v>
      </c>
      <c r="O80" s="37" t="s">
        <v>55</v>
      </c>
      <c r="P80" s="38" t="s">
        <v>53</v>
      </c>
      <c r="Q80" s="36" t="s">
        <v>55</v>
      </c>
      <c r="R80" s="37" t="s">
        <v>55</v>
      </c>
      <c r="S80" s="38" t="s">
        <v>53</v>
      </c>
      <c r="T80" s="16">
        <v>1.4882897511963069</v>
      </c>
      <c r="U80" s="17">
        <v>0.33972629323521369</v>
      </c>
      <c r="V80" s="38" t="s">
        <v>53</v>
      </c>
      <c r="W80" s="16">
        <v>1.7019380690199346</v>
      </c>
      <c r="X80" s="17">
        <v>0.41674874782255678</v>
      </c>
      <c r="Y80" s="39" t="s">
        <v>53</v>
      </c>
    </row>
    <row r="81" spans="1:25" x14ac:dyDescent="0.25">
      <c r="A81" s="15" t="s">
        <v>194</v>
      </c>
      <c r="B81" s="36">
        <v>1.6242813171113197</v>
      </c>
      <c r="C81" s="37">
        <v>0.22955526457296968</v>
      </c>
      <c r="D81" s="38" t="s">
        <v>53</v>
      </c>
      <c r="E81" s="36">
        <v>64.471317598087026</v>
      </c>
      <c r="F81" s="37">
        <v>0.53834325337838262</v>
      </c>
      <c r="G81" s="38" t="s">
        <v>53</v>
      </c>
      <c r="H81" s="36">
        <v>65.400128806780884</v>
      </c>
      <c r="I81" s="37">
        <v>0.54488229811507605</v>
      </c>
      <c r="J81" s="38" t="s">
        <v>53</v>
      </c>
      <c r="K81" s="36">
        <v>52.541430276721456</v>
      </c>
      <c r="L81" s="37">
        <v>6.6645264906988384</v>
      </c>
      <c r="M81" s="38" t="s">
        <v>53</v>
      </c>
      <c r="N81" s="36">
        <v>56.463398455693422</v>
      </c>
      <c r="O81" s="37">
        <v>7.7824691180399617</v>
      </c>
      <c r="P81" s="38" t="s">
        <v>53</v>
      </c>
      <c r="Q81" s="36" t="s">
        <v>55</v>
      </c>
      <c r="R81" s="37" t="s">
        <v>55</v>
      </c>
      <c r="S81" s="38" t="s">
        <v>53</v>
      </c>
      <c r="T81" s="16">
        <v>0.58571065376605536</v>
      </c>
      <c r="U81" s="17">
        <v>0.16867013305824785</v>
      </c>
      <c r="V81" s="38" t="s">
        <v>53</v>
      </c>
      <c r="W81" s="16">
        <v>0.61425491158683165</v>
      </c>
      <c r="X81" s="17">
        <v>0.18769742151739063</v>
      </c>
      <c r="Y81" s="39" t="s">
        <v>53</v>
      </c>
    </row>
    <row r="82" spans="1:25" x14ac:dyDescent="0.25">
      <c r="A82" s="15" t="s">
        <v>195</v>
      </c>
      <c r="B82" s="36">
        <v>5.9699964313614702</v>
      </c>
      <c r="C82" s="37">
        <v>0.73436898142229357</v>
      </c>
      <c r="D82" s="38" t="s">
        <v>53</v>
      </c>
      <c r="E82" s="36">
        <v>71.523323098818821</v>
      </c>
      <c r="F82" s="37">
        <v>0.94185695571168582</v>
      </c>
      <c r="G82" s="38" t="s">
        <v>53</v>
      </c>
      <c r="H82" s="36">
        <v>72.186916917096525</v>
      </c>
      <c r="I82" s="37">
        <v>0.9812501769708496</v>
      </c>
      <c r="J82" s="38" t="s">
        <v>53</v>
      </c>
      <c r="K82" s="36">
        <v>79.75955189383977</v>
      </c>
      <c r="L82" s="37">
        <v>2.4298526072548712</v>
      </c>
      <c r="M82" s="38" t="s">
        <v>53</v>
      </c>
      <c r="N82" s="36">
        <v>77.379946190798407</v>
      </c>
      <c r="O82" s="37">
        <v>4.2497486134576885</v>
      </c>
      <c r="P82" s="38" t="s">
        <v>53</v>
      </c>
      <c r="Q82" s="36">
        <v>81.057062328377327</v>
      </c>
      <c r="R82" s="37">
        <v>3.3162174459775415</v>
      </c>
      <c r="S82" s="38" t="s">
        <v>53</v>
      </c>
      <c r="T82" s="16">
        <v>1.5182847210739541</v>
      </c>
      <c r="U82" s="17">
        <v>0.24061603689289926</v>
      </c>
      <c r="V82" s="38" t="s">
        <v>54</v>
      </c>
      <c r="W82" s="16">
        <v>1.2291174860710772</v>
      </c>
      <c r="X82" s="17">
        <v>0.26100897931222283</v>
      </c>
      <c r="Y82" s="39" t="s">
        <v>54</v>
      </c>
    </row>
    <row r="83" spans="1:25" x14ac:dyDescent="0.25">
      <c r="A83" s="15" t="s">
        <v>196</v>
      </c>
      <c r="B83" s="36">
        <v>0.49027879925130002</v>
      </c>
      <c r="C83" s="37">
        <v>9.9801677578820164E-2</v>
      </c>
      <c r="D83" s="38" t="s">
        <v>53</v>
      </c>
      <c r="E83" s="36">
        <v>86.069614195739845</v>
      </c>
      <c r="F83" s="37">
        <v>0.60458625756803952</v>
      </c>
      <c r="G83" s="38" t="s">
        <v>53</v>
      </c>
      <c r="H83" s="36">
        <v>86.250943663456511</v>
      </c>
      <c r="I83" s="37">
        <v>0.63181822168824764</v>
      </c>
      <c r="J83" s="38" t="s">
        <v>53</v>
      </c>
      <c r="K83" s="36" t="s">
        <v>55</v>
      </c>
      <c r="L83" s="37" t="s">
        <v>55</v>
      </c>
      <c r="M83" s="38" t="s">
        <v>53</v>
      </c>
      <c r="N83" s="36" t="s">
        <v>55</v>
      </c>
      <c r="O83" s="37" t="s">
        <v>55</v>
      </c>
      <c r="P83" s="38" t="s">
        <v>53</v>
      </c>
      <c r="Q83" s="36" t="s">
        <v>55</v>
      </c>
      <c r="R83" s="37" t="s">
        <v>55</v>
      </c>
      <c r="S83" s="38" t="s">
        <v>53</v>
      </c>
      <c r="T83" s="16" t="s">
        <v>56</v>
      </c>
      <c r="U83" s="17" t="s">
        <v>56</v>
      </c>
      <c r="V83" s="38" t="s">
        <v>53</v>
      </c>
      <c r="W83" s="16" t="s">
        <v>56</v>
      </c>
      <c r="X83" s="17" t="s">
        <v>56</v>
      </c>
      <c r="Y83" s="39" t="s">
        <v>53</v>
      </c>
    </row>
    <row r="84" spans="1:25" x14ac:dyDescent="0.25">
      <c r="A84" s="15" t="s">
        <v>197</v>
      </c>
      <c r="B84" s="36">
        <v>1.0367394553478</v>
      </c>
      <c r="C84" s="37">
        <v>0.15659271343211417</v>
      </c>
      <c r="D84" s="38" t="s">
        <v>53</v>
      </c>
      <c r="E84" s="36">
        <v>64.032987976046655</v>
      </c>
      <c r="F84" s="37">
        <v>1.0457750634386651</v>
      </c>
      <c r="G84" s="38" t="s">
        <v>53</v>
      </c>
      <c r="H84" s="36">
        <v>65.563445811047202</v>
      </c>
      <c r="I84" s="37">
        <v>1.0222793907507859</v>
      </c>
      <c r="J84" s="38" t="s">
        <v>53</v>
      </c>
      <c r="K84" s="36">
        <v>38.046437487714307</v>
      </c>
      <c r="L84" s="37">
        <v>6.3991680026867472</v>
      </c>
      <c r="M84" s="38" t="s">
        <v>53</v>
      </c>
      <c r="N84" s="36" t="s">
        <v>55</v>
      </c>
      <c r="O84" s="37" t="s">
        <v>55</v>
      </c>
      <c r="P84" s="38" t="s">
        <v>53</v>
      </c>
      <c r="Q84" s="36">
        <v>40.528460609349928</v>
      </c>
      <c r="R84" s="37">
        <v>8.9971139685095132</v>
      </c>
      <c r="S84" s="38" t="s">
        <v>53</v>
      </c>
      <c r="T84" s="16">
        <v>0.32255640741091107</v>
      </c>
      <c r="U84" s="17">
        <v>8.8980018080505693E-2</v>
      </c>
      <c r="V84" s="38" t="s">
        <v>53</v>
      </c>
      <c r="W84" s="16">
        <v>0.61817406497854333</v>
      </c>
      <c r="X84" s="17">
        <v>0.23445238420713194</v>
      </c>
      <c r="Y84" s="39" t="s">
        <v>53</v>
      </c>
    </row>
    <row r="85" spans="1:25" x14ac:dyDescent="0.25">
      <c r="A85" s="15" t="s">
        <v>198</v>
      </c>
      <c r="B85" s="36">
        <v>56.805347904173566</v>
      </c>
      <c r="C85" s="37">
        <v>0.36922238395152129</v>
      </c>
      <c r="D85" s="38" t="s">
        <v>53</v>
      </c>
      <c r="E85" s="36">
        <v>77.66350770338039</v>
      </c>
      <c r="F85" s="37">
        <v>0.34616908979116578</v>
      </c>
      <c r="G85" s="38" t="s">
        <v>53</v>
      </c>
      <c r="H85" s="36">
        <v>73.306624534471453</v>
      </c>
      <c r="I85" s="37">
        <v>0.62682477725443742</v>
      </c>
      <c r="J85" s="38" t="s">
        <v>53</v>
      </c>
      <c r="K85" s="36">
        <v>83.638321510837372</v>
      </c>
      <c r="L85" s="37">
        <v>0.44727703331216628</v>
      </c>
      <c r="M85" s="38" t="s">
        <v>53</v>
      </c>
      <c r="N85" s="36">
        <v>80.959781030344516</v>
      </c>
      <c r="O85" s="37">
        <v>0.90934322513791987</v>
      </c>
      <c r="P85" s="38" t="s">
        <v>53</v>
      </c>
      <c r="Q85" s="36">
        <v>84.779884189527394</v>
      </c>
      <c r="R85" s="37">
        <v>0.52813579636010011</v>
      </c>
      <c r="S85" s="38" t="s">
        <v>53</v>
      </c>
      <c r="T85" s="16">
        <v>1.861391493794158</v>
      </c>
      <c r="U85" s="17">
        <v>9.0043812530965731E-2</v>
      </c>
      <c r="V85" s="38" t="s">
        <v>53</v>
      </c>
      <c r="W85" s="16">
        <v>1.0608517775922015</v>
      </c>
      <c r="X85" s="17">
        <v>5.9613435147110407E-2</v>
      </c>
      <c r="Y85" s="39" t="s">
        <v>53</v>
      </c>
    </row>
    <row r="86" spans="1:25" x14ac:dyDescent="0.25">
      <c r="A86" s="15" t="s">
        <v>199</v>
      </c>
      <c r="B86" s="36">
        <v>0.78033112696899998</v>
      </c>
      <c r="C86" s="37">
        <v>0.17564163445411793</v>
      </c>
      <c r="D86" s="38" t="s">
        <v>54</v>
      </c>
      <c r="E86" s="36">
        <v>60.569020166055139</v>
      </c>
      <c r="F86" s="37">
        <v>2.0653318985218498</v>
      </c>
      <c r="G86" s="38" t="s">
        <v>53</v>
      </c>
      <c r="H86" s="36">
        <v>60.545017327599751</v>
      </c>
      <c r="I86" s="37">
        <v>2.1714016524862711</v>
      </c>
      <c r="J86" s="38" t="s">
        <v>53</v>
      </c>
      <c r="K86" s="36" t="s">
        <v>55</v>
      </c>
      <c r="L86" s="37" t="s">
        <v>55</v>
      </c>
      <c r="M86" s="38" t="s">
        <v>53</v>
      </c>
      <c r="N86" s="36" t="s">
        <v>55</v>
      </c>
      <c r="O86" s="37" t="s">
        <v>55</v>
      </c>
      <c r="P86" s="38" t="s">
        <v>53</v>
      </c>
      <c r="Q86" s="36" t="s">
        <v>55</v>
      </c>
      <c r="R86" s="37" t="s">
        <v>55</v>
      </c>
      <c r="S86" s="38" t="s">
        <v>53</v>
      </c>
      <c r="T86" s="16" t="s">
        <v>56</v>
      </c>
      <c r="U86" s="17" t="s">
        <v>56</v>
      </c>
      <c r="V86" s="38" t="s">
        <v>54</v>
      </c>
      <c r="W86" s="16" t="s">
        <v>56</v>
      </c>
      <c r="X86" s="17" t="s">
        <v>56</v>
      </c>
      <c r="Y86" s="39" t="s">
        <v>54</v>
      </c>
    </row>
    <row r="87" spans="1:25" x14ac:dyDescent="0.25">
      <c r="A87" s="15" t="s">
        <v>200</v>
      </c>
      <c r="B87" s="36">
        <v>5.7706009253634898</v>
      </c>
      <c r="C87" s="37">
        <v>0.30960017898992509</v>
      </c>
      <c r="D87" s="38" t="s">
        <v>53</v>
      </c>
      <c r="E87" s="36">
        <v>64.492748741373333</v>
      </c>
      <c r="F87" s="37">
        <v>1.0412993477244337</v>
      </c>
      <c r="G87" s="38" t="s">
        <v>53</v>
      </c>
      <c r="H87" s="36">
        <v>64.588440009859198</v>
      </c>
      <c r="I87" s="37">
        <v>1.019525802441495</v>
      </c>
      <c r="J87" s="38" t="s">
        <v>53</v>
      </c>
      <c r="K87" s="36">
        <v>68.086364026406997</v>
      </c>
      <c r="L87" s="37">
        <v>2.6878976195555646</v>
      </c>
      <c r="M87" s="38" t="s">
        <v>53</v>
      </c>
      <c r="N87" s="36">
        <v>69.037999468169915</v>
      </c>
      <c r="O87" s="37">
        <v>3.2918533372877707</v>
      </c>
      <c r="P87" s="38" t="s">
        <v>53</v>
      </c>
      <c r="Q87" s="36">
        <v>66.580879894995491</v>
      </c>
      <c r="R87" s="37">
        <v>4.4443716994180775</v>
      </c>
      <c r="S87" s="38" t="s">
        <v>53</v>
      </c>
      <c r="T87" s="16">
        <v>1.1696990023556051</v>
      </c>
      <c r="U87" s="17">
        <v>0.12485699229355163</v>
      </c>
      <c r="V87" s="38" t="s">
        <v>53</v>
      </c>
      <c r="W87" s="16">
        <v>1.2517461134064127</v>
      </c>
      <c r="X87" s="17">
        <v>0.15443617855192443</v>
      </c>
      <c r="Y87" s="39" t="s">
        <v>53</v>
      </c>
    </row>
    <row r="88" spans="1:25" x14ac:dyDescent="0.25">
      <c r="A88" s="15" t="s">
        <v>201</v>
      </c>
      <c r="B88" s="36">
        <v>11.867438614087</v>
      </c>
      <c r="C88" s="37">
        <v>1.0844814315091</v>
      </c>
      <c r="D88" s="38" t="s">
        <v>53</v>
      </c>
      <c r="E88" s="36">
        <v>68.611993445045201</v>
      </c>
      <c r="F88" s="37">
        <v>0.91464499443176217</v>
      </c>
      <c r="G88" s="38" t="s">
        <v>53</v>
      </c>
      <c r="H88" s="36">
        <v>69.300264413480903</v>
      </c>
      <c r="I88" s="37">
        <v>0.96476863154048476</v>
      </c>
      <c r="J88" s="38" t="s">
        <v>53</v>
      </c>
      <c r="K88" s="36">
        <v>71.37971681572634</v>
      </c>
      <c r="L88" s="37">
        <v>2.1243124025805553</v>
      </c>
      <c r="M88" s="38" t="s">
        <v>53</v>
      </c>
      <c r="N88" s="36">
        <v>70.57321778690185</v>
      </c>
      <c r="O88" s="37">
        <v>2.6865932022867263</v>
      </c>
      <c r="P88" s="38" t="s">
        <v>53</v>
      </c>
      <c r="Q88" s="36">
        <v>72.328602583308296</v>
      </c>
      <c r="R88" s="37">
        <v>2.6362231004503252</v>
      </c>
      <c r="S88" s="38" t="s">
        <v>53</v>
      </c>
      <c r="T88" s="16">
        <v>1.104842612254</v>
      </c>
      <c r="U88" s="17">
        <v>0.11696638667779438</v>
      </c>
      <c r="V88" s="38" t="s">
        <v>53</v>
      </c>
      <c r="W88" s="16">
        <v>0.81551350764654229</v>
      </c>
      <c r="X88" s="17">
        <v>8.2358939621509281E-2</v>
      </c>
      <c r="Y88" s="39" t="s">
        <v>53</v>
      </c>
    </row>
    <row r="89" spans="1:25" x14ac:dyDescent="0.25">
      <c r="A89" s="15" t="s">
        <v>202</v>
      </c>
      <c r="B89" s="36">
        <v>9.32128952538792</v>
      </c>
      <c r="C89" s="37">
        <v>0.41176693146583127</v>
      </c>
      <c r="D89" s="38" t="s">
        <v>53</v>
      </c>
      <c r="E89" s="36">
        <v>77.249184017198672</v>
      </c>
      <c r="F89" s="37">
        <v>1.1187794844785306</v>
      </c>
      <c r="G89" s="38" t="s">
        <v>53</v>
      </c>
      <c r="H89" s="36">
        <v>78.032399976528751</v>
      </c>
      <c r="I89" s="37">
        <v>1.071567441821105</v>
      </c>
      <c r="J89" s="38" t="s">
        <v>53</v>
      </c>
      <c r="K89" s="36">
        <v>78.5919744996134</v>
      </c>
      <c r="L89" s="37">
        <v>2.1092163919391691</v>
      </c>
      <c r="M89" s="38" t="s">
        <v>53</v>
      </c>
      <c r="N89" s="36">
        <v>79.182029916352178</v>
      </c>
      <c r="O89" s="37">
        <v>2.1244236013757245</v>
      </c>
      <c r="P89" s="38" t="s">
        <v>53</v>
      </c>
      <c r="Q89" s="36">
        <v>73.87708746126421</v>
      </c>
      <c r="R89" s="37">
        <v>6.5391754282290337</v>
      </c>
      <c r="S89" s="38" t="s">
        <v>53</v>
      </c>
      <c r="T89" s="16">
        <v>1.0334970154432179</v>
      </c>
      <c r="U89" s="17">
        <v>0.13470640643838763</v>
      </c>
      <c r="V89" s="38" t="s">
        <v>53</v>
      </c>
      <c r="W89" s="16">
        <v>0.87004073076694821</v>
      </c>
      <c r="X89" s="17">
        <v>0.11564670942676693</v>
      </c>
      <c r="Y89" s="39" t="s">
        <v>53</v>
      </c>
    </row>
    <row r="90" spans="1:25" x14ac:dyDescent="0.25">
      <c r="A90" s="15" t="s">
        <v>203</v>
      </c>
      <c r="B90" s="36">
        <v>24.818877754096949</v>
      </c>
      <c r="C90" s="37">
        <v>0.66661225468237328</v>
      </c>
      <c r="D90" s="38" t="s">
        <v>53</v>
      </c>
      <c r="E90" s="36">
        <v>95.073415141399835</v>
      </c>
      <c r="F90" s="37">
        <v>0.25889089782451841</v>
      </c>
      <c r="G90" s="38" t="s">
        <v>53</v>
      </c>
      <c r="H90" s="36">
        <v>94.825972031533112</v>
      </c>
      <c r="I90" s="37">
        <v>0.27807229523686877</v>
      </c>
      <c r="J90" s="38" t="s">
        <v>53</v>
      </c>
      <c r="K90" s="36">
        <v>96.460071816759822</v>
      </c>
      <c r="L90" s="37">
        <v>0.47114984988511927</v>
      </c>
      <c r="M90" s="38" t="s">
        <v>53</v>
      </c>
      <c r="N90" s="36">
        <v>97.228505115858553</v>
      </c>
      <c r="O90" s="37">
        <v>0.6776414555351451</v>
      </c>
      <c r="P90" s="38" t="s">
        <v>53</v>
      </c>
      <c r="Q90" s="36">
        <v>96.08446044811835</v>
      </c>
      <c r="R90" s="37">
        <v>0.61582479615957209</v>
      </c>
      <c r="S90" s="38" t="s">
        <v>53</v>
      </c>
      <c r="T90" s="16">
        <v>1.4868070099995929</v>
      </c>
      <c r="U90" s="17">
        <v>0.2038975074375744</v>
      </c>
      <c r="V90" s="38" t="s">
        <v>53</v>
      </c>
      <c r="W90" s="16">
        <v>1.2590650073852083</v>
      </c>
      <c r="X90" s="17">
        <v>0.15939877700077545</v>
      </c>
      <c r="Y90" s="39" t="s">
        <v>53</v>
      </c>
    </row>
    <row r="91" spans="1:25" x14ac:dyDescent="0.25">
      <c r="A91" s="15" t="s">
        <v>204</v>
      </c>
      <c r="B91" s="36">
        <v>0.70330202002704001</v>
      </c>
      <c r="C91" s="37">
        <v>0.1735356080053608</v>
      </c>
      <c r="D91" s="38" t="s">
        <v>53</v>
      </c>
      <c r="E91" s="36">
        <v>75.823173285436496</v>
      </c>
      <c r="F91" s="37">
        <v>0.71366792512177457</v>
      </c>
      <c r="G91" s="38" t="s">
        <v>53</v>
      </c>
      <c r="H91" s="36">
        <v>76.225361978466935</v>
      </c>
      <c r="I91" s="37">
        <v>0.7026400674485378</v>
      </c>
      <c r="J91" s="38" t="s">
        <v>53</v>
      </c>
      <c r="K91" s="36">
        <v>49.902852984254778</v>
      </c>
      <c r="L91" s="37">
        <v>15.983633583897738</v>
      </c>
      <c r="M91" s="38" t="s">
        <v>53</v>
      </c>
      <c r="N91" s="36" t="s">
        <v>55</v>
      </c>
      <c r="O91" s="37" t="s">
        <v>55</v>
      </c>
      <c r="P91" s="38" t="s">
        <v>53</v>
      </c>
      <c r="Q91" s="36" t="s">
        <v>55</v>
      </c>
      <c r="R91" s="37" t="s">
        <v>55</v>
      </c>
      <c r="S91" s="38" t="s">
        <v>53</v>
      </c>
      <c r="T91" s="16">
        <v>0.31068966111493462</v>
      </c>
      <c r="U91" s="17">
        <v>0.22246843070120542</v>
      </c>
      <c r="V91" s="38" t="s">
        <v>53</v>
      </c>
      <c r="W91" s="16">
        <v>0.50034722344412763</v>
      </c>
      <c r="X91" s="17">
        <v>0.36961761453308506</v>
      </c>
      <c r="Y91" s="39" t="s">
        <v>53</v>
      </c>
    </row>
    <row r="92" spans="1:25" x14ac:dyDescent="0.25">
      <c r="A92" s="15" t="s">
        <v>205</v>
      </c>
      <c r="B92" s="36">
        <v>1.0713659373244</v>
      </c>
      <c r="C92" s="37">
        <v>0.43149317383496427</v>
      </c>
      <c r="D92" s="38" t="s">
        <v>53</v>
      </c>
      <c r="E92" s="36">
        <v>68.652129842273894</v>
      </c>
      <c r="F92" s="37">
        <v>1.1871023219225092</v>
      </c>
      <c r="G92" s="38" t="s">
        <v>53</v>
      </c>
      <c r="H92" s="36">
        <v>69.401271260652649</v>
      </c>
      <c r="I92" s="37">
        <v>1.0977512330626316</v>
      </c>
      <c r="J92" s="38" t="s">
        <v>53</v>
      </c>
      <c r="K92" s="36">
        <v>33.949362601088431</v>
      </c>
      <c r="L92" s="37">
        <v>6.323499874276914</v>
      </c>
      <c r="M92" s="38" t="s">
        <v>53</v>
      </c>
      <c r="N92" s="36">
        <v>35.530209944791416</v>
      </c>
      <c r="O92" s="37">
        <v>9.386614873414592</v>
      </c>
      <c r="P92" s="38" t="s">
        <v>53</v>
      </c>
      <c r="Q92" s="36" t="s">
        <v>55</v>
      </c>
      <c r="R92" s="37" t="s">
        <v>55</v>
      </c>
      <c r="S92" s="38" t="s">
        <v>53</v>
      </c>
      <c r="T92" s="16">
        <v>0.22661718383551041</v>
      </c>
      <c r="U92" s="17">
        <v>6.627740322514275E-2</v>
      </c>
      <c r="V92" s="38" t="s">
        <v>53</v>
      </c>
      <c r="W92" s="16">
        <v>0.4795839244345711</v>
      </c>
      <c r="X92" s="17">
        <v>0.16629323708856866</v>
      </c>
      <c r="Y92" s="39" t="s">
        <v>53</v>
      </c>
    </row>
    <row r="93" spans="1:25" x14ac:dyDescent="0.25">
      <c r="A93" s="15" t="s">
        <v>206</v>
      </c>
      <c r="B93" s="36">
        <v>2.3149360382116497</v>
      </c>
      <c r="C93" s="37">
        <v>0.2182451411281752</v>
      </c>
      <c r="D93" s="38" t="s">
        <v>53</v>
      </c>
      <c r="E93" s="36">
        <v>94.121111090424534</v>
      </c>
      <c r="F93" s="37">
        <v>0.40427943102457409</v>
      </c>
      <c r="G93" s="38" t="s">
        <v>53</v>
      </c>
      <c r="H93" s="36">
        <v>94.067916576815605</v>
      </c>
      <c r="I93" s="37">
        <v>0.40857625409002729</v>
      </c>
      <c r="J93" s="38" t="s">
        <v>53</v>
      </c>
      <c r="K93" s="36">
        <v>93.697712251600734</v>
      </c>
      <c r="L93" s="37">
        <v>1.880446235701742</v>
      </c>
      <c r="M93" s="38" t="s">
        <v>53</v>
      </c>
      <c r="N93" s="36">
        <v>93.761337904451565</v>
      </c>
      <c r="O93" s="37">
        <v>2.409689013994575</v>
      </c>
      <c r="P93" s="38" t="s">
        <v>53</v>
      </c>
      <c r="Q93" s="36">
        <v>93.574453071356544</v>
      </c>
      <c r="R93" s="37">
        <v>3.2859187815776152</v>
      </c>
      <c r="S93" s="38" t="s">
        <v>53</v>
      </c>
      <c r="T93" s="16">
        <v>0.93755312883436071</v>
      </c>
      <c r="U93" s="17">
        <v>0.33304139446887676</v>
      </c>
      <c r="V93" s="38" t="s">
        <v>53</v>
      </c>
      <c r="W93" s="16">
        <v>0.83533893033062689</v>
      </c>
      <c r="X93" s="17">
        <v>0.30396394462054421</v>
      </c>
      <c r="Y93" s="39" t="s">
        <v>53</v>
      </c>
    </row>
    <row r="94" spans="1:25" x14ac:dyDescent="0.25">
      <c r="A94" s="15" t="s">
        <v>207</v>
      </c>
      <c r="B94" s="36">
        <v>55.781255228227387</v>
      </c>
      <c r="C94" s="37">
        <v>0.78306140903694166</v>
      </c>
      <c r="D94" s="38" t="s">
        <v>53</v>
      </c>
      <c r="E94" s="36">
        <v>79.883155402477996</v>
      </c>
      <c r="F94" s="37">
        <v>0.62229515785013612</v>
      </c>
      <c r="G94" s="38" t="s">
        <v>53</v>
      </c>
      <c r="H94" s="36">
        <v>74.398833344401311</v>
      </c>
      <c r="I94" s="37">
        <v>0.68567970038704207</v>
      </c>
      <c r="J94" s="38" t="s">
        <v>53</v>
      </c>
      <c r="K94" s="36">
        <v>86.224738421959358</v>
      </c>
      <c r="L94" s="37">
        <v>0.58569791718971609</v>
      </c>
      <c r="M94" s="38" t="s">
        <v>53</v>
      </c>
      <c r="N94" s="36">
        <v>85.591285500719891</v>
      </c>
      <c r="O94" s="37">
        <v>0.73312018505701693</v>
      </c>
      <c r="P94" s="38" t="s">
        <v>53</v>
      </c>
      <c r="Q94" s="36">
        <v>86.670513207138171</v>
      </c>
      <c r="R94" s="37">
        <v>0.65656478270032093</v>
      </c>
      <c r="S94" s="38" t="s">
        <v>53</v>
      </c>
      <c r="T94" s="16">
        <v>2.1539003637271441</v>
      </c>
      <c r="U94" s="17">
        <v>0.10296914988827487</v>
      </c>
      <c r="V94" s="38" t="s">
        <v>53</v>
      </c>
      <c r="W94" s="16">
        <v>1.0504989247750558</v>
      </c>
      <c r="X94" s="17">
        <v>5.4846390002104325E-2</v>
      </c>
      <c r="Y94" s="39" t="s">
        <v>53</v>
      </c>
    </row>
    <row r="95" spans="1:25" x14ac:dyDescent="0.25">
      <c r="A95" s="15" t="s">
        <v>208</v>
      </c>
      <c r="B95" s="36">
        <v>1.2698266694508</v>
      </c>
      <c r="C95" s="37">
        <v>0.18673082341050887</v>
      </c>
      <c r="D95" s="38" t="s">
        <v>53</v>
      </c>
      <c r="E95" s="36">
        <v>55.982018189479646</v>
      </c>
      <c r="F95" s="37">
        <v>1.0256570781585306</v>
      </c>
      <c r="G95" s="38" t="s">
        <v>53</v>
      </c>
      <c r="H95" s="36">
        <v>56.661763753958084</v>
      </c>
      <c r="I95" s="37">
        <v>1.0097150043470859</v>
      </c>
      <c r="J95" s="38" t="s">
        <v>53</v>
      </c>
      <c r="K95" s="36">
        <v>57.538017081124984</v>
      </c>
      <c r="L95" s="37">
        <v>6.5871876332334187</v>
      </c>
      <c r="M95" s="38" t="s">
        <v>53</v>
      </c>
      <c r="N95" s="36" t="s">
        <v>55</v>
      </c>
      <c r="O95" s="37" t="s">
        <v>55</v>
      </c>
      <c r="P95" s="38" t="s">
        <v>53</v>
      </c>
      <c r="Q95" s="36">
        <v>62.237121755600214</v>
      </c>
      <c r="R95" s="37">
        <v>9.4265117710705848</v>
      </c>
      <c r="S95" s="38" t="s">
        <v>53</v>
      </c>
      <c r="T95" s="16">
        <v>1.036419947273638</v>
      </c>
      <c r="U95" s="17">
        <v>0.28944440798818993</v>
      </c>
      <c r="V95" s="38" t="s">
        <v>53</v>
      </c>
      <c r="W95" s="16">
        <v>1.2061719425921453</v>
      </c>
      <c r="X95" s="17">
        <v>0.42097771236600973</v>
      </c>
      <c r="Y95" s="39" t="s">
        <v>53</v>
      </c>
    </row>
    <row r="96" spans="1:25" ht="13.8" thickBot="1" x14ac:dyDescent="0.3">
      <c r="A96" s="18" t="s">
        <v>209</v>
      </c>
      <c r="B96" s="40">
        <v>6.2539118959410001E-2</v>
      </c>
      <c r="C96" s="41">
        <v>3.114434172733371E-2</v>
      </c>
      <c r="D96" s="42" t="s">
        <v>53</v>
      </c>
      <c r="E96" s="40">
        <v>66.786704299930861</v>
      </c>
      <c r="F96" s="41">
        <v>1.9067541670031447</v>
      </c>
      <c r="G96" s="42" t="s">
        <v>53</v>
      </c>
      <c r="H96" s="40">
        <v>67.041615921584764</v>
      </c>
      <c r="I96" s="41">
        <v>1.9267743774498889</v>
      </c>
      <c r="J96" s="42" t="s">
        <v>53</v>
      </c>
      <c r="K96" s="40" t="s">
        <v>55</v>
      </c>
      <c r="L96" s="41" t="s">
        <v>55</v>
      </c>
      <c r="M96" s="42" t="s">
        <v>53</v>
      </c>
      <c r="N96" s="40" t="s">
        <v>55</v>
      </c>
      <c r="O96" s="41" t="s">
        <v>55</v>
      </c>
      <c r="P96" s="42" t="s">
        <v>53</v>
      </c>
      <c r="Q96" s="40" t="s">
        <v>55</v>
      </c>
      <c r="R96" s="41" t="s">
        <v>55</v>
      </c>
      <c r="S96" s="42" t="s">
        <v>53</v>
      </c>
      <c r="T96" s="19" t="s">
        <v>56</v>
      </c>
      <c r="U96" s="20" t="s">
        <v>56</v>
      </c>
      <c r="V96" s="42" t="s">
        <v>53</v>
      </c>
      <c r="W96" s="19" t="s">
        <v>55</v>
      </c>
      <c r="X96" s="20" t="s">
        <v>55</v>
      </c>
      <c r="Y96" s="43" t="s">
        <v>53</v>
      </c>
    </row>
    <row r="97" spans="1:25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4" spans="1:25" x14ac:dyDescent="0.25">
      <c r="A104" t="s">
        <v>219</v>
      </c>
    </row>
    <row r="105" spans="1:25" x14ac:dyDescent="0.25">
      <c r="A105" s="33" t="s">
        <v>116</v>
      </c>
      <c r="B105" s="33"/>
      <c r="C105" s="33"/>
      <c r="D105" s="33"/>
    </row>
    <row r="106" spans="1:25" x14ac:dyDescent="0.25">
      <c r="A106" s="27" t="s">
        <v>25</v>
      </c>
    </row>
    <row r="107" spans="1:25" x14ac:dyDescent="0.25">
      <c r="A107" t="s">
        <v>78</v>
      </c>
    </row>
    <row r="108" spans="1:25" x14ac:dyDescent="0.25">
      <c r="A108" s="27" t="s">
        <v>212</v>
      </c>
    </row>
  </sheetData>
  <mergeCells count="10">
    <mergeCell ref="B12:D13"/>
    <mergeCell ref="E12:S12"/>
    <mergeCell ref="T12:Y12"/>
    <mergeCell ref="E13:G13"/>
    <mergeCell ref="H13:J13"/>
    <mergeCell ref="K13:M13"/>
    <mergeCell ref="N13:P13"/>
    <mergeCell ref="Q13:S13"/>
    <mergeCell ref="T13:V13"/>
    <mergeCell ref="W13:Y13"/>
  </mergeCells>
  <conditionalFormatting sqref="T16:T96">
    <cfRule type="expression" dxfId="14" priority="2">
      <formula>ABS(LN(T16)/(U16/T16))&gt;1.96</formula>
    </cfRule>
  </conditionalFormatting>
  <conditionalFormatting sqref="W16:W96">
    <cfRule type="expression" dxfId="13" priority="1">
      <formula>ABS(LN(W16)/(X16/W16))&gt;1.96</formula>
    </cfRule>
  </conditionalFormatting>
  <hyperlinks>
    <hyperlink ref="A1" r:id="rId1" display="https://doi.org/10.1787/b5fd1b8f-en"/>
    <hyperlink ref="A4" r:id="rId2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K111"/>
  <sheetViews>
    <sheetView showGridLines="0" zoomScale="80" zoomScaleNormal="80" workbookViewId="0"/>
  </sheetViews>
  <sheetFormatPr defaultRowHeight="13.2" x14ac:dyDescent="0.25"/>
  <cols>
    <col min="1" max="1" width="28.33203125" customWidth="1"/>
    <col min="2" max="3" width="9" customWidth="1"/>
    <col min="4" max="4" width="2.44140625" customWidth="1"/>
    <col min="5" max="6" width="9" customWidth="1"/>
    <col min="7" max="7" width="2.44140625" customWidth="1"/>
    <col min="8" max="9" width="9" customWidth="1"/>
    <col min="10" max="10" width="2.44140625" customWidth="1"/>
    <col min="11" max="12" width="9" customWidth="1"/>
    <col min="13" max="13" width="2.44140625" customWidth="1"/>
    <col min="14" max="15" width="9" customWidth="1"/>
    <col min="16" max="16" width="2.44140625" customWidth="1"/>
    <col min="17" max="18" width="9" customWidth="1"/>
    <col min="19" max="19" width="2.44140625" customWidth="1"/>
    <col min="20" max="21" width="9" customWidth="1"/>
    <col min="22" max="22" width="2.44140625" customWidth="1"/>
    <col min="23" max="24" width="9" customWidth="1"/>
    <col min="25" max="25" width="2.44140625" customWidth="1"/>
    <col min="26" max="27" width="9" customWidth="1"/>
    <col min="28" max="28" width="2.44140625" customWidth="1"/>
    <col min="29" max="30" width="9" customWidth="1"/>
    <col min="31" max="31" width="2.44140625" customWidth="1"/>
    <col min="32" max="33" width="9" customWidth="1"/>
    <col min="34" max="34" width="2.44140625" customWidth="1"/>
    <col min="35" max="36" width="9" customWidth="1"/>
    <col min="37" max="37" width="2.44140625" customWidth="1"/>
    <col min="38" max="39" width="9" customWidth="1"/>
    <col min="40" max="40" width="2.44140625" customWidth="1"/>
    <col min="41" max="42" width="9" customWidth="1"/>
    <col min="43" max="43" width="2.44140625" customWidth="1"/>
    <col min="44" max="45" width="9" customWidth="1"/>
    <col min="46" max="46" width="2.44140625" customWidth="1"/>
    <col min="47" max="48" width="9" customWidth="1"/>
    <col min="49" max="49" width="2.44140625" customWidth="1"/>
    <col min="50" max="51" width="9" customWidth="1"/>
    <col min="52" max="52" width="2.44140625" customWidth="1"/>
    <col min="53" max="54" width="9" customWidth="1"/>
    <col min="55" max="55" width="2.44140625" customWidth="1"/>
    <col min="56" max="57" width="9" customWidth="1"/>
    <col min="58" max="58" width="2.44140625" customWidth="1"/>
    <col min="59" max="60" width="9" customWidth="1"/>
    <col min="61" max="61" width="2.44140625" customWidth="1"/>
    <col min="62" max="63" width="9" customWidth="1"/>
    <col min="64" max="64" width="2.44140625" customWidth="1"/>
    <col min="65" max="66" width="9" customWidth="1"/>
    <col min="67" max="67" width="2.44140625" customWidth="1"/>
    <col min="68" max="69" width="9" customWidth="1"/>
    <col min="70" max="70" width="2.44140625" customWidth="1"/>
    <col min="71" max="72" width="9" customWidth="1"/>
    <col min="73" max="73" width="2.44140625" customWidth="1"/>
    <col min="74" max="75" width="9" customWidth="1"/>
    <col min="76" max="76" width="2.44140625" customWidth="1"/>
    <col min="77" max="78" width="9" customWidth="1"/>
    <col min="79" max="79" width="2.44140625" customWidth="1"/>
    <col min="80" max="81" width="9" customWidth="1"/>
    <col min="82" max="82" width="2.44140625" customWidth="1"/>
    <col min="83" max="84" width="9" customWidth="1"/>
    <col min="85" max="85" width="2.44140625" customWidth="1"/>
    <col min="86" max="87" width="9" customWidth="1"/>
    <col min="88" max="88" width="2.44140625" customWidth="1"/>
    <col min="89" max="90" width="9" customWidth="1"/>
    <col min="91" max="91" width="2.44140625" customWidth="1"/>
    <col min="92" max="93" width="9" customWidth="1"/>
    <col min="94" max="94" width="2.44140625" customWidth="1"/>
    <col min="95" max="96" width="9" customWidth="1"/>
    <col min="97" max="97" width="2.44140625" customWidth="1"/>
    <col min="98" max="99" width="9" customWidth="1"/>
    <col min="100" max="100" width="2.44140625" customWidth="1"/>
    <col min="101" max="102" width="9" customWidth="1"/>
    <col min="103" max="103" width="2.44140625" customWidth="1"/>
    <col min="104" max="105" width="9" customWidth="1"/>
    <col min="106" max="106" width="2.44140625" customWidth="1"/>
    <col min="107" max="108" width="9" customWidth="1"/>
    <col min="109" max="109" width="2.44140625" customWidth="1"/>
    <col min="110" max="111" width="9" customWidth="1"/>
    <col min="112" max="112" width="2.44140625" customWidth="1"/>
    <col min="113" max="114" width="9" customWidth="1"/>
    <col min="115" max="115" width="2.44140625" customWidth="1"/>
  </cols>
  <sheetData>
    <row r="1" spans="1:115" s="115" customFormat="1" x14ac:dyDescent="0.25">
      <c r="A1" s="116" t="s">
        <v>232</v>
      </c>
    </row>
    <row r="2" spans="1:115" s="115" customFormat="1" x14ac:dyDescent="0.25">
      <c r="A2" s="115" t="s">
        <v>233</v>
      </c>
      <c r="B2" s="115" t="s">
        <v>234</v>
      </c>
    </row>
    <row r="3" spans="1:115" s="115" customFormat="1" x14ac:dyDescent="0.25">
      <c r="A3" s="115" t="s">
        <v>235</v>
      </c>
    </row>
    <row r="4" spans="1:115" s="115" customFormat="1" x14ac:dyDescent="0.25">
      <c r="A4" s="116" t="s">
        <v>236</v>
      </c>
    </row>
    <row r="5" spans="1:115" s="115" customFormat="1" x14ac:dyDescent="0.25"/>
    <row r="6" spans="1:115" x14ac:dyDescent="0.25">
      <c r="A6" s="2" t="s">
        <v>122</v>
      </c>
      <c r="B6" s="30"/>
      <c r="C6" s="1"/>
      <c r="D6" s="1"/>
      <c r="E6" s="1"/>
      <c r="F6" s="1"/>
      <c r="G6" s="1"/>
      <c r="H6" s="1"/>
      <c r="I6" s="1"/>
      <c r="J6" s="3"/>
      <c r="K6" s="1"/>
      <c r="L6" s="1"/>
      <c r="M6" s="1"/>
      <c r="N6" s="1"/>
      <c r="O6" s="1"/>
      <c r="P6" s="1"/>
      <c r="Q6" s="1"/>
      <c r="R6" s="1"/>
      <c r="S6" s="7"/>
      <c r="T6" s="1"/>
      <c r="U6" s="1"/>
      <c r="V6" s="1"/>
      <c r="W6" s="1"/>
      <c r="X6" s="1"/>
      <c r="Y6" s="3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3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3"/>
      <c r="BD6" s="1"/>
      <c r="BE6" s="1"/>
      <c r="BF6" s="1"/>
      <c r="BG6" s="1"/>
      <c r="BH6" s="1"/>
      <c r="BI6" s="1"/>
      <c r="BJ6" s="30"/>
      <c r="BK6" s="1"/>
      <c r="BL6" s="1"/>
      <c r="BM6" s="1"/>
      <c r="BN6" s="1"/>
      <c r="BO6" s="1"/>
      <c r="BP6" s="1"/>
      <c r="BQ6" s="1"/>
      <c r="BR6" s="3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3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3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3"/>
    </row>
    <row r="7" spans="1:115" x14ac:dyDescent="0.25">
      <c r="A7" s="35" t="s">
        <v>98</v>
      </c>
      <c r="B7" s="6"/>
      <c r="C7" s="6"/>
      <c r="D7" s="6"/>
      <c r="E7" s="6"/>
      <c r="F7" s="6"/>
      <c r="G7" s="6"/>
      <c r="H7" s="6"/>
      <c r="I7" s="6"/>
      <c r="J7" s="3"/>
      <c r="K7" s="6"/>
      <c r="L7" s="6"/>
      <c r="M7" s="6"/>
      <c r="N7" s="6"/>
      <c r="P7" s="6"/>
      <c r="Q7" s="6"/>
      <c r="R7" s="6"/>
      <c r="S7" s="4"/>
      <c r="T7" s="6"/>
      <c r="U7" s="6"/>
      <c r="V7" s="6"/>
      <c r="W7" s="6"/>
      <c r="X7" s="6"/>
      <c r="Y7" s="3"/>
      <c r="Z7" s="6"/>
      <c r="AA7" s="6"/>
      <c r="AB7" s="6"/>
      <c r="AC7" s="6"/>
      <c r="AE7" s="6"/>
      <c r="AF7" s="6"/>
      <c r="AG7" s="6"/>
      <c r="AH7" s="6"/>
      <c r="AI7" s="6"/>
      <c r="AJ7" s="6"/>
      <c r="AK7" s="6"/>
      <c r="AL7" s="6"/>
      <c r="AM7" s="6"/>
      <c r="AN7" s="3"/>
      <c r="AO7" s="6"/>
      <c r="AP7" s="6"/>
      <c r="AQ7" s="6"/>
      <c r="AR7" s="6"/>
      <c r="AT7" s="6"/>
      <c r="AU7" s="6"/>
      <c r="AV7" s="6"/>
      <c r="AW7" s="6"/>
      <c r="AX7" s="6"/>
      <c r="AY7" s="6"/>
      <c r="AZ7" s="6"/>
      <c r="BA7" s="6"/>
      <c r="BB7" s="6"/>
      <c r="BC7" s="3"/>
      <c r="BD7" s="6"/>
      <c r="BE7" s="6"/>
      <c r="BF7" s="6"/>
      <c r="BG7" s="6"/>
      <c r="BI7" s="6"/>
      <c r="BJ7" s="6"/>
      <c r="BK7" s="6"/>
      <c r="BL7" s="6"/>
      <c r="BM7" s="6"/>
      <c r="BN7" s="6"/>
      <c r="BO7" s="6"/>
      <c r="BP7" s="6"/>
      <c r="BQ7" s="6"/>
      <c r="BR7" s="3"/>
      <c r="BS7" s="6"/>
      <c r="BT7" s="6"/>
      <c r="BU7" s="6"/>
      <c r="BV7" s="6"/>
      <c r="BX7" s="6"/>
      <c r="BY7" s="6"/>
      <c r="BZ7" s="6"/>
      <c r="CA7" s="6"/>
      <c r="CB7" s="6"/>
      <c r="CC7" s="6"/>
      <c r="CD7" s="6"/>
      <c r="CE7" s="6"/>
      <c r="CF7" s="6"/>
      <c r="CG7" s="3"/>
      <c r="CH7" s="6"/>
      <c r="CI7" s="6"/>
      <c r="CJ7" s="6"/>
      <c r="CK7" s="6"/>
      <c r="CM7" s="6"/>
      <c r="CN7" s="6"/>
      <c r="CO7" s="6"/>
      <c r="CP7" s="6"/>
      <c r="CQ7" s="6"/>
      <c r="CR7" s="6"/>
      <c r="CS7" s="6"/>
      <c r="CT7" s="6"/>
      <c r="CU7" s="6"/>
      <c r="CV7" s="3"/>
      <c r="CW7" s="6"/>
      <c r="CX7" s="6"/>
      <c r="CY7" s="6"/>
      <c r="CZ7" s="6"/>
      <c r="DB7" s="6"/>
      <c r="DC7" s="6"/>
      <c r="DD7" s="6"/>
      <c r="DE7" s="6"/>
      <c r="DF7" s="6"/>
      <c r="DG7" s="6"/>
      <c r="DH7" s="6"/>
      <c r="DI7" s="6"/>
      <c r="DJ7" s="6"/>
      <c r="DK7" s="3"/>
    </row>
    <row r="8" spans="1:115" x14ac:dyDescent="0.25">
      <c r="A8" s="28" t="s">
        <v>27</v>
      </c>
      <c r="B8" s="7"/>
      <c r="C8" s="7"/>
      <c r="D8" s="7"/>
      <c r="E8" s="7"/>
      <c r="F8" s="7"/>
      <c r="G8" s="7"/>
      <c r="H8" s="7"/>
      <c r="I8" s="7"/>
      <c r="J8" s="7"/>
      <c r="K8" s="26"/>
      <c r="L8" s="7"/>
      <c r="M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  <c r="BJ8" s="7"/>
      <c r="BK8" s="7"/>
      <c r="BL8" s="7"/>
      <c r="BM8" s="7"/>
      <c r="BN8" s="7"/>
      <c r="BO8" s="7"/>
      <c r="BP8" s="7"/>
      <c r="BQ8" s="7"/>
      <c r="BR8" s="7"/>
      <c r="BS8" s="26"/>
      <c r="BT8" s="7"/>
      <c r="BU8" s="7"/>
      <c r="BW8" s="7"/>
      <c r="BX8" s="7"/>
      <c r="BY8" s="7"/>
      <c r="BZ8" s="7"/>
      <c r="CA8" s="7"/>
      <c r="CB8" s="7"/>
      <c r="CC8" s="7"/>
      <c r="CD8" s="7"/>
      <c r="CE8" s="7"/>
      <c r="CF8" s="7"/>
      <c r="CG8" s="7"/>
      <c r="CH8" s="7"/>
      <c r="CI8" s="7"/>
      <c r="CJ8" s="7"/>
      <c r="CK8" s="7"/>
      <c r="CL8" s="7"/>
      <c r="CM8" s="7"/>
      <c r="CN8" s="7"/>
      <c r="CO8" s="7"/>
      <c r="CP8" s="7"/>
      <c r="CQ8" s="7"/>
      <c r="CR8" s="7"/>
      <c r="CS8" s="7"/>
      <c r="CT8" s="7"/>
      <c r="CU8" s="7"/>
      <c r="CV8" s="7"/>
      <c r="CW8" s="7"/>
      <c r="CX8" s="7"/>
      <c r="CY8" s="7"/>
      <c r="CZ8" s="7"/>
      <c r="DA8" s="7"/>
      <c r="DB8" s="7"/>
      <c r="DC8" s="7"/>
      <c r="DD8" s="7"/>
      <c r="DE8" s="7"/>
      <c r="DF8" s="7"/>
      <c r="DG8" s="7"/>
      <c r="DH8" s="7"/>
      <c r="DI8" s="7"/>
      <c r="DJ8" s="7"/>
      <c r="DK8" s="7"/>
    </row>
    <row r="9" spans="1:115" x14ac:dyDescent="0.25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  <c r="BG9" s="7"/>
      <c r="BH9" s="7"/>
      <c r="BI9" s="7"/>
      <c r="BJ9" s="7"/>
      <c r="BK9" s="7"/>
      <c r="BL9" s="7"/>
      <c r="BM9" s="7"/>
      <c r="BN9" s="7"/>
      <c r="BO9" s="7"/>
      <c r="BP9" s="7"/>
      <c r="BQ9" s="7"/>
      <c r="BR9" s="7"/>
      <c r="BS9" s="7"/>
      <c r="BT9" s="7"/>
      <c r="BU9" s="7"/>
      <c r="BV9" s="7"/>
      <c r="BW9" s="7"/>
      <c r="BX9" s="7"/>
      <c r="BY9" s="7"/>
      <c r="BZ9" s="7"/>
      <c r="CA9" s="7"/>
      <c r="CB9" s="7"/>
      <c r="CC9" s="7"/>
      <c r="CD9" s="7"/>
      <c r="CE9" s="7"/>
      <c r="CF9" s="7"/>
      <c r="CG9" s="7"/>
      <c r="CH9" s="7"/>
      <c r="CI9" s="7"/>
      <c r="CJ9" s="7"/>
      <c r="CK9" s="7"/>
      <c r="CL9" s="7"/>
      <c r="CM9" s="7"/>
      <c r="CN9" s="7"/>
      <c r="CO9" s="7"/>
      <c r="CP9" s="7"/>
      <c r="CQ9" s="7"/>
      <c r="CR9" s="7"/>
      <c r="CS9" s="7"/>
      <c r="CT9" s="7"/>
      <c r="CU9" s="7"/>
      <c r="CV9" s="7"/>
      <c r="CW9" s="7"/>
      <c r="CX9" s="7"/>
      <c r="CY9" s="7"/>
      <c r="CZ9" s="7"/>
      <c r="DA9" s="7"/>
      <c r="DB9" s="7"/>
      <c r="DC9" s="7"/>
      <c r="DD9" s="7"/>
      <c r="DE9" s="7"/>
      <c r="DF9" s="7"/>
      <c r="DG9" s="7"/>
      <c r="DH9" s="7"/>
      <c r="DI9" s="7"/>
      <c r="DJ9" s="7"/>
      <c r="DK9" s="7"/>
    </row>
    <row r="10" spans="1:115" ht="13.8" thickBot="1" x14ac:dyDescent="0.3"/>
    <row r="11" spans="1:115" ht="19.5" customHeight="1" x14ac:dyDescent="0.25">
      <c r="A11" s="31"/>
      <c r="B11" s="98" t="s">
        <v>99</v>
      </c>
      <c r="C11" s="99"/>
      <c r="D11" s="99"/>
      <c r="E11" s="99"/>
      <c r="F11" s="99"/>
      <c r="G11" s="99"/>
      <c r="H11" s="99"/>
      <c r="I11" s="99"/>
      <c r="J11" s="99"/>
      <c r="K11" s="99"/>
      <c r="L11" s="99"/>
      <c r="M11" s="99"/>
      <c r="N11" s="99"/>
      <c r="O11" s="99"/>
      <c r="P11" s="99"/>
      <c r="Q11" s="99"/>
      <c r="R11" s="99"/>
      <c r="S11" s="99"/>
      <c r="T11" s="99"/>
      <c r="U11" s="99"/>
      <c r="V11" s="99"/>
      <c r="W11" s="99"/>
      <c r="X11" s="99"/>
      <c r="Y11" s="99"/>
      <c r="Z11" s="99"/>
      <c r="AA11" s="99"/>
      <c r="AB11" s="99"/>
      <c r="AC11" s="99"/>
      <c r="AD11" s="99"/>
      <c r="AE11" s="99"/>
      <c r="AF11" s="99"/>
      <c r="AG11" s="99"/>
      <c r="AH11" s="99"/>
      <c r="AI11" s="99"/>
      <c r="AJ11" s="99"/>
      <c r="AK11" s="99"/>
      <c r="AL11" s="99"/>
      <c r="AM11" s="99"/>
      <c r="AN11" s="99"/>
      <c r="AO11" s="99"/>
      <c r="AP11" s="99"/>
      <c r="AQ11" s="99"/>
      <c r="AR11" s="99"/>
      <c r="AS11" s="99"/>
      <c r="AT11" s="99"/>
      <c r="AU11" s="99"/>
      <c r="AV11" s="99"/>
      <c r="AW11" s="99"/>
      <c r="AX11" s="99"/>
      <c r="AY11" s="99"/>
      <c r="AZ11" s="99"/>
      <c r="BA11" s="99"/>
      <c r="BB11" s="99"/>
      <c r="BC11" s="99"/>
      <c r="BD11" s="99"/>
      <c r="BE11" s="99"/>
      <c r="BF11" s="99"/>
      <c r="BG11" s="99"/>
      <c r="BH11" s="99"/>
      <c r="BI11" s="99"/>
      <c r="BJ11" s="99"/>
      <c r="BK11" s="99"/>
      <c r="BL11" s="99"/>
      <c r="BM11" s="99"/>
      <c r="BN11" s="99"/>
      <c r="BO11" s="99"/>
      <c r="BP11" s="99"/>
      <c r="BQ11" s="99"/>
      <c r="BR11" s="99"/>
      <c r="BS11" s="99"/>
      <c r="BT11" s="99"/>
      <c r="BU11" s="99"/>
      <c r="BV11" s="99"/>
      <c r="BW11" s="99"/>
      <c r="BX11" s="99"/>
      <c r="BY11" s="99"/>
      <c r="BZ11" s="99"/>
      <c r="CA11" s="99"/>
      <c r="CB11" s="99"/>
      <c r="CC11" s="99"/>
      <c r="CD11" s="99"/>
      <c r="CE11" s="99"/>
      <c r="CF11" s="99"/>
      <c r="CG11" s="99"/>
      <c r="CH11" s="99"/>
      <c r="CI11" s="99"/>
      <c r="CJ11" s="99"/>
      <c r="CK11" s="99"/>
      <c r="CL11" s="99"/>
      <c r="CM11" s="99"/>
      <c r="CN11" s="99"/>
      <c r="CO11" s="99"/>
      <c r="CP11" s="99"/>
      <c r="CQ11" s="99"/>
      <c r="CR11" s="99"/>
      <c r="CS11" s="99"/>
      <c r="CT11" s="99"/>
      <c r="CU11" s="99"/>
      <c r="CV11" s="99"/>
      <c r="CW11" s="99"/>
      <c r="CX11" s="99"/>
      <c r="CY11" s="99"/>
      <c r="CZ11" s="99"/>
      <c r="DA11" s="99"/>
      <c r="DB11" s="100"/>
      <c r="DC11" s="85" t="s">
        <v>111</v>
      </c>
      <c r="DD11" s="86"/>
      <c r="DE11" s="86"/>
      <c r="DF11" s="86"/>
      <c r="DG11" s="86"/>
      <c r="DH11" s="86"/>
      <c r="DI11" s="86"/>
      <c r="DJ11" s="86"/>
      <c r="DK11" s="101"/>
    </row>
    <row r="12" spans="1:115" ht="19.5" customHeight="1" x14ac:dyDescent="0.25">
      <c r="A12" s="32"/>
      <c r="B12" s="103" t="s">
        <v>59</v>
      </c>
      <c r="C12" s="103"/>
      <c r="D12" s="103"/>
      <c r="E12" s="103"/>
      <c r="F12" s="103"/>
      <c r="G12" s="103"/>
      <c r="H12" s="103"/>
      <c r="I12" s="103"/>
      <c r="J12" s="103"/>
      <c r="K12" s="103"/>
      <c r="L12" s="103"/>
      <c r="M12" s="103"/>
      <c r="N12" s="103"/>
      <c r="O12" s="103"/>
      <c r="P12" s="105"/>
      <c r="Q12" s="103" t="s">
        <v>60</v>
      </c>
      <c r="R12" s="103"/>
      <c r="S12" s="103"/>
      <c r="T12" s="103"/>
      <c r="U12" s="103"/>
      <c r="V12" s="103"/>
      <c r="W12" s="103"/>
      <c r="X12" s="103"/>
      <c r="Y12" s="103"/>
      <c r="Z12" s="103"/>
      <c r="AA12" s="103"/>
      <c r="AB12" s="103"/>
      <c r="AC12" s="103"/>
      <c r="AD12" s="103"/>
      <c r="AE12" s="105"/>
      <c r="AF12" s="103" t="s">
        <v>65</v>
      </c>
      <c r="AG12" s="103"/>
      <c r="AH12" s="103"/>
      <c r="AI12" s="103"/>
      <c r="AJ12" s="103"/>
      <c r="AK12" s="103"/>
      <c r="AL12" s="103"/>
      <c r="AM12" s="103"/>
      <c r="AN12" s="103"/>
      <c r="AO12" s="103"/>
      <c r="AP12" s="103"/>
      <c r="AQ12" s="103"/>
      <c r="AR12" s="103"/>
      <c r="AS12" s="103"/>
      <c r="AT12" s="105"/>
      <c r="AU12" s="67" t="s">
        <v>64</v>
      </c>
      <c r="AV12" s="68"/>
      <c r="AW12" s="68"/>
      <c r="AX12" s="68"/>
      <c r="AY12" s="68"/>
      <c r="AZ12" s="68"/>
      <c r="BA12" s="68"/>
      <c r="BB12" s="68"/>
      <c r="BC12" s="68"/>
      <c r="BD12" s="68"/>
      <c r="BE12" s="68"/>
      <c r="BF12" s="68"/>
      <c r="BG12" s="68"/>
      <c r="BH12" s="68"/>
      <c r="BI12" s="69"/>
      <c r="BJ12" s="103" t="s">
        <v>61</v>
      </c>
      <c r="BK12" s="103"/>
      <c r="BL12" s="103"/>
      <c r="BM12" s="103"/>
      <c r="BN12" s="103"/>
      <c r="BO12" s="103"/>
      <c r="BP12" s="103"/>
      <c r="BQ12" s="103"/>
      <c r="BR12" s="103"/>
      <c r="BS12" s="103"/>
      <c r="BT12" s="103"/>
      <c r="BU12" s="103"/>
      <c r="BV12" s="103"/>
      <c r="BW12" s="103"/>
      <c r="BX12" s="105"/>
      <c r="BY12" s="103" t="s">
        <v>62</v>
      </c>
      <c r="BZ12" s="103"/>
      <c r="CA12" s="103"/>
      <c r="CB12" s="103"/>
      <c r="CC12" s="103"/>
      <c r="CD12" s="103"/>
      <c r="CE12" s="103"/>
      <c r="CF12" s="103"/>
      <c r="CG12" s="103"/>
      <c r="CH12" s="103"/>
      <c r="CI12" s="103"/>
      <c r="CJ12" s="103"/>
      <c r="CK12" s="103"/>
      <c r="CL12" s="103"/>
      <c r="CM12" s="105"/>
      <c r="CN12" s="103" t="s">
        <v>63</v>
      </c>
      <c r="CO12" s="103"/>
      <c r="CP12" s="103"/>
      <c r="CQ12" s="103"/>
      <c r="CR12" s="103"/>
      <c r="CS12" s="103"/>
      <c r="CT12" s="103"/>
      <c r="CU12" s="103"/>
      <c r="CV12" s="103"/>
      <c r="CW12" s="103"/>
      <c r="CX12" s="103"/>
      <c r="CY12" s="103"/>
      <c r="CZ12" s="103"/>
      <c r="DA12" s="103"/>
      <c r="DB12" s="105"/>
      <c r="DC12" s="102"/>
      <c r="DD12" s="103"/>
      <c r="DE12" s="103"/>
      <c r="DF12" s="103"/>
      <c r="DG12" s="103"/>
      <c r="DH12" s="103"/>
      <c r="DI12" s="103"/>
      <c r="DJ12" s="103"/>
      <c r="DK12" s="104"/>
    </row>
    <row r="13" spans="1:115" ht="63" customHeight="1" x14ac:dyDescent="0.25">
      <c r="A13" s="32"/>
      <c r="B13" s="80" t="s">
        <v>35</v>
      </c>
      <c r="C13" s="80"/>
      <c r="D13" s="81"/>
      <c r="E13" s="82" t="s">
        <v>36</v>
      </c>
      <c r="F13" s="80"/>
      <c r="G13" s="81"/>
      <c r="H13" s="82" t="s">
        <v>37</v>
      </c>
      <c r="I13" s="80"/>
      <c r="J13" s="81"/>
      <c r="K13" s="80" t="s">
        <v>38</v>
      </c>
      <c r="L13" s="80"/>
      <c r="M13" s="81"/>
      <c r="N13" s="82" t="s">
        <v>39</v>
      </c>
      <c r="O13" s="80"/>
      <c r="P13" s="81"/>
      <c r="Q13" s="80" t="s">
        <v>35</v>
      </c>
      <c r="R13" s="80"/>
      <c r="S13" s="81"/>
      <c r="T13" s="82" t="s">
        <v>36</v>
      </c>
      <c r="U13" s="80"/>
      <c r="V13" s="81"/>
      <c r="W13" s="82" t="s">
        <v>37</v>
      </c>
      <c r="X13" s="80"/>
      <c r="Y13" s="81"/>
      <c r="Z13" s="80" t="s">
        <v>38</v>
      </c>
      <c r="AA13" s="80"/>
      <c r="AB13" s="81"/>
      <c r="AC13" s="82" t="s">
        <v>39</v>
      </c>
      <c r="AD13" s="80"/>
      <c r="AE13" s="81"/>
      <c r="AF13" s="80" t="s">
        <v>35</v>
      </c>
      <c r="AG13" s="80"/>
      <c r="AH13" s="81"/>
      <c r="AI13" s="82" t="s">
        <v>36</v>
      </c>
      <c r="AJ13" s="80"/>
      <c r="AK13" s="81"/>
      <c r="AL13" s="82" t="s">
        <v>37</v>
      </c>
      <c r="AM13" s="80"/>
      <c r="AN13" s="81"/>
      <c r="AO13" s="80" t="s">
        <v>38</v>
      </c>
      <c r="AP13" s="80"/>
      <c r="AQ13" s="81"/>
      <c r="AR13" s="82" t="s">
        <v>39</v>
      </c>
      <c r="AS13" s="80"/>
      <c r="AT13" s="81"/>
      <c r="AU13" s="82" t="s">
        <v>35</v>
      </c>
      <c r="AV13" s="80"/>
      <c r="AW13" s="81"/>
      <c r="AX13" s="82" t="s">
        <v>36</v>
      </c>
      <c r="AY13" s="80"/>
      <c r="AZ13" s="81"/>
      <c r="BA13" s="82" t="s">
        <v>37</v>
      </c>
      <c r="BB13" s="80"/>
      <c r="BC13" s="81"/>
      <c r="BD13" s="80" t="s">
        <v>38</v>
      </c>
      <c r="BE13" s="80"/>
      <c r="BF13" s="81"/>
      <c r="BG13" s="82" t="s">
        <v>39</v>
      </c>
      <c r="BH13" s="80"/>
      <c r="BI13" s="81"/>
      <c r="BJ13" s="80" t="s">
        <v>35</v>
      </c>
      <c r="BK13" s="80"/>
      <c r="BL13" s="81"/>
      <c r="BM13" s="82" t="s">
        <v>36</v>
      </c>
      <c r="BN13" s="80"/>
      <c r="BO13" s="81"/>
      <c r="BP13" s="82" t="s">
        <v>37</v>
      </c>
      <c r="BQ13" s="80"/>
      <c r="BR13" s="81"/>
      <c r="BS13" s="80" t="s">
        <v>38</v>
      </c>
      <c r="BT13" s="80"/>
      <c r="BU13" s="81"/>
      <c r="BV13" s="82" t="s">
        <v>39</v>
      </c>
      <c r="BW13" s="80"/>
      <c r="BX13" s="81"/>
      <c r="BY13" s="80" t="s">
        <v>35</v>
      </c>
      <c r="BZ13" s="80"/>
      <c r="CA13" s="81"/>
      <c r="CB13" s="82" t="s">
        <v>36</v>
      </c>
      <c r="CC13" s="80"/>
      <c r="CD13" s="81"/>
      <c r="CE13" s="82" t="s">
        <v>37</v>
      </c>
      <c r="CF13" s="80"/>
      <c r="CG13" s="81"/>
      <c r="CH13" s="80" t="s">
        <v>38</v>
      </c>
      <c r="CI13" s="80"/>
      <c r="CJ13" s="81"/>
      <c r="CK13" s="82" t="s">
        <v>39</v>
      </c>
      <c r="CL13" s="80"/>
      <c r="CM13" s="81"/>
      <c r="CN13" s="80" t="s">
        <v>35</v>
      </c>
      <c r="CO13" s="80"/>
      <c r="CP13" s="81"/>
      <c r="CQ13" s="82" t="s">
        <v>36</v>
      </c>
      <c r="CR13" s="80"/>
      <c r="CS13" s="81"/>
      <c r="CT13" s="82" t="s">
        <v>37</v>
      </c>
      <c r="CU13" s="80"/>
      <c r="CV13" s="81"/>
      <c r="CW13" s="80" t="s">
        <v>38</v>
      </c>
      <c r="CX13" s="80"/>
      <c r="CY13" s="81"/>
      <c r="CZ13" s="82" t="s">
        <v>39</v>
      </c>
      <c r="DA13" s="80"/>
      <c r="DB13" s="81"/>
      <c r="DC13" s="80" t="s">
        <v>100</v>
      </c>
      <c r="DD13" s="80"/>
      <c r="DE13" s="81"/>
      <c r="DF13" s="80" t="s">
        <v>101</v>
      </c>
      <c r="DG13" s="80"/>
      <c r="DH13" s="81"/>
      <c r="DI13" s="82" t="s">
        <v>102</v>
      </c>
      <c r="DJ13" s="80"/>
      <c r="DK13" s="84"/>
    </row>
    <row r="14" spans="1:115" x14ac:dyDescent="0.25">
      <c r="A14" s="10"/>
      <c r="B14" s="11" t="s">
        <v>0</v>
      </c>
      <c r="C14" s="12" t="s">
        <v>1</v>
      </c>
      <c r="D14" s="12" t="s">
        <v>2</v>
      </c>
      <c r="E14" s="11" t="s">
        <v>0</v>
      </c>
      <c r="F14" s="12" t="s">
        <v>1</v>
      </c>
      <c r="G14" s="12" t="s">
        <v>2</v>
      </c>
      <c r="H14" s="11" t="s">
        <v>0</v>
      </c>
      <c r="I14" s="12" t="s">
        <v>1</v>
      </c>
      <c r="J14" s="12" t="s">
        <v>2</v>
      </c>
      <c r="K14" s="11" t="s">
        <v>0</v>
      </c>
      <c r="L14" s="12" t="s">
        <v>1</v>
      </c>
      <c r="M14" s="12" t="s">
        <v>2</v>
      </c>
      <c r="N14" s="11" t="s">
        <v>3</v>
      </c>
      <c r="O14" s="12" t="s">
        <v>1</v>
      </c>
      <c r="P14" s="12" t="s">
        <v>2</v>
      </c>
      <c r="Q14" s="11" t="s">
        <v>0</v>
      </c>
      <c r="R14" s="12" t="s">
        <v>1</v>
      </c>
      <c r="S14" s="12" t="s">
        <v>2</v>
      </c>
      <c r="T14" s="11" t="s">
        <v>0</v>
      </c>
      <c r="U14" s="12" t="s">
        <v>1</v>
      </c>
      <c r="V14" s="12" t="s">
        <v>2</v>
      </c>
      <c r="W14" s="11" t="s">
        <v>0</v>
      </c>
      <c r="X14" s="12" t="s">
        <v>1</v>
      </c>
      <c r="Y14" s="12" t="s">
        <v>2</v>
      </c>
      <c r="Z14" s="11" t="s">
        <v>0</v>
      </c>
      <c r="AA14" s="12" t="s">
        <v>1</v>
      </c>
      <c r="AB14" s="12" t="s">
        <v>2</v>
      </c>
      <c r="AC14" s="11" t="s">
        <v>3</v>
      </c>
      <c r="AD14" s="12" t="s">
        <v>1</v>
      </c>
      <c r="AE14" s="12" t="s">
        <v>2</v>
      </c>
      <c r="AF14" s="11" t="s">
        <v>0</v>
      </c>
      <c r="AG14" s="12" t="s">
        <v>1</v>
      </c>
      <c r="AH14" s="12" t="s">
        <v>2</v>
      </c>
      <c r="AI14" s="11" t="s">
        <v>0</v>
      </c>
      <c r="AJ14" s="12" t="s">
        <v>1</v>
      </c>
      <c r="AK14" s="12" t="s">
        <v>2</v>
      </c>
      <c r="AL14" s="11" t="s">
        <v>0</v>
      </c>
      <c r="AM14" s="12" t="s">
        <v>1</v>
      </c>
      <c r="AN14" s="12" t="s">
        <v>2</v>
      </c>
      <c r="AO14" s="11" t="s">
        <v>0</v>
      </c>
      <c r="AP14" s="12" t="s">
        <v>1</v>
      </c>
      <c r="AQ14" s="12" t="s">
        <v>2</v>
      </c>
      <c r="AR14" s="11" t="s">
        <v>3</v>
      </c>
      <c r="AS14" s="12" t="s">
        <v>1</v>
      </c>
      <c r="AT14" s="12" t="s">
        <v>2</v>
      </c>
      <c r="AU14" s="11" t="s">
        <v>0</v>
      </c>
      <c r="AV14" s="12" t="s">
        <v>1</v>
      </c>
      <c r="AW14" s="12" t="s">
        <v>2</v>
      </c>
      <c r="AX14" s="11" t="s">
        <v>0</v>
      </c>
      <c r="AY14" s="12" t="s">
        <v>1</v>
      </c>
      <c r="AZ14" s="12" t="s">
        <v>2</v>
      </c>
      <c r="BA14" s="11" t="s">
        <v>0</v>
      </c>
      <c r="BB14" s="12" t="s">
        <v>1</v>
      </c>
      <c r="BC14" s="12" t="s">
        <v>2</v>
      </c>
      <c r="BD14" s="11" t="s">
        <v>0</v>
      </c>
      <c r="BE14" s="12" t="s">
        <v>1</v>
      </c>
      <c r="BF14" s="12" t="s">
        <v>2</v>
      </c>
      <c r="BG14" s="11" t="s">
        <v>3</v>
      </c>
      <c r="BH14" s="12" t="s">
        <v>1</v>
      </c>
      <c r="BI14" s="12" t="s">
        <v>2</v>
      </c>
      <c r="BJ14" s="11" t="s">
        <v>0</v>
      </c>
      <c r="BK14" s="12" t="s">
        <v>1</v>
      </c>
      <c r="BL14" s="12" t="s">
        <v>2</v>
      </c>
      <c r="BM14" s="11" t="s">
        <v>0</v>
      </c>
      <c r="BN14" s="12" t="s">
        <v>1</v>
      </c>
      <c r="BO14" s="12" t="s">
        <v>2</v>
      </c>
      <c r="BP14" s="11" t="s">
        <v>0</v>
      </c>
      <c r="BQ14" s="12" t="s">
        <v>1</v>
      </c>
      <c r="BR14" s="12" t="s">
        <v>2</v>
      </c>
      <c r="BS14" s="11" t="s">
        <v>0</v>
      </c>
      <c r="BT14" s="12" t="s">
        <v>1</v>
      </c>
      <c r="BU14" s="12" t="s">
        <v>2</v>
      </c>
      <c r="BV14" s="11" t="s">
        <v>3</v>
      </c>
      <c r="BW14" s="12" t="s">
        <v>1</v>
      </c>
      <c r="BX14" s="12" t="s">
        <v>2</v>
      </c>
      <c r="BY14" s="11" t="s">
        <v>0</v>
      </c>
      <c r="BZ14" s="12" t="s">
        <v>1</v>
      </c>
      <c r="CA14" s="12" t="s">
        <v>2</v>
      </c>
      <c r="CB14" s="11" t="s">
        <v>0</v>
      </c>
      <c r="CC14" s="12" t="s">
        <v>1</v>
      </c>
      <c r="CD14" s="12" t="s">
        <v>2</v>
      </c>
      <c r="CE14" s="11" t="s">
        <v>0</v>
      </c>
      <c r="CF14" s="12" t="s">
        <v>1</v>
      </c>
      <c r="CG14" s="12" t="s">
        <v>2</v>
      </c>
      <c r="CH14" s="11" t="s">
        <v>0</v>
      </c>
      <c r="CI14" s="12" t="s">
        <v>1</v>
      </c>
      <c r="CJ14" s="12" t="s">
        <v>2</v>
      </c>
      <c r="CK14" s="11" t="s">
        <v>3</v>
      </c>
      <c r="CL14" s="12" t="s">
        <v>1</v>
      </c>
      <c r="CM14" s="12" t="s">
        <v>2</v>
      </c>
      <c r="CN14" s="11" t="s">
        <v>0</v>
      </c>
      <c r="CO14" s="12" t="s">
        <v>1</v>
      </c>
      <c r="CP14" s="12" t="s">
        <v>2</v>
      </c>
      <c r="CQ14" s="11" t="s">
        <v>0</v>
      </c>
      <c r="CR14" s="12" t="s">
        <v>1</v>
      </c>
      <c r="CS14" s="12" t="s">
        <v>2</v>
      </c>
      <c r="CT14" s="11" t="s">
        <v>0</v>
      </c>
      <c r="CU14" s="12" t="s">
        <v>1</v>
      </c>
      <c r="CV14" s="12" t="s">
        <v>2</v>
      </c>
      <c r="CW14" s="11" t="s">
        <v>0</v>
      </c>
      <c r="CX14" s="12" t="s">
        <v>1</v>
      </c>
      <c r="CY14" s="12" t="s">
        <v>2</v>
      </c>
      <c r="CZ14" s="11" t="s">
        <v>3</v>
      </c>
      <c r="DA14" s="12" t="s">
        <v>1</v>
      </c>
      <c r="DB14" s="12" t="s">
        <v>2</v>
      </c>
      <c r="DC14" s="11" t="s">
        <v>0</v>
      </c>
      <c r="DD14" s="12" t="s">
        <v>1</v>
      </c>
      <c r="DE14" s="12" t="s">
        <v>2</v>
      </c>
      <c r="DF14" s="11" t="s">
        <v>0</v>
      </c>
      <c r="DG14" s="12" t="s">
        <v>1</v>
      </c>
      <c r="DH14" s="12" t="s">
        <v>2</v>
      </c>
      <c r="DI14" s="11" t="s">
        <v>3</v>
      </c>
      <c r="DJ14" s="12" t="s">
        <v>1</v>
      </c>
      <c r="DK14" s="34" t="s">
        <v>2</v>
      </c>
    </row>
    <row r="15" spans="1:115" ht="13.5" customHeight="1" x14ac:dyDescent="0.25">
      <c r="A15" s="51" t="s">
        <v>210</v>
      </c>
      <c r="B15" s="55"/>
      <c r="C15" s="54"/>
      <c r="D15" s="54"/>
      <c r="E15" s="55"/>
      <c r="F15" s="54"/>
      <c r="G15" s="54"/>
      <c r="H15" s="55"/>
      <c r="I15" s="54"/>
      <c r="J15" s="54"/>
      <c r="K15" s="55"/>
      <c r="L15" s="54"/>
      <c r="M15" s="54"/>
      <c r="N15" s="55"/>
      <c r="O15" s="54"/>
      <c r="P15" s="54"/>
      <c r="Q15" s="55"/>
      <c r="R15" s="54"/>
      <c r="S15" s="54"/>
      <c r="T15" s="55"/>
      <c r="U15" s="54"/>
      <c r="V15" s="54"/>
      <c r="W15" s="55"/>
      <c r="X15" s="54"/>
      <c r="Y15" s="54"/>
      <c r="Z15" s="55"/>
      <c r="AA15" s="54"/>
      <c r="AB15" s="54"/>
      <c r="AC15" s="55"/>
      <c r="AD15" s="54"/>
      <c r="AE15" s="54"/>
      <c r="AF15" s="55"/>
      <c r="AG15" s="54"/>
      <c r="AH15" s="54"/>
      <c r="AI15" s="55"/>
      <c r="AJ15" s="54"/>
      <c r="AK15" s="54"/>
      <c r="AL15" s="55"/>
      <c r="AM15" s="54"/>
      <c r="AN15" s="54"/>
      <c r="AO15" s="55"/>
      <c r="AP15" s="54"/>
      <c r="AQ15" s="54"/>
      <c r="AR15" s="55"/>
      <c r="AS15" s="54"/>
      <c r="AT15" s="54"/>
      <c r="AU15" s="55"/>
      <c r="AV15" s="54"/>
      <c r="AW15" s="54"/>
      <c r="AX15" s="55"/>
      <c r="AY15" s="54"/>
      <c r="AZ15" s="54"/>
      <c r="BA15" s="55"/>
      <c r="BB15" s="54"/>
      <c r="BC15" s="54"/>
      <c r="BD15" s="55"/>
      <c r="BE15" s="54"/>
      <c r="BF15" s="54"/>
      <c r="BG15" s="55"/>
      <c r="BH15" s="54"/>
      <c r="BI15" s="54"/>
      <c r="BJ15" s="55"/>
      <c r="BK15" s="54"/>
      <c r="BL15" s="54"/>
      <c r="BM15" s="55"/>
      <c r="BN15" s="54"/>
      <c r="BO15" s="54"/>
      <c r="BP15" s="55"/>
      <c r="BQ15" s="54"/>
      <c r="BR15" s="54"/>
      <c r="BS15" s="55"/>
      <c r="BT15" s="54"/>
      <c r="BU15" s="54"/>
      <c r="BV15" s="55"/>
      <c r="BW15" s="54"/>
      <c r="BX15" s="54"/>
      <c r="BY15" s="55"/>
      <c r="BZ15" s="54"/>
      <c r="CA15" s="54"/>
      <c r="CB15" s="55"/>
      <c r="CC15" s="54"/>
      <c r="CD15" s="54"/>
      <c r="CE15" s="55"/>
      <c r="CF15" s="54"/>
      <c r="CG15" s="54"/>
      <c r="CH15" s="55"/>
      <c r="CI15" s="54"/>
      <c r="CJ15" s="54"/>
      <c r="CK15" s="55"/>
      <c r="CL15" s="54"/>
      <c r="CM15" s="54"/>
      <c r="CN15" s="55"/>
      <c r="CO15" s="54"/>
      <c r="CP15" s="54"/>
      <c r="CQ15" s="55"/>
      <c r="CR15" s="54"/>
      <c r="CS15" s="54"/>
      <c r="CT15" s="55"/>
      <c r="CU15" s="54"/>
      <c r="CV15" s="54"/>
      <c r="CW15" s="55"/>
      <c r="CX15" s="54"/>
      <c r="CY15" s="54"/>
      <c r="CZ15" s="55"/>
      <c r="DA15" s="54"/>
      <c r="DB15" s="54"/>
      <c r="DC15" s="55"/>
      <c r="DD15" s="54"/>
      <c r="DE15" s="54"/>
      <c r="DF15" s="55"/>
      <c r="DG15" s="54"/>
      <c r="DH15" s="54"/>
      <c r="DI15" s="55"/>
      <c r="DJ15" s="54"/>
      <c r="DK15" s="56"/>
    </row>
    <row r="16" spans="1:115" x14ac:dyDescent="0.25">
      <c r="A16" s="15" t="s">
        <v>130</v>
      </c>
      <c r="B16" s="36">
        <v>26.216689792914305</v>
      </c>
      <c r="C16" s="37">
        <v>2.1163438394979344</v>
      </c>
      <c r="D16" s="38" t="s">
        <v>53</v>
      </c>
      <c r="E16" s="36">
        <v>28.945920317874879</v>
      </c>
      <c r="F16" s="37">
        <v>2.1546366893896818</v>
      </c>
      <c r="G16" s="38" t="s">
        <v>53</v>
      </c>
      <c r="H16" s="36">
        <v>31.590874333735787</v>
      </c>
      <c r="I16" s="37">
        <v>2.6774403471952066</v>
      </c>
      <c r="J16" s="38" t="s">
        <v>53</v>
      </c>
      <c r="K16" s="36">
        <v>34.356696965250485</v>
      </c>
      <c r="L16" s="37">
        <v>2.4299883116528411</v>
      </c>
      <c r="M16" s="38" t="s">
        <v>53</v>
      </c>
      <c r="N16" s="36">
        <v>8.1400071723361798</v>
      </c>
      <c r="O16" s="37">
        <v>3.0582186052839044</v>
      </c>
      <c r="P16" s="38" t="s">
        <v>53</v>
      </c>
      <c r="Q16" s="36">
        <v>26.915766453761208</v>
      </c>
      <c r="R16" s="37">
        <v>2.4498187211723024</v>
      </c>
      <c r="S16" s="38" t="s">
        <v>53</v>
      </c>
      <c r="T16" s="36">
        <v>28.426983340340449</v>
      </c>
      <c r="U16" s="37">
        <v>2.3279250565443403</v>
      </c>
      <c r="V16" s="38" t="s">
        <v>53</v>
      </c>
      <c r="W16" s="36">
        <v>30.140157426157387</v>
      </c>
      <c r="X16" s="37">
        <v>2.1020332918327971</v>
      </c>
      <c r="Y16" s="38" t="s">
        <v>53</v>
      </c>
      <c r="Z16" s="36">
        <v>31.301932061404454</v>
      </c>
      <c r="AA16" s="37">
        <v>2.0461390539323618</v>
      </c>
      <c r="AB16" s="38" t="s">
        <v>53</v>
      </c>
      <c r="AC16" s="36">
        <v>4.3861656076432496</v>
      </c>
      <c r="AD16" s="37">
        <v>3.0522357074234492</v>
      </c>
      <c r="AE16" s="38" t="s">
        <v>53</v>
      </c>
      <c r="AF16" s="36">
        <v>24.356485697508262</v>
      </c>
      <c r="AG16" s="37">
        <v>2.551713364089629</v>
      </c>
      <c r="AH16" s="38" t="s">
        <v>53</v>
      </c>
      <c r="AI16" s="36">
        <v>26.246280781080984</v>
      </c>
      <c r="AJ16" s="37">
        <v>2.3283426320650351</v>
      </c>
      <c r="AK16" s="38" t="s">
        <v>53</v>
      </c>
      <c r="AL16" s="36">
        <v>28.00077834303681</v>
      </c>
      <c r="AM16" s="37">
        <v>2.1237834597925964</v>
      </c>
      <c r="AN16" s="38" t="s">
        <v>53</v>
      </c>
      <c r="AO16" s="36">
        <v>37.370501925213468</v>
      </c>
      <c r="AP16" s="37">
        <v>2.2079198880753368</v>
      </c>
      <c r="AQ16" s="38" t="s">
        <v>53</v>
      </c>
      <c r="AR16" s="36">
        <v>13.014016227705207</v>
      </c>
      <c r="AS16" s="37">
        <v>3.2509769870331757</v>
      </c>
      <c r="AT16" s="38" t="s">
        <v>53</v>
      </c>
      <c r="AU16" s="36">
        <v>31.401316185910115</v>
      </c>
      <c r="AV16" s="37">
        <v>2.2679376456463087</v>
      </c>
      <c r="AW16" s="38" t="s">
        <v>53</v>
      </c>
      <c r="AX16" s="36">
        <v>25.82157339157542</v>
      </c>
      <c r="AY16" s="37">
        <v>2.0519285865388035</v>
      </c>
      <c r="AZ16" s="38" t="s">
        <v>53</v>
      </c>
      <c r="BA16" s="36">
        <v>29.134395934933938</v>
      </c>
      <c r="BB16" s="37">
        <v>2.2103150019709012</v>
      </c>
      <c r="BC16" s="38" t="s">
        <v>53</v>
      </c>
      <c r="BD16" s="36">
        <v>31.726250749267031</v>
      </c>
      <c r="BE16" s="37">
        <v>2.3657218266899349</v>
      </c>
      <c r="BF16" s="38" t="s">
        <v>53</v>
      </c>
      <c r="BG16" s="36">
        <v>0.32493456335690957</v>
      </c>
      <c r="BH16" s="37">
        <v>3.0757407556859602</v>
      </c>
      <c r="BI16" s="38" t="s">
        <v>53</v>
      </c>
      <c r="BJ16" s="36">
        <v>19.604438542163944</v>
      </c>
      <c r="BK16" s="37">
        <v>2.22944655059593</v>
      </c>
      <c r="BL16" s="38" t="s">
        <v>53</v>
      </c>
      <c r="BM16" s="36">
        <v>27.628262997536783</v>
      </c>
      <c r="BN16" s="37">
        <v>2.3253281691364882</v>
      </c>
      <c r="BO16" s="38" t="s">
        <v>53</v>
      </c>
      <c r="BP16" s="36">
        <v>29.673799066140226</v>
      </c>
      <c r="BQ16" s="37">
        <v>1.9065385945256041</v>
      </c>
      <c r="BR16" s="38" t="s">
        <v>53</v>
      </c>
      <c r="BS16" s="36">
        <v>36.497055988783849</v>
      </c>
      <c r="BT16" s="37">
        <v>2.2711806044472511</v>
      </c>
      <c r="BU16" s="38" t="s">
        <v>53</v>
      </c>
      <c r="BV16" s="36">
        <v>16.892617446619909</v>
      </c>
      <c r="BW16" s="37">
        <v>3.1742966133900796</v>
      </c>
      <c r="BX16" s="38" t="s">
        <v>53</v>
      </c>
      <c r="BY16" s="36">
        <v>24.407145959246748</v>
      </c>
      <c r="BZ16" s="37">
        <v>2.2605428463362194</v>
      </c>
      <c r="CA16" s="38" t="s">
        <v>53</v>
      </c>
      <c r="CB16" s="36">
        <v>30.228697391402481</v>
      </c>
      <c r="CC16" s="37">
        <v>2.1982835282312525</v>
      </c>
      <c r="CD16" s="38" t="s">
        <v>53</v>
      </c>
      <c r="CE16" s="36">
        <v>31.29561819671353</v>
      </c>
      <c r="CF16" s="37">
        <v>2.5319226224268965</v>
      </c>
      <c r="CG16" s="38" t="s">
        <v>53</v>
      </c>
      <c r="CH16" s="36">
        <v>35.60235685551779</v>
      </c>
      <c r="CI16" s="37">
        <v>2.4036485026447676</v>
      </c>
      <c r="CJ16" s="38" t="s">
        <v>53</v>
      </c>
      <c r="CK16" s="36">
        <v>11.195210896271041</v>
      </c>
      <c r="CL16" s="37">
        <v>2.8503258992948166</v>
      </c>
      <c r="CM16" s="38" t="s">
        <v>53</v>
      </c>
      <c r="CN16" s="36">
        <v>25.353084548230658</v>
      </c>
      <c r="CO16" s="37">
        <v>1.9736710438806468</v>
      </c>
      <c r="CP16" s="38" t="s">
        <v>53</v>
      </c>
      <c r="CQ16" s="36">
        <v>33.310875178434515</v>
      </c>
      <c r="CR16" s="37">
        <v>2.153770942149706</v>
      </c>
      <c r="CS16" s="38" t="s">
        <v>53</v>
      </c>
      <c r="CT16" s="36">
        <v>27.784600574481509</v>
      </c>
      <c r="CU16" s="37">
        <v>2.6750545803408405</v>
      </c>
      <c r="CV16" s="38" t="s">
        <v>53</v>
      </c>
      <c r="CW16" s="36">
        <v>34.219769720494959</v>
      </c>
      <c r="CX16" s="37">
        <v>2.7205439347391058</v>
      </c>
      <c r="CY16" s="38" t="s">
        <v>53</v>
      </c>
      <c r="CZ16" s="36">
        <v>8.8666851722642903</v>
      </c>
      <c r="DA16" s="37">
        <v>3.0909879449754976</v>
      </c>
      <c r="DB16" s="38" t="s">
        <v>53</v>
      </c>
      <c r="DC16" s="36">
        <v>15.317662000573277</v>
      </c>
      <c r="DD16" s="37">
        <v>1.6658181861607273</v>
      </c>
      <c r="DE16" s="38" t="s">
        <v>53</v>
      </c>
      <c r="DF16" s="36">
        <v>35.770562378484641</v>
      </c>
      <c r="DG16" s="37">
        <v>1.6628070803102948</v>
      </c>
      <c r="DH16" s="38" t="s">
        <v>53</v>
      </c>
      <c r="DI16" s="36">
        <v>20.452900377911369</v>
      </c>
      <c r="DJ16" s="37">
        <v>2.0426908281969891</v>
      </c>
      <c r="DK16" s="39" t="s">
        <v>53</v>
      </c>
    </row>
    <row r="17" spans="1:115" x14ac:dyDescent="0.25">
      <c r="A17" s="15" t="s">
        <v>131</v>
      </c>
      <c r="B17" s="36">
        <v>10.904822115334021</v>
      </c>
      <c r="C17" s="37">
        <v>2.4289825991989935</v>
      </c>
      <c r="D17" s="38" t="s">
        <v>53</v>
      </c>
      <c r="E17" s="36">
        <v>13.249445921948389</v>
      </c>
      <c r="F17" s="37">
        <v>2.6994098728172085</v>
      </c>
      <c r="G17" s="38" t="s">
        <v>53</v>
      </c>
      <c r="H17" s="36">
        <v>15.338801281576449</v>
      </c>
      <c r="I17" s="37">
        <v>2.5685093017690925</v>
      </c>
      <c r="J17" s="38" t="s">
        <v>53</v>
      </c>
      <c r="K17" s="36">
        <v>11.299119129938987</v>
      </c>
      <c r="L17" s="37">
        <v>2.5601340806510207</v>
      </c>
      <c r="M17" s="38" t="s">
        <v>53</v>
      </c>
      <c r="N17" s="36">
        <v>0.39429701460496502</v>
      </c>
      <c r="O17" s="37">
        <v>3.0807502724724709</v>
      </c>
      <c r="P17" s="38" t="s">
        <v>53</v>
      </c>
      <c r="Q17" s="36">
        <v>13.604876968319365</v>
      </c>
      <c r="R17" s="37">
        <v>2.8888032485550132</v>
      </c>
      <c r="S17" s="38" t="s">
        <v>53</v>
      </c>
      <c r="T17" s="36">
        <v>14.617286930768453</v>
      </c>
      <c r="U17" s="37">
        <v>2.6355528096674488</v>
      </c>
      <c r="V17" s="38" t="s">
        <v>53</v>
      </c>
      <c r="W17" s="36">
        <v>11.669965947990777</v>
      </c>
      <c r="X17" s="37">
        <v>2.1780335172684597</v>
      </c>
      <c r="Y17" s="38" t="s">
        <v>53</v>
      </c>
      <c r="Z17" s="36">
        <v>7.6646011260349143</v>
      </c>
      <c r="AA17" s="37">
        <v>1.6572508743108041</v>
      </c>
      <c r="AB17" s="38" t="s">
        <v>53</v>
      </c>
      <c r="AC17" s="36">
        <v>-5.9402758422844553</v>
      </c>
      <c r="AD17" s="37">
        <v>3.3540167085534671</v>
      </c>
      <c r="AE17" s="38" t="s">
        <v>53</v>
      </c>
      <c r="AF17" s="36">
        <v>11.59026252367139</v>
      </c>
      <c r="AG17" s="37">
        <v>2.7974670966587549</v>
      </c>
      <c r="AH17" s="38" t="s">
        <v>53</v>
      </c>
      <c r="AI17" s="36">
        <v>13.955323004203462</v>
      </c>
      <c r="AJ17" s="37">
        <v>2.4958691004765026</v>
      </c>
      <c r="AK17" s="38" t="s">
        <v>53</v>
      </c>
      <c r="AL17" s="36">
        <v>9.9329717295311202</v>
      </c>
      <c r="AM17" s="37">
        <v>2.0512025191506371</v>
      </c>
      <c r="AN17" s="38" t="s">
        <v>53</v>
      </c>
      <c r="AO17" s="36">
        <v>12.439065579297402</v>
      </c>
      <c r="AP17" s="37">
        <v>2.5074627654060717</v>
      </c>
      <c r="AQ17" s="38" t="s">
        <v>53</v>
      </c>
      <c r="AR17" s="36">
        <v>0.84880305562600988</v>
      </c>
      <c r="AS17" s="37">
        <v>3.7435355126201788</v>
      </c>
      <c r="AT17" s="38" t="s">
        <v>53</v>
      </c>
      <c r="AU17" s="36">
        <v>10.280440839097141</v>
      </c>
      <c r="AV17" s="37">
        <v>2.3454800912848679</v>
      </c>
      <c r="AW17" s="38" t="s">
        <v>53</v>
      </c>
      <c r="AX17" s="36">
        <v>12.607039495503654</v>
      </c>
      <c r="AY17" s="37">
        <v>2.3865607054530606</v>
      </c>
      <c r="AZ17" s="38" t="s">
        <v>53</v>
      </c>
      <c r="BA17" s="36">
        <v>13.030831577119232</v>
      </c>
      <c r="BB17" s="37">
        <v>2.2925599170076838</v>
      </c>
      <c r="BC17" s="38" t="s">
        <v>53</v>
      </c>
      <c r="BD17" s="36">
        <v>12.270817693495927</v>
      </c>
      <c r="BE17" s="37">
        <v>2.1427708665211047</v>
      </c>
      <c r="BF17" s="38" t="s">
        <v>53</v>
      </c>
      <c r="BG17" s="36">
        <v>1.9903768543987843</v>
      </c>
      <c r="BH17" s="37">
        <v>3.0546280669661021</v>
      </c>
      <c r="BI17" s="38" t="s">
        <v>53</v>
      </c>
      <c r="BJ17" s="36">
        <v>8.4800696016217145</v>
      </c>
      <c r="BK17" s="37">
        <v>2.1021168511877786</v>
      </c>
      <c r="BL17" s="38" t="s">
        <v>53</v>
      </c>
      <c r="BM17" s="36">
        <v>11.095488447721047</v>
      </c>
      <c r="BN17" s="37">
        <v>2.0853205769278271</v>
      </c>
      <c r="BO17" s="38" t="s">
        <v>53</v>
      </c>
      <c r="BP17" s="36">
        <v>14.793250254733003</v>
      </c>
      <c r="BQ17" s="37">
        <v>2.4015590959574329</v>
      </c>
      <c r="BR17" s="38" t="s">
        <v>53</v>
      </c>
      <c r="BS17" s="36">
        <v>12.405578761857461</v>
      </c>
      <c r="BT17" s="37">
        <v>2.6032970633175205</v>
      </c>
      <c r="BU17" s="38" t="s">
        <v>53</v>
      </c>
      <c r="BV17" s="36">
        <v>3.9255091602357477</v>
      </c>
      <c r="BW17" s="37">
        <v>3.1467600353305905</v>
      </c>
      <c r="BX17" s="38" t="s">
        <v>53</v>
      </c>
      <c r="BY17" s="36">
        <v>11.058135209447949</v>
      </c>
      <c r="BZ17" s="37">
        <v>2.5184747723323051</v>
      </c>
      <c r="CA17" s="38" t="s">
        <v>53</v>
      </c>
      <c r="CB17" s="36">
        <v>11.705445488345717</v>
      </c>
      <c r="CC17" s="37">
        <v>2.5590953845972315</v>
      </c>
      <c r="CD17" s="38" t="s">
        <v>53</v>
      </c>
      <c r="CE17" s="36">
        <v>17.300840887522707</v>
      </c>
      <c r="CF17" s="37">
        <v>3.3600526527287782</v>
      </c>
      <c r="CG17" s="38" t="s">
        <v>53</v>
      </c>
      <c r="CH17" s="36">
        <v>11.984760574618612</v>
      </c>
      <c r="CI17" s="37">
        <v>2.4680673043382528</v>
      </c>
      <c r="CJ17" s="38" t="s">
        <v>53</v>
      </c>
      <c r="CK17" s="36">
        <v>0.9266253651706623</v>
      </c>
      <c r="CL17" s="37">
        <v>3.4390164246890058</v>
      </c>
      <c r="CM17" s="38" t="s">
        <v>53</v>
      </c>
      <c r="CN17" s="36">
        <v>18.715591325202123</v>
      </c>
      <c r="CO17" s="37">
        <v>3.3671488327999155</v>
      </c>
      <c r="CP17" s="38" t="s">
        <v>53</v>
      </c>
      <c r="CQ17" s="36">
        <v>10.960668327151929</v>
      </c>
      <c r="CR17" s="37">
        <v>2.6143809312938209</v>
      </c>
      <c r="CS17" s="38" t="s">
        <v>53</v>
      </c>
      <c r="CT17" s="36">
        <v>14.613960531930866</v>
      </c>
      <c r="CU17" s="37">
        <v>2.5668546393488145</v>
      </c>
      <c r="CV17" s="38" t="s">
        <v>53</v>
      </c>
      <c r="CW17" s="36">
        <v>9.3001988883280813</v>
      </c>
      <c r="CX17" s="37">
        <v>2.418326432395363</v>
      </c>
      <c r="CY17" s="38" t="s">
        <v>53</v>
      </c>
      <c r="CZ17" s="36">
        <v>-9.4153924368740398</v>
      </c>
      <c r="DA17" s="37">
        <v>4.2955430023809082</v>
      </c>
      <c r="DB17" s="38" t="s">
        <v>53</v>
      </c>
      <c r="DC17" s="36">
        <v>7.8631630169327549</v>
      </c>
      <c r="DD17" s="37">
        <v>1.4924285780580686</v>
      </c>
      <c r="DE17" s="38" t="s">
        <v>53</v>
      </c>
      <c r="DF17" s="36">
        <v>13.552725424390683</v>
      </c>
      <c r="DG17" s="37">
        <v>1.4750957330844501</v>
      </c>
      <c r="DH17" s="38" t="s">
        <v>53</v>
      </c>
      <c r="DI17" s="36">
        <v>5.6895624074579301</v>
      </c>
      <c r="DJ17" s="37">
        <v>1.6904091344771406</v>
      </c>
      <c r="DK17" s="39" t="s">
        <v>53</v>
      </c>
    </row>
    <row r="18" spans="1:115" ht="15.6" x14ac:dyDescent="0.25">
      <c r="A18" s="15" t="s">
        <v>216</v>
      </c>
      <c r="B18" s="36">
        <v>12.246321566736809</v>
      </c>
      <c r="C18" s="37">
        <v>2.1622560596488727</v>
      </c>
      <c r="D18" s="38" t="s">
        <v>53</v>
      </c>
      <c r="E18" s="36">
        <v>15.189688946131838</v>
      </c>
      <c r="F18" s="37">
        <v>2.746391398304469</v>
      </c>
      <c r="G18" s="38" t="s">
        <v>53</v>
      </c>
      <c r="H18" s="36">
        <v>14.187091552820954</v>
      </c>
      <c r="I18" s="37">
        <v>2.8835872603445232</v>
      </c>
      <c r="J18" s="38" t="s">
        <v>53</v>
      </c>
      <c r="K18" s="36">
        <v>12.429297037752052</v>
      </c>
      <c r="L18" s="37">
        <v>2.2828278505873043</v>
      </c>
      <c r="M18" s="38" t="s">
        <v>53</v>
      </c>
      <c r="N18" s="36">
        <v>0.18297547101524619</v>
      </c>
      <c r="O18" s="37">
        <v>2.9041791112583022</v>
      </c>
      <c r="P18" s="38" t="s">
        <v>53</v>
      </c>
      <c r="Q18" s="36">
        <v>16.380446881561706</v>
      </c>
      <c r="R18" s="37">
        <v>2.4939838185932932</v>
      </c>
      <c r="S18" s="38" t="s">
        <v>53</v>
      </c>
      <c r="T18" s="36">
        <v>12.044139629000245</v>
      </c>
      <c r="U18" s="37">
        <v>1.9909020047439865</v>
      </c>
      <c r="V18" s="38" t="s">
        <v>53</v>
      </c>
      <c r="W18" s="36">
        <v>11.555513585141371</v>
      </c>
      <c r="X18" s="37">
        <v>2.3776513205158016</v>
      </c>
      <c r="Y18" s="38" t="s">
        <v>53</v>
      </c>
      <c r="Z18" s="36">
        <v>9.471904886911787</v>
      </c>
      <c r="AA18" s="37">
        <v>1.9681849730849841</v>
      </c>
      <c r="AB18" s="38" t="s">
        <v>53</v>
      </c>
      <c r="AC18" s="36">
        <v>-6.9085419946499238</v>
      </c>
      <c r="AD18" s="37">
        <v>3.0169308387140985</v>
      </c>
      <c r="AE18" s="38" t="s">
        <v>53</v>
      </c>
      <c r="AF18" s="36">
        <v>10.098021696159746</v>
      </c>
      <c r="AG18" s="37">
        <v>1.7148477127950041</v>
      </c>
      <c r="AH18" s="38" t="s">
        <v>53</v>
      </c>
      <c r="AI18" s="36">
        <v>12.070612738874431</v>
      </c>
      <c r="AJ18" s="37">
        <v>2.4893824677592722</v>
      </c>
      <c r="AK18" s="38" t="s">
        <v>53</v>
      </c>
      <c r="AL18" s="36">
        <v>13.082557919467316</v>
      </c>
      <c r="AM18" s="37">
        <v>2.2894816413743007</v>
      </c>
      <c r="AN18" s="38" t="s">
        <v>53</v>
      </c>
      <c r="AO18" s="36">
        <v>18.281052051278092</v>
      </c>
      <c r="AP18" s="37">
        <v>2.8001895458257713</v>
      </c>
      <c r="AQ18" s="38" t="s">
        <v>53</v>
      </c>
      <c r="AR18" s="36">
        <v>8.1830303551183459</v>
      </c>
      <c r="AS18" s="37">
        <v>3.3586161190254096</v>
      </c>
      <c r="AT18" s="38" t="s">
        <v>53</v>
      </c>
      <c r="AU18" s="36">
        <v>10.542859467737848</v>
      </c>
      <c r="AV18" s="37">
        <v>3.694793929035546</v>
      </c>
      <c r="AW18" s="38" t="s">
        <v>53</v>
      </c>
      <c r="AX18" s="36">
        <v>20.012276324368635</v>
      </c>
      <c r="AY18" s="37">
        <v>4.689944532364815</v>
      </c>
      <c r="AZ18" s="38" t="s">
        <v>53</v>
      </c>
      <c r="BA18" s="36">
        <v>14.547684301830675</v>
      </c>
      <c r="BB18" s="37">
        <v>3.0701213855051952</v>
      </c>
      <c r="BC18" s="38" t="s">
        <v>53</v>
      </c>
      <c r="BD18" s="36">
        <v>11.587702299416769</v>
      </c>
      <c r="BE18" s="37">
        <v>3.0669321789990067</v>
      </c>
      <c r="BF18" s="38" t="s">
        <v>53</v>
      </c>
      <c r="BG18" s="36">
        <v>1.0448428316789231</v>
      </c>
      <c r="BH18" s="37">
        <v>4.7234696553432283</v>
      </c>
      <c r="BI18" s="38" t="s">
        <v>53</v>
      </c>
      <c r="BJ18" s="36">
        <v>10.792427453497556</v>
      </c>
      <c r="BK18" s="37">
        <v>2.3714413591330583</v>
      </c>
      <c r="BL18" s="38" t="s">
        <v>53</v>
      </c>
      <c r="BM18" s="36">
        <v>12.052282413662297</v>
      </c>
      <c r="BN18" s="37">
        <v>1.9242577571493507</v>
      </c>
      <c r="BO18" s="38" t="s">
        <v>53</v>
      </c>
      <c r="BP18" s="36">
        <v>10.184135545658467</v>
      </c>
      <c r="BQ18" s="37">
        <v>1.8733302192450247</v>
      </c>
      <c r="BR18" s="38" t="s">
        <v>53</v>
      </c>
      <c r="BS18" s="36">
        <v>15.81369313707336</v>
      </c>
      <c r="BT18" s="37">
        <v>2.4006002870554086</v>
      </c>
      <c r="BU18" s="38" t="s">
        <v>53</v>
      </c>
      <c r="BV18" s="36">
        <v>5.0212656835758018</v>
      </c>
      <c r="BW18" s="37">
        <v>3.572986115468793</v>
      </c>
      <c r="BX18" s="38" t="s">
        <v>53</v>
      </c>
      <c r="BY18" s="36">
        <v>10.906724970689446</v>
      </c>
      <c r="BZ18" s="37">
        <v>1.9382032342053868</v>
      </c>
      <c r="CA18" s="38" t="s">
        <v>53</v>
      </c>
      <c r="CB18" s="36">
        <v>14.658000283249914</v>
      </c>
      <c r="CC18" s="37">
        <v>2.5015938136504183</v>
      </c>
      <c r="CD18" s="38" t="s">
        <v>53</v>
      </c>
      <c r="CE18" s="36">
        <v>14.766420116678169</v>
      </c>
      <c r="CF18" s="37">
        <v>2.8553624143296439</v>
      </c>
      <c r="CG18" s="38" t="s">
        <v>53</v>
      </c>
      <c r="CH18" s="36">
        <v>17.575003745237439</v>
      </c>
      <c r="CI18" s="37">
        <v>3.1233371940524464</v>
      </c>
      <c r="CJ18" s="38" t="s">
        <v>53</v>
      </c>
      <c r="CK18" s="36">
        <v>6.668278774547991</v>
      </c>
      <c r="CL18" s="37">
        <v>3.7226571870222283</v>
      </c>
      <c r="CM18" s="38" t="s">
        <v>53</v>
      </c>
      <c r="CN18" s="36">
        <v>16.973451452579123</v>
      </c>
      <c r="CO18" s="37">
        <v>2.8032512724029401</v>
      </c>
      <c r="CP18" s="38" t="s">
        <v>53</v>
      </c>
      <c r="CQ18" s="36">
        <v>12.849010616855535</v>
      </c>
      <c r="CR18" s="37">
        <v>2.4068930187308513</v>
      </c>
      <c r="CS18" s="38" t="s">
        <v>53</v>
      </c>
      <c r="CT18" s="36">
        <v>13.393832671109736</v>
      </c>
      <c r="CU18" s="37">
        <v>2.6760577460604176</v>
      </c>
      <c r="CV18" s="38" t="s">
        <v>53</v>
      </c>
      <c r="CW18" s="36">
        <v>12.315357139870853</v>
      </c>
      <c r="CX18" s="37">
        <v>2.3654229321900035</v>
      </c>
      <c r="CY18" s="38" t="s">
        <v>53</v>
      </c>
      <c r="CZ18" s="36">
        <v>-4.6580943127082675</v>
      </c>
      <c r="DA18" s="37">
        <v>3.7164103327446782</v>
      </c>
      <c r="DB18" s="38" t="s">
        <v>53</v>
      </c>
      <c r="DC18" s="36">
        <v>12.585813952994499</v>
      </c>
      <c r="DD18" s="37">
        <v>2.9899567343031812</v>
      </c>
      <c r="DE18" s="38" t="s">
        <v>53</v>
      </c>
      <c r="DF18" s="36">
        <v>14.501146063959455</v>
      </c>
      <c r="DG18" s="37">
        <v>2.405278256620023</v>
      </c>
      <c r="DH18" s="38" t="s">
        <v>53</v>
      </c>
      <c r="DI18" s="36">
        <v>1.9153321109649568</v>
      </c>
      <c r="DJ18" s="37">
        <v>3.7891679620507484</v>
      </c>
      <c r="DK18" s="39" t="s">
        <v>53</v>
      </c>
    </row>
    <row r="19" spans="1:115" x14ac:dyDescent="0.25">
      <c r="A19" s="15" t="s">
        <v>133</v>
      </c>
      <c r="B19" s="36" t="s">
        <v>55</v>
      </c>
      <c r="C19" s="37" t="s">
        <v>55</v>
      </c>
      <c r="D19" s="38" t="s">
        <v>53</v>
      </c>
      <c r="E19" s="36" t="s">
        <v>55</v>
      </c>
      <c r="F19" s="37" t="s">
        <v>55</v>
      </c>
      <c r="G19" s="38" t="s">
        <v>53</v>
      </c>
      <c r="H19" s="36" t="s">
        <v>55</v>
      </c>
      <c r="I19" s="37" t="s">
        <v>55</v>
      </c>
      <c r="J19" s="38" t="s">
        <v>53</v>
      </c>
      <c r="K19" s="36" t="s">
        <v>55</v>
      </c>
      <c r="L19" s="37" t="s">
        <v>55</v>
      </c>
      <c r="M19" s="38" t="s">
        <v>53</v>
      </c>
      <c r="N19" s="36" t="s">
        <v>55</v>
      </c>
      <c r="O19" s="37" t="s">
        <v>55</v>
      </c>
      <c r="P19" s="38" t="s">
        <v>53</v>
      </c>
      <c r="Q19" s="36" t="s">
        <v>55</v>
      </c>
      <c r="R19" s="37" t="s">
        <v>55</v>
      </c>
      <c r="S19" s="38" t="s">
        <v>53</v>
      </c>
      <c r="T19" s="36" t="s">
        <v>55</v>
      </c>
      <c r="U19" s="37" t="s">
        <v>55</v>
      </c>
      <c r="V19" s="38" t="s">
        <v>53</v>
      </c>
      <c r="W19" s="36" t="s">
        <v>55</v>
      </c>
      <c r="X19" s="37" t="s">
        <v>55</v>
      </c>
      <c r="Y19" s="38" t="s">
        <v>53</v>
      </c>
      <c r="Z19" s="36" t="s">
        <v>55</v>
      </c>
      <c r="AA19" s="37" t="s">
        <v>55</v>
      </c>
      <c r="AB19" s="38" t="s">
        <v>53</v>
      </c>
      <c r="AC19" s="36" t="s">
        <v>55</v>
      </c>
      <c r="AD19" s="37" t="s">
        <v>55</v>
      </c>
      <c r="AE19" s="38" t="s">
        <v>53</v>
      </c>
      <c r="AF19" s="36" t="s">
        <v>55</v>
      </c>
      <c r="AG19" s="37" t="s">
        <v>55</v>
      </c>
      <c r="AH19" s="38" t="s">
        <v>53</v>
      </c>
      <c r="AI19" s="36" t="s">
        <v>55</v>
      </c>
      <c r="AJ19" s="37" t="s">
        <v>55</v>
      </c>
      <c r="AK19" s="38" t="s">
        <v>53</v>
      </c>
      <c r="AL19" s="36" t="s">
        <v>55</v>
      </c>
      <c r="AM19" s="37" t="s">
        <v>55</v>
      </c>
      <c r="AN19" s="38" t="s">
        <v>53</v>
      </c>
      <c r="AO19" s="36" t="s">
        <v>55</v>
      </c>
      <c r="AP19" s="37" t="s">
        <v>55</v>
      </c>
      <c r="AQ19" s="38" t="s">
        <v>53</v>
      </c>
      <c r="AR19" s="36" t="s">
        <v>55</v>
      </c>
      <c r="AS19" s="37" t="s">
        <v>55</v>
      </c>
      <c r="AT19" s="38" t="s">
        <v>53</v>
      </c>
      <c r="AU19" s="36">
        <v>28.345906832118395</v>
      </c>
      <c r="AV19" s="37">
        <v>2.297340681458635</v>
      </c>
      <c r="AW19" s="38" t="s">
        <v>53</v>
      </c>
      <c r="AX19" s="36">
        <v>22.44418389250869</v>
      </c>
      <c r="AY19" s="37">
        <v>1.6590530982713414</v>
      </c>
      <c r="AZ19" s="38" t="s">
        <v>53</v>
      </c>
      <c r="BA19" s="36">
        <v>28.516759634593104</v>
      </c>
      <c r="BB19" s="37">
        <v>2.2664193077970709</v>
      </c>
      <c r="BC19" s="38" t="s">
        <v>53</v>
      </c>
      <c r="BD19" s="36">
        <v>30.273032415124177</v>
      </c>
      <c r="BE19" s="37">
        <v>1.8442500868449236</v>
      </c>
      <c r="BF19" s="38" t="s">
        <v>53</v>
      </c>
      <c r="BG19" s="36">
        <v>1.9271255830057838</v>
      </c>
      <c r="BH19" s="37">
        <v>2.8170941626400441</v>
      </c>
      <c r="BI19" s="38" t="s">
        <v>53</v>
      </c>
      <c r="BJ19" s="36">
        <v>21.746792400533067</v>
      </c>
      <c r="BK19" s="37">
        <v>1.9106097617075251</v>
      </c>
      <c r="BL19" s="38" t="s">
        <v>53</v>
      </c>
      <c r="BM19" s="36">
        <v>24.01890316308339</v>
      </c>
      <c r="BN19" s="37">
        <v>1.8306816811193616</v>
      </c>
      <c r="BO19" s="38" t="s">
        <v>53</v>
      </c>
      <c r="BP19" s="36">
        <v>26.621771872793843</v>
      </c>
      <c r="BQ19" s="37">
        <v>1.6636065793479458</v>
      </c>
      <c r="BR19" s="38" t="s">
        <v>53</v>
      </c>
      <c r="BS19" s="36">
        <v>31.198885177402985</v>
      </c>
      <c r="BT19" s="37">
        <v>2.1422943970546386</v>
      </c>
      <c r="BU19" s="38" t="s">
        <v>53</v>
      </c>
      <c r="BV19" s="36">
        <v>9.4520927768699146</v>
      </c>
      <c r="BW19" s="37">
        <v>2.9591844498629869</v>
      </c>
      <c r="BX19" s="38" t="s">
        <v>53</v>
      </c>
      <c r="BY19" s="36" t="s">
        <v>55</v>
      </c>
      <c r="BZ19" s="37" t="s">
        <v>55</v>
      </c>
      <c r="CA19" s="38" t="s">
        <v>53</v>
      </c>
      <c r="CB19" s="36" t="s">
        <v>55</v>
      </c>
      <c r="CC19" s="37" t="s">
        <v>55</v>
      </c>
      <c r="CD19" s="38" t="s">
        <v>53</v>
      </c>
      <c r="CE19" s="36" t="s">
        <v>55</v>
      </c>
      <c r="CF19" s="37" t="s">
        <v>55</v>
      </c>
      <c r="CG19" s="38" t="s">
        <v>53</v>
      </c>
      <c r="CH19" s="36" t="s">
        <v>55</v>
      </c>
      <c r="CI19" s="37" t="s">
        <v>55</v>
      </c>
      <c r="CJ19" s="38" t="s">
        <v>53</v>
      </c>
      <c r="CK19" s="36" t="s">
        <v>55</v>
      </c>
      <c r="CL19" s="37" t="s">
        <v>55</v>
      </c>
      <c r="CM19" s="38" t="s">
        <v>53</v>
      </c>
      <c r="CN19" s="36" t="s">
        <v>55</v>
      </c>
      <c r="CO19" s="37" t="s">
        <v>55</v>
      </c>
      <c r="CP19" s="38" t="s">
        <v>53</v>
      </c>
      <c r="CQ19" s="36" t="s">
        <v>55</v>
      </c>
      <c r="CR19" s="37" t="s">
        <v>55</v>
      </c>
      <c r="CS19" s="38" t="s">
        <v>53</v>
      </c>
      <c r="CT19" s="36" t="s">
        <v>55</v>
      </c>
      <c r="CU19" s="37" t="s">
        <v>55</v>
      </c>
      <c r="CV19" s="38" t="s">
        <v>53</v>
      </c>
      <c r="CW19" s="36" t="s">
        <v>55</v>
      </c>
      <c r="CX19" s="37" t="s">
        <v>55</v>
      </c>
      <c r="CY19" s="38" t="s">
        <v>53</v>
      </c>
      <c r="CZ19" s="36" t="s">
        <v>55</v>
      </c>
      <c r="DA19" s="37" t="s">
        <v>55</v>
      </c>
      <c r="DB19" s="38" t="s">
        <v>53</v>
      </c>
      <c r="DC19" s="36">
        <v>17.748762661646094</v>
      </c>
      <c r="DD19" s="37">
        <v>1.4896964925502905</v>
      </c>
      <c r="DE19" s="38" t="s">
        <v>53</v>
      </c>
      <c r="DF19" s="36">
        <v>31.667991772126015</v>
      </c>
      <c r="DG19" s="37">
        <v>1.5328197913187809</v>
      </c>
      <c r="DH19" s="38" t="s">
        <v>53</v>
      </c>
      <c r="DI19" s="36">
        <v>13.91922911047992</v>
      </c>
      <c r="DJ19" s="37">
        <v>2.006410214468763</v>
      </c>
      <c r="DK19" s="39" t="s">
        <v>53</v>
      </c>
    </row>
    <row r="20" spans="1:115" x14ac:dyDescent="0.25">
      <c r="A20" s="15" t="s">
        <v>134</v>
      </c>
      <c r="B20" s="36">
        <v>18.6939425059205</v>
      </c>
      <c r="C20" s="37">
        <v>7.0210070088250118</v>
      </c>
      <c r="D20" s="38" t="s">
        <v>53</v>
      </c>
      <c r="E20" s="36">
        <v>14.627838989158054</v>
      </c>
      <c r="F20" s="37">
        <v>6.5041619075306478</v>
      </c>
      <c r="G20" s="38" t="s">
        <v>53</v>
      </c>
      <c r="H20" s="36" t="s">
        <v>55</v>
      </c>
      <c r="I20" s="37" t="s">
        <v>55</v>
      </c>
      <c r="J20" s="38" t="s">
        <v>53</v>
      </c>
      <c r="K20" s="36">
        <v>15.134497475151617</v>
      </c>
      <c r="L20" s="37">
        <v>6.4427190456484933</v>
      </c>
      <c r="M20" s="38" t="s">
        <v>53</v>
      </c>
      <c r="N20" s="36">
        <v>-3.5594450307688796</v>
      </c>
      <c r="O20" s="37">
        <v>9.7968044977582736</v>
      </c>
      <c r="P20" s="38" t="s">
        <v>53</v>
      </c>
      <c r="Q20" s="36">
        <v>18.195466721490085</v>
      </c>
      <c r="R20" s="37">
        <v>6.1759877712422044</v>
      </c>
      <c r="S20" s="38" t="s">
        <v>53</v>
      </c>
      <c r="T20" s="36">
        <v>20.07922302818006</v>
      </c>
      <c r="U20" s="37">
        <v>5.1804245226723253</v>
      </c>
      <c r="V20" s="38" t="s">
        <v>53</v>
      </c>
      <c r="W20" s="36">
        <v>21.852911074060309</v>
      </c>
      <c r="X20" s="37">
        <v>7.3077452879908398</v>
      </c>
      <c r="Y20" s="38" t="s">
        <v>53</v>
      </c>
      <c r="Z20" s="36">
        <v>15.754579917530776</v>
      </c>
      <c r="AA20" s="37">
        <v>5.5693828739793032</v>
      </c>
      <c r="AB20" s="38" t="s">
        <v>53</v>
      </c>
      <c r="AC20" s="36">
        <v>-2.440886803959307</v>
      </c>
      <c r="AD20" s="37">
        <v>8.1905783348743224</v>
      </c>
      <c r="AE20" s="38" t="s">
        <v>53</v>
      </c>
      <c r="AF20" s="36">
        <v>16.196745036796568</v>
      </c>
      <c r="AG20" s="37">
        <v>6.2809814819763012</v>
      </c>
      <c r="AH20" s="38" t="s">
        <v>53</v>
      </c>
      <c r="AI20" s="36">
        <v>8.1714287197795752</v>
      </c>
      <c r="AJ20" s="37">
        <v>3.6885153969990729</v>
      </c>
      <c r="AK20" s="38" t="s">
        <v>53</v>
      </c>
      <c r="AL20" s="36">
        <v>25.02774580875144</v>
      </c>
      <c r="AM20" s="37">
        <v>6.1476656055967114</v>
      </c>
      <c r="AN20" s="38" t="s">
        <v>53</v>
      </c>
      <c r="AO20" s="36">
        <v>28.984933095417158</v>
      </c>
      <c r="AP20" s="37">
        <v>8.0456871688587341</v>
      </c>
      <c r="AQ20" s="38" t="s">
        <v>53</v>
      </c>
      <c r="AR20" s="36">
        <v>12.788188058620594</v>
      </c>
      <c r="AS20" s="37">
        <v>10.293102612909527</v>
      </c>
      <c r="AT20" s="38" t="s">
        <v>53</v>
      </c>
      <c r="AU20" s="36">
        <v>12.414695774224603</v>
      </c>
      <c r="AV20" s="37">
        <v>5.5999930788541006</v>
      </c>
      <c r="AW20" s="38" t="s">
        <v>53</v>
      </c>
      <c r="AX20" s="36">
        <v>14.139089597553228</v>
      </c>
      <c r="AY20" s="37">
        <v>5.3187077329422969</v>
      </c>
      <c r="AZ20" s="38" t="s">
        <v>53</v>
      </c>
      <c r="BA20" s="36">
        <v>24.534769749126092</v>
      </c>
      <c r="BB20" s="37">
        <v>6.3239266506611953</v>
      </c>
      <c r="BC20" s="38" t="s">
        <v>53</v>
      </c>
      <c r="BD20" s="36">
        <v>23.481538916398087</v>
      </c>
      <c r="BE20" s="37">
        <v>7.3635952261007347</v>
      </c>
      <c r="BF20" s="38" t="s">
        <v>53</v>
      </c>
      <c r="BG20" s="36">
        <v>11.066843142173484</v>
      </c>
      <c r="BH20" s="37">
        <v>8.5163764709933556</v>
      </c>
      <c r="BI20" s="38" t="s">
        <v>53</v>
      </c>
      <c r="BJ20" s="36">
        <v>11.581524221761333</v>
      </c>
      <c r="BK20" s="37">
        <v>5.6599885444603943</v>
      </c>
      <c r="BL20" s="38" t="s">
        <v>53</v>
      </c>
      <c r="BM20" s="36">
        <v>17.674718469507376</v>
      </c>
      <c r="BN20" s="37">
        <v>5.9050722888583467</v>
      </c>
      <c r="BO20" s="38" t="s">
        <v>53</v>
      </c>
      <c r="BP20" s="36">
        <v>21.310922737318801</v>
      </c>
      <c r="BQ20" s="37">
        <v>6.4648975877376156</v>
      </c>
      <c r="BR20" s="38" t="s">
        <v>53</v>
      </c>
      <c r="BS20" s="36">
        <v>25.152335106456995</v>
      </c>
      <c r="BT20" s="37">
        <v>5.1938903604897968</v>
      </c>
      <c r="BU20" s="38" t="s">
        <v>53</v>
      </c>
      <c r="BV20" s="36">
        <v>13.570810884695669</v>
      </c>
      <c r="BW20" s="37">
        <v>7.5967563075965288</v>
      </c>
      <c r="BX20" s="38" t="s">
        <v>53</v>
      </c>
      <c r="BY20" s="36">
        <v>8.221326076239464</v>
      </c>
      <c r="BZ20" s="37">
        <v>4.4540679133559156</v>
      </c>
      <c r="CA20" s="38" t="s">
        <v>53</v>
      </c>
      <c r="CB20" s="36">
        <v>17.835242742860249</v>
      </c>
      <c r="CC20" s="37">
        <v>6.4765086180809881</v>
      </c>
      <c r="CD20" s="38" t="s">
        <v>53</v>
      </c>
      <c r="CE20" s="36" t="s">
        <v>55</v>
      </c>
      <c r="CF20" s="37" t="s">
        <v>55</v>
      </c>
      <c r="CG20" s="38" t="s">
        <v>53</v>
      </c>
      <c r="CH20" s="36">
        <v>21.519284671900373</v>
      </c>
      <c r="CI20" s="37">
        <v>6.6240202784253119</v>
      </c>
      <c r="CJ20" s="38" t="s">
        <v>53</v>
      </c>
      <c r="CK20" s="36">
        <v>13.297958595660905</v>
      </c>
      <c r="CL20" s="37">
        <v>8.0302610289406751</v>
      </c>
      <c r="CM20" s="38" t="s">
        <v>53</v>
      </c>
      <c r="CN20" s="36">
        <v>19.717341555119223</v>
      </c>
      <c r="CO20" s="37">
        <v>6.6888572103029533</v>
      </c>
      <c r="CP20" s="38" t="s">
        <v>53</v>
      </c>
      <c r="CQ20" s="36">
        <v>18.202696479292467</v>
      </c>
      <c r="CR20" s="37">
        <v>6.8174023069768497</v>
      </c>
      <c r="CS20" s="38" t="s">
        <v>53</v>
      </c>
      <c r="CT20" s="36">
        <v>13.896918219965501</v>
      </c>
      <c r="CU20" s="37">
        <v>6.7378849116039214</v>
      </c>
      <c r="CV20" s="38" t="s">
        <v>53</v>
      </c>
      <c r="CW20" s="36">
        <v>18.5000965172785</v>
      </c>
      <c r="CX20" s="37">
        <v>7.5923104780692032</v>
      </c>
      <c r="CY20" s="38" t="s">
        <v>53</v>
      </c>
      <c r="CZ20" s="36">
        <v>-1.2172450378407238</v>
      </c>
      <c r="DA20" s="37">
        <v>9.8942567160750361</v>
      </c>
      <c r="DB20" s="38" t="s">
        <v>53</v>
      </c>
      <c r="DC20" s="36">
        <v>8.2733494096336901</v>
      </c>
      <c r="DD20" s="37">
        <v>2.9107203078480568</v>
      </c>
      <c r="DE20" s="38" t="s">
        <v>53</v>
      </c>
      <c r="DF20" s="36">
        <v>26.639455796589019</v>
      </c>
      <c r="DG20" s="37">
        <v>4.1443874486245376</v>
      </c>
      <c r="DH20" s="38" t="s">
        <v>53</v>
      </c>
      <c r="DI20" s="36">
        <v>18.366106386955327</v>
      </c>
      <c r="DJ20" s="37">
        <v>4.7441243705112246</v>
      </c>
      <c r="DK20" s="39" t="s">
        <v>53</v>
      </c>
    </row>
    <row r="21" spans="1:115" x14ac:dyDescent="0.25">
      <c r="A21" s="15" t="s">
        <v>135</v>
      </c>
      <c r="B21" s="36" t="s">
        <v>55</v>
      </c>
      <c r="C21" s="37" t="s">
        <v>55</v>
      </c>
      <c r="D21" s="38" t="s">
        <v>53</v>
      </c>
      <c r="E21" s="36" t="s">
        <v>55</v>
      </c>
      <c r="F21" s="37" t="s">
        <v>55</v>
      </c>
      <c r="G21" s="38" t="s">
        <v>53</v>
      </c>
      <c r="H21" s="36" t="s">
        <v>55</v>
      </c>
      <c r="I21" s="37" t="s">
        <v>55</v>
      </c>
      <c r="J21" s="38" t="s">
        <v>53</v>
      </c>
      <c r="K21" s="36" t="s">
        <v>55</v>
      </c>
      <c r="L21" s="37" t="s">
        <v>55</v>
      </c>
      <c r="M21" s="38" t="s">
        <v>53</v>
      </c>
      <c r="N21" s="36" t="s">
        <v>55</v>
      </c>
      <c r="O21" s="37" t="s">
        <v>55</v>
      </c>
      <c r="P21" s="38" t="s">
        <v>53</v>
      </c>
      <c r="Q21" s="36" t="s">
        <v>55</v>
      </c>
      <c r="R21" s="37" t="s">
        <v>55</v>
      </c>
      <c r="S21" s="38" t="s">
        <v>53</v>
      </c>
      <c r="T21" s="36" t="s">
        <v>55</v>
      </c>
      <c r="U21" s="37" t="s">
        <v>55</v>
      </c>
      <c r="V21" s="38" t="s">
        <v>53</v>
      </c>
      <c r="W21" s="36" t="s">
        <v>55</v>
      </c>
      <c r="X21" s="37" t="s">
        <v>55</v>
      </c>
      <c r="Y21" s="38" t="s">
        <v>53</v>
      </c>
      <c r="Z21" s="36" t="s">
        <v>55</v>
      </c>
      <c r="AA21" s="37" t="s">
        <v>55</v>
      </c>
      <c r="AB21" s="38" t="s">
        <v>53</v>
      </c>
      <c r="AC21" s="36" t="s">
        <v>55</v>
      </c>
      <c r="AD21" s="37" t="s">
        <v>55</v>
      </c>
      <c r="AE21" s="38" t="s">
        <v>53</v>
      </c>
      <c r="AF21" s="36" t="s">
        <v>55</v>
      </c>
      <c r="AG21" s="37" t="s">
        <v>55</v>
      </c>
      <c r="AH21" s="38" t="s">
        <v>53</v>
      </c>
      <c r="AI21" s="36" t="s">
        <v>55</v>
      </c>
      <c r="AJ21" s="37" t="s">
        <v>55</v>
      </c>
      <c r="AK21" s="38" t="s">
        <v>53</v>
      </c>
      <c r="AL21" s="36" t="s">
        <v>55</v>
      </c>
      <c r="AM21" s="37" t="s">
        <v>55</v>
      </c>
      <c r="AN21" s="38" t="s">
        <v>53</v>
      </c>
      <c r="AO21" s="36" t="s">
        <v>55</v>
      </c>
      <c r="AP21" s="37" t="s">
        <v>55</v>
      </c>
      <c r="AQ21" s="38" t="s">
        <v>53</v>
      </c>
      <c r="AR21" s="36" t="s">
        <v>55</v>
      </c>
      <c r="AS21" s="37" t="s">
        <v>55</v>
      </c>
      <c r="AT21" s="38" t="s">
        <v>53</v>
      </c>
      <c r="AU21" s="36" t="s">
        <v>55</v>
      </c>
      <c r="AV21" s="37" t="s">
        <v>55</v>
      </c>
      <c r="AW21" s="38" t="s">
        <v>53</v>
      </c>
      <c r="AX21" s="36" t="s">
        <v>55</v>
      </c>
      <c r="AY21" s="37" t="s">
        <v>55</v>
      </c>
      <c r="AZ21" s="38" t="s">
        <v>53</v>
      </c>
      <c r="BA21" s="36" t="s">
        <v>55</v>
      </c>
      <c r="BB21" s="37" t="s">
        <v>55</v>
      </c>
      <c r="BC21" s="38" t="s">
        <v>53</v>
      </c>
      <c r="BD21" s="36" t="s">
        <v>55</v>
      </c>
      <c r="BE21" s="37" t="s">
        <v>55</v>
      </c>
      <c r="BF21" s="38" t="s">
        <v>53</v>
      </c>
      <c r="BG21" s="36" t="s">
        <v>55</v>
      </c>
      <c r="BH21" s="37" t="s">
        <v>55</v>
      </c>
      <c r="BI21" s="38" t="s">
        <v>53</v>
      </c>
      <c r="BJ21" s="36" t="s">
        <v>55</v>
      </c>
      <c r="BK21" s="37" t="s">
        <v>55</v>
      </c>
      <c r="BL21" s="38" t="s">
        <v>53</v>
      </c>
      <c r="BM21" s="36" t="s">
        <v>55</v>
      </c>
      <c r="BN21" s="37" t="s">
        <v>55</v>
      </c>
      <c r="BO21" s="38" t="s">
        <v>53</v>
      </c>
      <c r="BP21" s="36" t="s">
        <v>55</v>
      </c>
      <c r="BQ21" s="37" t="s">
        <v>55</v>
      </c>
      <c r="BR21" s="38" t="s">
        <v>53</v>
      </c>
      <c r="BS21" s="36" t="s">
        <v>55</v>
      </c>
      <c r="BT21" s="37" t="s">
        <v>55</v>
      </c>
      <c r="BU21" s="38" t="s">
        <v>53</v>
      </c>
      <c r="BV21" s="36" t="s">
        <v>55</v>
      </c>
      <c r="BW21" s="37" t="s">
        <v>55</v>
      </c>
      <c r="BX21" s="38" t="s">
        <v>53</v>
      </c>
      <c r="BY21" s="36" t="s">
        <v>55</v>
      </c>
      <c r="BZ21" s="37" t="s">
        <v>55</v>
      </c>
      <c r="CA21" s="38" t="s">
        <v>53</v>
      </c>
      <c r="CB21" s="36" t="s">
        <v>55</v>
      </c>
      <c r="CC21" s="37" t="s">
        <v>55</v>
      </c>
      <c r="CD21" s="38" t="s">
        <v>53</v>
      </c>
      <c r="CE21" s="36" t="s">
        <v>55</v>
      </c>
      <c r="CF21" s="37" t="s">
        <v>55</v>
      </c>
      <c r="CG21" s="38" t="s">
        <v>53</v>
      </c>
      <c r="CH21" s="36" t="s">
        <v>55</v>
      </c>
      <c r="CI21" s="37" t="s">
        <v>55</v>
      </c>
      <c r="CJ21" s="38" t="s">
        <v>53</v>
      </c>
      <c r="CK21" s="36" t="s">
        <v>55</v>
      </c>
      <c r="CL21" s="37" t="s">
        <v>55</v>
      </c>
      <c r="CM21" s="38" t="s">
        <v>53</v>
      </c>
      <c r="CN21" s="36" t="s">
        <v>55</v>
      </c>
      <c r="CO21" s="37" t="s">
        <v>55</v>
      </c>
      <c r="CP21" s="38" t="s">
        <v>53</v>
      </c>
      <c r="CQ21" s="36" t="s">
        <v>55</v>
      </c>
      <c r="CR21" s="37" t="s">
        <v>55</v>
      </c>
      <c r="CS21" s="38" t="s">
        <v>53</v>
      </c>
      <c r="CT21" s="36" t="s">
        <v>55</v>
      </c>
      <c r="CU21" s="37" t="s">
        <v>55</v>
      </c>
      <c r="CV21" s="38" t="s">
        <v>53</v>
      </c>
      <c r="CW21" s="36" t="s">
        <v>55</v>
      </c>
      <c r="CX21" s="37" t="s">
        <v>55</v>
      </c>
      <c r="CY21" s="38" t="s">
        <v>53</v>
      </c>
      <c r="CZ21" s="36" t="s">
        <v>55</v>
      </c>
      <c r="DA21" s="37" t="s">
        <v>55</v>
      </c>
      <c r="DB21" s="38" t="s">
        <v>53</v>
      </c>
      <c r="DC21" s="36" t="s">
        <v>55</v>
      </c>
      <c r="DD21" s="37" t="s">
        <v>55</v>
      </c>
      <c r="DE21" s="38" t="s">
        <v>53</v>
      </c>
      <c r="DF21" s="36" t="s">
        <v>55</v>
      </c>
      <c r="DG21" s="37" t="s">
        <v>55</v>
      </c>
      <c r="DH21" s="38" t="s">
        <v>53</v>
      </c>
      <c r="DI21" s="36" t="s">
        <v>55</v>
      </c>
      <c r="DJ21" s="37" t="s">
        <v>55</v>
      </c>
      <c r="DK21" s="39" t="s">
        <v>53</v>
      </c>
    </row>
    <row r="22" spans="1:115" x14ac:dyDescent="0.25">
      <c r="A22" s="15" t="s">
        <v>136</v>
      </c>
      <c r="B22" s="36">
        <v>10.777222505374047</v>
      </c>
      <c r="C22" s="37">
        <v>3.8759239470747513</v>
      </c>
      <c r="D22" s="38" t="s">
        <v>53</v>
      </c>
      <c r="E22" s="36">
        <v>14.193711574124343</v>
      </c>
      <c r="F22" s="37">
        <v>7.0055780004855741</v>
      </c>
      <c r="G22" s="38" t="s">
        <v>53</v>
      </c>
      <c r="H22" s="36">
        <v>16.336058952912047</v>
      </c>
      <c r="I22" s="37">
        <v>6.2348081587963238</v>
      </c>
      <c r="J22" s="38" t="s">
        <v>53</v>
      </c>
      <c r="K22" s="36">
        <v>11.388136591795755</v>
      </c>
      <c r="L22" s="37">
        <v>5.9992993967972055</v>
      </c>
      <c r="M22" s="38" t="s">
        <v>53</v>
      </c>
      <c r="N22" s="36">
        <v>0.61091408642170786</v>
      </c>
      <c r="O22" s="37">
        <v>6.4658267815090262</v>
      </c>
      <c r="P22" s="38" t="s">
        <v>53</v>
      </c>
      <c r="Q22" s="36">
        <v>13.895091779131752</v>
      </c>
      <c r="R22" s="37">
        <v>4.8465287781158626</v>
      </c>
      <c r="S22" s="38" t="s">
        <v>53</v>
      </c>
      <c r="T22" s="36">
        <v>17.966345950081418</v>
      </c>
      <c r="U22" s="37">
        <v>6.475612774126402</v>
      </c>
      <c r="V22" s="38" t="s">
        <v>53</v>
      </c>
      <c r="W22" s="36">
        <v>12.913332172771616</v>
      </c>
      <c r="X22" s="37">
        <v>5.6187592288808617</v>
      </c>
      <c r="Y22" s="38" t="s">
        <v>53</v>
      </c>
      <c r="Z22" s="36">
        <v>6.6688157733700706</v>
      </c>
      <c r="AA22" s="37">
        <v>2.6339267601079852</v>
      </c>
      <c r="AB22" s="38" t="s">
        <v>53</v>
      </c>
      <c r="AC22" s="36">
        <v>-7.2262760057616813</v>
      </c>
      <c r="AD22" s="37">
        <v>5.1904503898428755</v>
      </c>
      <c r="AE22" s="38" t="s">
        <v>53</v>
      </c>
      <c r="AF22" s="36">
        <v>9.4350414397287814</v>
      </c>
      <c r="AG22" s="37">
        <v>4.7880240008428956</v>
      </c>
      <c r="AH22" s="38" t="s">
        <v>53</v>
      </c>
      <c r="AI22" s="36">
        <v>15.096822351818446</v>
      </c>
      <c r="AJ22" s="37">
        <v>5.7072162456169622</v>
      </c>
      <c r="AK22" s="38" t="s">
        <v>53</v>
      </c>
      <c r="AL22" s="36">
        <v>13.327822835643104</v>
      </c>
      <c r="AM22" s="37">
        <v>4.7230482356377212</v>
      </c>
      <c r="AN22" s="38" t="s">
        <v>53</v>
      </c>
      <c r="AO22" s="36">
        <v>14.547985293746999</v>
      </c>
      <c r="AP22" s="37">
        <v>6.0683649146855734</v>
      </c>
      <c r="AQ22" s="38" t="s">
        <v>53</v>
      </c>
      <c r="AR22" s="36">
        <v>5.1129438540182184</v>
      </c>
      <c r="AS22" s="37">
        <v>8.1818178193738831</v>
      </c>
      <c r="AT22" s="38" t="s">
        <v>53</v>
      </c>
      <c r="AU22" s="36">
        <v>8.2615606908727734</v>
      </c>
      <c r="AV22" s="37">
        <v>3.471458452978212</v>
      </c>
      <c r="AW22" s="38" t="s">
        <v>53</v>
      </c>
      <c r="AX22" s="36">
        <v>15.833753549050043</v>
      </c>
      <c r="AY22" s="37">
        <v>6.4495697025503524</v>
      </c>
      <c r="AZ22" s="38" t="s">
        <v>53</v>
      </c>
      <c r="BA22" s="36">
        <v>12.354917841637436</v>
      </c>
      <c r="BB22" s="37">
        <v>5.9730025002688132</v>
      </c>
      <c r="BC22" s="38" t="s">
        <v>53</v>
      </c>
      <c r="BD22" s="36">
        <v>16.475512332694166</v>
      </c>
      <c r="BE22" s="37">
        <v>6.4104883465180116</v>
      </c>
      <c r="BF22" s="38" t="s">
        <v>53</v>
      </c>
      <c r="BG22" s="36">
        <v>8.2139516418213976</v>
      </c>
      <c r="BH22" s="37">
        <v>6.9328205660754367</v>
      </c>
      <c r="BI22" s="38" t="s">
        <v>53</v>
      </c>
      <c r="BJ22" s="36">
        <v>7.2124996976806122</v>
      </c>
      <c r="BK22" s="37">
        <v>3.2043583811666791</v>
      </c>
      <c r="BL22" s="38" t="s">
        <v>53</v>
      </c>
      <c r="BM22" s="36">
        <v>14.435848500337583</v>
      </c>
      <c r="BN22" s="37">
        <v>6.4355066899454441</v>
      </c>
      <c r="BO22" s="38" t="s">
        <v>53</v>
      </c>
      <c r="BP22" s="36">
        <v>13.059872274220549</v>
      </c>
      <c r="BQ22" s="37">
        <v>5.2459037877713444</v>
      </c>
      <c r="BR22" s="38" t="s">
        <v>53</v>
      </c>
      <c r="BS22" s="36">
        <v>18.322244945158058</v>
      </c>
      <c r="BT22" s="37">
        <v>6.6263761131896608</v>
      </c>
      <c r="BU22" s="38" t="s">
        <v>53</v>
      </c>
      <c r="BV22" s="36">
        <v>11.109745247477445</v>
      </c>
      <c r="BW22" s="37">
        <v>7.0090015216670674</v>
      </c>
      <c r="BX22" s="38" t="s">
        <v>53</v>
      </c>
      <c r="BY22" s="36">
        <v>11.853235994773994</v>
      </c>
      <c r="BZ22" s="37">
        <v>4.2838842011046108</v>
      </c>
      <c r="CA22" s="38" t="s">
        <v>53</v>
      </c>
      <c r="CB22" s="36">
        <v>9.5301849246780073</v>
      </c>
      <c r="CC22" s="37">
        <v>5.3553011226823326</v>
      </c>
      <c r="CD22" s="38" t="s">
        <v>53</v>
      </c>
      <c r="CE22" s="36">
        <v>16.154318286464044</v>
      </c>
      <c r="CF22" s="37">
        <v>5.6727840551884174</v>
      </c>
      <c r="CG22" s="38" t="s">
        <v>53</v>
      </c>
      <c r="CH22" s="36">
        <v>14.971955799372077</v>
      </c>
      <c r="CI22" s="37">
        <v>5.9074551695638773</v>
      </c>
      <c r="CJ22" s="38" t="s">
        <v>53</v>
      </c>
      <c r="CK22" s="36">
        <v>3.1187198045980828</v>
      </c>
      <c r="CL22" s="37">
        <v>6.9406841930850396</v>
      </c>
      <c r="CM22" s="38" t="s">
        <v>53</v>
      </c>
      <c r="CN22" s="36">
        <v>16.993438974450946</v>
      </c>
      <c r="CO22" s="37">
        <v>6.3806750455672372</v>
      </c>
      <c r="CP22" s="38" t="s">
        <v>53</v>
      </c>
      <c r="CQ22" s="36">
        <v>17.530461387209044</v>
      </c>
      <c r="CR22" s="37">
        <v>6.2840014810874454</v>
      </c>
      <c r="CS22" s="38" t="s">
        <v>53</v>
      </c>
      <c r="CT22" s="36">
        <v>6.1380165966390958</v>
      </c>
      <c r="CU22" s="37">
        <v>3.5547089646426597</v>
      </c>
      <c r="CV22" s="38" t="s">
        <v>53</v>
      </c>
      <c r="CW22" s="36">
        <v>11.549209524860599</v>
      </c>
      <c r="CX22" s="37">
        <v>5.7690743798783517</v>
      </c>
      <c r="CY22" s="38" t="s">
        <v>53</v>
      </c>
      <c r="CZ22" s="36">
        <v>-5.4442294495903525</v>
      </c>
      <c r="DA22" s="37">
        <v>8.9395720716687226</v>
      </c>
      <c r="DB22" s="38" t="s">
        <v>53</v>
      </c>
      <c r="DC22" s="36">
        <v>9.2505793510008303</v>
      </c>
      <c r="DD22" s="37">
        <v>3.7649830687280756</v>
      </c>
      <c r="DE22" s="38" t="s">
        <v>53</v>
      </c>
      <c r="DF22" s="36">
        <v>15.029259050836624</v>
      </c>
      <c r="DG22" s="37">
        <v>3.4124311962635887</v>
      </c>
      <c r="DH22" s="38" t="s">
        <v>53</v>
      </c>
      <c r="DI22" s="36">
        <v>5.7786796998357906</v>
      </c>
      <c r="DJ22" s="37">
        <v>5.031946371834823</v>
      </c>
      <c r="DK22" s="39" t="s">
        <v>53</v>
      </c>
    </row>
    <row r="23" spans="1:115" x14ac:dyDescent="0.25">
      <c r="A23" s="15" t="s">
        <v>137</v>
      </c>
      <c r="B23" s="36">
        <v>8.157208301516695</v>
      </c>
      <c r="C23" s="37">
        <v>2.432599064569799</v>
      </c>
      <c r="D23" s="38" t="s">
        <v>53</v>
      </c>
      <c r="E23" s="36">
        <v>10.690811309632373</v>
      </c>
      <c r="F23" s="37">
        <v>2.78418276481358</v>
      </c>
      <c r="G23" s="38" t="s">
        <v>53</v>
      </c>
      <c r="H23" s="36">
        <v>13.929788536674495</v>
      </c>
      <c r="I23" s="37">
        <v>3.8993410300060356</v>
      </c>
      <c r="J23" s="38" t="s">
        <v>53</v>
      </c>
      <c r="K23" s="36">
        <v>11.486069888216791</v>
      </c>
      <c r="L23" s="37">
        <v>2.7229454541526659</v>
      </c>
      <c r="M23" s="38" t="s">
        <v>53</v>
      </c>
      <c r="N23" s="36">
        <v>3.3288615867000959</v>
      </c>
      <c r="O23" s="37">
        <v>3.5466195706155306</v>
      </c>
      <c r="P23" s="38" t="s">
        <v>53</v>
      </c>
      <c r="Q23" s="36">
        <v>7.6904620466300102</v>
      </c>
      <c r="R23" s="37">
        <v>2.1416171349699136</v>
      </c>
      <c r="S23" s="38" t="s">
        <v>53</v>
      </c>
      <c r="T23" s="36">
        <v>9.6606766231628729</v>
      </c>
      <c r="U23" s="37">
        <v>2.7319478843202685</v>
      </c>
      <c r="V23" s="38" t="s">
        <v>53</v>
      </c>
      <c r="W23" s="36">
        <v>10.898829468805271</v>
      </c>
      <c r="X23" s="37">
        <v>2.8445217876217481</v>
      </c>
      <c r="Y23" s="38" t="s">
        <v>53</v>
      </c>
      <c r="Z23" s="36">
        <v>10.071781382989546</v>
      </c>
      <c r="AA23" s="37">
        <v>2.7760325256763472</v>
      </c>
      <c r="AB23" s="38" t="s">
        <v>53</v>
      </c>
      <c r="AC23" s="36">
        <v>2.3813193363595344</v>
      </c>
      <c r="AD23" s="37">
        <v>3.4541857144054147</v>
      </c>
      <c r="AE23" s="38" t="s">
        <v>53</v>
      </c>
      <c r="AF23" s="36">
        <v>9.0508255611331574</v>
      </c>
      <c r="AG23" s="37">
        <v>2.4771180794859142</v>
      </c>
      <c r="AH23" s="38" t="s">
        <v>53</v>
      </c>
      <c r="AI23" s="36">
        <v>8.5455705721367288</v>
      </c>
      <c r="AJ23" s="37">
        <v>2.8466889787267378</v>
      </c>
      <c r="AK23" s="38" t="s">
        <v>53</v>
      </c>
      <c r="AL23" s="36">
        <v>9.2705704420619721</v>
      </c>
      <c r="AM23" s="37">
        <v>2.4515864027828971</v>
      </c>
      <c r="AN23" s="38" t="s">
        <v>53</v>
      </c>
      <c r="AO23" s="36">
        <v>14.069512669169489</v>
      </c>
      <c r="AP23" s="37">
        <v>3.5577137186789365</v>
      </c>
      <c r="AQ23" s="38" t="s">
        <v>53</v>
      </c>
      <c r="AR23" s="36">
        <v>5.0186871080363282</v>
      </c>
      <c r="AS23" s="37">
        <v>4.7362959802848845</v>
      </c>
      <c r="AT23" s="38" t="s">
        <v>53</v>
      </c>
      <c r="AU23" s="36">
        <v>9.0987512139369198</v>
      </c>
      <c r="AV23" s="37">
        <v>2.6520610440420986</v>
      </c>
      <c r="AW23" s="38" t="s">
        <v>53</v>
      </c>
      <c r="AX23" s="36">
        <v>7.5522746078967584</v>
      </c>
      <c r="AY23" s="37">
        <v>2.3327586242243084</v>
      </c>
      <c r="AZ23" s="38" t="s">
        <v>53</v>
      </c>
      <c r="BA23" s="36">
        <v>13.957699313714405</v>
      </c>
      <c r="BB23" s="37">
        <v>3.4387922620219231</v>
      </c>
      <c r="BC23" s="38" t="s">
        <v>53</v>
      </c>
      <c r="BD23" s="36">
        <v>11.81693432885994</v>
      </c>
      <c r="BE23" s="37">
        <v>2.732485891706617</v>
      </c>
      <c r="BF23" s="38" t="s">
        <v>53</v>
      </c>
      <c r="BG23" s="36">
        <v>2.7181831149230189</v>
      </c>
      <c r="BH23" s="37">
        <v>3.8293675885483611</v>
      </c>
      <c r="BI23" s="38" t="s">
        <v>53</v>
      </c>
      <c r="BJ23" s="36">
        <v>10.032186820204359</v>
      </c>
      <c r="BK23" s="37">
        <v>2.9623410144466571</v>
      </c>
      <c r="BL23" s="38" t="s">
        <v>53</v>
      </c>
      <c r="BM23" s="36">
        <v>10.373768666594296</v>
      </c>
      <c r="BN23" s="37">
        <v>2.5942081336796186</v>
      </c>
      <c r="BO23" s="38" t="s">
        <v>53</v>
      </c>
      <c r="BP23" s="36">
        <v>10.246132816085224</v>
      </c>
      <c r="BQ23" s="37">
        <v>2.6474855722262376</v>
      </c>
      <c r="BR23" s="38" t="s">
        <v>53</v>
      </c>
      <c r="BS23" s="36">
        <v>7.1280990825923194</v>
      </c>
      <c r="BT23" s="37">
        <v>2.0040297398148272</v>
      </c>
      <c r="BU23" s="38" t="s">
        <v>53</v>
      </c>
      <c r="BV23" s="36">
        <v>-2.9040877376120369</v>
      </c>
      <c r="BW23" s="37">
        <v>3.708857425724168</v>
      </c>
      <c r="BX23" s="38" t="s">
        <v>53</v>
      </c>
      <c r="BY23" s="36">
        <v>8.6825591307608914</v>
      </c>
      <c r="BZ23" s="37">
        <v>2.3121241812552618</v>
      </c>
      <c r="CA23" s="38" t="s">
        <v>53</v>
      </c>
      <c r="CB23" s="36">
        <v>11.781724857182557</v>
      </c>
      <c r="CC23" s="37">
        <v>4.0721201142834316</v>
      </c>
      <c r="CD23" s="38" t="s">
        <v>53</v>
      </c>
      <c r="CE23" s="36">
        <v>11.114892170677276</v>
      </c>
      <c r="CF23" s="37">
        <v>2.8407824229974201</v>
      </c>
      <c r="CG23" s="38" t="s">
        <v>53</v>
      </c>
      <c r="CH23" s="36">
        <v>12.301014400576355</v>
      </c>
      <c r="CI23" s="37">
        <v>3.1760749062116864</v>
      </c>
      <c r="CJ23" s="38" t="s">
        <v>53</v>
      </c>
      <c r="CK23" s="36">
        <v>3.6184552698154611</v>
      </c>
      <c r="CL23" s="37">
        <v>3.527805123373414</v>
      </c>
      <c r="CM23" s="38" t="s">
        <v>53</v>
      </c>
      <c r="CN23" s="36">
        <v>11.179725560625853</v>
      </c>
      <c r="CO23" s="37">
        <v>2.8976813428432431</v>
      </c>
      <c r="CP23" s="38" t="s">
        <v>53</v>
      </c>
      <c r="CQ23" s="36">
        <v>15.468223391824914</v>
      </c>
      <c r="CR23" s="37">
        <v>4.2556186130768063</v>
      </c>
      <c r="CS23" s="38" t="s">
        <v>53</v>
      </c>
      <c r="CT23" s="36">
        <v>11.170850963997255</v>
      </c>
      <c r="CU23" s="37">
        <v>2.9272171383416778</v>
      </c>
      <c r="CV23" s="38" t="s">
        <v>53</v>
      </c>
      <c r="CW23" s="36">
        <v>5.5269135229862654</v>
      </c>
      <c r="CX23" s="37">
        <v>2.3325014861563313</v>
      </c>
      <c r="CY23" s="38" t="s">
        <v>53</v>
      </c>
      <c r="CZ23" s="36">
        <v>-5.6528120376395892</v>
      </c>
      <c r="DA23" s="37">
        <v>4.2071379060486862</v>
      </c>
      <c r="DB23" s="38" t="s">
        <v>53</v>
      </c>
      <c r="DC23" s="36">
        <v>4.0466087090861187</v>
      </c>
      <c r="DD23" s="37">
        <v>1.6013530151423996</v>
      </c>
      <c r="DE23" s="38" t="s">
        <v>53</v>
      </c>
      <c r="DF23" s="36">
        <v>13.862637639287623</v>
      </c>
      <c r="DG23" s="37">
        <v>1.9638691977584402</v>
      </c>
      <c r="DH23" s="38" t="s">
        <v>53</v>
      </c>
      <c r="DI23" s="36">
        <v>9.8160289302015009</v>
      </c>
      <c r="DJ23" s="37">
        <v>2.5728016434229959</v>
      </c>
      <c r="DK23" s="39" t="s">
        <v>53</v>
      </c>
    </row>
    <row r="24" spans="1:115" x14ac:dyDescent="0.25">
      <c r="A24" s="15" t="s">
        <v>138</v>
      </c>
      <c r="B24" s="36">
        <v>9.979011485758873</v>
      </c>
      <c r="C24" s="37">
        <v>2.468372016133169</v>
      </c>
      <c r="D24" s="38" t="s">
        <v>53</v>
      </c>
      <c r="E24" s="36">
        <v>11.710132014910107</v>
      </c>
      <c r="F24" s="37">
        <v>3.1197421967986751</v>
      </c>
      <c r="G24" s="38" t="s">
        <v>53</v>
      </c>
      <c r="H24" s="36">
        <v>17.596803773051764</v>
      </c>
      <c r="I24" s="37">
        <v>4.0681087842772081</v>
      </c>
      <c r="J24" s="38" t="s">
        <v>53</v>
      </c>
      <c r="K24" s="36">
        <v>21.351553477661422</v>
      </c>
      <c r="L24" s="37">
        <v>5.3714926698856473</v>
      </c>
      <c r="M24" s="38" t="s">
        <v>53</v>
      </c>
      <c r="N24" s="36">
        <v>11.372541991902555</v>
      </c>
      <c r="O24" s="37">
        <v>6.4960887927141497</v>
      </c>
      <c r="P24" s="38" t="s">
        <v>53</v>
      </c>
      <c r="Q24" s="36">
        <v>9.1791727367211742</v>
      </c>
      <c r="R24" s="37">
        <v>2.6730333917885054</v>
      </c>
      <c r="S24" s="38" t="s">
        <v>53</v>
      </c>
      <c r="T24" s="36">
        <v>14.903157765084451</v>
      </c>
      <c r="U24" s="37">
        <v>3.6679212073316174</v>
      </c>
      <c r="V24" s="38" t="s">
        <v>53</v>
      </c>
      <c r="W24" s="36">
        <v>17.042866363658405</v>
      </c>
      <c r="X24" s="37">
        <v>3.8963372375654948</v>
      </c>
      <c r="Y24" s="38" t="s">
        <v>53</v>
      </c>
      <c r="Z24" s="36">
        <v>14.73466862721742</v>
      </c>
      <c r="AA24" s="37">
        <v>3.7766793395008427</v>
      </c>
      <c r="AB24" s="38" t="s">
        <v>53</v>
      </c>
      <c r="AC24" s="36">
        <v>5.5554958904962426</v>
      </c>
      <c r="AD24" s="37">
        <v>4.7094521402832266</v>
      </c>
      <c r="AE24" s="38" t="s">
        <v>53</v>
      </c>
      <c r="AF24" s="36">
        <v>11.125510055999637</v>
      </c>
      <c r="AG24" s="37">
        <v>2.8665167304309924</v>
      </c>
      <c r="AH24" s="38" t="s">
        <v>53</v>
      </c>
      <c r="AI24" s="36">
        <v>15.068047791356928</v>
      </c>
      <c r="AJ24" s="37">
        <v>3.2334901398993572</v>
      </c>
      <c r="AK24" s="38" t="s">
        <v>53</v>
      </c>
      <c r="AL24" s="36">
        <v>10.953128799953676</v>
      </c>
      <c r="AM24" s="37">
        <v>3.2763091186246194</v>
      </c>
      <c r="AN24" s="38" t="s">
        <v>53</v>
      </c>
      <c r="AO24" s="36">
        <v>18.516152922829143</v>
      </c>
      <c r="AP24" s="37">
        <v>4.3132802653415752</v>
      </c>
      <c r="AQ24" s="38" t="s">
        <v>53</v>
      </c>
      <c r="AR24" s="36">
        <v>7.3906428668295092</v>
      </c>
      <c r="AS24" s="37">
        <v>5.0869333466440612</v>
      </c>
      <c r="AT24" s="38" t="s">
        <v>53</v>
      </c>
      <c r="AU24" s="36">
        <v>11.095401994609819</v>
      </c>
      <c r="AV24" s="37">
        <v>2.6888819217531785</v>
      </c>
      <c r="AW24" s="38" t="s">
        <v>53</v>
      </c>
      <c r="AX24" s="36">
        <v>14.176774344224294</v>
      </c>
      <c r="AY24" s="37">
        <v>3.829589673290279</v>
      </c>
      <c r="AZ24" s="38" t="s">
        <v>53</v>
      </c>
      <c r="BA24" s="36">
        <v>13.943829397402933</v>
      </c>
      <c r="BB24" s="37">
        <v>3.4300477837265095</v>
      </c>
      <c r="BC24" s="38" t="s">
        <v>53</v>
      </c>
      <c r="BD24" s="36">
        <v>18.444869326826979</v>
      </c>
      <c r="BE24" s="37">
        <v>3.8957048300651267</v>
      </c>
      <c r="BF24" s="38" t="s">
        <v>53</v>
      </c>
      <c r="BG24" s="36">
        <v>7.3494673322171575</v>
      </c>
      <c r="BH24" s="37">
        <v>4.9484623308247491</v>
      </c>
      <c r="BI24" s="38" t="s">
        <v>53</v>
      </c>
      <c r="BJ24" s="36">
        <v>7.996659224033559</v>
      </c>
      <c r="BK24" s="37">
        <v>2.44801830058619</v>
      </c>
      <c r="BL24" s="38" t="s">
        <v>53</v>
      </c>
      <c r="BM24" s="36">
        <v>11.146768221339261</v>
      </c>
      <c r="BN24" s="37">
        <v>3.4425866595881018</v>
      </c>
      <c r="BO24" s="38" t="s">
        <v>53</v>
      </c>
      <c r="BP24" s="36">
        <v>15.51599983049911</v>
      </c>
      <c r="BQ24" s="37">
        <v>3.5966062378513928</v>
      </c>
      <c r="BR24" s="38" t="s">
        <v>53</v>
      </c>
      <c r="BS24" s="36">
        <v>18.641100043054522</v>
      </c>
      <c r="BT24" s="37">
        <v>3.3106462154484131</v>
      </c>
      <c r="BU24" s="38" t="s">
        <v>53</v>
      </c>
      <c r="BV24" s="36">
        <v>10.644440819020961</v>
      </c>
      <c r="BW24" s="37">
        <v>4.1126388119540236</v>
      </c>
      <c r="BX24" s="38" t="s">
        <v>53</v>
      </c>
      <c r="BY24" s="36">
        <v>8.4383769303848393</v>
      </c>
      <c r="BZ24" s="37">
        <v>2.7474714646748124</v>
      </c>
      <c r="CA24" s="38" t="s">
        <v>53</v>
      </c>
      <c r="CB24" s="36">
        <v>9.9858013169465458</v>
      </c>
      <c r="CC24" s="37">
        <v>2.782431665844455</v>
      </c>
      <c r="CD24" s="38" t="s">
        <v>53</v>
      </c>
      <c r="CE24" s="36">
        <v>21.907760387034124</v>
      </c>
      <c r="CF24" s="37">
        <v>4.8063894326759495</v>
      </c>
      <c r="CG24" s="38" t="s">
        <v>53</v>
      </c>
      <c r="CH24" s="36">
        <v>20.916578631455216</v>
      </c>
      <c r="CI24" s="37">
        <v>4.3091148283147609</v>
      </c>
      <c r="CJ24" s="38" t="s">
        <v>53</v>
      </c>
      <c r="CK24" s="36">
        <v>12.478201701070377</v>
      </c>
      <c r="CL24" s="37">
        <v>5.5092547803026912</v>
      </c>
      <c r="CM24" s="38" t="s">
        <v>53</v>
      </c>
      <c r="CN24" s="36">
        <v>17.281242287457413</v>
      </c>
      <c r="CO24" s="37">
        <v>4.0882292451510391</v>
      </c>
      <c r="CP24" s="38" t="s">
        <v>53</v>
      </c>
      <c r="CQ24" s="36">
        <v>14.371216010984838</v>
      </c>
      <c r="CR24" s="37">
        <v>3.7314764166645817</v>
      </c>
      <c r="CS24" s="38" t="s">
        <v>53</v>
      </c>
      <c r="CT24" s="36">
        <v>16.494889311099495</v>
      </c>
      <c r="CU24" s="37">
        <v>3.5133117664724116</v>
      </c>
      <c r="CV24" s="38" t="s">
        <v>53</v>
      </c>
      <c r="CW24" s="36">
        <v>9.9891137721102332</v>
      </c>
      <c r="CX24" s="37">
        <v>3.133074336524492</v>
      </c>
      <c r="CY24" s="38" t="s">
        <v>53</v>
      </c>
      <c r="CZ24" s="36">
        <v>-7.2921285153471764</v>
      </c>
      <c r="DA24" s="37">
        <v>5.7166097880753259</v>
      </c>
      <c r="DB24" s="38" t="s">
        <v>53</v>
      </c>
      <c r="DC24" s="36">
        <v>10.808243465234941</v>
      </c>
      <c r="DD24" s="37">
        <v>3.6773699766159065</v>
      </c>
      <c r="DE24" s="38" t="s">
        <v>53</v>
      </c>
      <c r="DF24" s="36">
        <v>14.903021976785361</v>
      </c>
      <c r="DG24" s="37">
        <v>1.886047207275994</v>
      </c>
      <c r="DH24" s="38" t="s">
        <v>53</v>
      </c>
      <c r="DI24" s="36">
        <v>4.0947785115504178</v>
      </c>
      <c r="DJ24" s="37">
        <v>4.3634262944943485</v>
      </c>
      <c r="DK24" s="39" t="s">
        <v>53</v>
      </c>
    </row>
    <row r="25" spans="1:115" x14ac:dyDescent="0.25">
      <c r="A25" s="15" t="s">
        <v>139</v>
      </c>
      <c r="B25" s="36">
        <v>10.544975524539733</v>
      </c>
      <c r="C25" s="37">
        <v>4.6907561441526031</v>
      </c>
      <c r="D25" s="38" t="s">
        <v>53</v>
      </c>
      <c r="E25" s="36">
        <v>9.3583065543802526</v>
      </c>
      <c r="F25" s="37">
        <v>4.0926406206172263</v>
      </c>
      <c r="G25" s="38" t="s">
        <v>53</v>
      </c>
      <c r="H25" s="36">
        <v>7.0201322380479754</v>
      </c>
      <c r="I25" s="37">
        <v>3.3959840826715486</v>
      </c>
      <c r="J25" s="38" t="s">
        <v>53</v>
      </c>
      <c r="K25" s="36">
        <v>9.6325257515849838</v>
      </c>
      <c r="L25" s="37">
        <v>4.2101498733700931</v>
      </c>
      <c r="M25" s="38" t="s">
        <v>53</v>
      </c>
      <c r="N25" s="36">
        <v>-0.91244977295475005</v>
      </c>
      <c r="O25" s="37">
        <v>6.3709961381938962</v>
      </c>
      <c r="P25" s="38" t="s">
        <v>53</v>
      </c>
      <c r="Q25" s="36">
        <v>6.8539548848073828</v>
      </c>
      <c r="R25" s="37">
        <v>2.9179176571586538</v>
      </c>
      <c r="S25" s="38" t="s">
        <v>53</v>
      </c>
      <c r="T25" s="36">
        <v>14.27749768582631</v>
      </c>
      <c r="U25" s="37">
        <v>5.3468301141989727</v>
      </c>
      <c r="V25" s="38" t="s">
        <v>53</v>
      </c>
      <c r="W25" s="36">
        <v>3.9407053932317138</v>
      </c>
      <c r="X25" s="37">
        <v>2.4889237760709224</v>
      </c>
      <c r="Y25" s="38" t="s">
        <v>53</v>
      </c>
      <c r="Z25" s="36">
        <v>7.6907449240949273</v>
      </c>
      <c r="AA25" s="37">
        <v>3.5008782520629063</v>
      </c>
      <c r="AB25" s="38" t="s">
        <v>53</v>
      </c>
      <c r="AC25" s="36">
        <v>0.83679003928754503</v>
      </c>
      <c r="AD25" s="37">
        <v>4.6583637745749078</v>
      </c>
      <c r="AE25" s="38" t="s">
        <v>53</v>
      </c>
      <c r="AF25" s="36">
        <v>6.6679707327722397</v>
      </c>
      <c r="AG25" s="37">
        <v>3.3229767164789594</v>
      </c>
      <c r="AH25" s="38" t="s">
        <v>53</v>
      </c>
      <c r="AI25" s="36">
        <v>14.396970381547133</v>
      </c>
      <c r="AJ25" s="37">
        <v>6.1821181334669797</v>
      </c>
      <c r="AK25" s="38" t="s">
        <v>53</v>
      </c>
      <c r="AL25" s="36">
        <v>4.8393200041863427</v>
      </c>
      <c r="AM25" s="37">
        <v>2.5389496651886687</v>
      </c>
      <c r="AN25" s="38" t="s">
        <v>53</v>
      </c>
      <c r="AO25" s="36">
        <v>8.0912921539910361</v>
      </c>
      <c r="AP25" s="37">
        <v>3.0461152968850942</v>
      </c>
      <c r="AQ25" s="38" t="s">
        <v>53</v>
      </c>
      <c r="AR25" s="36">
        <v>1.4233214212187963</v>
      </c>
      <c r="AS25" s="37">
        <v>4.4510330102659568</v>
      </c>
      <c r="AT25" s="38" t="s">
        <v>53</v>
      </c>
      <c r="AU25" s="36">
        <v>11.79013839199547</v>
      </c>
      <c r="AV25" s="37">
        <v>5.1795990136241912</v>
      </c>
      <c r="AW25" s="38" t="s">
        <v>53</v>
      </c>
      <c r="AX25" s="36">
        <v>4.4398981120315</v>
      </c>
      <c r="AY25" s="37">
        <v>3.0373943284757186</v>
      </c>
      <c r="AZ25" s="38" t="s">
        <v>53</v>
      </c>
      <c r="BA25" s="36">
        <v>8.5659716416429905</v>
      </c>
      <c r="BB25" s="37">
        <v>4.2638175474972142</v>
      </c>
      <c r="BC25" s="38" t="s">
        <v>53</v>
      </c>
      <c r="BD25" s="36">
        <v>9.6473127825312375</v>
      </c>
      <c r="BE25" s="37">
        <v>3.4296381293063032</v>
      </c>
      <c r="BF25" s="38" t="s">
        <v>53</v>
      </c>
      <c r="BG25" s="36">
        <v>-2.1428256094642308</v>
      </c>
      <c r="BH25" s="37">
        <v>6.1990801943019012</v>
      </c>
      <c r="BI25" s="38" t="s">
        <v>53</v>
      </c>
      <c r="BJ25" s="36">
        <v>9.0892663320159528</v>
      </c>
      <c r="BK25" s="37">
        <v>3.7336165001185071</v>
      </c>
      <c r="BL25" s="38" t="s">
        <v>53</v>
      </c>
      <c r="BM25" s="36">
        <v>6.0522817489445293</v>
      </c>
      <c r="BN25" s="37">
        <v>2.765403322243325</v>
      </c>
      <c r="BO25" s="38" t="s">
        <v>53</v>
      </c>
      <c r="BP25" s="36">
        <v>10.060181467323298</v>
      </c>
      <c r="BQ25" s="37">
        <v>5.5681270086934083</v>
      </c>
      <c r="BR25" s="38" t="s">
        <v>53</v>
      </c>
      <c r="BS25" s="36">
        <v>7.6653577927868852</v>
      </c>
      <c r="BT25" s="37">
        <v>3.2552186123186826</v>
      </c>
      <c r="BU25" s="38" t="s">
        <v>53</v>
      </c>
      <c r="BV25" s="36">
        <v>-1.4239085392290669</v>
      </c>
      <c r="BW25" s="37">
        <v>5.1419435407686498</v>
      </c>
      <c r="BX25" s="38" t="s">
        <v>53</v>
      </c>
      <c r="BY25" s="36">
        <v>4.6936738968130696</v>
      </c>
      <c r="BZ25" s="37">
        <v>2.6699395975168696</v>
      </c>
      <c r="CA25" s="38" t="s">
        <v>53</v>
      </c>
      <c r="CB25" s="36">
        <v>11.272438948045776</v>
      </c>
      <c r="CC25" s="37">
        <v>6.1182273426063434</v>
      </c>
      <c r="CD25" s="38" t="s">
        <v>53</v>
      </c>
      <c r="CE25" s="36">
        <v>9.6792958179511128</v>
      </c>
      <c r="CF25" s="37">
        <v>4.4277554979113765</v>
      </c>
      <c r="CG25" s="38" t="s">
        <v>53</v>
      </c>
      <c r="CH25" s="36">
        <v>13.649778555549494</v>
      </c>
      <c r="CI25" s="37">
        <v>4.5364410849649852</v>
      </c>
      <c r="CJ25" s="38" t="s">
        <v>53</v>
      </c>
      <c r="CK25" s="36">
        <v>8.9561046587364235</v>
      </c>
      <c r="CL25" s="37">
        <v>5.4799582429402127</v>
      </c>
      <c r="CM25" s="38" t="s">
        <v>53</v>
      </c>
      <c r="CN25" s="36">
        <v>13.342483538877955</v>
      </c>
      <c r="CO25" s="37">
        <v>5.0501707809337679</v>
      </c>
      <c r="CP25" s="38" t="s">
        <v>53</v>
      </c>
      <c r="CQ25" s="36">
        <v>9.267747460980214</v>
      </c>
      <c r="CR25" s="37">
        <v>4.0437870922072516</v>
      </c>
      <c r="CS25" s="38" t="s">
        <v>53</v>
      </c>
      <c r="CT25" s="36">
        <v>4.5065776462616585</v>
      </c>
      <c r="CU25" s="37">
        <v>2.8682011827765637</v>
      </c>
      <c r="CV25" s="38" t="s">
        <v>53</v>
      </c>
      <c r="CW25" s="36">
        <v>8.2122287731700716</v>
      </c>
      <c r="CX25" s="37">
        <v>3.5258446414620748</v>
      </c>
      <c r="CY25" s="38" t="s">
        <v>53</v>
      </c>
      <c r="CZ25" s="36">
        <v>-5.1302547657078845</v>
      </c>
      <c r="DA25" s="37">
        <v>6.169028702586008</v>
      </c>
      <c r="DB25" s="38" t="s">
        <v>53</v>
      </c>
      <c r="DC25" s="36">
        <v>2.1105493657946202</v>
      </c>
      <c r="DD25" s="37">
        <v>1.7538433896062875</v>
      </c>
      <c r="DE25" s="38" t="s">
        <v>53</v>
      </c>
      <c r="DF25" s="36">
        <v>12.280112082717604</v>
      </c>
      <c r="DG25" s="37">
        <v>2.9858457853592979</v>
      </c>
      <c r="DH25" s="38" t="s">
        <v>53</v>
      </c>
      <c r="DI25" s="36">
        <v>10.169562716922982</v>
      </c>
      <c r="DJ25" s="37">
        <v>3.5786453762769295</v>
      </c>
      <c r="DK25" s="39" t="s">
        <v>53</v>
      </c>
    </row>
    <row r="26" spans="1:115" x14ac:dyDescent="0.25">
      <c r="A26" s="15" t="s">
        <v>140</v>
      </c>
      <c r="B26" s="36">
        <v>12.908910773809701</v>
      </c>
      <c r="C26" s="37">
        <v>3.5219693165523811</v>
      </c>
      <c r="D26" s="38" t="s">
        <v>53</v>
      </c>
      <c r="E26" s="36">
        <v>19.647120333914447</v>
      </c>
      <c r="F26" s="37">
        <v>3.7000106303021774</v>
      </c>
      <c r="G26" s="38" t="s">
        <v>53</v>
      </c>
      <c r="H26" s="36">
        <v>16.081087356332514</v>
      </c>
      <c r="I26" s="37">
        <v>3.2471918464536453</v>
      </c>
      <c r="J26" s="38" t="s">
        <v>53</v>
      </c>
      <c r="K26" s="36">
        <v>14.017272334302755</v>
      </c>
      <c r="L26" s="37">
        <v>3.3778326891492738</v>
      </c>
      <c r="M26" s="38" t="s">
        <v>53</v>
      </c>
      <c r="N26" s="36">
        <v>1.1083615604930572</v>
      </c>
      <c r="O26" s="37">
        <v>3.9389703643647649</v>
      </c>
      <c r="P26" s="38" t="s">
        <v>53</v>
      </c>
      <c r="Q26" s="36">
        <v>13.073153058400644</v>
      </c>
      <c r="R26" s="37">
        <v>2.9659976079809702</v>
      </c>
      <c r="S26" s="38" t="s">
        <v>53</v>
      </c>
      <c r="T26" s="36">
        <v>17.429520088468482</v>
      </c>
      <c r="U26" s="37">
        <v>3.6828096062824751</v>
      </c>
      <c r="V26" s="38" t="s">
        <v>53</v>
      </c>
      <c r="W26" s="36">
        <v>13.014382114173529</v>
      </c>
      <c r="X26" s="37">
        <v>3.0655241105655664</v>
      </c>
      <c r="Y26" s="38" t="s">
        <v>53</v>
      </c>
      <c r="Z26" s="36">
        <v>11.936548237278188</v>
      </c>
      <c r="AA26" s="37">
        <v>2.3981547987708391</v>
      </c>
      <c r="AB26" s="38" t="s">
        <v>53</v>
      </c>
      <c r="AC26" s="36">
        <v>-1.1366048211224586</v>
      </c>
      <c r="AD26" s="37">
        <v>3.7602781805161252</v>
      </c>
      <c r="AE26" s="38" t="s">
        <v>53</v>
      </c>
      <c r="AF26" s="36">
        <v>10.799571669303852</v>
      </c>
      <c r="AG26" s="37">
        <v>2.9246080548477988</v>
      </c>
      <c r="AH26" s="38" t="s">
        <v>53</v>
      </c>
      <c r="AI26" s="36">
        <v>15.434407891612389</v>
      </c>
      <c r="AJ26" s="37">
        <v>3.0781433191374648</v>
      </c>
      <c r="AK26" s="38" t="s">
        <v>53</v>
      </c>
      <c r="AL26" s="36">
        <v>9.9506624281967611</v>
      </c>
      <c r="AM26" s="37">
        <v>2.7753901596137487</v>
      </c>
      <c r="AN26" s="38" t="s">
        <v>53</v>
      </c>
      <c r="AO26" s="36">
        <v>19.178643977423292</v>
      </c>
      <c r="AP26" s="37">
        <v>3.4551848856025047</v>
      </c>
      <c r="AQ26" s="38" t="s">
        <v>53</v>
      </c>
      <c r="AR26" s="36">
        <v>8.3790723081194365</v>
      </c>
      <c r="AS26" s="37">
        <v>3.9640404692217932</v>
      </c>
      <c r="AT26" s="38" t="s">
        <v>53</v>
      </c>
      <c r="AU26" s="36">
        <v>13.168405727728787</v>
      </c>
      <c r="AV26" s="37">
        <v>3.4210775007406879</v>
      </c>
      <c r="AW26" s="38" t="s">
        <v>53</v>
      </c>
      <c r="AX26" s="36">
        <v>18.647138265033327</v>
      </c>
      <c r="AY26" s="37">
        <v>4.1295642478208103</v>
      </c>
      <c r="AZ26" s="38" t="s">
        <v>53</v>
      </c>
      <c r="BA26" s="36">
        <v>12.274222510423636</v>
      </c>
      <c r="BB26" s="37">
        <v>3.060421074747341</v>
      </c>
      <c r="BC26" s="38" t="s">
        <v>53</v>
      </c>
      <c r="BD26" s="36">
        <v>16.230628805227397</v>
      </c>
      <c r="BE26" s="37">
        <v>2.7385167288644925</v>
      </c>
      <c r="BF26" s="38" t="s">
        <v>53</v>
      </c>
      <c r="BG26" s="36">
        <v>3.0622230774986137</v>
      </c>
      <c r="BH26" s="37">
        <v>3.797038656036769</v>
      </c>
      <c r="BI26" s="38" t="s">
        <v>53</v>
      </c>
      <c r="BJ26" s="36">
        <v>8.5424521479386684</v>
      </c>
      <c r="BK26" s="37">
        <v>2.7852524895719695</v>
      </c>
      <c r="BL26" s="38" t="s">
        <v>53</v>
      </c>
      <c r="BM26" s="36">
        <v>14.487552264287769</v>
      </c>
      <c r="BN26" s="37">
        <v>3.020670530932851</v>
      </c>
      <c r="BO26" s="38" t="s">
        <v>53</v>
      </c>
      <c r="BP26" s="36">
        <v>14.188942861920841</v>
      </c>
      <c r="BQ26" s="37">
        <v>2.8304170986177466</v>
      </c>
      <c r="BR26" s="38" t="s">
        <v>53</v>
      </c>
      <c r="BS26" s="36">
        <v>17.742245932860023</v>
      </c>
      <c r="BT26" s="37">
        <v>3.7500285231340684</v>
      </c>
      <c r="BU26" s="38" t="s">
        <v>53</v>
      </c>
      <c r="BV26" s="36">
        <v>9.1997937849213507</v>
      </c>
      <c r="BW26" s="37">
        <v>4.7137877882539687</v>
      </c>
      <c r="BX26" s="38" t="s">
        <v>53</v>
      </c>
      <c r="BY26" s="36">
        <v>14.944431928095764</v>
      </c>
      <c r="BZ26" s="37">
        <v>3.5320197735595893</v>
      </c>
      <c r="CA26" s="38" t="s">
        <v>53</v>
      </c>
      <c r="CB26" s="36">
        <v>19.825674253082873</v>
      </c>
      <c r="CC26" s="37">
        <v>4.14110958258886</v>
      </c>
      <c r="CD26" s="38" t="s">
        <v>53</v>
      </c>
      <c r="CE26" s="36">
        <v>17.23508585125175</v>
      </c>
      <c r="CF26" s="37">
        <v>4.3736953229716251</v>
      </c>
      <c r="CG26" s="38" t="s">
        <v>53</v>
      </c>
      <c r="CH26" s="36">
        <v>18.219196725338964</v>
      </c>
      <c r="CI26" s="37">
        <v>3.8485422891962142</v>
      </c>
      <c r="CJ26" s="38" t="s">
        <v>53</v>
      </c>
      <c r="CK26" s="36">
        <v>3.2747647972432028</v>
      </c>
      <c r="CL26" s="37">
        <v>4.6177717512227687</v>
      </c>
      <c r="CM26" s="38" t="s">
        <v>53</v>
      </c>
      <c r="CN26" s="36">
        <v>20.414066915208227</v>
      </c>
      <c r="CO26" s="37">
        <v>4.1150953595622948</v>
      </c>
      <c r="CP26" s="38" t="s">
        <v>53</v>
      </c>
      <c r="CQ26" s="36">
        <v>13.860938274547946</v>
      </c>
      <c r="CR26" s="37">
        <v>3.277139230290123</v>
      </c>
      <c r="CS26" s="38" t="s">
        <v>53</v>
      </c>
      <c r="CT26" s="36">
        <v>16.443918796213495</v>
      </c>
      <c r="CU26" s="37">
        <v>4.5528205648860869</v>
      </c>
      <c r="CV26" s="38" t="s">
        <v>53</v>
      </c>
      <c r="CW26" s="36">
        <v>17.024344333042066</v>
      </c>
      <c r="CX26" s="37">
        <v>3.5431313056203324</v>
      </c>
      <c r="CY26" s="38" t="s">
        <v>53</v>
      </c>
      <c r="CZ26" s="36">
        <v>-3.3897225821661596</v>
      </c>
      <c r="DA26" s="37">
        <v>5.1776164202922867</v>
      </c>
      <c r="DB26" s="38" t="s">
        <v>53</v>
      </c>
      <c r="DC26" s="36">
        <v>9.4243916732278912</v>
      </c>
      <c r="DD26" s="37">
        <v>2.0209636658621912</v>
      </c>
      <c r="DE26" s="38" t="s">
        <v>53</v>
      </c>
      <c r="DF26" s="36">
        <v>18.975035723550484</v>
      </c>
      <c r="DG26" s="37">
        <v>2.7039213902004327</v>
      </c>
      <c r="DH26" s="38" t="s">
        <v>53</v>
      </c>
      <c r="DI26" s="36">
        <v>9.5506440503225924</v>
      </c>
      <c r="DJ26" s="37">
        <v>3.0124405621571428</v>
      </c>
      <c r="DK26" s="39" t="s">
        <v>53</v>
      </c>
    </row>
    <row r="27" spans="1:115" x14ac:dyDescent="0.25">
      <c r="A27" s="15" t="s">
        <v>141</v>
      </c>
      <c r="B27" s="36">
        <v>15.976470405603882</v>
      </c>
      <c r="C27" s="37">
        <v>3.3322546368666597</v>
      </c>
      <c r="D27" s="38" t="s">
        <v>53</v>
      </c>
      <c r="E27" s="36">
        <v>19.900662740258237</v>
      </c>
      <c r="F27" s="37">
        <v>4.021383907907464</v>
      </c>
      <c r="G27" s="38" t="s">
        <v>53</v>
      </c>
      <c r="H27" s="36">
        <v>22.423408898714221</v>
      </c>
      <c r="I27" s="37">
        <v>4.0095295375679543</v>
      </c>
      <c r="J27" s="38" t="s">
        <v>53</v>
      </c>
      <c r="K27" s="36">
        <v>20.128197739854425</v>
      </c>
      <c r="L27" s="37">
        <v>3.7843902104412415</v>
      </c>
      <c r="M27" s="38" t="s">
        <v>53</v>
      </c>
      <c r="N27" s="36">
        <v>4.1517273342505367</v>
      </c>
      <c r="O27" s="37">
        <v>4.7320592384223028</v>
      </c>
      <c r="P27" s="38" t="s">
        <v>53</v>
      </c>
      <c r="Q27" s="36">
        <v>16.562903108008271</v>
      </c>
      <c r="R27" s="37">
        <v>3.2249460990529824</v>
      </c>
      <c r="S27" s="38" t="s">
        <v>53</v>
      </c>
      <c r="T27" s="36">
        <v>20.436768565843547</v>
      </c>
      <c r="U27" s="37">
        <v>3.8094935332845776</v>
      </c>
      <c r="V27" s="38" t="s">
        <v>53</v>
      </c>
      <c r="W27" s="36">
        <v>18.740868758142895</v>
      </c>
      <c r="X27" s="37">
        <v>2.8940523946592349</v>
      </c>
      <c r="Y27" s="38" t="s">
        <v>53</v>
      </c>
      <c r="Z27" s="36">
        <v>11.729489507042882</v>
      </c>
      <c r="AA27" s="37">
        <v>2.3191031446912387</v>
      </c>
      <c r="AB27" s="38" t="s">
        <v>53</v>
      </c>
      <c r="AC27" s="36">
        <v>-4.8334136009653905</v>
      </c>
      <c r="AD27" s="37">
        <v>3.5971826013669559</v>
      </c>
      <c r="AE27" s="38" t="s">
        <v>53</v>
      </c>
      <c r="AF27" s="36">
        <v>11.043840984027115</v>
      </c>
      <c r="AG27" s="37">
        <v>2.6310434502341953</v>
      </c>
      <c r="AH27" s="38" t="s">
        <v>53</v>
      </c>
      <c r="AI27" s="36">
        <v>16.870507812246753</v>
      </c>
      <c r="AJ27" s="37">
        <v>3.2048625352450428</v>
      </c>
      <c r="AK27" s="38" t="s">
        <v>53</v>
      </c>
      <c r="AL27" s="36">
        <v>17.82818267587551</v>
      </c>
      <c r="AM27" s="37">
        <v>2.8132602587369533</v>
      </c>
      <c r="AN27" s="38" t="s">
        <v>53</v>
      </c>
      <c r="AO27" s="36">
        <v>21.777332040348579</v>
      </c>
      <c r="AP27" s="37">
        <v>3.5928872280247646</v>
      </c>
      <c r="AQ27" s="38" t="s">
        <v>53</v>
      </c>
      <c r="AR27" s="36">
        <v>10.733491056321467</v>
      </c>
      <c r="AS27" s="37">
        <v>3.7154013750320605</v>
      </c>
      <c r="AT27" s="38" t="s">
        <v>53</v>
      </c>
      <c r="AU27" s="36">
        <v>14.490073908830198</v>
      </c>
      <c r="AV27" s="37">
        <v>3.1003233923253757</v>
      </c>
      <c r="AW27" s="38" t="s">
        <v>53</v>
      </c>
      <c r="AX27" s="36">
        <v>18.862984563107624</v>
      </c>
      <c r="AY27" s="37">
        <v>3.4845920643363835</v>
      </c>
      <c r="AZ27" s="38" t="s">
        <v>53</v>
      </c>
      <c r="BA27" s="36">
        <v>15.469010785881338</v>
      </c>
      <c r="BB27" s="37">
        <v>3.4797162428858588</v>
      </c>
      <c r="BC27" s="38" t="s">
        <v>53</v>
      </c>
      <c r="BD27" s="36">
        <v>25.340699906587037</v>
      </c>
      <c r="BE27" s="37">
        <v>4.0262208493989098</v>
      </c>
      <c r="BF27" s="38" t="s">
        <v>53</v>
      </c>
      <c r="BG27" s="36">
        <v>10.850625997756838</v>
      </c>
      <c r="BH27" s="37">
        <v>3.9746486874109763</v>
      </c>
      <c r="BI27" s="38" t="s">
        <v>53</v>
      </c>
      <c r="BJ27" s="36">
        <v>11.632155667402758</v>
      </c>
      <c r="BK27" s="37">
        <v>2.381650284149158</v>
      </c>
      <c r="BL27" s="38" t="s">
        <v>53</v>
      </c>
      <c r="BM27" s="36">
        <v>14.584163083999</v>
      </c>
      <c r="BN27" s="37">
        <v>2.7546338381398043</v>
      </c>
      <c r="BO27" s="38" t="s">
        <v>53</v>
      </c>
      <c r="BP27" s="36">
        <v>15.852055930098752</v>
      </c>
      <c r="BQ27" s="37">
        <v>2.4172555290919142</v>
      </c>
      <c r="BR27" s="38" t="s">
        <v>53</v>
      </c>
      <c r="BS27" s="36">
        <v>23.935265386947147</v>
      </c>
      <c r="BT27" s="37">
        <v>4.7907377290809059</v>
      </c>
      <c r="BU27" s="38" t="s">
        <v>53</v>
      </c>
      <c r="BV27" s="36">
        <v>12.303109719544388</v>
      </c>
      <c r="BW27" s="37">
        <v>5.5805675682831</v>
      </c>
      <c r="BX27" s="38" t="s">
        <v>53</v>
      </c>
      <c r="BY27" s="36">
        <v>20.300634915225253</v>
      </c>
      <c r="BZ27" s="37">
        <v>4.3790168128371691</v>
      </c>
      <c r="CA27" s="38" t="s">
        <v>53</v>
      </c>
      <c r="CB27" s="36">
        <v>20.233663039445872</v>
      </c>
      <c r="CC27" s="37">
        <v>4.235642626342659</v>
      </c>
      <c r="CD27" s="38" t="s">
        <v>53</v>
      </c>
      <c r="CE27" s="36">
        <v>23.035051529048847</v>
      </c>
      <c r="CF27" s="37">
        <v>5.4395935144796583</v>
      </c>
      <c r="CG27" s="38" t="s">
        <v>53</v>
      </c>
      <c r="CH27" s="36">
        <v>22.385684957363836</v>
      </c>
      <c r="CI27" s="37">
        <v>4.7680498395938677</v>
      </c>
      <c r="CJ27" s="38" t="s">
        <v>53</v>
      </c>
      <c r="CK27" s="36">
        <v>2.0850500421385787</v>
      </c>
      <c r="CL27" s="37">
        <v>5.8016407487578938</v>
      </c>
      <c r="CM27" s="38" t="s">
        <v>53</v>
      </c>
      <c r="CN27" s="36">
        <v>25.609335206337196</v>
      </c>
      <c r="CO27" s="37">
        <v>5.5114708536431145</v>
      </c>
      <c r="CP27" s="38" t="s">
        <v>53</v>
      </c>
      <c r="CQ27" s="36">
        <v>24.615645659744448</v>
      </c>
      <c r="CR27" s="37">
        <v>5.0115763742388157</v>
      </c>
      <c r="CS27" s="38" t="s">
        <v>53</v>
      </c>
      <c r="CT27" s="36">
        <v>18.317256060780398</v>
      </c>
      <c r="CU27" s="37">
        <v>4.2185035935687738</v>
      </c>
      <c r="CV27" s="38" t="s">
        <v>53</v>
      </c>
      <c r="CW27" s="36">
        <v>14.547841338697348</v>
      </c>
      <c r="CX27" s="37">
        <v>2.8943558587968767</v>
      </c>
      <c r="CY27" s="38" t="s">
        <v>53</v>
      </c>
      <c r="CZ27" s="36">
        <v>-11.061493867639843</v>
      </c>
      <c r="DA27" s="37">
        <v>6.4146678229972203</v>
      </c>
      <c r="DB27" s="38" t="s">
        <v>53</v>
      </c>
      <c r="DC27" s="36">
        <v>13.727752291633037</v>
      </c>
      <c r="DD27" s="37">
        <v>2.6223126313468894</v>
      </c>
      <c r="DE27" s="38" t="s">
        <v>53</v>
      </c>
      <c r="DF27" s="36">
        <v>19.385913494545918</v>
      </c>
      <c r="DG27" s="37">
        <v>2.1978143168248869</v>
      </c>
      <c r="DH27" s="38" t="s">
        <v>53</v>
      </c>
      <c r="DI27" s="36">
        <v>5.6581612029128809</v>
      </c>
      <c r="DJ27" s="37">
        <v>2.8873909576161956</v>
      </c>
      <c r="DK27" s="39" t="s">
        <v>53</v>
      </c>
    </row>
    <row r="28" spans="1:115" x14ac:dyDescent="0.25">
      <c r="A28" s="15" t="s">
        <v>142</v>
      </c>
      <c r="B28" s="36">
        <v>9.9910190609751588</v>
      </c>
      <c r="C28" s="37">
        <v>2.3445392001655807</v>
      </c>
      <c r="D28" s="38" t="s">
        <v>53</v>
      </c>
      <c r="E28" s="36">
        <v>7.9671577306960062</v>
      </c>
      <c r="F28" s="37">
        <v>2.4230605065507347</v>
      </c>
      <c r="G28" s="38" t="s">
        <v>53</v>
      </c>
      <c r="H28" s="36">
        <v>18.235043504594437</v>
      </c>
      <c r="I28" s="37">
        <v>4.8194802936183008</v>
      </c>
      <c r="J28" s="38" t="s">
        <v>53</v>
      </c>
      <c r="K28" s="36">
        <v>23.039186438887231</v>
      </c>
      <c r="L28" s="37">
        <v>4.5764200934334278</v>
      </c>
      <c r="M28" s="38" t="s">
        <v>53</v>
      </c>
      <c r="N28" s="36">
        <v>13.048167377912076</v>
      </c>
      <c r="O28" s="37">
        <v>4.5341363168551707</v>
      </c>
      <c r="P28" s="38" t="s">
        <v>53</v>
      </c>
      <c r="Q28" s="36">
        <v>9.5354102059771968</v>
      </c>
      <c r="R28" s="37">
        <v>3.045580361991421</v>
      </c>
      <c r="S28" s="38" t="s">
        <v>53</v>
      </c>
      <c r="T28" s="36">
        <v>11.540900046774393</v>
      </c>
      <c r="U28" s="37">
        <v>2.8209676482623443</v>
      </c>
      <c r="V28" s="38" t="s">
        <v>53</v>
      </c>
      <c r="W28" s="36">
        <v>13.657796478698735</v>
      </c>
      <c r="X28" s="37">
        <v>2.9907696021192254</v>
      </c>
      <c r="Y28" s="38" t="s">
        <v>53</v>
      </c>
      <c r="Z28" s="36">
        <v>14.296206664378994</v>
      </c>
      <c r="AA28" s="37">
        <v>3.4130743148892368</v>
      </c>
      <c r="AB28" s="38" t="s">
        <v>53</v>
      </c>
      <c r="AC28" s="36">
        <v>4.7607964584017965</v>
      </c>
      <c r="AD28" s="37">
        <v>4.3322143115288663</v>
      </c>
      <c r="AE28" s="38" t="s">
        <v>53</v>
      </c>
      <c r="AF28" s="36">
        <v>9.7235106968951612</v>
      </c>
      <c r="AG28" s="37">
        <v>3.4492826148451403</v>
      </c>
      <c r="AH28" s="38" t="s">
        <v>53</v>
      </c>
      <c r="AI28" s="36">
        <v>10.019280034069387</v>
      </c>
      <c r="AJ28" s="37">
        <v>2.4185271955860381</v>
      </c>
      <c r="AK28" s="38" t="s">
        <v>53</v>
      </c>
      <c r="AL28" s="36">
        <v>12.524327010861189</v>
      </c>
      <c r="AM28" s="37">
        <v>2.6374146171960962</v>
      </c>
      <c r="AN28" s="38" t="s">
        <v>53</v>
      </c>
      <c r="AO28" s="36">
        <v>17.169944990936433</v>
      </c>
      <c r="AP28" s="37">
        <v>3.6626350964399728</v>
      </c>
      <c r="AQ28" s="38" t="s">
        <v>53</v>
      </c>
      <c r="AR28" s="36">
        <v>7.4464342940412678</v>
      </c>
      <c r="AS28" s="37">
        <v>4.5630830315896738</v>
      </c>
      <c r="AT28" s="38" t="s">
        <v>53</v>
      </c>
      <c r="AU28" s="36">
        <v>11.027089657912947</v>
      </c>
      <c r="AV28" s="37">
        <v>2.8928406121388819</v>
      </c>
      <c r="AW28" s="38" t="s">
        <v>53</v>
      </c>
      <c r="AX28" s="36">
        <v>11.341161879700941</v>
      </c>
      <c r="AY28" s="37">
        <v>2.8845904853229034</v>
      </c>
      <c r="AZ28" s="38" t="s">
        <v>53</v>
      </c>
      <c r="BA28" s="36">
        <v>11.33205008907181</v>
      </c>
      <c r="BB28" s="37">
        <v>2.7740154467659308</v>
      </c>
      <c r="BC28" s="38" t="s">
        <v>53</v>
      </c>
      <c r="BD28" s="36">
        <v>17.578850234341246</v>
      </c>
      <c r="BE28" s="37">
        <v>3.8775134857188984</v>
      </c>
      <c r="BF28" s="38" t="s">
        <v>53</v>
      </c>
      <c r="BG28" s="36">
        <v>6.551760576428296</v>
      </c>
      <c r="BH28" s="37">
        <v>4.5943937497438672</v>
      </c>
      <c r="BI28" s="38" t="s">
        <v>53</v>
      </c>
      <c r="BJ28" s="36">
        <v>8.7835372428656235</v>
      </c>
      <c r="BK28" s="37">
        <v>2.4178532385916149</v>
      </c>
      <c r="BL28" s="38" t="s">
        <v>53</v>
      </c>
      <c r="BM28" s="36">
        <v>11.48835614666381</v>
      </c>
      <c r="BN28" s="37">
        <v>2.3988461860786394</v>
      </c>
      <c r="BO28" s="38" t="s">
        <v>53</v>
      </c>
      <c r="BP28" s="36">
        <v>10.568970179579857</v>
      </c>
      <c r="BQ28" s="37">
        <v>2.547909850789507</v>
      </c>
      <c r="BR28" s="38" t="s">
        <v>53</v>
      </c>
      <c r="BS28" s="36">
        <v>19.816488027646333</v>
      </c>
      <c r="BT28" s="37">
        <v>4.6232610135148935</v>
      </c>
      <c r="BU28" s="38" t="s">
        <v>53</v>
      </c>
      <c r="BV28" s="36">
        <v>11.032950784780709</v>
      </c>
      <c r="BW28" s="37">
        <v>5.1938497125087011</v>
      </c>
      <c r="BX28" s="38" t="s">
        <v>53</v>
      </c>
      <c r="BY28" s="36">
        <v>16.39684984230546</v>
      </c>
      <c r="BZ28" s="37">
        <v>3.385159484943006</v>
      </c>
      <c r="CA28" s="38" t="s">
        <v>53</v>
      </c>
      <c r="CB28" s="36">
        <v>7.7044207897945167</v>
      </c>
      <c r="CC28" s="37">
        <v>2.7480120376175816</v>
      </c>
      <c r="CD28" s="38" t="s">
        <v>53</v>
      </c>
      <c r="CE28" s="36">
        <v>13.866920031474248</v>
      </c>
      <c r="CF28" s="37">
        <v>3.2893505168354764</v>
      </c>
      <c r="CG28" s="38" t="s">
        <v>53</v>
      </c>
      <c r="CH28" s="36">
        <v>17.612270359262077</v>
      </c>
      <c r="CI28" s="37">
        <v>4.3903576180156385</v>
      </c>
      <c r="CJ28" s="38" t="s">
        <v>53</v>
      </c>
      <c r="CK28" s="36">
        <v>1.2154205169566181</v>
      </c>
      <c r="CL28" s="37">
        <v>4.9465123279165804</v>
      </c>
      <c r="CM28" s="38" t="s">
        <v>53</v>
      </c>
      <c r="CN28" s="36">
        <v>10.978319970614187</v>
      </c>
      <c r="CO28" s="37">
        <v>2.7314829379699623</v>
      </c>
      <c r="CP28" s="38" t="s">
        <v>53</v>
      </c>
      <c r="CQ28" s="36">
        <v>15.60111125888608</v>
      </c>
      <c r="CR28" s="37">
        <v>3.9240643789051575</v>
      </c>
      <c r="CS28" s="38" t="s">
        <v>53</v>
      </c>
      <c r="CT28" s="36">
        <v>14.87257407564517</v>
      </c>
      <c r="CU28" s="37">
        <v>3.843151455528294</v>
      </c>
      <c r="CV28" s="38" t="s">
        <v>53</v>
      </c>
      <c r="CW28" s="36">
        <v>13.998538683161774</v>
      </c>
      <c r="CX28" s="37">
        <v>3.6853489015277026</v>
      </c>
      <c r="CY28" s="38" t="s">
        <v>53</v>
      </c>
      <c r="CZ28" s="36">
        <v>3.0202187125475888</v>
      </c>
      <c r="DA28" s="37">
        <v>4.4730469529235473</v>
      </c>
      <c r="DB28" s="38" t="s">
        <v>53</v>
      </c>
      <c r="DC28" s="36">
        <v>10.327106358580608</v>
      </c>
      <c r="DD28" s="37">
        <v>2.2130696872700772</v>
      </c>
      <c r="DE28" s="38" t="s">
        <v>53</v>
      </c>
      <c r="DF28" s="36">
        <v>15.23693304810347</v>
      </c>
      <c r="DG28" s="37">
        <v>2.3956659587053499</v>
      </c>
      <c r="DH28" s="38" t="s">
        <v>53</v>
      </c>
      <c r="DI28" s="36">
        <v>4.9098266895228591</v>
      </c>
      <c r="DJ28" s="37">
        <v>2.8635759375868108</v>
      </c>
      <c r="DK28" s="39" t="s">
        <v>53</v>
      </c>
    </row>
    <row r="29" spans="1:115" x14ac:dyDescent="0.25">
      <c r="A29" s="15" t="s">
        <v>143</v>
      </c>
      <c r="B29" s="36" t="s">
        <v>55</v>
      </c>
      <c r="C29" s="37" t="s">
        <v>55</v>
      </c>
      <c r="D29" s="38" t="s">
        <v>53</v>
      </c>
      <c r="E29" s="36" t="s">
        <v>55</v>
      </c>
      <c r="F29" s="37" t="s">
        <v>55</v>
      </c>
      <c r="G29" s="38" t="s">
        <v>53</v>
      </c>
      <c r="H29" s="36">
        <v>32.93589996348733</v>
      </c>
      <c r="I29" s="37">
        <v>9.9363034935930727</v>
      </c>
      <c r="J29" s="38" t="s">
        <v>53</v>
      </c>
      <c r="K29" s="36">
        <v>40.883968990109089</v>
      </c>
      <c r="L29" s="37">
        <v>11.568981697664556</v>
      </c>
      <c r="M29" s="38" t="s">
        <v>53</v>
      </c>
      <c r="N29" s="36" t="s">
        <v>55</v>
      </c>
      <c r="O29" s="37" t="s">
        <v>55</v>
      </c>
      <c r="P29" s="38" t="s">
        <v>53</v>
      </c>
      <c r="Q29" s="36">
        <v>44.438502906487024</v>
      </c>
      <c r="R29" s="37">
        <v>10.140505130183644</v>
      </c>
      <c r="S29" s="38" t="s">
        <v>53</v>
      </c>
      <c r="T29" s="36" t="s">
        <v>55</v>
      </c>
      <c r="U29" s="37" t="s">
        <v>55</v>
      </c>
      <c r="V29" s="38" t="s">
        <v>53</v>
      </c>
      <c r="W29" s="36">
        <v>32.087891743825715</v>
      </c>
      <c r="X29" s="37">
        <v>11.226080885836497</v>
      </c>
      <c r="Y29" s="38" t="s">
        <v>53</v>
      </c>
      <c r="Z29" s="36">
        <v>31.884058294411833</v>
      </c>
      <c r="AA29" s="37">
        <v>10.228753999957592</v>
      </c>
      <c r="AB29" s="38" t="s">
        <v>53</v>
      </c>
      <c r="AC29" s="36">
        <v>-12.554444612075185</v>
      </c>
      <c r="AD29" s="37">
        <v>14.922547842812431</v>
      </c>
      <c r="AE29" s="38" t="s">
        <v>53</v>
      </c>
      <c r="AF29" s="36">
        <v>20.388973813047091</v>
      </c>
      <c r="AG29" s="37">
        <v>8.6442260560741566</v>
      </c>
      <c r="AH29" s="38" t="s">
        <v>53</v>
      </c>
      <c r="AI29" s="36" t="s">
        <v>55</v>
      </c>
      <c r="AJ29" s="37" t="s">
        <v>55</v>
      </c>
      <c r="AK29" s="38" t="s">
        <v>53</v>
      </c>
      <c r="AL29" s="36" t="s">
        <v>55</v>
      </c>
      <c r="AM29" s="37" t="s">
        <v>55</v>
      </c>
      <c r="AN29" s="38" t="s">
        <v>53</v>
      </c>
      <c r="AO29" s="36">
        <v>46.654661043209373</v>
      </c>
      <c r="AP29" s="37">
        <v>10.881447330331179</v>
      </c>
      <c r="AQ29" s="38" t="s">
        <v>53</v>
      </c>
      <c r="AR29" s="36">
        <v>26.265687230162278</v>
      </c>
      <c r="AS29" s="37">
        <v>13.61331717679122</v>
      </c>
      <c r="AT29" s="38" t="s">
        <v>53</v>
      </c>
      <c r="AU29" s="36" t="s">
        <v>55</v>
      </c>
      <c r="AV29" s="37" t="s">
        <v>55</v>
      </c>
      <c r="AW29" s="38" t="s">
        <v>53</v>
      </c>
      <c r="AX29" s="36" t="s">
        <v>55</v>
      </c>
      <c r="AY29" s="37" t="s">
        <v>55</v>
      </c>
      <c r="AZ29" s="38" t="s">
        <v>53</v>
      </c>
      <c r="BA29" s="36">
        <v>43.099605172405866</v>
      </c>
      <c r="BB29" s="37">
        <v>10.238151042187134</v>
      </c>
      <c r="BC29" s="38" t="s">
        <v>53</v>
      </c>
      <c r="BD29" s="36">
        <v>31.40805093436796</v>
      </c>
      <c r="BE29" s="37">
        <v>9.8962966204538603</v>
      </c>
      <c r="BF29" s="38" t="s">
        <v>53</v>
      </c>
      <c r="BG29" s="36" t="s">
        <v>55</v>
      </c>
      <c r="BH29" s="37" t="s">
        <v>55</v>
      </c>
      <c r="BI29" s="38" t="s">
        <v>53</v>
      </c>
      <c r="BJ29" s="36" t="s">
        <v>55</v>
      </c>
      <c r="BK29" s="37" t="s">
        <v>55</v>
      </c>
      <c r="BL29" s="38" t="s">
        <v>53</v>
      </c>
      <c r="BM29" s="36" t="s">
        <v>55</v>
      </c>
      <c r="BN29" s="37" t="s">
        <v>55</v>
      </c>
      <c r="BO29" s="38" t="s">
        <v>53</v>
      </c>
      <c r="BP29" s="36">
        <v>34.98857785934311</v>
      </c>
      <c r="BQ29" s="37">
        <v>11.110566107984999</v>
      </c>
      <c r="BR29" s="38" t="s">
        <v>53</v>
      </c>
      <c r="BS29" s="36">
        <v>35.791646582537219</v>
      </c>
      <c r="BT29" s="37">
        <v>9.8145951306520729</v>
      </c>
      <c r="BU29" s="38" t="s">
        <v>53</v>
      </c>
      <c r="BV29" s="36" t="s">
        <v>55</v>
      </c>
      <c r="BW29" s="37" t="s">
        <v>55</v>
      </c>
      <c r="BX29" s="38" t="s">
        <v>53</v>
      </c>
      <c r="BY29" s="36" t="s">
        <v>55</v>
      </c>
      <c r="BZ29" s="37" t="s">
        <v>55</v>
      </c>
      <c r="CA29" s="38" t="s">
        <v>53</v>
      </c>
      <c r="CB29" s="36" t="s">
        <v>55</v>
      </c>
      <c r="CC29" s="37" t="s">
        <v>55</v>
      </c>
      <c r="CD29" s="38" t="s">
        <v>53</v>
      </c>
      <c r="CE29" s="36" t="s">
        <v>55</v>
      </c>
      <c r="CF29" s="37" t="s">
        <v>55</v>
      </c>
      <c r="CG29" s="38" t="s">
        <v>53</v>
      </c>
      <c r="CH29" s="36" t="s">
        <v>55</v>
      </c>
      <c r="CI29" s="37" t="s">
        <v>55</v>
      </c>
      <c r="CJ29" s="38" t="s">
        <v>53</v>
      </c>
      <c r="CK29" s="36" t="s">
        <v>55</v>
      </c>
      <c r="CL29" s="37" t="s">
        <v>55</v>
      </c>
      <c r="CM29" s="38" t="s">
        <v>53</v>
      </c>
      <c r="CN29" s="36" t="s">
        <v>55</v>
      </c>
      <c r="CO29" s="37" t="s">
        <v>55</v>
      </c>
      <c r="CP29" s="38" t="s">
        <v>53</v>
      </c>
      <c r="CQ29" s="36" t="s">
        <v>55</v>
      </c>
      <c r="CR29" s="37" t="s">
        <v>55</v>
      </c>
      <c r="CS29" s="38" t="s">
        <v>53</v>
      </c>
      <c r="CT29" s="36">
        <v>35.25450232868215</v>
      </c>
      <c r="CU29" s="37">
        <v>10.304467671129331</v>
      </c>
      <c r="CV29" s="38" t="s">
        <v>53</v>
      </c>
      <c r="CW29" s="36" t="s">
        <v>55</v>
      </c>
      <c r="CX29" s="37" t="s">
        <v>55</v>
      </c>
      <c r="CY29" s="38" t="s">
        <v>53</v>
      </c>
      <c r="CZ29" s="36" t="s">
        <v>55</v>
      </c>
      <c r="DA29" s="37" t="s">
        <v>55</v>
      </c>
      <c r="DB29" s="38" t="s">
        <v>53</v>
      </c>
      <c r="DC29" s="36">
        <v>21.753241060387786</v>
      </c>
      <c r="DD29" s="37">
        <v>7.9138904157056507</v>
      </c>
      <c r="DE29" s="38" t="s">
        <v>53</v>
      </c>
      <c r="DF29" s="36">
        <v>37.877773898283174</v>
      </c>
      <c r="DG29" s="37">
        <v>7.0248188019870375</v>
      </c>
      <c r="DH29" s="38" t="s">
        <v>53</v>
      </c>
      <c r="DI29" s="36">
        <v>16.12453283789538</v>
      </c>
      <c r="DJ29" s="37">
        <v>10.497692600113695</v>
      </c>
      <c r="DK29" s="39" t="s">
        <v>53</v>
      </c>
    </row>
    <row r="30" spans="1:115" x14ac:dyDescent="0.25">
      <c r="A30" s="15" t="s">
        <v>144</v>
      </c>
      <c r="B30" s="36">
        <v>5.3594926173812052</v>
      </c>
      <c r="C30" s="37">
        <v>3.5577444998103398</v>
      </c>
      <c r="D30" s="38" t="s">
        <v>53</v>
      </c>
      <c r="E30" s="36">
        <v>6.1277414737748375</v>
      </c>
      <c r="F30" s="37">
        <v>4.4989069483188118</v>
      </c>
      <c r="G30" s="38" t="s">
        <v>53</v>
      </c>
      <c r="H30" s="36" t="s">
        <v>55</v>
      </c>
      <c r="I30" s="37" t="s">
        <v>55</v>
      </c>
      <c r="J30" s="38" t="s">
        <v>53</v>
      </c>
      <c r="K30" s="36" t="s">
        <v>55</v>
      </c>
      <c r="L30" s="37" t="s">
        <v>55</v>
      </c>
      <c r="M30" s="38" t="s">
        <v>53</v>
      </c>
      <c r="N30" s="36" t="s">
        <v>55</v>
      </c>
      <c r="O30" s="37" t="s">
        <v>55</v>
      </c>
      <c r="P30" s="38" t="s">
        <v>53</v>
      </c>
      <c r="Q30" s="36">
        <v>5.7120731645987934</v>
      </c>
      <c r="R30" s="37">
        <v>4.0548381418274415</v>
      </c>
      <c r="S30" s="38" t="s">
        <v>53</v>
      </c>
      <c r="T30" s="36">
        <v>8.3766919322748183</v>
      </c>
      <c r="U30" s="37">
        <v>6.0699771116141301</v>
      </c>
      <c r="V30" s="38" t="s">
        <v>53</v>
      </c>
      <c r="W30" s="36">
        <v>8.6225836720132065</v>
      </c>
      <c r="X30" s="37">
        <v>4.7559481248526287</v>
      </c>
      <c r="Y30" s="38" t="s">
        <v>53</v>
      </c>
      <c r="Z30" s="36">
        <v>6.5215651525716609</v>
      </c>
      <c r="AA30" s="37">
        <v>5.9954222959647234</v>
      </c>
      <c r="AB30" s="38" t="s">
        <v>53</v>
      </c>
      <c r="AC30" s="36">
        <v>0.80949198797286759</v>
      </c>
      <c r="AD30" s="37">
        <v>7.5223017182917076</v>
      </c>
      <c r="AE30" s="38" t="s">
        <v>53</v>
      </c>
      <c r="AF30" s="36">
        <v>7.1352056995887185</v>
      </c>
      <c r="AG30" s="37">
        <v>4.1222435563089226</v>
      </c>
      <c r="AH30" s="38" t="s">
        <v>53</v>
      </c>
      <c r="AI30" s="36">
        <v>6.7601083815352556</v>
      </c>
      <c r="AJ30" s="37">
        <v>4.2692030913879533</v>
      </c>
      <c r="AK30" s="38" t="s">
        <v>53</v>
      </c>
      <c r="AL30" s="36">
        <v>6.3481993077517256</v>
      </c>
      <c r="AM30" s="37">
        <v>4.5323934442299274</v>
      </c>
      <c r="AN30" s="38" t="s">
        <v>53</v>
      </c>
      <c r="AO30" s="36" t="s">
        <v>55</v>
      </c>
      <c r="AP30" s="37" t="s">
        <v>55</v>
      </c>
      <c r="AQ30" s="38" t="s">
        <v>53</v>
      </c>
      <c r="AR30" s="36" t="s">
        <v>55</v>
      </c>
      <c r="AS30" s="37" t="s">
        <v>55</v>
      </c>
      <c r="AT30" s="38" t="s">
        <v>53</v>
      </c>
      <c r="AU30" s="36">
        <v>10.800623309150994</v>
      </c>
      <c r="AV30" s="37">
        <v>5.1226941414794593</v>
      </c>
      <c r="AW30" s="38" t="s">
        <v>53</v>
      </c>
      <c r="AX30" s="36">
        <v>7.7541646835313864</v>
      </c>
      <c r="AY30" s="37">
        <v>4.9433939207713173</v>
      </c>
      <c r="AZ30" s="38" t="s">
        <v>53</v>
      </c>
      <c r="BA30" s="36">
        <v>2.8366677165341705</v>
      </c>
      <c r="BB30" s="37">
        <v>3.388130618216592</v>
      </c>
      <c r="BC30" s="38" t="s">
        <v>53</v>
      </c>
      <c r="BD30" s="36" t="s">
        <v>55</v>
      </c>
      <c r="BE30" s="37" t="s">
        <v>55</v>
      </c>
      <c r="BF30" s="38" t="s">
        <v>53</v>
      </c>
      <c r="BG30" s="36" t="s">
        <v>55</v>
      </c>
      <c r="BH30" s="37" t="s">
        <v>55</v>
      </c>
      <c r="BI30" s="38" t="s">
        <v>53</v>
      </c>
      <c r="BJ30" s="36">
        <v>5.4024316498532006</v>
      </c>
      <c r="BK30" s="37">
        <v>3.7534044399616127</v>
      </c>
      <c r="BL30" s="38" t="s">
        <v>53</v>
      </c>
      <c r="BM30" s="36">
        <v>3.3074559882585843</v>
      </c>
      <c r="BN30" s="37">
        <v>3.2439058345031233</v>
      </c>
      <c r="BO30" s="38" t="s">
        <v>53</v>
      </c>
      <c r="BP30" s="36">
        <v>6.6062160036175062</v>
      </c>
      <c r="BQ30" s="37">
        <v>4.8619236935073973</v>
      </c>
      <c r="BR30" s="38" t="s">
        <v>53</v>
      </c>
      <c r="BS30" s="36">
        <v>13.559326156041248</v>
      </c>
      <c r="BT30" s="37">
        <v>7.648225566948458</v>
      </c>
      <c r="BU30" s="38" t="s">
        <v>53</v>
      </c>
      <c r="BV30" s="36">
        <v>8.1568945061880456</v>
      </c>
      <c r="BW30" s="37">
        <v>8.4985265316500413</v>
      </c>
      <c r="BX30" s="38" t="s">
        <v>53</v>
      </c>
      <c r="BY30" s="36">
        <v>3.6427955616241703</v>
      </c>
      <c r="BZ30" s="37">
        <v>3.3530915415832476</v>
      </c>
      <c r="CA30" s="38" t="s">
        <v>53</v>
      </c>
      <c r="CB30" s="36">
        <v>5.2746135792029971</v>
      </c>
      <c r="CC30" s="37">
        <v>4.9987347701471538</v>
      </c>
      <c r="CD30" s="38" t="s">
        <v>53</v>
      </c>
      <c r="CE30" s="36">
        <v>16.815402470299855</v>
      </c>
      <c r="CF30" s="37">
        <v>8.627057637375378</v>
      </c>
      <c r="CG30" s="38" t="s">
        <v>53</v>
      </c>
      <c r="CH30" s="36" t="s">
        <v>55</v>
      </c>
      <c r="CI30" s="37" t="s">
        <v>55</v>
      </c>
      <c r="CJ30" s="38" t="s">
        <v>53</v>
      </c>
      <c r="CK30" s="36" t="s">
        <v>55</v>
      </c>
      <c r="CL30" s="37" t="s">
        <v>55</v>
      </c>
      <c r="CM30" s="38" t="s">
        <v>53</v>
      </c>
      <c r="CN30" s="36">
        <v>5.7863764738991863</v>
      </c>
      <c r="CO30" s="37">
        <v>4.9355899494410282</v>
      </c>
      <c r="CP30" s="38" t="s">
        <v>53</v>
      </c>
      <c r="CQ30" s="36">
        <v>12.016680852386894</v>
      </c>
      <c r="CR30" s="37">
        <v>7.0356405267013589</v>
      </c>
      <c r="CS30" s="38" t="s">
        <v>53</v>
      </c>
      <c r="CT30" s="36">
        <v>7.8934640875047144</v>
      </c>
      <c r="CU30" s="37">
        <v>5.8037874114229382</v>
      </c>
      <c r="CV30" s="38" t="s">
        <v>53</v>
      </c>
      <c r="CW30" s="36" t="s">
        <v>55</v>
      </c>
      <c r="CX30" s="37" t="s">
        <v>55</v>
      </c>
      <c r="CY30" s="38" t="s">
        <v>53</v>
      </c>
      <c r="CZ30" s="36" t="s">
        <v>55</v>
      </c>
      <c r="DA30" s="37" t="s">
        <v>55</v>
      </c>
      <c r="DB30" s="38" t="s">
        <v>53</v>
      </c>
      <c r="DC30" s="36">
        <v>0.31314676234302502</v>
      </c>
      <c r="DD30" s="37">
        <v>0.98586366218121335</v>
      </c>
      <c r="DE30" s="38" t="s">
        <v>53</v>
      </c>
      <c r="DF30" s="36">
        <v>11.627033286743288</v>
      </c>
      <c r="DG30" s="37">
        <v>4.32452945636238</v>
      </c>
      <c r="DH30" s="38" t="s">
        <v>53</v>
      </c>
      <c r="DI30" s="36">
        <v>11.313886524400264</v>
      </c>
      <c r="DJ30" s="37">
        <v>4.5395550023055922</v>
      </c>
      <c r="DK30" s="39" t="s">
        <v>53</v>
      </c>
    </row>
    <row r="31" spans="1:115" x14ac:dyDescent="0.25">
      <c r="A31" s="15" t="s">
        <v>145</v>
      </c>
      <c r="B31" s="36">
        <v>19.462986611014898</v>
      </c>
      <c r="C31" s="37">
        <v>2.7551058572892617</v>
      </c>
      <c r="D31" s="38" t="s">
        <v>53</v>
      </c>
      <c r="E31" s="36">
        <v>22.977647995260135</v>
      </c>
      <c r="F31" s="37">
        <v>2.9384039616894042</v>
      </c>
      <c r="G31" s="38" t="s">
        <v>53</v>
      </c>
      <c r="H31" s="36">
        <v>25.713961627042174</v>
      </c>
      <c r="I31" s="37">
        <v>3.620305647418371</v>
      </c>
      <c r="J31" s="38" t="s">
        <v>53</v>
      </c>
      <c r="K31" s="36">
        <v>27.916633764821803</v>
      </c>
      <c r="L31" s="37">
        <v>4.0578372732929546</v>
      </c>
      <c r="M31" s="38" t="s">
        <v>53</v>
      </c>
      <c r="N31" s="36">
        <v>8.4536471538069069</v>
      </c>
      <c r="O31" s="37">
        <v>5.0431178977761411</v>
      </c>
      <c r="P31" s="38" t="s">
        <v>53</v>
      </c>
      <c r="Q31" s="36">
        <v>19.789766657067354</v>
      </c>
      <c r="R31" s="37">
        <v>2.8896678835228782</v>
      </c>
      <c r="S31" s="38" t="s">
        <v>53</v>
      </c>
      <c r="T31" s="36">
        <v>21.705090531019497</v>
      </c>
      <c r="U31" s="37">
        <v>3.021262817136332</v>
      </c>
      <c r="V31" s="38" t="s">
        <v>53</v>
      </c>
      <c r="W31" s="36">
        <v>25.689457030439616</v>
      </c>
      <c r="X31" s="37">
        <v>3.4742426768682013</v>
      </c>
      <c r="Y31" s="38" t="s">
        <v>53</v>
      </c>
      <c r="Z31" s="36">
        <v>19.190404830682535</v>
      </c>
      <c r="AA31" s="37">
        <v>2.9276352926016336</v>
      </c>
      <c r="AB31" s="38" t="s">
        <v>53</v>
      </c>
      <c r="AC31" s="36">
        <v>-0.5993618263848175</v>
      </c>
      <c r="AD31" s="37">
        <v>4.0520364683176435</v>
      </c>
      <c r="AE31" s="38" t="s">
        <v>53</v>
      </c>
      <c r="AF31" s="36">
        <v>20.120639725924249</v>
      </c>
      <c r="AG31" s="37">
        <v>2.8199989498643769</v>
      </c>
      <c r="AH31" s="38" t="s">
        <v>53</v>
      </c>
      <c r="AI31" s="36">
        <v>22.201051435923837</v>
      </c>
      <c r="AJ31" s="37">
        <v>3.339970911495413</v>
      </c>
      <c r="AK31" s="38" t="s">
        <v>53</v>
      </c>
      <c r="AL31" s="36">
        <v>18.703968266375323</v>
      </c>
      <c r="AM31" s="37">
        <v>3.124690681747023</v>
      </c>
      <c r="AN31" s="38" t="s">
        <v>53</v>
      </c>
      <c r="AO31" s="36">
        <v>25.279748168224202</v>
      </c>
      <c r="AP31" s="37">
        <v>3.3868773691624861</v>
      </c>
      <c r="AQ31" s="38" t="s">
        <v>53</v>
      </c>
      <c r="AR31" s="36">
        <v>5.15910844229996</v>
      </c>
      <c r="AS31" s="37">
        <v>4.2017398009640408</v>
      </c>
      <c r="AT31" s="38" t="s">
        <v>53</v>
      </c>
      <c r="AU31" s="36">
        <v>22.970766386965764</v>
      </c>
      <c r="AV31" s="37">
        <v>3.4456786148020293</v>
      </c>
      <c r="AW31" s="38" t="s">
        <v>53</v>
      </c>
      <c r="AX31" s="36">
        <v>17.465553340077243</v>
      </c>
      <c r="AY31" s="37">
        <v>3.0416831564482036</v>
      </c>
      <c r="AZ31" s="38" t="s">
        <v>53</v>
      </c>
      <c r="BA31" s="36">
        <v>23.15068023386954</v>
      </c>
      <c r="BB31" s="37">
        <v>3.3163712327401536</v>
      </c>
      <c r="BC31" s="38" t="s">
        <v>53</v>
      </c>
      <c r="BD31" s="36">
        <v>25.692203346379067</v>
      </c>
      <c r="BE31" s="37">
        <v>3.0055183733027424</v>
      </c>
      <c r="BF31" s="38" t="s">
        <v>53</v>
      </c>
      <c r="BG31" s="36">
        <v>2.7214369594133081</v>
      </c>
      <c r="BH31" s="37">
        <v>4.7810888212351177</v>
      </c>
      <c r="BI31" s="38" t="s">
        <v>53</v>
      </c>
      <c r="BJ31" s="36">
        <v>15.721815377197984</v>
      </c>
      <c r="BK31" s="37">
        <v>2.6028779638072415</v>
      </c>
      <c r="BL31" s="38" t="s">
        <v>53</v>
      </c>
      <c r="BM31" s="36">
        <v>23.665657632746573</v>
      </c>
      <c r="BN31" s="37">
        <v>2.8373750125104449</v>
      </c>
      <c r="BO31" s="38" t="s">
        <v>53</v>
      </c>
      <c r="BP31" s="36">
        <v>23.290534106001211</v>
      </c>
      <c r="BQ31" s="37">
        <v>2.9068530135977664</v>
      </c>
      <c r="BR31" s="38" t="s">
        <v>53</v>
      </c>
      <c r="BS31" s="36">
        <v>23.172237239343051</v>
      </c>
      <c r="BT31" s="37">
        <v>3.2692373997680315</v>
      </c>
      <c r="BU31" s="38" t="s">
        <v>53</v>
      </c>
      <c r="BV31" s="36">
        <v>7.450421862145074</v>
      </c>
      <c r="BW31" s="37">
        <v>3.9120463312012834</v>
      </c>
      <c r="BX31" s="38" t="s">
        <v>53</v>
      </c>
      <c r="BY31" s="36">
        <v>22.79075705903421</v>
      </c>
      <c r="BZ31" s="37">
        <v>3.7179343642790825</v>
      </c>
      <c r="CA31" s="38" t="s">
        <v>53</v>
      </c>
      <c r="CB31" s="36">
        <v>23.204510072820174</v>
      </c>
      <c r="CC31" s="37">
        <v>3.6244758787717388</v>
      </c>
      <c r="CD31" s="38" t="s">
        <v>53</v>
      </c>
      <c r="CE31" s="36">
        <v>27.709759251437298</v>
      </c>
      <c r="CF31" s="37">
        <v>3.5666100328374832</v>
      </c>
      <c r="CG31" s="38" t="s">
        <v>53</v>
      </c>
      <c r="CH31" s="36">
        <v>21.66245440648915</v>
      </c>
      <c r="CI31" s="37">
        <v>3.4089661744206095</v>
      </c>
      <c r="CJ31" s="38" t="s">
        <v>53</v>
      </c>
      <c r="CK31" s="36">
        <v>-1.1283026525450541</v>
      </c>
      <c r="CL31" s="37">
        <v>5.319681291399629</v>
      </c>
      <c r="CM31" s="38" t="s">
        <v>53</v>
      </c>
      <c r="CN31" s="36">
        <v>23.110661236371559</v>
      </c>
      <c r="CO31" s="37">
        <v>3.1229429506731412</v>
      </c>
      <c r="CP31" s="38" t="s">
        <v>53</v>
      </c>
      <c r="CQ31" s="36">
        <v>24.913296021211853</v>
      </c>
      <c r="CR31" s="37">
        <v>3.7092452492744186</v>
      </c>
      <c r="CS31" s="38" t="s">
        <v>53</v>
      </c>
      <c r="CT31" s="36">
        <v>23.761709656371682</v>
      </c>
      <c r="CU31" s="37">
        <v>3.7868663101772122</v>
      </c>
      <c r="CV31" s="38" t="s">
        <v>53</v>
      </c>
      <c r="CW31" s="36">
        <v>23.261828559001909</v>
      </c>
      <c r="CX31" s="37">
        <v>3.3832270353446705</v>
      </c>
      <c r="CY31" s="38" t="s">
        <v>53</v>
      </c>
      <c r="CZ31" s="36">
        <v>0.15116732263034727</v>
      </c>
      <c r="DA31" s="37">
        <v>4.7765587618230878</v>
      </c>
      <c r="DB31" s="38" t="s">
        <v>53</v>
      </c>
      <c r="DC31" s="36">
        <v>14.817952591936139</v>
      </c>
      <c r="DD31" s="37">
        <v>2.6252699636447425</v>
      </c>
      <c r="DE31" s="38" t="s">
        <v>53</v>
      </c>
      <c r="DF31" s="36">
        <v>24.571739488124038</v>
      </c>
      <c r="DG31" s="37">
        <v>1.9857664536839195</v>
      </c>
      <c r="DH31" s="38" t="s">
        <v>53</v>
      </c>
      <c r="DI31" s="36">
        <v>9.7537868961879006</v>
      </c>
      <c r="DJ31" s="37">
        <v>3.4194807518849886</v>
      </c>
      <c r="DK31" s="39" t="s">
        <v>53</v>
      </c>
    </row>
    <row r="32" spans="1:115" x14ac:dyDescent="0.25">
      <c r="A32" s="15" t="s">
        <v>146</v>
      </c>
      <c r="B32" s="36" t="s">
        <v>55</v>
      </c>
      <c r="C32" s="37" t="s">
        <v>55</v>
      </c>
      <c r="D32" s="38" t="s">
        <v>53</v>
      </c>
      <c r="E32" s="36" t="s">
        <v>55</v>
      </c>
      <c r="F32" s="37" t="s">
        <v>55</v>
      </c>
      <c r="G32" s="38" t="s">
        <v>53</v>
      </c>
      <c r="H32" s="36" t="s">
        <v>55</v>
      </c>
      <c r="I32" s="37" t="s">
        <v>55</v>
      </c>
      <c r="J32" s="38" t="s">
        <v>53</v>
      </c>
      <c r="K32" s="36" t="s">
        <v>55</v>
      </c>
      <c r="L32" s="37" t="s">
        <v>55</v>
      </c>
      <c r="M32" s="38" t="s">
        <v>53</v>
      </c>
      <c r="N32" s="36" t="s">
        <v>55</v>
      </c>
      <c r="O32" s="37" t="s">
        <v>55</v>
      </c>
      <c r="P32" s="38" t="s">
        <v>53</v>
      </c>
      <c r="Q32" s="36">
        <v>25.77466344371258</v>
      </c>
      <c r="R32" s="37">
        <v>3.8638000424783661</v>
      </c>
      <c r="S32" s="38" t="s">
        <v>53</v>
      </c>
      <c r="T32" s="36">
        <v>26.036456896326971</v>
      </c>
      <c r="U32" s="37">
        <v>3.2908456731571083</v>
      </c>
      <c r="V32" s="38" t="s">
        <v>53</v>
      </c>
      <c r="W32" s="36">
        <v>25.063510870705969</v>
      </c>
      <c r="X32" s="37">
        <v>3.6826701885241966</v>
      </c>
      <c r="Y32" s="38" t="s">
        <v>53</v>
      </c>
      <c r="Z32" s="36">
        <v>20.858809871789834</v>
      </c>
      <c r="AA32" s="37">
        <v>3.5573841987332653</v>
      </c>
      <c r="AB32" s="38" t="s">
        <v>53</v>
      </c>
      <c r="AC32" s="36">
        <v>-4.9158535719227459</v>
      </c>
      <c r="AD32" s="37">
        <v>4.9360721587528547</v>
      </c>
      <c r="AE32" s="38" t="s">
        <v>53</v>
      </c>
      <c r="AF32" s="36">
        <v>22.260124976614986</v>
      </c>
      <c r="AG32" s="37">
        <v>2.9384687961152096</v>
      </c>
      <c r="AH32" s="38" t="s">
        <v>53</v>
      </c>
      <c r="AI32" s="36">
        <v>25.499306276441036</v>
      </c>
      <c r="AJ32" s="37">
        <v>3.4294853615453977</v>
      </c>
      <c r="AK32" s="38" t="s">
        <v>53</v>
      </c>
      <c r="AL32" s="36">
        <v>23.617186226917077</v>
      </c>
      <c r="AM32" s="37">
        <v>3.4551869432533548</v>
      </c>
      <c r="AN32" s="38" t="s">
        <v>53</v>
      </c>
      <c r="AO32" s="36">
        <v>29.364831043089605</v>
      </c>
      <c r="AP32" s="37">
        <v>4.5575555626963107</v>
      </c>
      <c r="AQ32" s="38" t="s">
        <v>53</v>
      </c>
      <c r="AR32" s="36">
        <v>7.1047060664746224</v>
      </c>
      <c r="AS32" s="37">
        <v>5.4261513649498854</v>
      </c>
      <c r="AT32" s="38" t="s">
        <v>53</v>
      </c>
      <c r="AU32" s="36">
        <v>16.540317304004027</v>
      </c>
      <c r="AV32" s="37">
        <v>2.3979377702958713</v>
      </c>
      <c r="AW32" s="38" t="s">
        <v>53</v>
      </c>
      <c r="AX32" s="36">
        <v>27.900200173946477</v>
      </c>
      <c r="AY32" s="37">
        <v>3.5437061359962438</v>
      </c>
      <c r="AZ32" s="38" t="s">
        <v>53</v>
      </c>
      <c r="BA32" s="36">
        <v>29.786878614917573</v>
      </c>
      <c r="BB32" s="37">
        <v>3.4143750439667357</v>
      </c>
      <c r="BC32" s="38" t="s">
        <v>53</v>
      </c>
      <c r="BD32" s="36">
        <v>34.357304268876234</v>
      </c>
      <c r="BE32" s="37">
        <v>4.1480516758913186</v>
      </c>
      <c r="BF32" s="38" t="s">
        <v>53</v>
      </c>
      <c r="BG32" s="36">
        <v>17.816986964872207</v>
      </c>
      <c r="BH32" s="37">
        <v>4.4604885705693249</v>
      </c>
      <c r="BI32" s="38" t="s">
        <v>53</v>
      </c>
      <c r="BJ32" s="36">
        <v>18.853895943445352</v>
      </c>
      <c r="BK32" s="37">
        <v>3.0919519687104171</v>
      </c>
      <c r="BL32" s="38" t="s">
        <v>53</v>
      </c>
      <c r="BM32" s="36">
        <v>22.157736192351216</v>
      </c>
      <c r="BN32" s="37">
        <v>3.1900037735943978</v>
      </c>
      <c r="BO32" s="38" t="s">
        <v>53</v>
      </c>
      <c r="BP32" s="36">
        <v>29.100678684174824</v>
      </c>
      <c r="BQ32" s="37">
        <v>4.0477196647876044</v>
      </c>
      <c r="BR32" s="38" t="s">
        <v>53</v>
      </c>
      <c r="BS32" s="36">
        <v>30.113193762772884</v>
      </c>
      <c r="BT32" s="37">
        <v>4.3822693694905874</v>
      </c>
      <c r="BU32" s="38" t="s">
        <v>53</v>
      </c>
      <c r="BV32" s="36">
        <v>11.259297819327521</v>
      </c>
      <c r="BW32" s="37">
        <v>5.3782361010201418</v>
      </c>
      <c r="BX32" s="38" t="s">
        <v>53</v>
      </c>
      <c r="BY32" s="36">
        <v>24.752793939320316</v>
      </c>
      <c r="BZ32" s="37">
        <v>2.9059460259272671</v>
      </c>
      <c r="CA32" s="38" t="s">
        <v>53</v>
      </c>
      <c r="CB32" s="36">
        <v>26.588260841538734</v>
      </c>
      <c r="CC32" s="37">
        <v>3.3504930064068232</v>
      </c>
      <c r="CD32" s="38" t="s">
        <v>53</v>
      </c>
      <c r="CE32" s="36">
        <v>28.898812961814368</v>
      </c>
      <c r="CF32" s="37">
        <v>3.9236192626190132</v>
      </c>
      <c r="CG32" s="38" t="s">
        <v>53</v>
      </c>
      <c r="CH32" s="36">
        <v>29.406373523933109</v>
      </c>
      <c r="CI32" s="37">
        <v>4.6921937156183331</v>
      </c>
      <c r="CJ32" s="38" t="s">
        <v>53</v>
      </c>
      <c r="CK32" s="36">
        <v>4.6535795846127961</v>
      </c>
      <c r="CL32" s="37">
        <v>5.2404147912216912</v>
      </c>
      <c r="CM32" s="38" t="s">
        <v>53</v>
      </c>
      <c r="CN32" s="36">
        <v>28.467208309641141</v>
      </c>
      <c r="CO32" s="37">
        <v>3.6102086325129941</v>
      </c>
      <c r="CP32" s="38" t="s">
        <v>53</v>
      </c>
      <c r="CQ32" s="36">
        <v>23.574280149935429</v>
      </c>
      <c r="CR32" s="37">
        <v>2.9676872352928867</v>
      </c>
      <c r="CS32" s="38" t="s">
        <v>53</v>
      </c>
      <c r="CT32" s="36">
        <v>28.671572323196138</v>
      </c>
      <c r="CU32" s="37">
        <v>3.6365601768817015</v>
      </c>
      <c r="CV32" s="38" t="s">
        <v>53</v>
      </c>
      <c r="CW32" s="36">
        <v>26.946068381174872</v>
      </c>
      <c r="CX32" s="37">
        <v>3.928261759872695</v>
      </c>
      <c r="CY32" s="38" t="s">
        <v>53</v>
      </c>
      <c r="CZ32" s="36">
        <v>-1.5211399284662748</v>
      </c>
      <c r="DA32" s="37">
        <v>5.2457816425828891</v>
      </c>
      <c r="DB32" s="38" t="s">
        <v>53</v>
      </c>
      <c r="DC32" s="36">
        <v>19.819349455732606</v>
      </c>
      <c r="DD32" s="37">
        <v>3.0150169498743855</v>
      </c>
      <c r="DE32" s="38" t="s">
        <v>53</v>
      </c>
      <c r="DF32" s="36">
        <v>29.330378522994359</v>
      </c>
      <c r="DG32" s="37">
        <v>2.0776549213501387</v>
      </c>
      <c r="DH32" s="38" t="s">
        <v>53</v>
      </c>
      <c r="DI32" s="36">
        <v>9.511029067261747</v>
      </c>
      <c r="DJ32" s="37">
        <v>3.3558315815782662</v>
      </c>
      <c r="DK32" s="39" t="s">
        <v>53</v>
      </c>
    </row>
    <row r="33" spans="1:115" x14ac:dyDescent="0.25">
      <c r="A33" s="15" t="s">
        <v>147</v>
      </c>
      <c r="B33" s="36">
        <v>10.505595139092803</v>
      </c>
      <c r="C33" s="37">
        <v>2.4321893874679477</v>
      </c>
      <c r="D33" s="38" t="s">
        <v>53</v>
      </c>
      <c r="E33" s="36">
        <v>17.777301296500951</v>
      </c>
      <c r="F33" s="37">
        <v>5.3437022682795599</v>
      </c>
      <c r="G33" s="38" t="s">
        <v>53</v>
      </c>
      <c r="H33" s="36">
        <v>20.678823479877074</v>
      </c>
      <c r="I33" s="37">
        <v>3.7748721768402445</v>
      </c>
      <c r="J33" s="38" t="s">
        <v>53</v>
      </c>
      <c r="K33" s="36">
        <v>19.502719892791045</v>
      </c>
      <c r="L33" s="37">
        <v>5.4914923712918418</v>
      </c>
      <c r="M33" s="38" t="s">
        <v>53</v>
      </c>
      <c r="N33" s="36">
        <v>8.9971247536982428</v>
      </c>
      <c r="O33" s="37">
        <v>6.1982931045756837</v>
      </c>
      <c r="P33" s="38" t="s">
        <v>53</v>
      </c>
      <c r="Q33" s="36">
        <v>13.569290569932434</v>
      </c>
      <c r="R33" s="37">
        <v>2.9872538478808957</v>
      </c>
      <c r="S33" s="38" t="s">
        <v>53</v>
      </c>
      <c r="T33" s="36">
        <v>10.838955580607097</v>
      </c>
      <c r="U33" s="37">
        <v>3.0070375538752896</v>
      </c>
      <c r="V33" s="38" t="s">
        <v>53</v>
      </c>
      <c r="W33" s="36">
        <v>15.93939858835637</v>
      </c>
      <c r="X33" s="37">
        <v>4.3506589263997979</v>
      </c>
      <c r="Y33" s="38" t="s">
        <v>53</v>
      </c>
      <c r="Z33" s="36">
        <v>16.767992562132957</v>
      </c>
      <c r="AA33" s="37">
        <v>3.8662591261956409</v>
      </c>
      <c r="AB33" s="38" t="s">
        <v>53</v>
      </c>
      <c r="AC33" s="36">
        <v>3.1987019922005144</v>
      </c>
      <c r="AD33" s="37">
        <v>5.0431866473079792</v>
      </c>
      <c r="AE33" s="38" t="s">
        <v>53</v>
      </c>
      <c r="AF33" s="36">
        <v>12.268262612415432</v>
      </c>
      <c r="AG33" s="37">
        <v>2.8357020751005768</v>
      </c>
      <c r="AH33" s="38" t="s">
        <v>53</v>
      </c>
      <c r="AI33" s="36">
        <v>12.608009054530678</v>
      </c>
      <c r="AJ33" s="37">
        <v>3.6456266395537078</v>
      </c>
      <c r="AK33" s="38" t="s">
        <v>53</v>
      </c>
      <c r="AL33" s="36">
        <v>13.618696827883845</v>
      </c>
      <c r="AM33" s="37">
        <v>3.5558655376929127</v>
      </c>
      <c r="AN33" s="38" t="s">
        <v>53</v>
      </c>
      <c r="AO33" s="36">
        <v>20.479721068660396</v>
      </c>
      <c r="AP33" s="37">
        <v>4.9740790647310353</v>
      </c>
      <c r="AQ33" s="38" t="s">
        <v>53</v>
      </c>
      <c r="AR33" s="36">
        <v>8.2114584562449657</v>
      </c>
      <c r="AS33" s="37">
        <v>5.7633008840028266</v>
      </c>
      <c r="AT33" s="38" t="s">
        <v>53</v>
      </c>
      <c r="AU33" s="36">
        <v>10.616482354718441</v>
      </c>
      <c r="AV33" s="37">
        <v>2.8307500091350168</v>
      </c>
      <c r="AW33" s="38" t="s">
        <v>53</v>
      </c>
      <c r="AX33" s="36">
        <v>15.919722764158204</v>
      </c>
      <c r="AY33" s="37">
        <v>3.7373535245015383</v>
      </c>
      <c r="AZ33" s="38" t="s">
        <v>53</v>
      </c>
      <c r="BA33" s="36">
        <v>17.547676845087615</v>
      </c>
      <c r="BB33" s="37">
        <v>4.051587836587216</v>
      </c>
      <c r="BC33" s="38" t="s">
        <v>53</v>
      </c>
      <c r="BD33" s="36">
        <v>16.664559556313201</v>
      </c>
      <c r="BE33" s="37">
        <v>3.922257534539991</v>
      </c>
      <c r="BF33" s="38" t="s">
        <v>53</v>
      </c>
      <c r="BG33" s="36">
        <v>6.048077201594765</v>
      </c>
      <c r="BH33" s="37">
        <v>5.1603167859684929</v>
      </c>
      <c r="BI33" s="38" t="s">
        <v>53</v>
      </c>
      <c r="BJ33" s="36">
        <v>7.584853898962435</v>
      </c>
      <c r="BK33" s="37">
        <v>2.2748692686378171</v>
      </c>
      <c r="BL33" s="38" t="s">
        <v>53</v>
      </c>
      <c r="BM33" s="36">
        <v>10.865521812379002</v>
      </c>
      <c r="BN33" s="37">
        <v>3.0024287998557249</v>
      </c>
      <c r="BO33" s="38" t="s">
        <v>53</v>
      </c>
      <c r="BP33" s="36">
        <v>18.084029755930363</v>
      </c>
      <c r="BQ33" s="37">
        <v>3.8681544521412046</v>
      </c>
      <c r="BR33" s="38" t="s">
        <v>53</v>
      </c>
      <c r="BS33" s="36">
        <v>24.145720511892556</v>
      </c>
      <c r="BT33" s="37">
        <v>4.6203866705698831</v>
      </c>
      <c r="BU33" s="38" t="s">
        <v>53</v>
      </c>
      <c r="BV33" s="36">
        <v>16.56086661293012</v>
      </c>
      <c r="BW33" s="37">
        <v>5.2360481224889961</v>
      </c>
      <c r="BX33" s="38" t="s">
        <v>53</v>
      </c>
      <c r="BY33" s="36">
        <v>10.393848883449973</v>
      </c>
      <c r="BZ33" s="37">
        <v>3.5428597859495312</v>
      </c>
      <c r="CA33" s="38" t="s">
        <v>53</v>
      </c>
      <c r="CB33" s="36">
        <v>16.9625888801603</v>
      </c>
      <c r="CC33" s="37">
        <v>3.8044398971049014</v>
      </c>
      <c r="CD33" s="38" t="s">
        <v>53</v>
      </c>
      <c r="CE33" s="36">
        <v>21.203138195719347</v>
      </c>
      <c r="CF33" s="37">
        <v>5.614380005935625</v>
      </c>
      <c r="CG33" s="38" t="s">
        <v>53</v>
      </c>
      <c r="CH33" s="36">
        <v>16.415287242776795</v>
      </c>
      <c r="CI33" s="37">
        <v>4.2638911613991057</v>
      </c>
      <c r="CJ33" s="38" t="s">
        <v>53</v>
      </c>
      <c r="CK33" s="36">
        <v>6.0214383593268206</v>
      </c>
      <c r="CL33" s="37">
        <v>6.0332527531036471</v>
      </c>
      <c r="CM33" s="38" t="s">
        <v>53</v>
      </c>
      <c r="CN33" s="36">
        <v>21.369795875512242</v>
      </c>
      <c r="CO33" s="37">
        <v>5.2758354906326375</v>
      </c>
      <c r="CP33" s="38" t="s">
        <v>53</v>
      </c>
      <c r="CQ33" s="36">
        <v>17.18609394963109</v>
      </c>
      <c r="CR33" s="37">
        <v>4.5097681793187592</v>
      </c>
      <c r="CS33" s="38" t="s">
        <v>53</v>
      </c>
      <c r="CT33" s="36">
        <v>14.515939430048212</v>
      </c>
      <c r="CU33" s="37">
        <v>3.4032829734088268</v>
      </c>
      <c r="CV33" s="38" t="s">
        <v>53</v>
      </c>
      <c r="CW33" s="36">
        <v>13.28016701282502</v>
      </c>
      <c r="CX33" s="37">
        <v>3.7614730494175084</v>
      </c>
      <c r="CY33" s="38" t="s">
        <v>53</v>
      </c>
      <c r="CZ33" s="36">
        <v>-8.0896288626872224</v>
      </c>
      <c r="DA33" s="37">
        <v>6.9315244713519215</v>
      </c>
      <c r="DB33" s="38" t="s">
        <v>53</v>
      </c>
      <c r="DC33" s="36">
        <v>10.525358256179365</v>
      </c>
      <c r="DD33" s="37">
        <v>2.1998970909206124</v>
      </c>
      <c r="DE33" s="38" t="s">
        <v>53</v>
      </c>
      <c r="DF33" s="36">
        <v>17.311479012219401</v>
      </c>
      <c r="DG33" s="37">
        <v>2.3725070003703617</v>
      </c>
      <c r="DH33" s="38" t="s">
        <v>53</v>
      </c>
      <c r="DI33" s="36">
        <v>6.7861207560400345</v>
      </c>
      <c r="DJ33" s="37">
        <v>3.3425515691241539</v>
      </c>
      <c r="DK33" s="39" t="s">
        <v>53</v>
      </c>
    </row>
    <row r="34" spans="1:115" x14ac:dyDescent="0.25">
      <c r="A34" s="15" t="s">
        <v>148</v>
      </c>
      <c r="B34" s="36" t="s">
        <v>128</v>
      </c>
      <c r="C34" s="37" t="s">
        <v>128</v>
      </c>
      <c r="D34" s="38" t="s">
        <v>53</v>
      </c>
      <c r="E34" s="36" t="s">
        <v>128</v>
      </c>
      <c r="F34" s="37" t="s">
        <v>128</v>
      </c>
      <c r="G34" s="38" t="s">
        <v>53</v>
      </c>
      <c r="H34" s="36" t="s">
        <v>128</v>
      </c>
      <c r="I34" s="37" t="s">
        <v>128</v>
      </c>
      <c r="J34" s="38" t="s">
        <v>53</v>
      </c>
      <c r="K34" s="36" t="s">
        <v>128</v>
      </c>
      <c r="L34" s="37" t="s">
        <v>128</v>
      </c>
      <c r="M34" s="38" t="s">
        <v>53</v>
      </c>
      <c r="N34" s="36" t="s">
        <v>128</v>
      </c>
      <c r="O34" s="37" t="s">
        <v>128</v>
      </c>
      <c r="P34" s="38" t="s">
        <v>53</v>
      </c>
      <c r="Q34" s="36" t="s">
        <v>128</v>
      </c>
      <c r="R34" s="37" t="s">
        <v>128</v>
      </c>
      <c r="S34" s="38" t="s">
        <v>53</v>
      </c>
      <c r="T34" s="36" t="s">
        <v>128</v>
      </c>
      <c r="U34" s="37" t="s">
        <v>128</v>
      </c>
      <c r="V34" s="38" t="s">
        <v>53</v>
      </c>
      <c r="W34" s="36" t="s">
        <v>128</v>
      </c>
      <c r="X34" s="37" t="s">
        <v>128</v>
      </c>
      <c r="Y34" s="38" t="s">
        <v>53</v>
      </c>
      <c r="Z34" s="36" t="s">
        <v>128</v>
      </c>
      <c r="AA34" s="37" t="s">
        <v>128</v>
      </c>
      <c r="AB34" s="38" t="s">
        <v>53</v>
      </c>
      <c r="AC34" s="36" t="s">
        <v>128</v>
      </c>
      <c r="AD34" s="37" t="s">
        <v>128</v>
      </c>
      <c r="AE34" s="38" t="s">
        <v>53</v>
      </c>
      <c r="AF34" s="36" t="s">
        <v>128</v>
      </c>
      <c r="AG34" s="37" t="s">
        <v>128</v>
      </c>
      <c r="AH34" s="38" t="s">
        <v>53</v>
      </c>
      <c r="AI34" s="36" t="s">
        <v>128</v>
      </c>
      <c r="AJ34" s="37" t="s">
        <v>128</v>
      </c>
      <c r="AK34" s="38" t="s">
        <v>53</v>
      </c>
      <c r="AL34" s="36" t="s">
        <v>128</v>
      </c>
      <c r="AM34" s="37" t="s">
        <v>128</v>
      </c>
      <c r="AN34" s="38" t="s">
        <v>53</v>
      </c>
      <c r="AO34" s="36" t="s">
        <v>128</v>
      </c>
      <c r="AP34" s="37" t="s">
        <v>128</v>
      </c>
      <c r="AQ34" s="38" t="s">
        <v>53</v>
      </c>
      <c r="AR34" s="36" t="s">
        <v>128</v>
      </c>
      <c r="AS34" s="37" t="s">
        <v>128</v>
      </c>
      <c r="AT34" s="38" t="s">
        <v>53</v>
      </c>
      <c r="AU34" s="36" t="s">
        <v>128</v>
      </c>
      <c r="AV34" s="37" t="s">
        <v>128</v>
      </c>
      <c r="AW34" s="38" t="s">
        <v>53</v>
      </c>
      <c r="AX34" s="36" t="s">
        <v>128</v>
      </c>
      <c r="AY34" s="37" t="s">
        <v>128</v>
      </c>
      <c r="AZ34" s="38" t="s">
        <v>53</v>
      </c>
      <c r="BA34" s="36" t="s">
        <v>128</v>
      </c>
      <c r="BB34" s="37" t="s">
        <v>128</v>
      </c>
      <c r="BC34" s="38" t="s">
        <v>53</v>
      </c>
      <c r="BD34" s="36" t="s">
        <v>128</v>
      </c>
      <c r="BE34" s="37" t="s">
        <v>128</v>
      </c>
      <c r="BF34" s="38" t="s">
        <v>53</v>
      </c>
      <c r="BG34" s="36" t="s">
        <v>128</v>
      </c>
      <c r="BH34" s="37" t="s">
        <v>128</v>
      </c>
      <c r="BI34" s="38" t="s">
        <v>53</v>
      </c>
      <c r="BJ34" s="36" t="s">
        <v>128</v>
      </c>
      <c r="BK34" s="37" t="s">
        <v>128</v>
      </c>
      <c r="BL34" s="38" t="s">
        <v>53</v>
      </c>
      <c r="BM34" s="36" t="s">
        <v>128</v>
      </c>
      <c r="BN34" s="37" t="s">
        <v>128</v>
      </c>
      <c r="BO34" s="38" t="s">
        <v>53</v>
      </c>
      <c r="BP34" s="36" t="s">
        <v>128</v>
      </c>
      <c r="BQ34" s="37" t="s">
        <v>128</v>
      </c>
      <c r="BR34" s="38" t="s">
        <v>53</v>
      </c>
      <c r="BS34" s="36" t="s">
        <v>128</v>
      </c>
      <c r="BT34" s="37" t="s">
        <v>128</v>
      </c>
      <c r="BU34" s="38" t="s">
        <v>53</v>
      </c>
      <c r="BV34" s="36" t="s">
        <v>128</v>
      </c>
      <c r="BW34" s="37" t="s">
        <v>128</v>
      </c>
      <c r="BX34" s="38" t="s">
        <v>53</v>
      </c>
      <c r="BY34" s="36" t="s">
        <v>128</v>
      </c>
      <c r="BZ34" s="37" t="s">
        <v>128</v>
      </c>
      <c r="CA34" s="38" t="s">
        <v>53</v>
      </c>
      <c r="CB34" s="36" t="s">
        <v>128</v>
      </c>
      <c r="CC34" s="37" t="s">
        <v>128</v>
      </c>
      <c r="CD34" s="38" t="s">
        <v>53</v>
      </c>
      <c r="CE34" s="36" t="s">
        <v>128</v>
      </c>
      <c r="CF34" s="37" t="s">
        <v>128</v>
      </c>
      <c r="CG34" s="38" t="s">
        <v>53</v>
      </c>
      <c r="CH34" s="36" t="s">
        <v>128</v>
      </c>
      <c r="CI34" s="37" t="s">
        <v>128</v>
      </c>
      <c r="CJ34" s="38" t="s">
        <v>53</v>
      </c>
      <c r="CK34" s="36" t="s">
        <v>128</v>
      </c>
      <c r="CL34" s="37" t="s">
        <v>128</v>
      </c>
      <c r="CM34" s="38" t="s">
        <v>53</v>
      </c>
      <c r="CN34" s="36" t="s">
        <v>128</v>
      </c>
      <c r="CO34" s="37" t="s">
        <v>128</v>
      </c>
      <c r="CP34" s="38" t="s">
        <v>53</v>
      </c>
      <c r="CQ34" s="36" t="s">
        <v>128</v>
      </c>
      <c r="CR34" s="37" t="s">
        <v>128</v>
      </c>
      <c r="CS34" s="38" t="s">
        <v>53</v>
      </c>
      <c r="CT34" s="36" t="s">
        <v>128</v>
      </c>
      <c r="CU34" s="37" t="s">
        <v>128</v>
      </c>
      <c r="CV34" s="38" t="s">
        <v>53</v>
      </c>
      <c r="CW34" s="36" t="s">
        <v>128</v>
      </c>
      <c r="CX34" s="37" t="s">
        <v>128</v>
      </c>
      <c r="CY34" s="38" t="s">
        <v>53</v>
      </c>
      <c r="CZ34" s="36" t="s">
        <v>128</v>
      </c>
      <c r="DA34" s="37" t="s">
        <v>128</v>
      </c>
      <c r="DB34" s="38" t="s">
        <v>53</v>
      </c>
      <c r="DC34" s="36" t="s">
        <v>128</v>
      </c>
      <c r="DD34" s="37" t="s">
        <v>128</v>
      </c>
      <c r="DE34" s="38" t="s">
        <v>53</v>
      </c>
      <c r="DF34" s="36" t="s">
        <v>128</v>
      </c>
      <c r="DG34" s="37" t="s">
        <v>128</v>
      </c>
      <c r="DH34" s="38" t="s">
        <v>53</v>
      </c>
      <c r="DI34" s="36" t="s">
        <v>128</v>
      </c>
      <c r="DJ34" s="37" t="s">
        <v>128</v>
      </c>
      <c r="DK34" s="39" t="s">
        <v>53</v>
      </c>
    </row>
    <row r="35" spans="1:115" x14ac:dyDescent="0.25">
      <c r="A35" s="15" t="s">
        <v>149</v>
      </c>
      <c r="B35" s="36" t="s">
        <v>55</v>
      </c>
      <c r="C35" s="37" t="s">
        <v>55</v>
      </c>
      <c r="D35" s="38" t="s">
        <v>53</v>
      </c>
      <c r="E35" s="36" t="s">
        <v>55</v>
      </c>
      <c r="F35" s="37" t="s">
        <v>55</v>
      </c>
      <c r="G35" s="38" t="s">
        <v>53</v>
      </c>
      <c r="H35" s="36" t="s">
        <v>55</v>
      </c>
      <c r="I35" s="37" t="s">
        <v>55</v>
      </c>
      <c r="J35" s="38" t="s">
        <v>53</v>
      </c>
      <c r="K35" s="36" t="s">
        <v>55</v>
      </c>
      <c r="L35" s="37" t="s">
        <v>55</v>
      </c>
      <c r="M35" s="38" t="s">
        <v>53</v>
      </c>
      <c r="N35" s="36" t="s">
        <v>55</v>
      </c>
      <c r="O35" s="37" t="s">
        <v>55</v>
      </c>
      <c r="P35" s="38" t="s">
        <v>53</v>
      </c>
      <c r="Q35" s="36" t="s">
        <v>55</v>
      </c>
      <c r="R35" s="37" t="s">
        <v>55</v>
      </c>
      <c r="S35" s="38" t="s">
        <v>53</v>
      </c>
      <c r="T35" s="36" t="s">
        <v>55</v>
      </c>
      <c r="U35" s="37" t="s">
        <v>55</v>
      </c>
      <c r="V35" s="38" t="s">
        <v>53</v>
      </c>
      <c r="W35" s="36" t="s">
        <v>55</v>
      </c>
      <c r="X35" s="37" t="s">
        <v>55</v>
      </c>
      <c r="Y35" s="38" t="s">
        <v>53</v>
      </c>
      <c r="Z35" s="36" t="s">
        <v>55</v>
      </c>
      <c r="AA35" s="37" t="s">
        <v>55</v>
      </c>
      <c r="AB35" s="38" t="s">
        <v>53</v>
      </c>
      <c r="AC35" s="36" t="s">
        <v>55</v>
      </c>
      <c r="AD35" s="37" t="s">
        <v>55</v>
      </c>
      <c r="AE35" s="38" t="s">
        <v>53</v>
      </c>
      <c r="AF35" s="36" t="s">
        <v>55</v>
      </c>
      <c r="AG35" s="37" t="s">
        <v>55</v>
      </c>
      <c r="AH35" s="38" t="s">
        <v>53</v>
      </c>
      <c r="AI35" s="36" t="s">
        <v>55</v>
      </c>
      <c r="AJ35" s="37" t="s">
        <v>55</v>
      </c>
      <c r="AK35" s="38" t="s">
        <v>53</v>
      </c>
      <c r="AL35" s="36" t="s">
        <v>55</v>
      </c>
      <c r="AM35" s="37" t="s">
        <v>55</v>
      </c>
      <c r="AN35" s="38" t="s">
        <v>53</v>
      </c>
      <c r="AO35" s="36" t="s">
        <v>55</v>
      </c>
      <c r="AP35" s="37" t="s">
        <v>55</v>
      </c>
      <c r="AQ35" s="38" t="s">
        <v>53</v>
      </c>
      <c r="AR35" s="36" t="s">
        <v>55</v>
      </c>
      <c r="AS35" s="37" t="s">
        <v>55</v>
      </c>
      <c r="AT35" s="38" t="s">
        <v>53</v>
      </c>
      <c r="AU35" s="36" t="s">
        <v>55</v>
      </c>
      <c r="AV35" s="37" t="s">
        <v>55</v>
      </c>
      <c r="AW35" s="38" t="s">
        <v>53</v>
      </c>
      <c r="AX35" s="36" t="s">
        <v>55</v>
      </c>
      <c r="AY35" s="37" t="s">
        <v>55</v>
      </c>
      <c r="AZ35" s="38" t="s">
        <v>53</v>
      </c>
      <c r="BA35" s="36" t="s">
        <v>55</v>
      </c>
      <c r="BB35" s="37" t="s">
        <v>55</v>
      </c>
      <c r="BC35" s="38" t="s">
        <v>53</v>
      </c>
      <c r="BD35" s="36" t="s">
        <v>55</v>
      </c>
      <c r="BE35" s="37" t="s">
        <v>55</v>
      </c>
      <c r="BF35" s="38" t="s">
        <v>53</v>
      </c>
      <c r="BG35" s="36" t="s">
        <v>55</v>
      </c>
      <c r="BH35" s="37" t="s">
        <v>55</v>
      </c>
      <c r="BI35" s="38" t="s">
        <v>53</v>
      </c>
      <c r="BJ35" s="36" t="s">
        <v>55</v>
      </c>
      <c r="BK35" s="37" t="s">
        <v>55</v>
      </c>
      <c r="BL35" s="38" t="s">
        <v>53</v>
      </c>
      <c r="BM35" s="36" t="s">
        <v>55</v>
      </c>
      <c r="BN35" s="37" t="s">
        <v>55</v>
      </c>
      <c r="BO35" s="38" t="s">
        <v>53</v>
      </c>
      <c r="BP35" s="36" t="s">
        <v>55</v>
      </c>
      <c r="BQ35" s="37" t="s">
        <v>55</v>
      </c>
      <c r="BR35" s="38" t="s">
        <v>53</v>
      </c>
      <c r="BS35" s="36" t="s">
        <v>55</v>
      </c>
      <c r="BT35" s="37" t="s">
        <v>55</v>
      </c>
      <c r="BU35" s="38" t="s">
        <v>53</v>
      </c>
      <c r="BV35" s="36" t="s">
        <v>55</v>
      </c>
      <c r="BW35" s="37" t="s">
        <v>55</v>
      </c>
      <c r="BX35" s="38" t="s">
        <v>53</v>
      </c>
      <c r="BY35" s="36" t="s">
        <v>55</v>
      </c>
      <c r="BZ35" s="37" t="s">
        <v>55</v>
      </c>
      <c r="CA35" s="38" t="s">
        <v>53</v>
      </c>
      <c r="CB35" s="36" t="s">
        <v>55</v>
      </c>
      <c r="CC35" s="37" t="s">
        <v>55</v>
      </c>
      <c r="CD35" s="38" t="s">
        <v>53</v>
      </c>
      <c r="CE35" s="36" t="s">
        <v>55</v>
      </c>
      <c r="CF35" s="37" t="s">
        <v>55</v>
      </c>
      <c r="CG35" s="38" t="s">
        <v>53</v>
      </c>
      <c r="CH35" s="36" t="s">
        <v>55</v>
      </c>
      <c r="CI35" s="37" t="s">
        <v>55</v>
      </c>
      <c r="CJ35" s="38" t="s">
        <v>53</v>
      </c>
      <c r="CK35" s="36" t="s">
        <v>55</v>
      </c>
      <c r="CL35" s="37" t="s">
        <v>55</v>
      </c>
      <c r="CM35" s="38" t="s">
        <v>53</v>
      </c>
      <c r="CN35" s="36" t="s">
        <v>55</v>
      </c>
      <c r="CO35" s="37" t="s">
        <v>55</v>
      </c>
      <c r="CP35" s="38" t="s">
        <v>53</v>
      </c>
      <c r="CQ35" s="36" t="s">
        <v>55</v>
      </c>
      <c r="CR35" s="37" t="s">
        <v>55</v>
      </c>
      <c r="CS35" s="38" t="s">
        <v>53</v>
      </c>
      <c r="CT35" s="36" t="s">
        <v>55</v>
      </c>
      <c r="CU35" s="37" t="s">
        <v>55</v>
      </c>
      <c r="CV35" s="38" t="s">
        <v>53</v>
      </c>
      <c r="CW35" s="36" t="s">
        <v>55</v>
      </c>
      <c r="CX35" s="37" t="s">
        <v>55</v>
      </c>
      <c r="CY35" s="38" t="s">
        <v>53</v>
      </c>
      <c r="CZ35" s="36" t="s">
        <v>55</v>
      </c>
      <c r="DA35" s="37" t="s">
        <v>55</v>
      </c>
      <c r="DB35" s="38" t="s">
        <v>53</v>
      </c>
      <c r="DC35" s="36" t="s">
        <v>55</v>
      </c>
      <c r="DD35" s="37" t="s">
        <v>55</v>
      </c>
      <c r="DE35" s="38" t="s">
        <v>53</v>
      </c>
      <c r="DF35" s="36" t="s">
        <v>55</v>
      </c>
      <c r="DG35" s="37" t="s">
        <v>55</v>
      </c>
      <c r="DH35" s="38" t="s">
        <v>53</v>
      </c>
      <c r="DI35" s="36" t="s">
        <v>55</v>
      </c>
      <c r="DJ35" s="37" t="s">
        <v>55</v>
      </c>
      <c r="DK35" s="39" t="s">
        <v>53</v>
      </c>
    </row>
    <row r="36" spans="1:115" x14ac:dyDescent="0.25">
      <c r="A36" s="15" t="s">
        <v>150</v>
      </c>
      <c r="B36" s="36">
        <v>19.968540066643566</v>
      </c>
      <c r="C36" s="37">
        <v>6.8794155047406917</v>
      </c>
      <c r="D36" s="38" t="s">
        <v>53</v>
      </c>
      <c r="E36" s="36">
        <v>27.248751284975114</v>
      </c>
      <c r="F36" s="37">
        <v>6.7833755300583221</v>
      </c>
      <c r="G36" s="38" t="s">
        <v>53</v>
      </c>
      <c r="H36" s="36">
        <v>43.965967200825261</v>
      </c>
      <c r="I36" s="37">
        <v>8.5382329086404471</v>
      </c>
      <c r="J36" s="38" t="s">
        <v>53</v>
      </c>
      <c r="K36" s="36">
        <v>29.363983783138575</v>
      </c>
      <c r="L36" s="37">
        <v>7.3678510625369276</v>
      </c>
      <c r="M36" s="38" t="s">
        <v>53</v>
      </c>
      <c r="N36" s="36">
        <v>9.3954437164950111</v>
      </c>
      <c r="O36" s="37">
        <v>10.701901380431462</v>
      </c>
      <c r="P36" s="38" t="s">
        <v>53</v>
      </c>
      <c r="Q36" s="36">
        <v>29.824704687807341</v>
      </c>
      <c r="R36" s="37">
        <v>7.0963063251970118</v>
      </c>
      <c r="S36" s="38" t="s">
        <v>53</v>
      </c>
      <c r="T36" s="36">
        <v>20.218898698615913</v>
      </c>
      <c r="U36" s="37">
        <v>6.3029348453718406</v>
      </c>
      <c r="V36" s="38" t="s">
        <v>53</v>
      </c>
      <c r="W36" s="36">
        <v>24.489190993763149</v>
      </c>
      <c r="X36" s="37">
        <v>6.3666983151372634</v>
      </c>
      <c r="Y36" s="38" t="s">
        <v>53</v>
      </c>
      <c r="Z36" s="36">
        <v>36.015437132474894</v>
      </c>
      <c r="AA36" s="37">
        <v>8.1949125421238858</v>
      </c>
      <c r="AB36" s="38" t="s">
        <v>53</v>
      </c>
      <c r="AC36" s="36">
        <v>6.1907324446675505</v>
      </c>
      <c r="AD36" s="37">
        <v>10.510615307226082</v>
      </c>
      <c r="AE36" s="38" t="s">
        <v>53</v>
      </c>
      <c r="AF36" s="36">
        <v>17.28321617658186</v>
      </c>
      <c r="AG36" s="37">
        <v>5.1302349241976648</v>
      </c>
      <c r="AH36" s="38" t="s">
        <v>53</v>
      </c>
      <c r="AI36" s="36">
        <v>34.436789223483743</v>
      </c>
      <c r="AJ36" s="37">
        <v>8.0322201518215532</v>
      </c>
      <c r="AK36" s="38" t="s">
        <v>53</v>
      </c>
      <c r="AL36" s="36">
        <v>26.444748999587659</v>
      </c>
      <c r="AM36" s="37">
        <v>8.0343662478815876</v>
      </c>
      <c r="AN36" s="38" t="s">
        <v>53</v>
      </c>
      <c r="AO36" s="36">
        <v>33.235089977058095</v>
      </c>
      <c r="AP36" s="37">
        <v>7.5292641904851205</v>
      </c>
      <c r="AQ36" s="38" t="s">
        <v>53</v>
      </c>
      <c r="AR36" s="36">
        <v>15.951873800476235</v>
      </c>
      <c r="AS36" s="37">
        <v>9.3926345902289281</v>
      </c>
      <c r="AT36" s="38" t="s">
        <v>53</v>
      </c>
      <c r="AU36" s="36">
        <v>24.020974919971199</v>
      </c>
      <c r="AV36" s="37">
        <v>7.3795889243370025</v>
      </c>
      <c r="AW36" s="38" t="s">
        <v>53</v>
      </c>
      <c r="AX36" s="36">
        <v>24.240013981982621</v>
      </c>
      <c r="AY36" s="37">
        <v>6.7912940984146104</v>
      </c>
      <c r="AZ36" s="38" t="s">
        <v>53</v>
      </c>
      <c r="BA36" s="36">
        <v>25.905237936508456</v>
      </c>
      <c r="BB36" s="37">
        <v>6.9734067190951006</v>
      </c>
      <c r="BC36" s="38" t="s">
        <v>53</v>
      </c>
      <c r="BD36" s="36">
        <v>36.9191939964958</v>
      </c>
      <c r="BE36" s="37">
        <v>8.0349403594364706</v>
      </c>
      <c r="BF36" s="38" t="s">
        <v>53</v>
      </c>
      <c r="BG36" s="36">
        <v>12.898219076524603</v>
      </c>
      <c r="BH36" s="37">
        <v>11.247686160021232</v>
      </c>
      <c r="BI36" s="38" t="s">
        <v>53</v>
      </c>
      <c r="BJ36" s="36">
        <v>25.207182636497404</v>
      </c>
      <c r="BK36" s="37">
        <v>8.1626596706585968</v>
      </c>
      <c r="BL36" s="38" t="s">
        <v>53</v>
      </c>
      <c r="BM36" s="36">
        <v>23.769382609812329</v>
      </c>
      <c r="BN36" s="37">
        <v>6.613474676412137</v>
      </c>
      <c r="BO36" s="38" t="s">
        <v>53</v>
      </c>
      <c r="BP36" s="36">
        <v>22.873586737316913</v>
      </c>
      <c r="BQ36" s="37">
        <v>7.9013167745965465</v>
      </c>
      <c r="BR36" s="38" t="s">
        <v>53</v>
      </c>
      <c r="BS36" s="36">
        <v>33.5414418770293</v>
      </c>
      <c r="BT36" s="37">
        <v>6.035950080073559</v>
      </c>
      <c r="BU36" s="38" t="s">
        <v>53</v>
      </c>
      <c r="BV36" s="36">
        <v>8.3342592405319031</v>
      </c>
      <c r="BW36" s="37">
        <v>9.9525389164266862</v>
      </c>
      <c r="BX36" s="38" t="s">
        <v>53</v>
      </c>
      <c r="BY36" s="36">
        <v>26.949773754037704</v>
      </c>
      <c r="BZ36" s="37">
        <v>5.7533386200154757</v>
      </c>
      <c r="CA36" s="38" t="s">
        <v>53</v>
      </c>
      <c r="CB36" s="36">
        <v>22.276362278722374</v>
      </c>
      <c r="CC36" s="37">
        <v>7.8527182621605576</v>
      </c>
      <c r="CD36" s="38" t="s">
        <v>53</v>
      </c>
      <c r="CE36" s="36">
        <v>26.427244997290849</v>
      </c>
      <c r="CF36" s="37">
        <v>7.9523811457630682</v>
      </c>
      <c r="CG36" s="38" t="s">
        <v>53</v>
      </c>
      <c r="CH36" s="36">
        <v>35.283499538573082</v>
      </c>
      <c r="CI36" s="37">
        <v>7.0333871807355592</v>
      </c>
      <c r="CJ36" s="38" t="s">
        <v>53</v>
      </c>
      <c r="CK36" s="36">
        <v>8.3337257845353836</v>
      </c>
      <c r="CL36" s="37">
        <v>8.6263488080979638</v>
      </c>
      <c r="CM36" s="38" t="s">
        <v>53</v>
      </c>
      <c r="CN36" s="36">
        <v>30.704237161442379</v>
      </c>
      <c r="CO36" s="37">
        <v>6.2618288356378589</v>
      </c>
      <c r="CP36" s="38" t="s">
        <v>53</v>
      </c>
      <c r="CQ36" s="36">
        <v>28.552545606615681</v>
      </c>
      <c r="CR36" s="37">
        <v>7.6993067576132956</v>
      </c>
      <c r="CS36" s="38" t="s">
        <v>53</v>
      </c>
      <c r="CT36" s="36">
        <v>24.510657850452194</v>
      </c>
      <c r="CU36" s="37">
        <v>6.6629494954401931</v>
      </c>
      <c r="CV36" s="38" t="s">
        <v>53</v>
      </c>
      <c r="CW36" s="36">
        <v>33.238336600900659</v>
      </c>
      <c r="CX36" s="37">
        <v>9.4412874066118864</v>
      </c>
      <c r="CY36" s="38" t="s">
        <v>53</v>
      </c>
      <c r="CZ36" s="36">
        <v>2.5340994394582776</v>
      </c>
      <c r="DA36" s="37">
        <v>10.11800796636896</v>
      </c>
      <c r="DB36" s="38" t="s">
        <v>53</v>
      </c>
      <c r="DC36" s="36">
        <v>11.865746269568177</v>
      </c>
      <c r="DD36" s="37">
        <v>5.8942289467650353</v>
      </c>
      <c r="DE36" s="38" t="s">
        <v>53</v>
      </c>
      <c r="DF36" s="36">
        <v>33.421588903227558</v>
      </c>
      <c r="DG36" s="37">
        <v>4.4674023646607308</v>
      </c>
      <c r="DH36" s="38" t="s">
        <v>53</v>
      </c>
      <c r="DI36" s="36">
        <v>21.555842633659374</v>
      </c>
      <c r="DJ36" s="37">
        <v>6.9614657852288913</v>
      </c>
      <c r="DK36" s="39" t="s">
        <v>53</v>
      </c>
    </row>
    <row r="37" spans="1:115" x14ac:dyDescent="0.25">
      <c r="A37" s="15" t="s">
        <v>151</v>
      </c>
      <c r="B37" s="36">
        <v>13.029990850693807</v>
      </c>
      <c r="C37" s="37">
        <v>7.0097410139657743</v>
      </c>
      <c r="D37" s="38" t="s">
        <v>53</v>
      </c>
      <c r="E37" s="36">
        <v>27.201388620712656</v>
      </c>
      <c r="F37" s="37">
        <v>10.189454555015208</v>
      </c>
      <c r="G37" s="38" t="s">
        <v>53</v>
      </c>
      <c r="H37" s="36" t="s">
        <v>55</v>
      </c>
      <c r="I37" s="37" t="s">
        <v>55</v>
      </c>
      <c r="J37" s="38" t="s">
        <v>53</v>
      </c>
      <c r="K37" s="36" t="s">
        <v>55</v>
      </c>
      <c r="L37" s="37" t="s">
        <v>55</v>
      </c>
      <c r="M37" s="38" t="s">
        <v>53</v>
      </c>
      <c r="N37" s="36" t="s">
        <v>55</v>
      </c>
      <c r="O37" s="37" t="s">
        <v>55</v>
      </c>
      <c r="P37" s="38" t="s">
        <v>53</v>
      </c>
      <c r="Q37" s="36">
        <v>12.507157471145517</v>
      </c>
      <c r="R37" s="37">
        <v>5.8455236437089795</v>
      </c>
      <c r="S37" s="38" t="s">
        <v>53</v>
      </c>
      <c r="T37" s="36">
        <v>25.505734297502631</v>
      </c>
      <c r="U37" s="37">
        <v>8.4572997754039463</v>
      </c>
      <c r="V37" s="38" t="s">
        <v>53</v>
      </c>
      <c r="W37" s="36">
        <v>20.679621451672553</v>
      </c>
      <c r="X37" s="37">
        <v>8.1741637618831273</v>
      </c>
      <c r="Y37" s="38" t="s">
        <v>53</v>
      </c>
      <c r="Z37" s="36" t="s">
        <v>55</v>
      </c>
      <c r="AA37" s="37" t="s">
        <v>55</v>
      </c>
      <c r="AB37" s="38" t="s">
        <v>53</v>
      </c>
      <c r="AC37" s="36" t="s">
        <v>55</v>
      </c>
      <c r="AD37" s="37" t="s">
        <v>55</v>
      </c>
      <c r="AE37" s="38" t="s">
        <v>53</v>
      </c>
      <c r="AF37" s="36">
        <v>22.94507032328443</v>
      </c>
      <c r="AG37" s="37">
        <v>8.2327561496122268</v>
      </c>
      <c r="AH37" s="38" t="s">
        <v>53</v>
      </c>
      <c r="AI37" s="36">
        <v>13.807750715466662</v>
      </c>
      <c r="AJ37" s="37">
        <v>6.8074963327980313</v>
      </c>
      <c r="AK37" s="38" t="s">
        <v>53</v>
      </c>
      <c r="AL37" s="36">
        <v>21.872805609916057</v>
      </c>
      <c r="AM37" s="37">
        <v>6.6897771391532652</v>
      </c>
      <c r="AN37" s="38" t="s">
        <v>53</v>
      </c>
      <c r="AO37" s="36" t="s">
        <v>55</v>
      </c>
      <c r="AP37" s="37" t="s">
        <v>55</v>
      </c>
      <c r="AQ37" s="38" t="s">
        <v>53</v>
      </c>
      <c r="AR37" s="36" t="s">
        <v>55</v>
      </c>
      <c r="AS37" s="37" t="s">
        <v>55</v>
      </c>
      <c r="AT37" s="38" t="s">
        <v>53</v>
      </c>
      <c r="AU37" s="36">
        <v>11.633312061221075</v>
      </c>
      <c r="AV37" s="37">
        <v>4.7769555615331676</v>
      </c>
      <c r="AW37" s="38" t="s">
        <v>53</v>
      </c>
      <c r="AX37" s="36">
        <v>9.4763979246762613</v>
      </c>
      <c r="AY37" s="37">
        <v>7.14544717086532</v>
      </c>
      <c r="AZ37" s="38" t="s">
        <v>53</v>
      </c>
      <c r="BA37" s="36" t="s">
        <v>55</v>
      </c>
      <c r="BB37" s="37" t="s">
        <v>55</v>
      </c>
      <c r="BC37" s="38" t="s">
        <v>53</v>
      </c>
      <c r="BD37" s="36" t="s">
        <v>55</v>
      </c>
      <c r="BE37" s="37" t="s">
        <v>55</v>
      </c>
      <c r="BF37" s="38" t="s">
        <v>53</v>
      </c>
      <c r="BG37" s="36" t="s">
        <v>55</v>
      </c>
      <c r="BH37" s="37" t="s">
        <v>55</v>
      </c>
      <c r="BI37" s="38" t="s">
        <v>53</v>
      </c>
      <c r="BJ37" s="36">
        <v>13.694222374992011</v>
      </c>
      <c r="BK37" s="37">
        <v>7.5971412677063057</v>
      </c>
      <c r="BL37" s="38" t="s">
        <v>53</v>
      </c>
      <c r="BM37" s="36">
        <v>11.686471797982984</v>
      </c>
      <c r="BN37" s="37">
        <v>7.0910358038961396</v>
      </c>
      <c r="BO37" s="38" t="s">
        <v>53</v>
      </c>
      <c r="BP37" s="36">
        <v>29.904108260450368</v>
      </c>
      <c r="BQ37" s="37">
        <v>9.0933821777892074</v>
      </c>
      <c r="BR37" s="38" t="s">
        <v>53</v>
      </c>
      <c r="BS37" s="36">
        <v>29.924598278224845</v>
      </c>
      <c r="BT37" s="37">
        <v>9.5481886091231214</v>
      </c>
      <c r="BU37" s="38" t="s">
        <v>53</v>
      </c>
      <c r="BV37" s="36">
        <v>16.23037590323284</v>
      </c>
      <c r="BW37" s="37">
        <v>11.968300822220055</v>
      </c>
      <c r="BX37" s="38" t="s">
        <v>53</v>
      </c>
      <c r="BY37" s="36">
        <v>7.9028023454115814</v>
      </c>
      <c r="BZ37" s="37">
        <v>4.1143964560770927</v>
      </c>
      <c r="CA37" s="38" t="s">
        <v>53</v>
      </c>
      <c r="CB37" s="36" t="s">
        <v>55</v>
      </c>
      <c r="CC37" s="37" t="s">
        <v>55</v>
      </c>
      <c r="CD37" s="38" t="s">
        <v>53</v>
      </c>
      <c r="CE37" s="36" t="s">
        <v>55</v>
      </c>
      <c r="CF37" s="37" t="s">
        <v>55</v>
      </c>
      <c r="CG37" s="38" t="s">
        <v>53</v>
      </c>
      <c r="CH37" s="36" t="s">
        <v>55</v>
      </c>
      <c r="CI37" s="37" t="s">
        <v>55</v>
      </c>
      <c r="CJ37" s="38" t="s">
        <v>53</v>
      </c>
      <c r="CK37" s="36" t="s">
        <v>55</v>
      </c>
      <c r="CL37" s="37" t="s">
        <v>55</v>
      </c>
      <c r="CM37" s="38" t="s">
        <v>53</v>
      </c>
      <c r="CN37" s="36">
        <v>22.978234920497449</v>
      </c>
      <c r="CO37" s="37">
        <v>7.3924537555807408</v>
      </c>
      <c r="CP37" s="38" t="s">
        <v>53</v>
      </c>
      <c r="CQ37" s="36">
        <v>18.992551003992684</v>
      </c>
      <c r="CR37" s="37">
        <v>9.5044024197063415</v>
      </c>
      <c r="CS37" s="38" t="s">
        <v>53</v>
      </c>
      <c r="CT37" s="36" t="s">
        <v>55</v>
      </c>
      <c r="CU37" s="37" t="s">
        <v>55</v>
      </c>
      <c r="CV37" s="38" t="s">
        <v>53</v>
      </c>
      <c r="CW37" s="36" t="s">
        <v>55</v>
      </c>
      <c r="CX37" s="37" t="s">
        <v>55</v>
      </c>
      <c r="CY37" s="38" t="s">
        <v>53</v>
      </c>
      <c r="CZ37" s="36" t="s">
        <v>55</v>
      </c>
      <c r="DA37" s="37" t="s">
        <v>55</v>
      </c>
      <c r="DB37" s="38" t="s">
        <v>53</v>
      </c>
      <c r="DC37" s="36" t="s">
        <v>55</v>
      </c>
      <c r="DD37" s="37" t="s">
        <v>55</v>
      </c>
      <c r="DE37" s="38" t="s">
        <v>53</v>
      </c>
      <c r="DF37" s="36">
        <v>19.76030823048605</v>
      </c>
      <c r="DG37" s="37">
        <v>4.834751441289014</v>
      </c>
      <c r="DH37" s="38" t="s">
        <v>53</v>
      </c>
      <c r="DI37" s="36" t="s">
        <v>55</v>
      </c>
      <c r="DJ37" s="37" t="s">
        <v>55</v>
      </c>
      <c r="DK37" s="39" t="s">
        <v>53</v>
      </c>
    </row>
    <row r="38" spans="1:115" x14ac:dyDescent="0.25">
      <c r="A38" s="15" t="s">
        <v>152</v>
      </c>
      <c r="B38" s="36">
        <v>18.336858054856872</v>
      </c>
      <c r="C38" s="37">
        <v>1.5792290936408306</v>
      </c>
      <c r="D38" s="38" t="s">
        <v>53</v>
      </c>
      <c r="E38" s="36">
        <v>20.077005055427154</v>
      </c>
      <c r="F38" s="37">
        <v>1.6323658733816464</v>
      </c>
      <c r="G38" s="38" t="s">
        <v>53</v>
      </c>
      <c r="H38" s="36">
        <v>29.732372493948546</v>
      </c>
      <c r="I38" s="37">
        <v>1.9742961674736812</v>
      </c>
      <c r="J38" s="38" t="s">
        <v>53</v>
      </c>
      <c r="K38" s="36">
        <v>25.899400340954326</v>
      </c>
      <c r="L38" s="37">
        <v>2.0842517601814037</v>
      </c>
      <c r="M38" s="38" t="s">
        <v>53</v>
      </c>
      <c r="N38" s="36">
        <v>7.5625422860974627</v>
      </c>
      <c r="O38" s="37">
        <v>2.8453705670204728</v>
      </c>
      <c r="P38" s="38" t="s">
        <v>53</v>
      </c>
      <c r="Q38" s="36">
        <v>19.802487322648897</v>
      </c>
      <c r="R38" s="37">
        <v>1.7590515756630409</v>
      </c>
      <c r="S38" s="38" t="s">
        <v>53</v>
      </c>
      <c r="T38" s="36">
        <v>22.348484640571588</v>
      </c>
      <c r="U38" s="37">
        <v>1.9989028711005397</v>
      </c>
      <c r="V38" s="38" t="s">
        <v>53</v>
      </c>
      <c r="W38" s="36">
        <v>23.99228425821293</v>
      </c>
      <c r="X38" s="37">
        <v>1.6213346460120202</v>
      </c>
      <c r="Y38" s="38" t="s">
        <v>53</v>
      </c>
      <c r="Z38" s="36">
        <v>22.650068451578093</v>
      </c>
      <c r="AA38" s="37">
        <v>1.5183899191588139</v>
      </c>
      <c r="AB38" s="38" t="s">
        <v>53</v>
      </c>
      <c r="AC38" s="36">
        <v>2.8475811289291939</v>
      </c>
      <c r="AD38" s="37">
        <v>2.4819453611131097</v>
      </c>
      <c r="AE38" s="38" t="s">
        <v>53</v>
      </c>
      <c r="AF38" s="36">
        <v>15.520432387980698</v>
      </c>
      <c r="AG38" s="37">
        <v>1.5184113023631625</v>
      </c>
      <c r="AH38" s="38" t="s">
        <v>53</v>
      </c>
      <c r="AI38" s="36">
        <v>18.179640281130137</v>
      </c>
      <c r="AJ38" s="37">
        <v>1.6266218868067122</v>
      </c>
      <c r="AK38" s="38" t="s">
        <v>53</v>
      </c>
      <c r="AL38" s="36">
        <v>22.199521862601419</v>
      </c>
      <c r="AM38" s="37">
        <v>1.9283700231547258</v>
      </c>
      <c r="AN38" s="38" t="s">
        <v>53</v>
      </c>
      <c r="AO38" s="36">
        <v>33.611531305880419</v>
      </c>
      <c r="AP38" s="37">
        <v>1.9746672643103786</v>
      </c>
      <c r="AQ38" s="38" t="s">
        <v>53</v>
      </c>
      <c r="AR38" s="36">
        <v>18.091098917899718</v>
      </c>
      <c r="AS38" s="37">
        <v>2.702897638945946</v>
      </c>
      <c r="AT38" s="38" t="s">
        <v>53</v>
      </c>
      <c r="AU38" s="36">
        <v>17.760474028372627</v>
      </c>
      <c r="AV38" s="37">
        <v>1.5322871737606563</v>
      </c>
      <c r="AW38" s="38" t="s">
        <v>53</v>
      </c>
      <c r="AX38" s="36">
        <v>22.282706537139436</v>
      </c>
      <c r="AY38" s="37">
        <v>1.8562891981808889</v>
      </c>
      <c r="AZ38" s="38" t="s">
        <v>53</v>
      </c>
      <c r="BA38" s="36">
        <v>22.962846243700096</v>
      </c>
      <c r="BB38" s="37">
        <v>1.7796856450429472</v>
      </c>
      <c r="BC38" s="38" t="s">
        <v>53</v>
      </c>
      <c r="BD38" s="36">
        <v>29.303194116995535</v>
      </c>
      <c r="BE38" s="37">
        <v>1.569064541493008</v>
      </c>
      <c r="BF38" s="38" t="s">
        <v>53</v>
      </c>
      <c r="BG38" s="36">
        <v>11.542720088622914</v>
      </c>
      <c r="BH38" s="37">
        <v>2.2457287972834443</v>
      </c>
      <c r="BI38" s="38" t="s">
        <v>53</v>
      </c>
      <c r="BJ38" s="36">
        <v>14.368223027464452</v>
      </c>
      <c r="BK38" s="37">
        <v>1.4489702718068873</v>
      </c>
      <c r="BL38" s="38" t="s">
        <v>53</v>
      </c>
      <c r="BM38" s="36">
        <v>19.932607468361258</v>
      </c>
      <c r="BN38" s="37">
        <v>1.5402696509492277</v>
      </c>
      <c r="BO38" s="38" t="s">
        <v>53</v>
      </c>
      <c r="BP38" s="36">
        <v>25.267503867103049</v>
      </c>
      <c r="BQ38" s="37">
        <v>1.8033126436418314</v>
      </c>
      <c r="BR38" s="38" t="s">
        <v>53</v>
      </c>
      <c r="BS38" s="36">
        <v>29.974732430404288</v>
      </c>
      <c r="BT38" s="37">
        <v>1.8067269087881488</v>
      </c>
      <c r="BU38" s="38" t="s">
        <v>53</v>
      </c>
      <c r="BV38" s="36">
        <v>15.606509402939839</v>
      </c>
      <c r="BW38" s="37">
        <v>2.3004873316404915</v>
      </c>
      <c r="BX38" s="38" t="s">
        <v>53</v>
      </c>
      <c r="BY38" s="36">
        <v>19.81137079005634</v>
      </c>
      <c r="BZ38" s="37">
        <v>1.6395570785956195</v>
      </c>
      <c r="CA38" s="38" t="s">
        <v>53</v>
      </c>
      <c r="CB38" s="36">
        <v>22.827213701580959</v>
      </c>
      <c r="CC38" s="37">
        <v>1.7075049927988184</v>
      </c>
      <c r="CD38" s="38" t="s">
        <v>53</v>
      </c>
      <c r="CE38" s="36">
        <v>25.787128159439121</v>
      </c>
      <c r="CF38" s="37">
        <v>2.2420952919043891</v>
      </c>
      <c r="CG38" s="38" t="s">
        <v>53</v>
      </c>
      <c r="CH38" s="36">
        <v>28.412361375922078</v>
      </c>
      <c r="CI38" s="37">
        <v>1.9443205729522743</v>
      </c>
      <c r="CJ38" s="38" t="s">
        <v>53</v>
      </c>
      <c r="CK38" s="36">
        <v>8.6009905858657358</v>
      </c>
      <c r="CL38" s="37">
        <v>2.7808724637298448</v>
      </c>
      <c r="CM38" s="38" t="s">
        <v>53</v>
      </c>
      <c r="CN38" s="36">
        <v>23.438595924883131</v>
      </c>
      <c r="CO38" s="37">
        <v>1.7233071572951282</v>
      </c>
      <c r="CP38" s="38" t="s">
        <v>53</v>
      </c>
      <c r="CQ38" s="36">
        <v>25.024151156110726</v>
      </c>
      <c r="CR38" s="37">
        <v>1.9511678630901821</v>
      </c>
      <c r="CS38" s="38" t="s">
        <v>53</v>
      </c>
      <c r="CT38" s="36">
        <v>22.843680656113492</v>
      </c>
      <c r="CU38" s="37">
        <v>2.0536497811883954</v>
      </c>
      <c r="CV38" s="38" t="s">
        <v>53</v>
      </c>
      <c r="CW38" s="36">
        <v>23.169170778956609</v>
      </c>
      <c r="CX38" s="37">
        <v>1.7514302717022374</v>
      </c>
      <c r="CY38" s="38" t="s">
        <v>53</v>
      </c>
      <c r="CZ38" s="36">
        <v>-0.26942514592652317</v>
      </c>
      <c r="DA38" s="37">
        <v>2.3738730840638409</v>
      </c>
      <c r="DB38" s="38" t="s">
        <v>53</v>
      </c>
      <c r="DC38" s="36">
        <v>16.61758919195244</v>
      </c>
      <c r="DD38" s="37">
        <v>1.2601189045679031</v>
      </c>
      <c r="DE38" s="38" t="s">
        <v>53</v>
      </c>
      <c r="DF38" s="36">
        <v>27.182602466471661</v>
      </c>
      <c r="DG38" s="37">
        <v>1.125329284563108</v>
      </c>
      <c r="DH38" s="38" t="s">
        <v>53</v>
      </c>
      <c r="DI38" s="36">
        <v>10.56501327451922</v>
      </c>
      <c r="DJ38" s="37">
        <v>1.814460594288086</v>
      </c>
      <c r="DK38" s="39" t="s">
        <v>53</v>
      </c>
    </row>
    <row r="39" spans="1:115" x14ac:dyDescent="0.25">
      <c r="A39" s="15" t="s">
        <v>153</v>
      </c>
      <c r="B39" s="36" t="s">
        <v>55</v>
      </c>
      <c r="C39" s="37" t="s">
        <v>55</v>
      </c>
      <c r="D39" s="38" t="s">
        <v>53</v>
      </c>
      <c r="E39" s="36" t="s">
        <v>55</v>
      </c>
      <c r="F39" s="37" t="s">
        <v>55</v>
      </c>
      <c r="G39" s="38" t="s">
        <v>53</v>
      </c>
      <c r="H39" s="36" t="s">
        <v>55</v>
      </c>
      <c r="I39" s="37" t="s">
        <v>55</v>
      </c>
      <c r="J39" s="38" t="s">
        <v>53</v>
      </c>
      <c r="K39" s="36" t="s">
        <v>55</v>
      </c>
      <c r="L39" s="37" t="s">
        <v>55</v>
      </c>
      <c r="M39" s="38" t="s">
        <v>53</v>
      </c>
      <c r="N39" s="36" t="s">
        <v>55</v>
      </c>
      <c r="O39" s="37" t="s">
        <v>55</v>
      </c>
      <c r="P39" s="38" t="s">
        <v>53</v>
      </c>
      <c r="Q39" s="36" t="s">
        <v>55</v>
      </c>
      <c r="R39" s="37" t="s">
        <v>55</v>
      </c>
      <c r="S39" s="38" t="s">
        <v>53</v>
      </c>
      <c r="T39" s="36" t="s">
        <v>55</v>
      </c>
      <c r="U39" s="37" t="s">
        <v>55</v>
      </c>
      <c r="V39" s="38" t="s">
        <v>53</v>
      </c>
      <c r="W39" s="36" t="s">
        <v>55</v>
      </c>
      <c r="X39" s="37" t="s">
        <v>55</v>
      </c>
      <c r="Y39" s="38" t="s">
        <v>53</v>
      </c>
      <c r="Z39" s="36" t="s">
        <v>55</v>
      </c>
      <c r="AA39" s="37" t="s">
        <v>55</v>
      </c>
      <c r="AB39" s="38" t="s">
        <v>53</v>
      </c>
      <c r="AC39" s="36" t="s">
        <v>55</v>
      </c>
      <c r="AD39" s="37" t="s">
        <v>55</v>
      </c>
      <c r="AE39" s="38" t="s">
        <v>53</v>
      </c>
      <c r="AF39" s="36" t="s">
        <v>55</v>
      </c>
      <c r="AG39" s="37" t="s">
        <v>55</v>
      </c>
      <c r="AH39" s="38" t="s">
        <v>53</v>
      </c>
      <c r="AI39" s="36" t="s">
        <v>55</v>
      </c>
      <c r="AJ39" s="37" t="s">
        <v>55</v>
      </c>
      <c r="AK39" s="38" t="s">
        <v>53</v>
      </c>
      <c r="AL39" s="36" t="s">
        <v>55</v>
      </c>
      <c r="AM39" s="37" t="s">
        <v>55</v>
      </c>
      <c r="AN39" s="38" t="s">
        <v>53</v>
      </c>
      <c r="AO39" s="36" t="s">
        <v>55</v>
      </c>
      <c r="AP39" s="37" t="s">
        <v>55</v>
      </c>
      <c r="AQ39" s="38" t="s">
        <v>53</v>
      </c>
      <c r="AR39" s="36" t="s">
        <v>55</v>
      </c>
      <c r="AS39" s="37" t="s">
        <v>55</v>
      </c>
      <c r="AT39" s="38" t="s">
        <v>53</v>
      </c>
      <c r="AU39" s="36" t="s">
        <v>55</v>
      </c>
      <c r="AV39" s="37" t="s">
        <v>55</v>
      </c>
      <c r="AW39" s="38" t="s">
        <v>53</v>
      </c>
      <c r="AX39" s="36" t="s">
        <v>55</v>
      </c>
      <c r="AY39" s="37" t="s">
        <v>55</v>
      </c>
      <c r="AZ39" s="38" t="s">
        <v>53</v>
      </c>
      <c r="BA39" s="36" t="s">
        <v>55</v>
      </c>
      <c r="BB39" s="37" t="s">
        <v>55</v>
      </c>
      <c r="BC39" s="38" t="s">
        <v>53</v>
      </c>
      <c r="BD39" s="36" t="s">
        <v>55</v>
      </c>
      <c r="BE39" s="37" t="s">
        <v>55</v>
      </c>
      <c r="BF39" s="38" t="s">
        <v>53</v>
      </c>
      <c r="BG39" s="36" t="s">
        <v>55</v>
      </c>
      <c r="BH39" s="37" t="s">
        <v>55</v>
      </c>
      <c r="BI39" s="38" t="s">
        <v>53</v>
      </c>
      <c r="BJ39" s="36" t="s">
        <v>55</v>
      </c>
      <c r="BK39" s="37" t="s">
        <v>55</v>
      </c>
      <c r="BL39" s="38" t="s">
        <v>53</v>
      </c>
      <c r="BM39" s="36" t="s">
        <v>55</v>
      </c>
      <c r="BN39" s="37" t="s">
        <v>55</v>
      </c>
      <c r="BO39" s="38" t="s">
        <v>53</v>
      </c>
      <c r="BP39" s="36" t="s">
        <v>55</v>
      </c>
      <c r="BQ39" s="37" t="s">
        <v>55</v>
      </c>
      <c r="BR39" s="38" t="s">
        <v>53</v>
      </c>
      <c r="BS39" s="36" t="s">
        <v>55</v>
      </c>
      <c r="BT39" s="37" t="s">
        <v>55</v>
      </c>
      <c r="BU39" s="38" t="s">
        <v>53</v>
      </c>
      <c r="BV39" s="36" t="s">
        <v>55</v>
      </c>
      <c r="BW39" s="37" t="s">
        <v>55</v>
      </c>
      <c r="BX39" s="38" t="s">
        <v>53</v>
      </c>
      <c r="BY39" s="36" t="s">
        <v>55</v>
      </c>
      <c r="BZ39" s="37" t="s">
        <v>55</v>
      </c>
      <c r="CA39" s="38" t="s">
        <v>53</v>
      </c>
      <c r="CB39" s="36" t="s">
        <v>55</v>
      </c>
      <c r="CC39" s="37" t="s">
        <v>55</v>
      </c>
      <c r="CD39" s="38" t="s">
        <v>53</v>
      </c>
      <c r="CE39" s="36" t="s">
        <v>55</v>
      </c>
      <c r="CF39" s="37" t="s">
        <v>55</v>
      </c>
      <c r="CG39" s="38" t="s">
        <v>53</v>
      </c>
      <c r="CH39" s="36" t="s">
        <v>55</v>
      </c>
      <c r="CI39" s="37" t="s">
        <v>55</v>
      </c>
      <c r="CJ39" s="38" t="s">
        <v>53</v>
      </c>
      <c r="CK39" s="36" t="s">
        <v>55</v>
      </c>
      <c r="CL39" s="37" t="s">
        <v>55</v>
      </c>
      <c r="CM39" s="38" t="s">
        <v>53</v>
      </c>
      <c r="CN39" s="36" t="s">
        <v>55</v>
      </c>
      <c r="CO39" s="37" t="s">
        <v>55</v>
      </c>
      <c r="CP39" s="38" t="s">
        <v>53</v>
      </c>
      <c r="CQ39" s="36" t="s">
        <v>55</v>
      </c>
      <c r="CR39" s="37" t="s">
        <v>55</v>
      </c>
      <c r="CS39" s="38" t="s">
        <v>53</v>
      </c>
      <c r="CT39" s="36" t="s">
        <v>55</v>
      </c>
      <c r="CU39" s="37" t="s">
        <v>55</v>
      </c>
      <c r="CV39" s="38" t="s">
        <v>53</v>
      </c>
      <c r="CW39" s="36" t="s">
        <v>55</v>
      </c>
      <c r="CX39" s="37" t="s">
        <v>55</v>
      </c>
      <c r="CY39" s="38" t="s">
        <v>53</v>
      </c>
      <c r="CZ39" s="36" t="s">
        <v>55</v>
      </c>
      <c r="DA39" s="37" t="s">
        <v>55</v>
      </c>
      <c r="DB39" s="38" t="s">
        <v>53</v>
      </c>
      <c r="DC39" s="36">
        <v>5.008642504141755</v>
      </c>
      <c r="DD39" s="37">
        <v>3.2608781195290528</v>
      </c>
      <c r="DE39" s="38" t="s">
        <v>53</v>
      </c>
      <c r="DF39" s="36" t="s">
        <v>55</v>
      </c>
      <c r="DG39" s="37" t="s">
        <v>55</v>
      </c>
      <c r="DH39" s="38" t="s">
        <v>53</v>
      </c>
      <c r="DI39" s="36" t="s">
        <v>55</v>
      </c>
      <c r="DJ39" s="37" t="s">
        <v>55</v>
      </c>
      <c r="DK39" s="39" t="s">
        <v>53</v>
      </c>
    </row>
    <row r="40" spans="1:115" x14ac:dyDescent="0.25">
      <c r="A40" s="15" t="s">
        <v>226</v>
      </c>
      <c r="B40" s="36">
        <v>10.676024975182724</v>
      </c>
      <c r="C40" s="37">
        <v>3.8992777451227387</v>
      </c>
      <c r="D40" s="38" t="s">
        <v>53</v>
      </c>
      <c r="E40" s="36">
        <v>16.826610098939909</v>
      </c>
      <c r="F40" s="37">
        <v>5.1419345047288196</v>
      </c>
      <c r="G40" s="38" t="s">
        <v>53</v>
      </c>
      <c r="H40" s="36">
        <v>13.938171284500314</v>
      </c>
      <c r="I40" s="37">
        <v>4.6849628989423273</v>
      </c>
      <c r="J40" s="38" t="s">
        <v>53</v>
      </c>
      <c r="K40" s="36">
        <v>9.4162428233788731</v>
      </c>
      <c r="L40" s="37">
        <v>3.1997641635938718</v>
      </c>
      <c r="M40" s="38" t="s">
        <v>53</v>
      </c>
      <c r="N40" s="36">
        <v>-1.2597821518038506</v>
      </c>
      <c r="O40" s="37">
        <v>5.1513896042536853</v>
      </c>
      <c r="P40" s="38" t="s">
        <v>53</v>
      </c>
      <c r="Q40" s="36">
        <v>7.0184208320866848</v>
      </c>
      <c r="R40" s="37">
        <v>2.496083180523073</v>
      </c>
      <c r="S40" s="38" t="s">
        <v>53</v>
      </c>
      <c r="T40" s="36">
        <v>9.9285211487941947</v>
      </c>
      <c r="U40" s="37">
        <v>3.0117827864446349</v>
      </c>
      <c r="V40" s="38" t="s">
        <v>53</v>
      </c>
      <c r="W40" s="36">
        <v>10.927115944847113</v>
      </c>
      <c r="X40" s="37">
        <v>3.6976130954727795</v>
      </c>
      <c r="Y40" s="38" t="s">
        <v>53</v>
      </c>
      <c r="Z40" s="36">
        <v>8.76639495305837</v>
      </c>
      <c r="AA40" s="37">
        <v>2.9341324710508032</v>
      </c>
      <c r="AB40" s="38" t="s">
        <v>53</v>
      </c>
      <c r="AC40" s="36">
        <v>1.7479741209716848</v>
      </c>
      <c r="AD40" s="37">
        <v>4.2442551633877184</v>
      </c>
      <c r="AE40" s="38" t="s">
        <v>53</v>
      </c>
      <c r="AF40" s="36">
        <v>8.8190470033702084</v>
      </c>
      <c r="AG40" s="37">
        <v>3.5233139920042031</v>
      </c>
      <c r="AH40" s="38" t="s">
        <v>53</v>
      </c>
      <c r="AI40" s="36">
        <v>12.046285266270628</v>
      </c>
      <c r="AJ40" s="37">
        <v>4.3161281418802364</v>
      </c>
      <c r="AK40" s="38" t="s">
        <v>53</v>
      </c>
      <c r="AL40" s="36">
        <v>12.420136911331632</v>
      </c>
      <c r="AM40" s="37">
        <v>4.6690350002934577</v>
      </c>
      <c r="AN40" s="38" t="s">
        <v>53</v>
      </c>
      <c r="AO40" s="36">
        <v>16.759809026787881</v>
      </c>
      <c r="AP40" s="37">
        <v>4.1820782488739656</v>
      </c>
      <c r="AQ40" s="38" t="s">
        <v>53</v>
      </c>
      <c r="AR40" s="36">
        <v>7.940762023417669</v>
      </c>
      <c r="AS40" s="37">
        <v>5.4247147961694582</v>
      </c>
      <c r="AT40" s="38" t="s">
        <v>53</v>
      </c>
      <c r="AU40" s="36">
        <v>12.486250018280778</v>
      </c>
      <c r="AV40" s="37">
        <v>4.6352281008860654</v>
      </c>
      <c r="AW40" s="38" t="s">
        <v>53</v>
      </c>
      <c r="AX40" s="36">
        <v>17.248726788791206</v>
      </c>
      <c r="AY40" s="37">
        <v>4.9269992737954</v>
      </c>
      <c r="AZ40" s="38" t="s">
        <v>53</v>
      </c>
      <c r="BA40" s="36">
        <v>11.124877983742183</v>
      </c>
      <c r="BB40" s="37">
        <v>4.7709669606660112</v>
      </c>
      <c r="BC40" s="38" t="s">
        <v>53</v>
      </c>
      <c r="BD40" s="36">
        <v>10.075897034777631</v>
      </c>
      <c r="BE40" s="37">
        <v>3.0733819899012778</v>
      </c>
      <c r="BF40" s="38" t="s">
        <v>53</v>
      </c>
      <c r="BG40" s="36">
        <v>-2.410352983503147</v>
      </c>
      <c r="BH40" s="37">
        <v>6.2990609001090672</v>
      </c>
      <c r="BI40" s="38" t="s">
        <v>53</v>
      </c>
      <c r="BJ40" s="36">
        <v>7.5964958260264934</v>
      </c>
      <c r="BK40" s="37">
        <v>2.711371161988569</v>
      </c>
      <c r="BL40" s="38" t="s">
        <v>53</v>
      </c>
      <c r="BM40" s="36">
        <v>6.9743158796831297</v>
      </c>
      <c r="BN40" s="37">
        <v>2.3970501164328226</v>
      </c>
      <c r="BO40" s="38" t="s">
        <v>53</v>
      </c>
      <c r="BP40" s="36">
        <v>7.7620525285919912</v>
      </c>
      <c r="BQ40" s="37">
        <v>2.8465346528434061</v>
      </c>
      <c r="BR40" s="38" t="s">
        <v>53</v>
      </c>
      <c r="BS40" s="36">
        <v>13.217399370156176</v>
      </c>
      <c r="BT40" s="37">
        <v>4.0853554102578311</v>
      </c>
      <c r="BU40" s="38" t="s">
        <v>53</v>
      </c>
      <c r="BV40" s="36">
        <v>5.6209035441296864</v>
      </c>
      <c r="BW40" s="37">
        <v>4.791729985787418</v>
      </c>
      <c r="BX40" s="38" t="s">
        <v>53</v>
      </c>
      <c r="BY40" s="36">
        <v>11.150606823141649</v>
      </c>
      <c r="BZ40" s="37">
        <v>3.061943801666509</v>
      </c>
      <c r="CA40" s="38" t="s">
        <v>53</v>
      </c>
      <c r="CB40" s="36">
        <v>15.68368486994418</v>
      </c>
      <c r="CC40" s="37">
        <v>4.9958318634988643</v>
      </c>
      <c r="CD40" s="38" t="s">
        <v>53</v>
      </c>
      <c r="CE40" s="36">
        <v>12.25093305641686</v>
      </c>
      <c r="CF40" s="37">
        <v>4.8378533371321009</v>
      </c>
      <c r="CG40" s="38" t="s">
        <v>53</v>
      </c>
      <c r="CH40" s="36">
        <v>10.071640873106317</v>
      </c>
      <c r="CI40" s="37">
        <v>3.9086107802259509</v>
      </c>
      <c r="CJ40" s="38" t="s">
        <v>53</v>
      </c>
      <c r="CK40" s="36">
        <v>-1.0789659500353357</v>
      </c>
      <c r="CL40" s="37">
        <v>4.7975228341536091</v>
      </c>
      <c r="CM40" s="38" t="s">
        <v>53</v>
      </c>
      <c r="CN40" s="36">
        <v>18.26362251559928</v>
      </c>
      <c r="CO40" s="37">
        <v>6.3033599926278567</v>
      </c>
      <c r="CP40" s="38" t="s">
        <v>53</v>
      </c>
      <c r="CQ40" s="36">
        <v>10.980548521765757</v>
      </c>
      <c r="CR40" s="37">
        <v>3.751432006025853</v>
      </c>
      <c r="CS40" s="38" t="s">
        <v>53</v>
      </c>
      <c r="CT40" s="36">
        <v>12.56467520527538</v>
      </c>
      <c r="CU40" s="37">
        <v>5.1557660941090049</v>
      </c>
      <c r="CV40" s="38" t="s">
        <v>53</v>
      </c>
      <c r="CW40" s="36">
        <v>8.755323127323555</v>
      </c>
      <c r="CX40" s="37">
        <v>3.9647666705105076</v>
      </c>
      <c r="CY40" s="38" t="s">
        <v>53</v>
      </c>
      <c r="CZ40" s="36">
        <v>-9.5082993882757254</v>
      </c>
      <c r="DA40" s="37">
        <v>7.4362177708146984</v>
      </c>
      <c r="DB40" s="38" t="s">
        <v>53</v>
      </c>
      <c r="DC40" s="36">
        <v>7.2326804374300755</v>
      </c>
      <c r="DD40" s="37">
        <v>3.0332529454818702</v>
      </c>
      <c r="DE40" s="38" t="s">
        <v>53</v>
      </c>
      <c r="DF40" s="36">
        <v>16.025483988160428</v>
      </c>
      <c r="DG40" s="37">
        <v>3.1003054523298319</v>
      </c>
      <c r="DH40" s="38" t="s">
        <v>53</v>
      </c>
      <c r="DI40" s="36">
        <v>8.7928035507303512</v>
      </c>
      <c r="DJ40" s="37">
        <v>4.4159713693133709</v>
      </c>
      <c r="DK40" s="39" t="s">
        <v>53</v>
      </c>
    </row>
    <row r="41" spans="1:115" x14ac:dyDescent="0.25">
      <c r="A41" s="15" t="s">
        <v>154</v>
      </c>
      <c r="B41" s="36">
        <v>22.612165293464493</v>
      </c>
      <c r="C41" s="37">
        <v>2.4411689228264337</v>
      </c>
      <c r="D41" s="38" t="s">
        <v>53</v>
      </c>
      <c r="E41" s="36">
        <v>31.416232338178894</v>
      </c>
      <c r="F41" s="37">
        <v>2.8847057797543201</v>
      </c>
      <c r="G41" s="38" t="s">
        <v>53</v>
      </c>
      <c r="H41" s="36">
        <v>34.107082687792484</v>
      </c>
      <c r="I41" s="37">
        <v>2.8482665695666878</v>
      </c>
      <c r="J41" s="38" t="s">
        <v>53</v>
      </c>
      <c r="K41" s="36">
        <v>25.522149945720958</v>
      </c>
      <c r="L41" s="37">
        <v>2.9256412237956639</v>
      </c>
      <c r="M41" s="38" t="s">
        <v>53</v>
      </c>
      <c r="N41" s="36">
        <v>2.9099846522564659</v>
      </c>
      <c r="O41" s="37">
        <v>3.5995922283517654</v>
      </c>
      <c r="P41" s="38" t="s">
        <v>53</v>
      </c>
      <c r="Q41" s="36">
        <v>26.278702027840701</v>
      </c>
      <c r="R41" s="37">
        <v>2.5104755476862479</v>
      </c>
      <c r="S41" s="38" t="s">
        <v>53</v>
      </c>
      <c r="T41" s="36">
        <v>27.287033801525208</v>
      </c>
      <c r="U41" s="37">
        <v>2.766543924098106</v>
      </c>
      <c r="V41" s="38" t="s">
        <v>53</v>
      </c>
      <c r="W41" s="36">
        <v>30.454193705987965</v>
      </c>
      <c r="X41" s="37">
        <v>2.8532277020783439</v>
      </c>
      <c r="Y41" s="38" t="s">
        <v>53</v>
      </c>
      <c r="Z41" s="36">
        <v>22.014214512571684</v>
      </c>
      <c r="AA41" s="37">
        <v>2.8655856028680513</v>
      </c>
      <c r="AB41" s="38" t="s">
        <v>53</v>
      </c>
      <c r="AC41" s="36">
        <v>-4.2644875152690167</v>
      </c>
      <c r="AD41" s="37">
        <v>3.660991132222799</v>
      </c>
      <c r="AE41" s="38" t="s">
        <v>53</v>
      </c>
      <c r="AF41" s="36">
        <v>23.407466942095528</v>
      </c>
      <c r="AG41" s="37">
        <v>2.8401191110247321</v>
      </c>
      <c r="AH41" s="38" t="s">
        <v>53</v>
      </c>
      <c r="AI41" s="36">
        <v>24.665643802269223</v>
      </c>
      <c r="AJ41" s="37">
        <v>2.6589129067403827</v>
      </c>
      <c r="AK41" s="38" t="s">
        <v>53</v>
      </c>
      <c r="AL41" s="36">
        <v>25.51048956652928</v>
      </c>
      <c r="AM41" s="37">
        <v>2.5035379804931464</v>
      </c>
      <c r="AN41" s="38" t="s">
        <v>53</v>
      </c>
      <c r="AO41" s="36">
        <v>32.648584293395174</v>
      </c>
      <c r="AP41" s="37">
        <v>2.7235545669822758</v>
      </c>
      <c r="AQ41" s="38" t="s">
        <v>53</v>
      </c>
      <c r="AR41" s="36">
        <v>9.2411173512996463</v>
      </c>
      <c r="AS41" s="37">
        <v>4.2771543081719612</v>
      </c>
      <c r="AT41" s="38" t="s">
        <v>53</v>
      </c>
      <c r="AU41" s="36">
        <v>23.959050847563734</v>
      </c>
      <c r="AV41" s="37">
        <v>2.6440468300056659</v>
      </c>
      <c r="AW41" s="38" t="s">
        <v>53</v>
      </c>
      <c r="AX41" s="36">
        <v>29.431208511191304</v>
      </c>
      <c r="AY41" s="37">
        <v>2.7166334654859763</v>
      </c>
      <c r="AZ41" s="38" t="s">
        <v>53</v>
      </c>
      <c r="BA41" s="36">
        <v>23.752847230514124</v>
      </c>
      <c r="BB41" s="37">
        <v>2.4308004406517028</v>
      </c>
      <c r="BC41" s="38" t="s">
        <v>53</v>
      </c>
      <c r="BD41" s="36">
        <v>30.948605282616377</v>
      </c>
      <c r="BE41" s="37">
        <v>2.8663087025687979</v>
      </c>
      <c r="BF41" s="38" t="s">
        <v>53</v>
      </c>
      <c r="BG41" s="36">
        <v>6.9895544350526455</v>
      </c>
      <c r="BH41" s="37">
        <v>4.1385822990423717</v>
      </c>
      <c r="BI41" s="38" t="s">
        <v>53</v>
      </c>
      <c r="BJ41" s="36">
        <v>19.759768620644607</v>
      </c>
      <c r="BK41" s="37">
        <v>2.7882398899145744</v>
      </c>
      <c r="BL41" s="38" t="s">
        <v>53</v>
      </c>
      <c r="BM41" s="36">
        <v>26.058039562621811</v>
      </c>
      <c r="BN41" s="37">
        <v>2.6297034076296897</v>
      </c>
      <c r="BO41" s="38" t="s">
        <v>53</v>
      </c>
      <c r="BP41" s="36">
        <v>24.282138998821072</v>
      </c>
      <c r="BQ41" s="37">
        <v>2.7542143612212269</v>
      </c>
      <c r="BR41" s="38" t="s">
        <v>53</v>
      </c>
      <c r="BS41" s="36">
        <v>34.267498057825144</v>
      </c>
      <c r="BT41" s="37">
        <v>2.7407612129991197</v>
      </c>
      <c r="BU41" s="38" t="s">
        <v>53</v>
      </c>
      <c r="BV41" s="36">
        <v>14.507729437180542</v>
      </c>
      <c r="BW41" s="37">
        <v>3.9557647431667626</v>
      </c>
      <c r="BX41" s="38" t="s">
        <v>53</v>
      </c>
      <c r="BY41" s="36">
        <v>30.071855274389474</v>
      </c>
      <c r="BZ41" s="37">
        <v>2.9348719507476315</v>
      </c>
      <c r="CA41" s="38" t="s">
        <v>53</v>
      </c>
      <c r="CB41" s="36">
        <v>25.808075328102458</v>
      </c>
      <c r="CC41" s="37">
        <v>2.9186692392900682</v>
      </c>
      <c r="CD41" s="38" t="s">
        <v>53</v>
      </c>
      <c r="CE41" s="36">
        <v>31.448646062196595</v>
      </c>
      <c r="CF41" s="37">
        <v>3.3016568479921697</v>
      </c>
      <c r="CG41" s="38" t="s">
        <v>53</v>
      </c>
      <c r="CH41" s="36">
        <v>28.670490165968111</v>
      </c>
      <c r="CI41" s="37">
        <v>2.8982268604427261</v>
      </c>
      <c r="CJ41" s="38" t="s">
        <v>53</v>
      </c>
      <c r="CK41" s="36">
        <v>-1.4013651084213608</v>
      </c>
      <c r="CL41" s="37">
        <v>3.8607799423981475</v>
      </c>
      <c r="CM41" s="38" t="s">
        <v>53</v>
      </c>
      <c r="CN41" s="36">
        <v>25.87380986101341</v>
      </c>
      <c r="CO41" s="37">
        <v>2.6993589433538046</v>
      </c>
      <c r="CP41" s="38" t="s">
        <v>53</v>
      </c>
      <c r="CQ41" s="36">
        <v>33.319108091478647</v>
      </c>
      <c r="CR41" s="37">
        <v>3.092819858446628</v>
      </c>
      <c r="CS41" s="38" t="s">
        <v>53</v>
      </c>
      <c r="CT41" s="36">
        <v>23.669094639014808</v>
      </c>
      <c r="CU41" s="37">
        <v>3.0802963733414805</v>
      </c>
      <c r="CV41" s="38" t="s">
        <v>53</v>
      </c>
      <c r="CW41" s="36">
        <v>31.300495615488614</v>
      </c>
      <c r="CX41" s="37">
        <v>3.2945349540825939</v>
      </c>
      <c r="CY41" s="38" t="s">
        <v>53</v>
      </c>
      <c r="CZ41" s="36">
        <v>5.426685754475205</v>
      </c>
      <c r="DA41" s="37">
        <v>4.1791421432302123</v>
      </c>
      <c r="DB41" s="38" t="s">
        <v>53</v>
      </c>
      <c r="DC41" s="36">
        <v>11.688738413867268</v>
      </c>
      <c r="DD41" s="37">
        <v>1.5424113503007018</v>
      </c>
      <c r="DE41" s="38" t="s">
        <v>53</v>
      </c>
      <c r="DF41" s="36">
        <v>35.22051448662917</v>
      </c>
      <c r="DG41" s="37">
        <v>1.6818336577831698</v>
      </c>
      <c r="DH41" s="38" t="s">
        <v>53</v>
      </c>
      <c r="DI41" s="36">
        <v>23.531776072761907</v>
      </c>
      <c r="DJ41" s="37">
        <v>2.1991912001507523</v>
      </c>
      <c r="DK41" s="39" t="s">
        <v>53</v>
      </c>
    </row>
    <row r="42" spans="1:115" x14ac:dyDescent="0.25">
      <c r="A42" s="15" t="s">
        <v>155</v>
      </c>
      <c r="B42" s="36">
        <v>13.31367153621192</v>
      </c>
      <c r="C42" s="37">
        <v>2.406227028072168</v>
      </c>
      <c r="D42" s="38" t="s">
        <v>53</v>
      </c>
      <c r="E42" s="36">
        <v>14.77320000460349</v>
      </c>
      <c r="F42" s="37">
        <v>3.2487522790716086</v>
      </c>
      <c r="G42" s="38" t="s">
        <v>53</v>
      </c>
      <c r="H42" s="36">
        <v>15.480486763253589</v>
      </c>
      <c r="I42" s="37">
        <v>4.1544933552970109</v>
      </c>
      <c r="J42" s="38" t="s">
        <v>53</v>
      </c>
      <c r="K42" s="36">
        <v>15.699254216804453</v>
      </c>
      <c r="L42" s="37">
        <v>3.3389766547807591</v>
      </c>
      <c r="M42" s="38" t="s">
        <v>53</v>
      </c>
      <c r="N42" s="36">
        <v>2.3855826805925302</v>
      </c>
      <c r="O42" s="37">
        <v>4.3049736220927866</v>
      </c>
      <c r="P42" s="38" t="s">
        <v>53</v>
      </c>
      <c r="Q42" s="36">
        <v>8.1551328472802194</v>
      </c>
      <c r="R42" s="37">
        <v>2.5302952076501062</v>
      </c>
      <c r="S42" s="38" t="s">
        <v>53</v>
      </c>
      <c r="T42" s="36">
        <v>15.284271185968196</v>
      </c>
      <c r="U42" s="37">
        <v>2.8246744097760565</v>
      </c>
      <c r="V42" s="38" t="s">
        <v>53</v>
      </c>
      <c r="W42" s="36">
        <v>18.996610962270619</v>
      </c>
      <c r="X42" s="37">
        <v>3.8189814442743004</v>
      </c>
      <c r="Y42" s="38" t="s">
        <v>53</v>
      </c>
      <c r="Z42" s="36">
        <v>15.906053466501682</v>
      </c>
      <c r="AA42" s="37">
        <v>3.3752712166986809</v>
      </c>
      <c r="AB42" s="38" t="s">
        <v>53</v>
      </c>
      <c r="AC42" s="36">
        <v>7.7509206192214641</v>
      </c>
      <c r="AD42" s="37">
        <v>4.0611033219495791</v>
      </c>
      <c r="AE42" s="38" t="s">
        <v>53</v>
      </c>
      <c r="AF42" s="36">
        <v>10.391711896393788</v>
      </c>
      <c r="AG42" s="37">
        <v>2.4211174385853926</v>
      </c>
      <c r="AH42" s="38" t="s">
        <v>53</v>
      </c>
      <c r="AI42" s="36">
        <v>13.404816896871161</v>
      </c>
      <c r="AJ42" s="37">
        <v>3.0365435518446824</v>
      </c>
      <c r="AK42" s="38" t="s">
        <v>53</v>
      </c>
      <c r="AL42" s="36">
        <v>13.437902448483511</v>
      </c>
      <c r="AM42" s="37">
        <v>2.5313731237311821</v>
      </c>
      <c r="AN42" s="38" t="s">
        <v>53</v>
      </c>
      <c r="AO42" s="36">
        <v>22.934407512317208</v>
      </c>
      <c r="AP42" s="37">
        <v>4.5026646569947868</v>
      </c>
      <c r="AQ42" s="38" t="s">
        <v>53</v>
      </c>
      <c r="AR42" s="36">
        <v>12.542695615923424</v>
      </c>
      <c r="AS42" s="37">
        <v>5.0169576063210517</v>
      </c>
      <c r="AT42" s="38" t="s">
        <v>53</v>
      </c>
      <c r="AU42" s="36" t="s">
        <v>55</v>
      </c>
      <c r="AV42" s="37" t="s">
        <v>55</v>
      </c>
      <c r="AW42" s="38" t="s">
        <v>53</v>
      </c>
      <c r="AX42" s="36" t="s">
        <v>55</v>
      </c>
      <c r="AY42" s="37" t="s">
        <v>55</v>
      </c>
      <c r="AZ42" s="38" t="s">
        <v>53</v>
      </c>
      <c r="BA42" s="36" t="s">
        <v>55</v>
      </c>
      <c r="BB42" s="37" t="s">
        <v>55</v>
      </c>
      <c r="BC42" s="38" t="s">
        <v>53</v>
      </c>
      <c r="BD42" s="36" t="s">
        <v>55</v>
      </c>
      <c r="BE42" s="37" t="s">
        <v>55</v>
      </c>
      <c r="BF42" s="38" t="s">
        <v>53</v>
      </c>
      <c r="BG42" s="36" t="s">
        <v>55</v>
      </c>
      <c r="BH42" s="37" t="s">
        <v>55</v>
      </c>
      <c r="BI42" s="38" t="s">
        <v>53</v>
      </c>
      <c r="BJ42" s="36">
        <v>11.222958610850393</v>
      </c>
      <c r="BK42" s="37">
        <v>2.7838804279662632</v>
      </c>
      <c r="BL42" s="38" t="s">
        <v>53</v>
      </c>
      <c r="BM42" s="36">
        <v>16.232026076861779</v>
      </c>
      <c r="BN42" s="37">
        <v>3.0310482300430448</v>
      </c>
      <c r="BO42" s="38" t="s">
        <v>53</v>
      </c>
      <c r="BP42" s="36">
        <v>11.535212372020101</v>
      </c>
      <c r="BQ42" s="37">
        <v>3.2123945267123166</v>
      </c>
      <c r="BR42" s="38" t="s">
        <v>53</v>
      </c>
      <c r="BS42" s="36">
        <v>16.76293266231534</v>
      </c>
      <c r="BT42" s="37">
        <v>3.2290213619938495</v>
      </c>
      <c r="BU42" s="38" t="s">
        <v>53</v>
      </c>
      <c r="BV42" s="36">
        <v>5.5399740514649469</v>
      </c>
      <c r="BW42" s="37">
        <v>4.2576714198119294</v>
      </c>
      <c r="BX42" s="38" t="s">
        <v>53</v>
      </c>
      <c r="BY42" s="36">
        <v>12.566084700573562</v>
      </c>
      <c r="BZ42" s="37">
        <v>3.0095390136181188</v>
      </c>
      <c r="CA42" s="38" t="s">
        <v>53</v>
      </c>
      <c r="CB42" s="36">
        <v>16.683381563843525</v>
      </c>
      <c r="CC42" s="37">
        <v>3.2880953183311896</v>
      </c>
      <c r="CD42" s="38" t="s">
        <v>53</v>
      </c>
      <c r="CE42" s="36">
        <v>16.340482622583345</v>
      </c>
      <c r="CF42" s="37">
        <v>3.1575005923863664</v>
      </c>
      <c r="CG42" s="38" t="s">
        <v>53</v>
      </c>
      <c r="CH42" s="36">
        <v>15.436762713038988</v>
      </c>
      <c r="CI42" s="37">
        <v>3.6688650985102003</v>
      </c>
      <c r="CJ42" s="38" t="s">
        <v>53</v>
      </c>
      <c r="CK42" s="36">
        <v>2.8706780124654263</v>
      </c>
      <c r="CL42" s="37">
        <v>4.7035128398502772</v>
      </c>
      <c r="CM42" s="38" t="s">
        <v>53</v>
      </c>
      <c r="CN42" s="36">
        <v>14.224723455740707</v>
      </c>
      <c r="CO42" s="37">
        <v>2.9382788888134144</v>
      </c>
      <c r="CP42" s="38" t="s">
        <v>53</v>
      </c>
      <c r="CQ42" s="36">
        <v>18.142379536546578</v>
      </c>
      <c r="CR42" s="37">
        <v>3.6410341996504245</v>
      </c>
      <c r="CS42" s="38" t="s">
        <v>53</v>
      </c>
      <c r="CT42" s="36">
        <v>10.021288662551592</v>
      </c>
      <c r="CU42" s="37">
        <v>3.2815946951110093</v>
      </c>
      <c r="CV42" s="38" t="s">
        <v>53</v>
      </c>
      <c r="CW42" s="36">
        <v>18.030003101255698</v>
      </c>
      <c r="CX42" s="37">
        <v>4.3637530855971862</v>
      </c>
      <c r="CY42" s="38" t="s">
        <v>53</v>
      </c>
      <c r="CZ42" s="36">
        <v>3.8052796455149931</v>
      </c>
      <c r="DA42" s="37">
        <v>5.3129597510670798</v>
      </c>
      <c r="DB42" s="38" t="s">
        <v>53</v>
      </c>
      <c r="DC42" s="36" t="s">
        <v>55</v>
      </c>
      <c r="DD42" s="37" t="s">
        <v>55</v>
      </c>
      <c r="DE42" s="38" t="s">
        <v>53</v>
      </c>
      <c r="DF42" s="36" t="s">
        <v>55</v>
      </c>
      <c r="DG42" s="37" t="s">
        <v>55</v>
      </c>
      <c r="DH42" s="38" t="s">
        <v>53</v>
      </c>
      <c r="DI42" s="36" t="s">
        <v>55</v>
      </c>
      <c r="DJ42" s="37" t="s">
        <v>55</v>
      </c>
      <c r="DK42" s="39" t="s">
        <v>53</v>
      </c>
    </row>
    <row r="43" spans="1:115" x14ac:dyDescent="0.25">
      <c r="A43" s="15" t="s">
        <v>156</v>
      </c>
      <c r="B43" s="36" t="s">
        <v>55</v>
      </c>
      <c r="C43" s="37" t="s">
        <v>55</v>
      </c>
      <c r="D43" s="38" t="s">
        <v>53</v>
      </c>
      <c r="E43" s="36" t="s">
        <v>55</v>
      </c>
      <c r="F43" s="37" t="s">
        <v>55</v>
      </c>
      <c r="G43" s="38" t="s">
        <v>53</v>
      </c>
      <c r="H43" s="36" t="s">
        <v>55</v>
      </c>
      <c r="I43" s="37" t="s">
        <v>55</v>
      </c>
      <c r="J43" s="38" t="s">
        <v>53</v>
      </c>
      <c r="K43" s="36" t="s">
        <v>55</v>
      </c>
      <c r="L43" s="37" t="s">
        <v>55</v>
      </c>
      <c r="M43" s="38" t="s">
        <v>53</v>
      </c>
      <c r="N43" s="36" t="s">
        <v>55</v>
      </c>
      <c r="O43" s="37" t="s">
        <v>55</v>
      </c>
      <c r="P43" s="38" t="s">
        <v>53</v>
      </c>
      <c r="Q43" s="36" t="s">
        <v>55</v>
      </c>
      <c r="R43" s="37" t="s">
        <v>55</v>
      </c>
      <c r="S43" s="38" t="s">
        <v>53</v>
      </c>
      <c r="T43" s="36" t="s">
        <v>55</v>
      </c>
      <c r="U43" s="37" t="s">
        <v>55</v>
      </c>
      <c r="V43" s="38" t="s">
        <v>53</v>
      </c>
      <c r="W43" s="36" t="s">
        <v>55</v>
      </c>
      <c r="X43" s="37" t="s">
        <v>55</v>
      </c>
      <c r="Y43" s="38" t="s">
        <v>53</v>
      </c>
      <c r="Z43" s="36" t="s">
        <v>55</v>
      </c>
      <c r="AA43" s="37" t="s">
        <v>55</v>
      </c>
      <c r="AB43" s="38" t="s">
        <v>53</v>
      </c>
      <c r="AC43" s="36" t="s">
        <v>55</v>
      </c>
      <c r="AD43" s="37" t="s">
        <v>55</v>
      </c>
      <c r="AE43" s="38" t="s">
        <v>53</v>
      </c>
      <c r="AF43" s="36" t="s">
        <v>55</v>
      </c>
      <c r="AG43" s="37" t="s">
        <v>55</v>
      </c>
      <c r="AH43" s="38" t="s">
        <v>53</v>
      </c>
      <c r="AI43" s="36" t="s">
        <v>55</v>
      </c>
      <c r="AJ43" s="37" t="s">
        <v>55</v>
      </c>
      <c r="AK43" s="38" t="s">
        <v>53</v>
      </c>
      <c r="AL43" s="36" t="s">
        <v>55</v>
      </c>
      <c r="AM43" s="37" t="s">
        <v>55</v>
      </c>
      <c r="AN43" s="38" t="s">
        <v>53</v>
      </c>
      <c r="AO43" s="36" t="s">
        <v>55</v>
      </c>
      <c r="AP43" s="37" t="s">
        <v>55</v>
      </c>
      <c r="AQ43" s="38" t="s">
        <v>53</v>
      </c>
      <c r="AR43" s="36" t="s">
        <v>55</v>
      </c>
      <c r="AS43" s="37" t="s">
        <v>55</v>
      </c>
      <c r="AT43" s="38" t="s">
        <v>53</v>
      </c>
      <c r="AU43" s="36" t="s">
        <v>55</v>
      </c>
      <c r="AV43" s="37" t="s">
        <v>55</v>
      </c>
      <c r="AW43" s="38" t="s">
        <v>53</v>
      </c>
      <c r="AX43" s="36" t="s">
        <v>55</v>
      </c>
      <c r="AY43" s="37" t="s">
        <v>55</v>
      </c>
      <c r="AZ43" s="38" t="s">
        <v>53</v>
      </c>
      <c r="BA43" s="36" t="s">
        <v>55</v>
      </c>
      <c r="BB43" s="37" t="s">
        <v>55</v>
      </c>
      <c r="BC43" s="38" t="s">
        <v>53</v>
      </c>
      <c r="BD43" s="36" t="s">
        <v>55</v>
      </c>
      <c r="BE43" s="37" t="s">
        <v>55</v>
      </c>
      <c r="BF43" s="38" t="s">
        <v>53</v>
      </c>
      <c r="BG43" s="36" t="s">
        <v>55</v>
      </c>
      <c r="BH43" s="37" t="s">
        <v>55</v>
      </c>
      <c r="BI43" s="38" t="s">
        <v>53</v>
      </c>
      <c r="BJ43" s="36" t="s">
        <v>55</v>
      </c>
      <c r="BK43" s="37" t="s">
        <v>55</v>
      </c>
      <c r="BL43" s="38" t="s">
        <v>53</v>
      </c>
      <c r="BM43" s="36" t="s">
        <v>55</v>
      </c>
      <c r="BN43" s="37" t="s">
        <v>55</v>
      </c>
      <c r="BO43" s="38" t="s">
        <v>53</v>
      </c>
      <c r="BP43" s="36" t="s">
        <v>55</v>
      </c>
      <c r="BQ43" s="37" t="s">
        <v>55</v>
      </c>
      <c r="BR43" s="38" t="s">
        <v>53</v>
      </c>
      <c r="BS43" s="36" t="s">
        <v>55</v>
      </c>
      <c r="BT43" s="37" t="s">
        <v>55</v>
      </c>
      <c r="BU43" s="38" t="s">
        <v>53</v>
      </c>
      <c r="BV43" s="36" t="s">
        <v>55</v>
      </c>
      <c r="BW43" s="37" t="s">
        <v>55</v>
      </c>
      <c r="BX43" s="38" t="s">
        <v>53</v>
      </c>
      <c r="BY43" s="36" t="s">
        <v>55</v>
      </c>
      <c r="BZ43" s="37" t="s">
        <v>55</v>
      </c>
      <c r="CA43" s="38" t="s">
        <v>53</v>
      </c>
      <c r="CB43" s="36" t="s">
        <v>55</v>
      </c>
      <c r="CC43" s="37" t="s">
        <v>55</v>
      </c>
      <c r="CD43" s="38" t="s">
        <v>53</v>
      </c>
      <c r="CE43" s="36" t="s">
        <v>55</v>
      </c>
      <c r="CF43" s="37" t="s">
        <v>55</v>
      </c>
      <c r="CG43" s="38" t="s">
        <v>53</v>
      </c>
      <c r="CH43" s="36" t="s">
        <v>55</v>
      </c>
      <c r="CI43" s="37" t="s">
        <v>55</v>
      </c>
      <c r="CJ43" s="38" t="s">
        <v>53</v>
      </c>
      <c r="CK43" s="36" t="s">
        <v>55</v>
      </c>
      <c r="CL43" s="37" t="s">
        <v>55</v>
      </c>
      <c r="CM43" s="38" t="s">
        <v>53</v>
      </c>
      <c r="CN43" s="36" t="s">
        <v>55</v>
      </c>
      <c r="CO43" s="37" t="s">
        <v>55</v>
      </c>
      <c r="CP43" s="38" t="s">
        <v>53</v>
      </c>
      <c r="CQ43" s="36" t="s">
        <v>55</v>
      </c>
      <c r="CR43" s="37" t="s">
        <v>55</v>
      </c>
      <c r="CS43" s="38" t="s">
        <v>53</v>
      </c>
      <c r="CT43" s="36" t="s">
        <v>55</v>
      </c>
      <c r="CU43" s="37" t="s">
        <v>55</v>
      </c>
      <c r="CV43" s="38" t="s">
        <v>53</v>
      </c>
      <c r="CW43" s="36" t="s">
        <v>55</v>
      </c>
      <c r="CX43" s="37" t="s">
        <v>55</v>
      </c>
      <c r="CY43" s="38" t="s">
        <v>53</v>
      </c>
      <c r="CZ43" s="36" t="s">
        <v>55</v>
      </c>
      <c r="DA43" s="37" t="s">
        <v>55</v>
      </c>
      <c r="DB43" s="38" t="s">
        <v>53</v>
      </c>
      <c r="DC43" s="36" t="s">
        <v>55</v>
      </c>
      <c r="DD43" s="37" t="s">
        <v>55</v>
      </c>
      <c r="DE43" s="38" t="s">
        <v>53</v>
      </c>
      <c r="DF43" s="36" t="s">
        <v>55</v>
      </c>
      <c r="DG43" s="37" t="s">
        <v>55</v>
      </c>
      <c r="DH43" s="38" t="s">
        <v>53</v>
      </c>
      <c r="DI43" s="36" t="s">
        <v>55</v>
      </c>
      <c r="DJ43" s="37" t="s">
        <v>55</v>
      </c>
      <c r="DK43" s="39" t="s">
        <v>53</v>
      </c>
    </row>
    <row r="44" spans="1:115" x14ac:dyDescent="0.25">
      <c r="A44" s="15" t="s">
        <v>227</v>
      </c>
      <c r="B44" s="36">
        <v>8.9274268726033661</v>
      </c>
      <c r="C44" s="37">
        <v>3.6573187350310095</v>
      </c>
      <c r="D44" s="38" t="s">
        <v>53</v>
      </c>
      <c r="E44" s="36">
        <v>16.882907902395562</v>
      </c>
      <c r="F44" s="37">
        <v>5.5960004740057636</v>
      </c>
      <c r="G44" s="38" t="s">
        <v>53</v>
      </c>
      <c r="H44" s="36">
        <v>23.651292906324201</v>
      </c>
      <c r="I44" s="37">
        <v>8.0380891827181884</v>
      </c>
      <c r="J44" s="38" t="s">
        <v>53</v>
      </c>
      <c r="K44" s="36">
        <v>26.25880178214511</v>
      </c>
      <c r="L44" s="37">
        <v>6.4389079813186463</v>
      </c>
      <c r="M44" s="38" t="s">
        <v>53</v>
      </c>
      <c r="N44" s="36">
        <v>17.33137490954174</v>
      </c>
      <c r="O44" s="37">
        <v>7.5971904723883155</v>
      </c>
      <c r="P44" s="38" t="s">
        <v>53</v>
      </c>
      <c r="Q44" s="36">
        <v>16.661442404689485</v>
      </c>
      <c r="R44" s="37">
        <v>5.7267866062438468</v>
      </c>
      <c r="S44" s="38" t="s">
        <v>53</v>
      </c>
      <c r="T44" s="36">
        <v>22.417186854622408</v>
      </c>
      <c r="U44" s="37">
        <v>5.2467971365984063</v>
      </c>
      <c r="V44" s="38" t="s">
        <v>53</v>
      </c>
      <c r="W44" s="36">
        <v>16.807782676785411</v>
      </c>
      <c r="X44" s="37">
        <v>5.9093072616210751</v>
      </c>
      <c r="Y44" s="38" t="s">
        <v>53</v>
      </c>
      <c r="Z44" s="36">
        <v>11.632525883607039</v>
      </c>
      <c r="AA44" s="37">
        <v>3.8610654506777307</v>
      </c>
      <c r="AB44" s="38" t="s">
        <v>53</v>
      </c>
      <c r="AC44" s="36">
        <v>-5.0289165210824471</v>
      </c>
      <c r="AD44" s="37">
        <v>6.6954846596754045</v>
      </c>
      <c r="AE44" s="38" t="s">
        <v>53</v>
      </c>
      <c r="AF44" s="36">
        <v>11.300183572385446</v>
      </c>
      <c r="AG44" s="37">
        <v>4.2200267232242457</v>
      </c>
      <c r="AH44" s="38" t="s">
        <v>53</v>
      </c>
      <c r="AI44" s="36">
        <v>19.743714142843682</v>
      </c>
      <c r="AJ44" s="37">
        <v>5.6419148074372387</v>
      </c>
      <c r="AK44" s="38" t="s">
        <v>53</v>
      </c>
      <c r="AL44" s="36">
        <v>14.179904278557778</v>
      </c>
      <c r="AM44" s="37">
        <v>5.5205393231256599</v>
      </c>
      <c r="AN44" s="38" t="s">
        <v>53</v>
      </c>
      <c r="AO44" s="36">
        <v>23.027554608766749</v>
      </c>
      <c r="AP44" s="37">
        <v>6.2491307877014286</v>
      </c>
      <c r="AQ44" s="38" t="s">
        <v>53</v>
      </c>
      <c r="AR44" s="36">
        <v>11.727371036381307</v>
      </c>
      <c r="AS44" s="37">
        <v>6.6924074900320623</v>
      </c>
      <c r="AT44" s="38" t="s">
        <v>53</v>
      </c>
      <c r="AU44" s="36">
        <v>16.285198241620545</v>
      </c>
      <c r="AV44" s="37">
        <v>4.9839230462216957</v>
      </c>
      <c r="AW44" s="38" t="s">
        <v>53</v>
      </c>
      <c r="AX44" s="36">
        <v>16.198930944591105</v>
      </c>
      <c r="AY44" s="37">
        <v>5.7159372092333367</v>
      </c>
      <c r="AZ44" s="38" t="s">
        <v>53</v>
      </c>
      <c r="BA44" s="36">
        <v>19.782621656314973</v>
      </c>
      <c r="BB44" s="37">
        <v>6.5862351775574828</v>
      </c>
      <c r="BC44" s="38" t="s">
        <v>53</v>
      </c>
      <c r="BD44" s="36">
        <v>16.724372840654535</v>
      </c>
      <c r="BE44" s="37">
        <v>5.0532229948394622</v>
      </c>
      <c r="BF44" s="38" t="s">
        <v>53</v>
      </c>
      <c r="BG44" s="36">
        <v>0.43917459903399436</v>
      </c>
      <c r="BH44" s="37">
        <v>6.7500162179284064</v>
      </c>
      <c r="BI44" s="38" t="s">
        <v>53</v>
      </c>
      <c r="BJ44" s="36">
        <v>13.968839478218595</v>
      </c>
      <c r="BK44" s="37">
        <v>3.9152243321620364</v>
      </c>
      <c r="BL44" s="38" t="s">
        <v>53</v>
      </c>
      <c r="BM44" s="36">
        <v>14.169375783455248</v>
      </c>
      <c r="BN44" s="37">
        <v>5.3845330060740491</v>
      </c>
      <c r="BO44" s="38" t="s">
        <v>53</v>
      </c>
      <c r="BP44" s="36">
        <v>19.141834873935704</v>
      </c>
      <c r="BQ44" s="37">
        <v>5.7981852503288733</v>
      </c>
      <c r="BR44" s="38" t="s">
        <v>53</v>
      </c>
      <c r="BS44" s="36">
        <v>22.170025503963036</v>
      </c>
      <c r="BT44" s="37">
        <v>5.8399828664557747</v>
      </c>
      <c r="BU44" s="38" t="s">
        <v>53</v>
      </c>
      <c r="BV44" s="36">
        <v>8.2011860257444447</v>
      </c>
      <c r="BW44" s="37">
        <v>6.7292346736622708</v>
      </c>
      <c r="BX44" s="38" t="s">
        <v>53</v>
      </c>
      <c r="BY44" s="36">
        <v>15.665678645758385</v>
      </c>
      <c r="BZ44" s="37">
        <v>5.1203121002727494</v>
      </c>
      <c r="CA44" s="38" t="s">
        <v>53</v>
      </c>
      <c r="CB44" s="36">
        <v>17.39762626488287</v>
      </c>
      <c r="CC44" s="37">
        <v>6.1719060510200388</v>
      </c>
      <c r="CD44" s="38" t="s">
        <v>53</v>
      </c>
      <c r="CE44" s="36">
        <v>23.420511613580857</v>
      </c>
      <c r="CF44" s="37">
        <v>6.6503635300580592</v>
      </c>
      <c r="CG44" s="38" t="s">
        <v>53</v>
      </c>
      <c r="CH44" s="36">
        <v>19.02432652622139</v>
      </c>
      <c r="CI44" s="37">
        <v>5.5350261006392367</v>
      </c>
      <c r="CJ44" s="38" t="s">
        <v>53</v>
      </c>
      <c r="CK44" s="36">
        <v>3.3586478804630095</v>
      </c>
      <c r="CL44" s="37">
        <v>7.7784679597351554</v>
      </c>
      <c r="CM44" s="38" t="s">
        <v>53</v>
      </c>
      <c r="CN44" s="36">
        <v>19.038507869542133</v>
      </c>
      <c r="CO44" s="37">
        <v>5.1257773755593217</v>
      </c>
      <c r="CP44" s="38" t="s">
        <v>53</v>
      </c>
      <c r="CQ44" s="36">
        <v>20.432870424083955</v>
      </c>
      <c r="CR44" s="37">
        <v>5.9588532770694158</v>
      </c>
      <c r="CS44" s="38" t="s">
        <v>53</v>
      </c>
      <c r="CT44" s="36">
        <v>15.339293284466551</v>
      </c>
      <c r="CU44" s="37">
        <v>7.5780137099251421</v>
      </c>
      <c r="CV44" s="38" t="s">
        <v>53</v>
      </c>
      <c r="CW44" s="36">
        <v>19.923029728327961</v>
      </c>
      <c r="CX44" s="37">
        <v>6.0692622788507711</v>
      </c>
      <c r="CY44" s="38" t="s">
        <v>53</v>
      </c>
      <c r="CZ44" s="36">
        <v>0.88452185878582967</v>
      </c>
      <c r="DA44" s="37">
        <v>7.5968700618979019</v>
      </c>
      <c r="DB44" s="38" t="s">
        <v>53</v>
      </c>
      <c r="DC44" s="36">
        <v>13.071492621620006</v>
      </c>
      <c r="DD44" s="37">
        <v>3.5752111456650892</v>
      </c>
      <c r="DE44" s="38" t="s">
        <v>53</v>
      </c>
      <c r="DF44" s="36">
        <v>19.640432091392245</v>
      </c>
      <c r="DG44" s="37">
        <v>4.1879473307061446</v>
      </c>
      <c r="DH44" s="38" t="s">
        <v>53</v>
      </c>
      <c r="DI44" s="36">
        <v>6.5689394697722374</v>
      </c>
      <c r="DJ44" s="37">
        <v>5.5014673655565973</v>
      </c>
      <c r="DK44" s="39" t="s">
        <v>53</v>
      </c>
    </row>
    <row r="45" spans="1:115" x14ac:dyDescent="0.25">
      <c r="A45" s="15" t="s">
        <v>157</v>
      </c>
      <c r="B45" s="36" t="s">
        <v>55</v>
      </c>
      <c r="C45" s="37" t="s">
        <v>55</v>
      </c>
      <c r="D45" s="38" t="s">
        <v>53</v>
      </c>
      <c r="E45" s="36" t="s">
        <v>55</v>
      </c>
      <c r="F45" s="37" t="s">
        <v>55</v>
      </c>
      <c r="G45" s="38" t="s">
        <v>53</v>
      </c>
      <c r="H45" s="36" t="s">
        <v>55</v>
      </c>
      <c r="I45" s="37" t="s">
        <v>55</v>
      </c>
      <c r="J45" s="38" t="s">
        <v>53</v>
      </c>
      <c r="K45" s="36" t="s">
        <v>55</v>
      </c>
      <c r="L45" s="37" t="s">
        <v>55</v>
      </c>
      <c r="M45" s="38" t="s">
        <v>53</v>
      </c>
      <c r="N45" s="36" t="s">
        <v>55</v>
      </c>
      <c r="O45" s="37" t="s">
        <v>55</v>
      </c>
      <c r="P45" s="38" t="s">
        <v>53</v>
      </c>
      <c r="Q45" s="36" t="s">
        <v>55</v>
      </c>
      <c r="R45" s="37" t="s">
        <v>55</v>
      </c>
      <c r="S45" s="38" t="s">
        <v>53</v>
      </c>
      <c r="T45" s="36" t="s">
        <v>55</v>
      </c>
      <c r="U45" s="37" t="s">
        <v>55</v>
      </c>
      <c r="V45" s="38" t="s">
        <v>53</v>
      </c>
      <c r="W45" s="36" t="s">
        <v>55</v>
      </c>
      <c r="X45" s="37" t="s">
        <v>55</v>
      </c>
      <c r="Y45" s="38" t="s">
        <v>53</v>
      </c>
      <c r="Z45" s="36" t="s">
        <v>55</v>
      </c>
      <c r="AA45" s="37" t="s">
        <v>55</v>
      </c>
      <c r="AB45" s="38" t="s">
        <v>53</v>
      </c>
      <c r="AC45" s="36" t="s">
        <v>55</v>
      </c>
      <c r="AD45" s="37" t="s">
        <v>55</v>
      </c>
      <c r="AE45" s="38" t="s">
        <v>53</v>
      </c>
      <c r="AF45" s="36" t="s">
        <v>55</v>
      </c>
      <c r="AG45" s="37" t="s">
        <v>55</v>
      </c>
      <c r="AH45" s="38" t="s">
        <v>53</v>
      </c>
      <c r="AI45" s="36" t="s">
        <v>55</v>
      </c>
      <c r="AJ45" s="37" t="s">
        <v>55</v>
      </c>
      <c r="AK45" s="38" t="s">
        <v>53</v>
      </c>
      <c r="AL45" s="36" t="s">
        <v>55</v>
      </c>
      <c r="AM45" s="37" t="s">
        <v>55</v>
      </c>
      <c r="AN45" s="38" t="s">
        <v>53</v>
      </c>
      <c r="AO45" s="36" t="s">
        <v>55</v>
      </c>
      <c r="AP45" s="37" t="s">
        <v>55</v>
      </c>
      <c r="AQ45" s="38" t="s">
        <v>53</v>
      </c>
      <c r="AR45" s="36" t="s">
        <v>55</v>
      </c>
      <c r="AS45" s="37" t="s">
        <v>55</v>
      </c>
      <c r="AT45" s="38" t="s">
        <v>53</v>
      </c>
      <c r="AU45" s="36" t="s">
        <v>55</v>
      </c>
      <c r="AV45" s="37" t="s">
        <v>55</v>
      </c>
      <c r="AW45" s="38" t="s">
        <v>53</v>
      </c>
      <c r="AX45" s="36" t="s">
        <v>55</v>
      </c>
      <c r="AY45" s="37" t="s">
        <v>55</v>
      </c>
      <c r="AZ45" s="38" t="s">
        <v>53</v>
      </c>
      <c r="BA45" s="36" t="s">
        <v>55</v>
      </c>
      <c r="BB45" s="37" t="s">
        <v>55</v>
      </c>
      <c r="BC45" s="38" t="s">
        <v>53</v>
      </c>
      <c r="BD45" s="36" t="s">
        <v>55</v>
      </c>
      <c r="BE45" s="37" t="s">
        <v>55</v>
      </c>
      <c r="BF45" s="38" t="s">
        <v>53</v>
      </c>
      <c r="BG45" s="36" t="s">
        <v>55</v>
      </c>
      <c r="BH45" s="37" t="s">
        <v>55</v>
      </c>
      <c r="BI45" s="38" t="s">
        <v>53</v>
      </c>
      <c r="BJ45" s="36" t="s">
        <v>55</v>
      </c>
      <c r="BK45" s="37" t="s">
        <v>55</v>
      </c>
      <c r="BL45" s="38" t="s">
        <v>53</v>
      </c>
      <c r="BM45" s="36" t="s">
        <v>55</v>
      </c>
      <c r="BN45" s="37" t="s">
        <v>55</v>
      </c>
      <c r="BO45" s="38" t="s">
        <v>53</v>
      </c>
      <c r="BP45" s="36" t="s">
        <v>55</v>
      </c>
      <c r="BQ45" s="37" t="s">
        <v>55</v>
      </c>
      <c r="BR45" s="38" t="s">
        <v>53</v>
      </c>
      <c r="BS45" s="36" t="s">
        <v>55</v>
      </c>
      <c r="BT45" s="37" t="s">
        <v>55</v>
      </c>
      <c r="BU45" s="38" t="s">
        <v>53</v>
      </c>
      <c r="BV45" s="36" t="s">
        <v>55</v>
      </c>
      <c r="BW45" s="37" t="s">
        <v>55</v>
      </c>
      <c r="BX45" s="38" t="s">
        <v>53</v>
      </c>
      <c r="BY45" s="36" t="s">
        <v>55</v>
      </c>
      <c r="BZ45" s="37" t="s">
        <v>55</v>
      </c>
      <c r="CA45" s="38" t="s">
        <v>53</v>
      </c>
      <c r="CB45" s="36" t="s">
        <v>55</v>
      </c>
      <c r="CC45" s="37" t="s">
        <v>55</v>
      </c>
      <c r="CD45" s="38" t="s">
        <v>53</v>
      </c>
      <c r="CE45" s="36" t="s">
        <v>55</v>
      </c>
      <c r="CF45" s="37" t="s">
        <v>55</v>
      </c>
      <c r="CG45" s="38" t="s">
        <v>53</v>
      </c>
      <c r="CH45" s="36" t="s">
        <v>55</v>
      </c>
      <c r="CI45" s="37" t="s">
        <v>55</v>
      </c>
      <c r="CJ45" s="38" t="s">
        <v>53</v>
      </c>
      <c r="CK45" s="36" t="s">
        <v>55</v>
      </c>
      <c r="CL45" s="37" t="s">
        <v>55</v>
      </c>
      <c r="CM45" s="38" t="s">
        <v>53</v>
      </c>
      <c r="CN45" s="36" t="s">
        <v>55</v>
      </c>
      <c r="CO45" s="37" t="s">
        <v>55</v>
      </c>
      <c r="CP45" s="38" t="s">
        <v>53</v>
      </c>
      <c r="CQ45" s="36" t="s">
        <v>55</v>
      </c>
      <c r="CR45" s="37" t="s">
        <v>55</v>
      </c>
      <c r="CS45" s="38" t="s">
        <v>53</v>
      </c>
      <c r="CT45" s="36" t="s">
        <v>55</v>
      </c>
      <c r="CU45" s="37" t="s">
        <v>55</v>
      </c>
      <c r="CV45" s="38" t="s">
        <v>53</v>
      </c>
      <c r="CW45" s="36" t="s">
        <v>55</v>
      </c>
      <c r="CX45" s="37" t="s">
        <v>55</v>
      </c>
      <c r="CY45" s="38" t="s">
        <v>53</v>
      </c>
      <c r="CZ45" s="36" t="s">
        <v>55</v>
      </c>
      <c r="DA45" s="37" t="s">
        <v>55</v>
      </c>
      <c r="DB45" s="38" t="s">
        <v>53</v>
      </c>
      <c r="DC45" s="36" t="s">
        <v>55</v>
      </c>
      <c r="DD45" s="37" t="s">
        <v>55</v>
      </c>
      <c r="DE45" s="38" t="s">
        <v>53</v>
      </c>
      <c r="DF45" s="36">
        <v>20.199601529420718</v>
      </c>
      <c r="DG45" s="37">
        <v>8.6753636010406829</v>
      </c>
      <c r="DH45" s="38" t="s">
        <v>53</v>
      </c>
      <c r="DI45" s="36" t="s">
        <v>55</v>
      </c>
      <c r="DJ45" s="37" t="s">
        <v>55</v>
      </c>
      <c r="DK45" s="39" t="s">
        <v>53</v>
      </c>
    </row>
    <row r="46" spans="1:115" x14ac:dyDescent="0.25">
      <c r="A46" s="15" t="s">
        <v>158</v>
      </c>
      <c r="B46" s="36">
        <v>6.1460021421166706</v>
      </c>
      <c r="C46" s="37">
        <v>2.9034321887099614</v>
      </c>
      <c r="D46" s="38" t="s">
        <v>53</v>
      </c>
      <c r="E46" s="36">
        <v>8.6221173936460591</v>
      </c>
      <c r="F46" s="37">
        <v>3.9149831917699571</v>
      </c>
      <c r="G46" s="38" t="s">
        <v>53</v>
      </c>
      <c r="H46" s="36">
        <v>10.82227556477277</v>
      </c>
      <c r="I46" s="37">
        <v>5.300380886998842</v>
      </c>
      <c r="J46" s="38" t="s">
        <v>53</v>
      </c>
      <c r="K46" s="36">
        <v>17.797625825238871</v>
      </c>
      <c r="L46" s="37">
        <v>6.7331710060536816</v>
      </c>
      <c r="M46" s="38" t="s">
        <v>53</v>
      </c>
      <c r="N46" s="36">
        <v>11.651623683122201</v>
      </c>
      <c r="O46" s="37">
        <v>7.4307900949824726</v>
      </c>
      <c r="P46" s="38" t="s">
        <v>53</v>
      </c>
      <c r="Q46" s="36">
        <v>9.6148127876040927</v>
      </c>
      <c r="R46" s="37">
        <v>3.8619473578957306</v>
      </c>
      <c r="S46" s="38" t="s">
        <v>53</v>
      </c>
      <c r="T46" s="36">
        <v>8.6370534647886128</v>
      </c>
      <c r="U46" s="37">
        <v>3.3587178625052125</v>
      </c>
      <c r="V46" s="38" t="s">
        <v>53</v>
      </c>
      <c r="W46" s="36">
        <v>10.224321858313751</v>
      </c>
      <c r="X46" s="37">
        <v>3.7668631018624636</v>
      </c>
      <c r="Y46" s="38" t="s">
        <v>53</v>
      </c>
      <c r="Z46" s="36">
        <v>7.408586268214699</v>
      </c>
      <c r="AA46" s="37">
        <v>3.4246041658132103</v>
      </c>
      <c r="AB46" s="38" t="s">
        <v>53</v>
      </c>
      <c r="AC46" s="36">
        <v>-2.2062265193893955</v>
      </c>
      <c r="AD46" s="37">
        <v>5.1202441471602089</v>
      </c>
      <c r="AE46" s="38" t="s">
        <v>53</v>
      </c>
      <c r="AF46" s="36">
        <v>7.4785860405311695</v>
      </c>
      <c r="AG46" s="37">
        <v>2.8248927196432461</v>
      </c>
      <c r="AH46" s="38" t="s">
        <v>53</v>
      </c>
      <c r="AI46" s="36">
        <v>10.396132988042012</v>
      </c>
      <c r="AJ46" s="37">
        <v>4.6429876762269933</v>
      </c>
      <c r="AK46" s="38" t="s">
        <v>53</v>
      </c>
      <c r="AL46" s="36">
        <v>8.2797540253632889</v>
      </c>
      <c r="AM46" s="37">
        <v>3.920553646570113</v>
      </c>
      <c r="AN46" s="38" t="s">
        <v>53</v>
      </c>
      <c r="AO46" s="36">
        <v>11.186745479249579</v>
      </c>
      <c r="AP46" s="37">
        <v>4.037760136476769</v>
      </c>
      <c r="AQ46" s="38" t="s">
        <v>53</v>
      </c>
      <c r="AR46" s="36">
        <v>3.708159438718408</v>
      </c>
      <c r="AS46" s="37">
        <v>4.9245792546942564</v>
      </c>
      <c r="AT46" s="38" t="s">
        <v>53</v>
      </c>
      <c r="AU46" s="36">
        <v>6.8444059550833654</v>
      </c>
      <c r="AV46" s="37">
        <v>3.9100907298853675</v>
      </c>
      <c r="AW46" s="38" t="s">
        <v>53</v>
      </c>
      <c r="AX46" s="36">
        <v>7.5473531485417027</v>
      </c>
      <c r="AY46" s="37">
        <v>3.1456545498507786</v>
      </c>
      <c r="AZ46" s="38" t="s">
        <v>53</v>
      </c>
      <c r="BA46" s="36">
        <v>11.360129312403554</v>
      </c>
      <c r="BB46" s="37">
        <v>4.2270097708812617</v>
      </c>
      <c r="BC46" s="38" t="s">
        <v>53</v>
      </c>
      <c r="BD46" s="36">
        <v>12.800852704441837</v>
      </c>
      <c r="BE46" s="37">
        <v>4.0180923580242025</v>
      </c>
      <c r="BF46" s="38" t="s">
        <v>53</v>
      </c>
      <c r="BG46" s="36">
        <v>5.9564467493584701</v>
      </c>
      <c r="BH46" s="37">
        <v>5.5676840688992471</v>
      </c>
      <c r="BI46" s="38" t="s">
        <v>53</v>
      </c>
      <c r="BJ46" s="36">
        <v>3.5334697915006319</v>
      </c>
      <c r="BK46" s="37">
        <v>2.5100796163526016</v>
      </c>
      <c r="BL46" s="38" t="s">
        <v>53</v>
      </c>
      <c r="BM46" s="36">
        <v>6.5467750250554051</v>
      </c>
      <c r="BN46" s="37">
        <v>3.1060318855605016</v>
      </c>
      <c r="BO46" s="38" t="s">
        <v>53</v>
      </c>
      <c r="BP46" s="36">
        <v>8.269164132494975</v>
      </c>
      <c r="BQ46" s="37">
        <v>3.5008136125894533</v>
      </c>
      <c r="BR46" s="38" t="s">
        <v>53</v>
      </c>
      <c r="BS46" s="36">
        <v>17.249047025443939</v>
      </c>
      <c r="BT46" s="37">
        <v>4.7319076923866232</v>
      </c>
      <c r="BU46" s="38" t="s">
        <v>53</v>
      </c>
      <c r="BV46" s="36">
        <v>13.715577233943307</v>
      </c>
      <c r="BW46" s="37">
        <v>5.390344293278341</v>
      </c>
      <c r="BX46" s="38" t="s">
        <v>53</v>
      </c>
      <c r="BY46" s="36">
        <v>2.7608607872073851</v>
      </c>
      <c r="BZ46" s="37">
        <v>1.9821548112734677</v>
      </c>
      <c r="CA46" s="38" t="s">
        <v>53</v>
      </c>
      <c r="CB46" s="36">
        <v>16.740461760064775</v>
      </c>
      <c r="CC46" s="37">
        <v>5.8414620004242694</v>
      </c>
      <c r="CD46" s="38" t="s">
        <v>53</v>
      </c>
      <c r="CE46" s="36">
        <v>10.693890570980274</v>
      </c>
      <c r="CF46" s="37">
        <v>4.6385679248223584</v>
      </c>
      <c r="CG46" s="38" t="s">
        <v>53</v>
      </c>
      <c r="CH46" s="36">
        <v>10.393594316782043</v>
      </c>
      <c r="CI46" s="37">
        <v>5.3268015734984093</v>
      </c>
      <c r="CJ46" s="38" t="s">
        <v>53</v>
      </c>
      <c r="CK46" s="36">
        <v>7.6327335295746588</v>
      </c>
      <c r="CL46" s="37">
        <v>5.1547365991097562</v>
      </c>
      <c r="CM46" s="38" t="s">
        <v>53</v>
      </c>
      <c r="CN46" s="36">
        <v>7.9728858863643737</v>
      </c>
      <c r="CO46" s="37">
        <v>4.0491799932661072</v>
      </c>
      <c r="CP46" s="38" t="s">
        <v>53</v>
      </c>
      <c r="CQ46" s="36">
        <v>6.6787757554115066</v>
      </c>
      <c r="CR46" s="37">
        <v>3.9743878744219132</v>
      </c>
      <c r="CS46" s="38" t="s">
        <v>53</v>
      </c>
      <c r="CT46" s="36">
        <v>10.988535611743682</v>
      </c>
      <c r="CU46" s="37">
        <v>4.3613982183528099</v>
      </c>
      <c r="CV46" s="38" t="s">
        <v>53</v>
      </c>
      <c r="CW46" s="36">
        <v>12.951883210877876</v>
      </c>
      <c r="CX46" s="37">
        <v>5.0838704295555255</v>
      </c>
      <c r="CY46" s="38" t="s">
        <v>53</v>
      </c>
      <c r="CZ46" s="36">
        <v>4.9789973245135011</v>
      </c>
      <c r="DA46" s="37">
        <v>6.1759853589267566</v>
      </c>
      <c r="DB46" s="38" t="s">
        <v>53</v>
      </c>
      <c r="DC46" s="36">
        <v>5.8197975614944841</v>
      </c>
      <c r="DD46" s="37">
        <v>2.1791280013448597</v>
      </c>
      <c r="DE46" s="38" t="s">
        <v>53</v>
      </c>
      <c r="DF46" s="36">
        <v>14.324158220876203</v>
      </c>
      <c r="DG46" s="37">
        <v>3.1506230964320219</v>
      </c>
      <c r="DH46" s="38" t="s">
        <v>53</v>
      </c>
      <c r="DI46" s="36">
        <v>8.5043606593817191</v>
      </c>
      <c r="DJ46" s="37">
        <v>3.6437720219429774</v>
      </c>
      <c r="DK46" s="39" t="s">
        <v>53</v>
      </c>
    </row>
    <row r="47" spans="1:115" x14ac:dyDescent="0.25">
      <c r="A47" s="15" t="s">
        <v>159</v>
      </c>
      <c r="B47" s="36" t="s">
        <v>55</v>
      </c>
      <c r="C47" s="37" t="s">
        <v>55</v>
      </c>
      <c r="D47" s="38" t="s">
        <v>53</v>
      </c>
      <c r="E47" s="36" t="s">
        <v>55</v>
      </c>
      <c r="F47" s="37" t="s">
        <v>55</v>
      </c>
      <c r="G47" s="38" t="s">
        <v>53</v>
      </c>
      <c r="H47" s="36" t="s">
        <v>55</v>
      </c>
      <c r="I47" s="37" t="s">
        <v>55</v>
      </c>
      <c r="J47" s="38" t="s">
        <v>53</v>
      </c>
      <c r="K47" s="36" t="s">
        <v>55</v>
      </c>
      <c r="L47" s="37" t="s">
        <v>55</v>
      </c>
      <c r="M47" s="38" t="s">
        <v>53</v>
      </c>
      <c r="N47" s="36" t="s">
        <v>55</v>
      </c>
      <c r="O47" s="37" t="s">
        <v>55</v>
      </c>
      <c r="P47" s="38" t="s">
        <v>53</v>
      </c>
      <c r="Q47" s="36" t="s">
        <v>55</v>
      </c>
      <c r="R47" s="37" t="s">
        <v>55</v>
      </c>
      <c r="S47" s="38" t="s">
        <v>53</v>
      </c>
      <c r="T47" s="36" t="s">
        <v>55</v>
      </c>
      <c r="U47" s="37" t="s">
        <v>55</v>
      </c>
      <c r="V47" s="38" t="s">
        <v>53</v>
      </c>
      <c r="W47" s="36" t="s">
        <v>55</v>
      </c>
      <c r="X47" s="37" t="s">
        <v>55</v>
      </c>
      <c r="Y47" s="38" t="s">
        <v>53</v>
      </c>
      <c r="Z47" s="36" t="s">
        <v>55</v>
      </c>
      <c r="AA47" s="37" t="s">
        <v>55</v>
      </c>
      <c r="AB47" s="38" t="s">
        <v>53</v>
      </c>
      <c r="AC47" s="36" t="s">
        <v>55</v>
      </c>
      <c r="AD47" s="37" t="s">
        <v>55</v>
      </c>
      <c r="AE47" s="38" t="s">
        <v>53</v>
      </c>
      <c r="AF47" s="36" t="s">
        <v>55</v>
      </c>
      <c r="AG47" s="37" t="s">
        <v>55</v>
      </c>
      <c r="AH47" s="38" t="s">
        <v>53</v>
      </c>
      <c r="AI47" s="36" t="s">
        <v>55</v>
      </c>
      <c r="AJ47" s="37" t="s">
        <v>55</v>
      </c>
      <c r="AK47" s="38" t="s">
        <v>53</v>
      </c>
      <c r="AL47" s="36" t="s">
        <v>55</v>
      </c>
      <c r="AM47" s="37" t="s">
        <v>55</v>
      </c>
      <c r="AN47" s="38" t="s">
        <v>53</v>
      </c>
      <c r="AO47" s="36" t="s">
        <v>55</v>
      </c>
      <c r="AP47" s="37" t="s">
        <v>55</v>
      </c>
      <c r="AQ47" s="38" t="s">
        <v>53</v>
      </c>
      <c r="AR47" s="36" t="s">
        <v>55</v>
      </c>
      <c r="AS47" s="37" t="s">
        <v>55</v>
      </c>
      <c r="AT47" s="38" t="s">
        <v>53</v>
      </c>
      <c r="AU47" s="36" t="s">
        <v>55</v>
      </c>
      <c r="AV47" s="37" t="s">
        <v>55</v>
      </c>
      <c r="AW47" s="38" t="s">
        <v>53</v>
      </c>
      <c r="AX47" s="36" t="s">
        <v>55</v>
      </c>
      <c r="AY47" s="37" t="s">
        <v>55</v>
      </c>
      <c r="AZ47" s="38" t="s">
        <v>53</v>
      </c>
      <c r="BA47" s="36" t="s">
        <v>55</v>
      </c>
      <c r="BB47" s="37" t="s">
        <v>55</v>
      </c>
      <c r="BC47" s="38" t="s">
        <v>53</v>
      </c>
      <c r="BD47" s="36" t="s">
        <v>55</v>
      </c>
      <c r="BE47" s="37" t="s">
        <v>55</v>
      </c>
      <c r="BF47" s="38" t="s">
        <v>53</v>
      </c>
      <c r="BG47" s="36" t="s">
        <v>55</v>
      </c>
      <c r="BH47" s="37" t="s">
        <v>55</v>
      </c>
      <c r="BI47" s="38" t="s">
        <v>53</v>
      </c>
      <c r="BJ47" s="36" t="s">
        <v>55</v>
      </c>
      <c r="BK47" s="37" t="s">
        <v>55</v>
      </c>
      <c r="BL47" s="38" t="s">
        <v>53</v>
      </c>
      <c r="BM47" s="36" t="s">
        <v>55</v>
      </c>
      <c r="BN47" s="37" t="s">
        <v>55</v>
      </c>
      <c r="BO47" s="38" t="s">
        <v>53</v>
      </c>
      <c r="BP47" s="36" t="s">
        <v>55</v>
      </c>
      <c r="BQ47" s="37" t="s">
        <v>55</v>
      </c>
      <c r="BR47" s="38" t="s">
        <v>53</v>
      </c>
      <c r="BS47" s="36" t="s">
        <v>55</v>
      </c>
      <c r="BT47" s="37" t="s">
        <v>55</v>
      </c>
      <c r="BU47" s="38" t="s">
        <v>53</v>
      </c>
      <c r="BV47" s="36" t="s">
        <v>55</v>
      </c>
      <c r="BW47" s="37" t="s">
        <v>55</v>
      </c>
      <c r="BX47" s="38" t="s">
        <v>53</v>
      </c>
      <c r="BY47" s="36" t="s">
        <v>55</v>
      </c>
      <c r="BZ47" s="37" t="s">
        <v>55</v>
      </c>
      <c r="CA47" s="38" t="s">
        <v>53</v>
      </c>
      <c r="CB47" s="36" t="s">
        <v>55</v>
      </c>
      <c r="CC47" s="37" t="s">
        <v>55</v>
      </c>
      <c r="CD47" s="38" t="s">
        <v>53</v>
      </c>
      <c r="CE47" s="36" t="s">
        <v>55</v>
      </c>
      <c r="CF47" s="37" t="s">
        <v>55</v>
      </c>
      <c r="CG47" s="38" t="s">
        <v>53</v>
      </c>
      <c r="CH47" s="36" t="s">
        <v>55</v>
      </c>
      <c r="CI47" s="37" t="s">
        <v>55</v>
      </c>
      <c r="CJ47" s="38" t="s">
        <v>53</v>
      </c>
      <c r="CK47" s="36" t="s">
        <v>55</v>
      </c>
      <c r="CL47" s="37" t="s">
        <v>55</v>
      </c>
      <c r="CM47" s="38" t="s">
        <v>53</v>
      </c>
      <c r="CN47" s="36" t="s">
        <v>55</v>
      </c>
      <c r="CO47" s="37" t="s">
        <v>55</v>
      </c>
      <c r="CP47" s="38" t="s">
        <v>53</v>
      </c>
      <c r="CQ47" s="36" t="s">
        <v>55</v>
      </c>
      <c r="CR47" s="37" t="s">
        <v>55</v>
      </c>
      <c r="CS47" s="38" t="s">
        <v>53</v>
      </c>
      <c r="CT47" s="36" t="s">
        <v>55</v>
      </c>
      <c r="CU47" s="37" t="s">
        <v>55</v>
      </c>
      <c r="CV47" s="38" t="s">
        <v>53</v>
      </c>
      <c r="CW47" s="36" t="s">
        <v>55</v>
      </c>
      <c r="CX47" s="37" t="s">
        <v>55</v>
      </c>
      <c r="CY47" s="38" t="s">
        <v>53</v>
      </c>
      <c r="CZ47" s="36" t="s">
        <v>55</v>
      </c>
      <c r="DA47" s="37" t="s">
        <v>55</v>
      </c>
      <c r="DB47" s="38" t="s">
        <v>53</v>
      </c>
      <c r="DC47" s="36" t="s">
        <v>55</v>
      </c>
      <c r="DD47" s="37" t="s">
        <v>55</v>
      </c>
      <c r="DE47" s="38" t="s">
        <v>53</v>
      </c>
      <c r="DF47" s="36" t="s">
        <v>55</v>
      </c>
      <c r="DG47" s="37" t="s">
        <v>55</v>
      </c>
      <c r="DH47" s="38" t="s">
        <v>53</v>
      </c>
      <c r="DI47" s="36" t="s">
        <v>55</v>
      </c>
      <c r="DJ47" s="37" t="s">
        <v>55</v>
      </c>
      <c r="DK47" s="39" t="s">
        <v>53</v>
      </c>
    </row>
    <row r="48" spans="1:115" x14ac:dyDescent="0.25">
      <c r="A48" s="15" t="s">
        <v>160</v>
      </c>
      <c r="B48" s="36">
        <v>13.514781866682432</v>
      </c>
      <c r="C48" s="37">
        <v>3.0230253383689858</v>
      </c>
      <c r="D48" s="38" t="s">
        <v>53</v>
      </c>
      <c r="E48" s="36">
        <v>8.936667059526501</v>
      </c>
      <c r="F48" s="37">
        <v>2.5971302630019517</v>
      </c>
      <c r="G48" s="38" t="s">
        <v>53</v>
      </c>
      <c r="H48" s="36">
        <v>13.138782292473868</v>
      </c>
      <c r="I48" s="37">
        <v>3.0601316053938983</v>
      </c>
      <c r="J48" s="38" t="s">
        <v>53</v>
      </c>
      <c r="K48" s="36">
        <v>11.761104164795121</v>
      </c>
      <c r="L48" s="37">
        <v>3.1328564616860346</v>
      </c>
      <c r="M48" s="38" t="s">
        <v>53</v>
      </c>
      <c r="N48" s="36">
        <v>-1.7536777018873124</v>
      </c>
      <c r="O48" s="37">
        <v>3.8290274827076041</v>
      </c>
      <c r="P48" s="38" t="s">
        <v>53</v>
      </c>
      <c r="Q48" s="36">
        <v>6.5305639911683686</v>
      </c>
      <c r="R48" s="37">
        <v>1.6368306979554701</v>
      </c>
      <c r="S48" s="38" t="s">
        <v>53</v>
      </c>
      <c r="T48" s="36">
        <v>10.246542817850708</v>
      </c>
      <c r="U48" s="37">
        <v>2.2974836009680808</v>
      </c>
      <c r="V48" s="38" t="s">
        <v>53</v>
      </c>
      <c r="W48" s="36">
        <v>14.97715400023811</v>
      </c>
      <c r="X48" s="37">
        <v>3.1191069490658827</v>
      </c>
      <c r="Y48" s="38" t="s">
        <v>53</v>
      </c>
      <c r="Z48" s="36">
        <v>10.269632755233655</v>
      </c>
      <c r="AA48" s="37">
        <v>2.3428522608294324</v>
      </c>
      <c r="AB48" s="38" t="s">
        <v>53</v>
      </c>
      <c r="AC48" s="36">
        <v>3.7390687640652827</v>
      </c>
      <c r="AD48" s="37">
        <v>2.7608461572453371</v>
      </c>
      <c r="AE48" s="38" t="s">
        <v>53</v>
      </c>
      <c r="AF48" s="36">
        <v>6.7895696482724404</v>
      </c>
      <c r="AG48" s="37">
        <v>2.0056462778434949</v>
      </c>
      <c r="AH48" s="38" t="s">
        <v>53</v>
      </c>
      <c r="AI48" s="36">
        <v>10.323523660997189</v>
      </c>
      <c r="AJ48" s="37">
        <v>2.268821414614103</v>
      </c>
      <c r="AK48" s="38" t="s">
        <v>53</v>
      </c>
      <c r="AL48" s="36">
        <v>9.191759925894976</v>
      </c>
      <c r="AM48" s="37">
        <v>2.5085715327205595</v>
      </c>
      <c r="AN48" s="38" t="s">
        <v>53</v>
      </c>
      <c r="AO48" s="36">
        <v>16.512367718198025</v>
      </c>
      <c r="AP48" s="37">
        <v>3.5682415604811335</v>
      </c>
      <c r="AQ48" s="38" t="s">
        <v>53</v>
      </c>
      <c r="AR48" s="36">
        <v>9.7227980699255827</v>
      </c>
      <c r="AS48" s="37">
        <v>3.7653343593414643</v>
      </c>
      <c r="AT48" s="38" t="s">
        <v>53</v>
      </c>
      <c r="AU48" s="36">
        <v>12.129176631021775</v>
      </c>
      <c r="AV48" s="37">
        <v>3.1524962437957202</v>
      </c>
      <c r="AW48" s="38" t="s">
        <v>53</v>
      </c>
      <c r="AX48" s="36">
        <v>14.686580124228211</v>
      </c>
      <c r="AY48" s="37">
        <v>3.3134706595834165</v>
      </c>
      <c r="AZ48" s="38" t="s">
        <v>53</v>
      </c>
      <c r="BA48" s="36">
        <v>10.467973514051671</v>
      </c>
      <c r="BB48" s="37">
        <v>2.3305025617213677</v>
      </c>
      <c r="BC48" s="38" t="s">
        <v>53</v>
      </c>
      <c r="BD48" s="36">
        <v>9.6038421140940038</v>
      </c>
      <c r="BE48" s="37">
        <v>2.1236864329663088</v>
      </c>
      <c r="BF48" s="38" t="s">
        <v>53</v>
      </c>
      <c r="BG48" s="36">
        <v>-2.5253345169277708</v>
      </c>
      <c r="BH48" s="37">
        <v>3.282818237949233</v>
      </c>
      <c r="BI48" s="38" t="s">
        <v>53</v>
      </c>
      <c r="BJ48" s="36">
        <v>5.6016465846253594</v>
      </c>
      <c r="BK48" s="37">
        <v>1.9277035341238198</v>
      </c>
      <c r="BL48" s="38" t="s">
        <v>53</v>
      </c>
      <c r="BM48" s="36">
        <v>7.8254411052085917</v>
      </c>
      <c r="BN48" s="37">
        <v>2.193234456511802</v>
      </c>
      <c r="BO48" s="38" t="s">
        <v>53</v>
      </c>
      <c r="BP48" s="36">
        <v>12.581575295224265</v>
      </c>
      <c r="BQ48" s="37">
        <v>2.6050334783147373</v>
      </c>
      <c r="BR48" s="38" t="s">
        <v>53</v>
      </c>
      <c r="BS48" s="36">
        <v>15.300036983831536</v>
      </c>
      <c r="BT48" s="37">
        <v>3.009099325665217</v>
      </c>
      <c r="BU48" s="38" t="s">
        <v>53</v>
      </c>
      <c r="BV48" s="36">
        <v>9.6983903992061791</v>
      </c>
      <c r="BW48" s="37">
        <v>3.4765225547726391</v>
      </c>
      <c r="BX48" s="38" t="s">
        <v>53</v>
      </c>
      <c r="BY48" s="36">
        <v>11.894249819067673</v>
      </c>
      <c r="BZ48" s="37">
        <v>3.0203197217795985</v>
      </c>
      <c r="CA48" s="38" t="s">
        <v>53</v>
      </c>
      <c r="CB48" s="36">
        <v>13.55597435422017</v>
      </c>
      <c r="CC48" s="37">
        <v>3.2170786090227597</v>
      </c>
      <c r="CD48" s="38" t="s">
        <v>53</v>
      </c>
      <c r="CE48" s="36">
        <v>11.885455043549262</v>
      </c>
      <c r="CF48" s="37">
        <v>3.1302699816012649</v>
      </c>
      <c r="CG48" s="38" t="s">
        <v>53</v>
      </c>
      <c r="CH48" s="36">
        <v>12.021501084869929</v>
      </c>
      <c r="CI48" s="37">
        <v>3.0298496220328133</v>
      </c>
      <c r="CJ48" s="38" t="s">
        <v>53</v>
      </c>
      <c r="CK48" s="36">
        <v>0.12725126580225482</v>
      </c>
      <c r="CL48" s="37">
        <v>4.2007193982540718</v>
      </c>
      <c r="CM48" s="38" t="s">
        <v>53</v>
      </c>
      <c r="CN48" s="36">
        <v>12.287816079887477</v>
      </c>
      <c r="CO48" s="37">
        <v>3.0045805770818705</v>
      </c>
      <c r="CP48" s="38" t="s">
        <v>53</v>
      </c>
      <c r="CQ48" s="36">
        <v>15.441286321383002</v>
      </c>
      <c r="CR48" s="37">
        <v>3.5611881275063082</v>
      </c>
      <c r="CS48" s="38" t="s">
        <v>53</v>
      </c>
      <c r="CT48" s="36">
        <v>12.143649101228132</v>
      </c>
      <c r="CU48" s="37">
        <v>2.6555720919305541</v>
      </c>
      <c r="CV48" s="38" t="s">
        <v>53</v>
      </c>
      <c r="CW48" s="36">
        <v>8.6256323383700764</v>
      </c>
      <c r="CX48" s="37">
        <v>2.6379141251634928</v>
      </c>
      <c r="CY48" s="38" t="s">
        <v>53</v>
      </c>
      <c r="CZ48" s="36">
        <v>-3.6621837415174019</v>
      </c>
      <c r="DA48" s="37">
        <v>3.9512848724478808</v>
      </c>
      <c r="DB48" s="38" t="s">
        <v>53</v>
      </c>
      <c r="DC48" s="36">
        <v>6.7011143745671102</v>
      </c>
      <c r="DD48" s="37">
        <v>1.7145542845574222</v>
      </c>
      <c r="DE48" s="38" t="s">
        <v>53</v>
      </c>
      <c r="DF48" s="36">
        <v>15.285205910252344</v>
      </c>
      <c r="DG48" s="37">
        <v>2.4345750599071514</v>
      </c>
      <c r="DH48" s="38" t="s">
        <v>53</v>
      </c>
      <c r="DI48" s="36">
        <v>8.5840915356852356</v>
      </c>
      <c r="DJ48" s="37">
        <v>2.9155624174003059</v>
      </c>
      <c r="DK48" s="39" t="s">
        <v>53</v>
      </c>
    </row>
    <row r="49" spans="1:115" x14ac:dyDescent="0.25">
      <c r="A49" s="15" t="s">
        <v>161</v>
      </c>
      <c r="B49" s="36">
        <v>11.002002131474729</v>
      </c>
      <c r="C49" s="37">
        <v>2.5997266309090117</v>
      </c>
      <c r="D49" s="38" t="s">
        <v>53</v>
      </c>
      <c r="E49" s="36">
        <v>21.484645998644282</v>
      </c>
      <c r="F49" s="37">
        <v>2.7079281202760033</v>
      </c>
      <c r="G49" s="38" t="s">
        <v>53</v>
      </c>
      <c r="H49" s="36">
        <v>21.369071551366215</v>
      </c>
      <c r="I49" s="37">
        <v>2.9708311016246363</v>
      </c>
      <c r="J49" s="38" t="s">
        <v>53</v>
      </c>
      <c r="K49" s="36">
        <v>15.27619409950926</v>
      </c>
      <c r="L49" s="37">
        <v>2.6831552180717808</v>
      </c>
      <c r="M49" s="38" t="s">
        <v>53</v>
      </c>
      <c r="N49" s="36">
        <v>4.2741919680345308</v>
      </c>
      <c r="O49" s="37">
        <v>3.3984744111393184</v>
      </c>
      <c r="P49" s="38" t="s">
        <v>53</v>
      </c>
      <c r="Q49" s="36">
        <v>18.049285384821811</v>
      </c>
      <c r="R49" s="37">
        <v>2.3352454704472931</v>
      </c>
      <c r="S49" s="38" t="s">
        <v>53</v>
      </c>
      <c r="T49" s="36">
        <v>18.69247838010175</v>
      </c>
      <c r="U49" s="37">
        <v>2.28646011436815</v>
      </c>
      <c r="V49" s="38" t="s">
        <v>53</v>
      </c>
      <c r="W49" s="36">
        <v>15.75842498752826</v>
      </c>
      <c r="X49" s="37">
        <v>2.0117261120142991</v>
      </c>
      <c r="Y49" s="38" t="s">
        <v>53</v>
      </c>
      <c r="Z49" s="36">
        <v>12.022680630728669</v>
      </c>
      <c r="AA49" s="37">
        <v>1.6130951068746129</v>
      </c>
      <c r="AB49" s="38" t="s">
        <v>53</v>
      </c>
      <c r="AC49" s="36">
        <v>-6.0266047540931416</v>
      </c>
      <c r="AD49" s="37">
        <v>2.7732009982478378</v>
      </c>
      <c r="AE49" s="38" t="s">
        <v>53</v>
      </c>
      <c r="AF49" s="36">
        <v>14.122445003071924</v>
      </c>
      <c r="AG49" s="37">
        <v>2.2822832343325201</v>
      </c>
      <c r="AH49" s="38" t="s">
        <v>53</v>
      </c>
      <c r="AI49" s="36">
        <v>12.994067242780979</v>
      </c>
      <c r="AJ49" s="37">
        <v>1.8097173673954039</v>
      </c>
      <c r="AK49" s="38" t="s">
        <v>53</v>
      </c>
      <c r="AL49" s="36">
        <v>17.898524812815307</v>
      </c>
      <c r="AM49" s="37">
        <v>2.0406568134694223</v>
      </c>
      <c r="AN49" s="38" t="s">
        <v>53</v>
      </c>
      <c r="AO49" s="36">
        <v>17.808798552948975</v>
      </c>
      <c r="AP49" s="37">
        <v>2.2825380786194152</v>
      </c>
      <c r="AQ49" s="38" t="s">
        <v>53</v>
      </c>
      <c r="AR49" s="36">
        <v>3.6863535498770537</v>
      </c>
      <c r="AS49" s="37">
        <v>2.7135582325958363</v>
      </c>
      <c r="AT49" s="38" t="s">
        <v>53</v>
      </c>
      <c r="AU49" s="36">
        <v>15.505772029143605</v>
      </c>
      <c r="AV49" s="37">
        <v>2.3632719796519113</v>
      </c>
      <c r="AW49" s="38" t="s">
        <v>53</v>
      </c>
      <c r="AX49" s="36">
        <v>16.923898711612541</v>
      </c>
      <c r="AY49" s="37">
        <v>2.6068651086061267</v>
      </c>
      <c r="AZ49" s="38" t="s">
        <v>53</v>
      </c>
      <c r="BA49" s="36">
        <v>15.077447163091861</v>
      </c>
      <c r="BB49" s="37">
        <v>2.1945803264279253</v>
      </c>
      <c r="BC49" s="38" t="s">
        <v>53</v>
      </c>
      <c r="BD49" s="36">
        <v>19.524184327726001</v>
      </c>
      <c r="BE49" s="37">
        <v>2.3978805745038625</v>
      </c>
      <c r="BF49" s="38" t="s">
        <v>53</v>
      </c>
      <c r="BG49" s="36">
        <v>4.0184122985823985</v>
      </c>
      <c r="BH49" s="37">
        <v>2.8990016442753621</v>
      </c>
      <c r="BI49" s="38" t="s">
        <v>53</v>
      </c>
      <c r="BJ49" s="36">
        <v>12.047013499592481</v>
      </c>
      <c r="BK49" s="37">
        <v>1.8927720450978236</v>
      </c>
      <c r="BL49" s="38" t="s">
        <v>53</v>
      </c>
      <c r="BM49" s="36">
        <v>15.628622861024175</v>
      </c>
      <c r="BN49" s="37">
        <v>2.4300879110384708</v>
      </c>
      <c r="BO49" s="38" t="s">
        <v>53</v>
      </c>
      <c r="BP49" s="36">
        <v>17.532744887058367</v>
      </c>
      <c r="BQ49" s="37">
        <v>2.3567271910093082</v>
      </c>
      <c r="BR49" s="38" t="s">
        <v>53</v>
      </c>
      <c r="BS49" s="36">
        <v>18.637271996115754</v>
      </c>
      <c r="BT49" s="37">
        <v>2.5515435782888582</v>
      </c>
      <c r="BU49" s="38" t="s">
        <v>53</v>
      </c>
      <c r="BV49" s="36">
        <v>6.5902584965232753</v>
      </c>
      <c r="BW49" s="37">
        <v>3.2255594946629698</v>
      </c>
      <c r="BX49" s="38" t="s">
        <v>53</v>
      </c>
      <c r="BY49" s="36">
        <v>17.319132595293862</v>
      </c>
      <c r="BZ49" s="37">
        <v>2.7081381196776633</v>
      </c>
      <c r="CA49" s="38" t="s">
        <v>53</v>
      </c>
      <c r="CB49" s="36">
        <v>15.250843543498515</v>
      </c>
      <c r="CC49" s="37">
        <v>2.9324302278069778</v>
      </c>
      <c r="CD49" s="38" t="s">
        <v>53</v>
      </c>
      <c r="CE49" s="36">
        <v>18.479002281022076</v>
      </c>
      <c r="CF49" s="37">
        <v>2.9698609887567122</v>
      </c>
      <c r="CG49" s="38" t="s">
        <v>53</v>
      </c>
      <c r="CH49" s="36">
        <v>18.136177089067861</v>
      </c>
      <c r="CI49" s="37">
        <v>2.7130185187552103</v>
      </c>
      <c r="CJ49" s="38" t="s">
        <v>53</v>
      </c>
      <c r="CK49" s="36">
        <v>0.81704449377399868</v>
      </c>
      <c r="CL49" s="37">
        <v>3.8988839093943914</v>
      </c>
      <c r="CM49" s="38" t="s">
        <v>53</v>
      </c>
      <c r="CN49" s="36">
        <v>23.748756664552332</v>
      </c>
      <c r="CO49" s="37">
        <v>2.8973247201699501</v>
      </c>
      <c r="CP49" s="38" t="s">
        <v>53</v>
      </c>
      <c r="CQ49" s="36">
        <v>18.281384248716947</v>
      </c>
      <c r="CR49" s="37">
        <v>3.1193536080494062</v>
      </c>
      <c r="CS49" s="38" t="s">
        <v>53</v>
      </c>
      <c r="CT49" s="36">
        <v>14.59267836337089</v>
      </c>
      <c r="CU49" s="37">
        <v>2.7457362948991646</v>
      </c>
      <c r="CV49" s="38" t="s">
        <v>53</v>
      </c>
      <c r="CW49" s="36">
        <v>13.46151187136679</v>
      </c>
      <c r="CX49" s="37">
        <v>2.3412015909495287</v>
      </c>
      <c r="CY49" s="38" t="s">
        <v>53</v>
      </c>
      <c r="CZ49" s="36">
        <v>-10.287244793185542</v>
      </c>
      <c r="DA49" s="37">
        <v>3.7592947421187279</v>
      </c>
      <c r="DB49" s="38" t="s">
        <v>53</v>
      </c>
      <c r="DC49" s="36">
        <v>13.841512744139656</v>
      </c>
      <c r="DD49" s="37">
        <v>1.920122931860736</v>
      </c>
      <c r="DE49" s="38" t="s">
        <v>53</v>
      </c>
      <c r="DF49" s="36">
        <v>18.432681801328549</v>
      </c>
      <c r="DG49" s="37">
        <v>1.6746520297859608</v>
      </c>
      <c r="DH49" s="38" t="s">
        <v>53</v>
      </c>
      <c r="DI49" s="36">
        <v>4.5911690571888961</v>
      </c>
      <c r="DJ49" s="37">
        <v>2.1521376142870268</v>
      </c>
      <c r="DK49" s="39" t="s">
        <v>53</v>
      </c>
    </row>
    <row r="50" spans="1:115" x14ac:dyDescent="0.25">
      <c r="A50" s="15" t="s">
        <v>162</v>
      </c>
      <c r="B50" s="36" t="s">
        <v>55</v>
      </c>
      <c r="C50" s="37" t="s">
        <v>55</v>
      </c>
      <c r="D50" s="38" t="s">
        <v>53</v>
      </c>
      <c r="E50" s="36" t="s">
        <v>55</v>
      </c>
      <c r="F50" s="37" t="s">
        <v>55</v>
      </c>
      <c r="G50" s="38" t="s">
        <v>53</v>
      </c>
      <c r="H50" s="36" t="s">
        <v>55</v>
      </c>
      <c r="I50" s="37" t="s">
        <v>55</v>
      </c>
      <c r="J50" s="38" t="s">
        <v>53</v>
      </c>
      <c r="K50" s="36" t="s">
        <v>55</v>
      </c>
      <c r="L50" s="37" t="s">
        <v>55</v>
      </c>
      <c r="M50" s="38" t="s">
        <v>53</v>
      </c>
      <c r="N50" s="36" t="s">
        <v>55</v>
      </c>
      <c r="O50" s="37" t="s">
        <v>55</v>
      </c>
      <c r="P50" s="38" t="s">
        <v>53</v>
      </c>
      <c r="Q50" s="36" t="s">
        <v>55</v>
      </c>
      <c r="R50" s="37" t="s">
        <v>55</v>
      </c>
      <c r="S50" s="38" t="s">
        <v>53</v>
      </c>
      <c r="T50" s="36" t="s">
        <v>55</v>
      </c>
      <c r="U50" s="37" t="s">
        <v>55</v>
      </c>
      <c r="V50" s="38" t="s">
        <v>53</v>
      </c>
      <c r="W50" s="36" t="s">
        <v>55</v>
      </c>
      <c r="X50" s="37" t="s">
        <v>55</v>
      </c>
      <c r="Y50" s="38" t="s">
        <v>53</v>
      </c>
      <c r="Z50" s="36" t="s">
        <v>55</v>
      </c>
      <c r="AA50" s="37" t="s">
        <v>55</v>
      </c>
      <c r="AB50" s="38" t="s">
        <v>53</v>
      </c>
      <c r="AC50" s="36" t="s">
        <v>55</v>
      </c>
      <c r="AD50" s="37" t="s">
        <v>55</v>
      </c>
      <c r="AE50" s="38" t="s">
        <v>53</v>
      </c>
      <c r="AF50" s="36" t="s">
        <v>55</v>
      </c>
      <c r="AG50" s="37" t="s">
        <v>55</v>
      </c>
      <c r="AH50" s="38" t="s">
        <v>53</v>
      </c>
      <c r="AI50" s="36" t="s">
        <v>55</v>
      </c>
      <c r="AJ50" s="37" t="s">
        <v>55</v>
      </c>
      <c r="AK50" s="38" t="s">
        <v>53</v>
      </c>
      <c r="AL50" s="36" t="s">
        <v>55</v>
      </c>
      <c r="AM50" s="37" t="s">
        <v>55</v>
      </c>
      <c r="AN50" s="38" t="s">
        <v>53</v>
      </c>
      <c r="AO50" s="36" t="s">
        <v>55</v>
      </c>
      <c r="AP50" s="37" t="s">
        <v>55</v>
      </c>
      <c r="AQ50" s="38" t="s">
        <v>53</v>
      </c>
      <c r="AR50" s="36" t="s">
        <v>55</v>
      </c>
      <c r="AS50" s="37" t="s">
        <v>55</v>
      </c>
      <c r="AT50" s="38" t="s">
        <v>53</v>
      </c>
      <c r="AU50" s="36" t="s">
        <v>55</v>
      </c>
      <c r="AV50" s="37" t="s">
        <v>55</v>
      </c>
      <c r="AW50" s="38" t="s">
        <v>53</v>
      </c>
      <c r="AX50" s="36" t="s">
        <v>55</v>
      </c>
      <c r="AY50" s="37" t="s">
        <v>55</v>
      </c>
      <c r="AZ50" s="38" t="s">
        <v>53</v>
      </c>
      <c r="BA50" s="36" t="s">
        <v>55</v>
      </c>
      <c r="BB50" s="37" t="s">
        <v>55</v>
      </c>
      <c r="BC50" s="38" t="s">
        <v>53</v>
      </c>
      <c r="BD50" s="36" t="s">
        <v>55</v>
      </c>
      <c r="BE50" s="37" t="s">
        <v>55</v>
      </c>
      <c r="BF50" s="38" t="s">
        <v>53</v>
      </c>
      <c r="BG50" s="36" t="s">
        <v>55</v>
      </c>
      <c r="BH50" s="37" t="s">
        <v>55</v>
      </c>
      <c r="BI50" s="38" t="s">
        <v>53</v>
      </c>
      <c r="BJ50" s="36" t="s">
        <v>55</v>
      </c>
      <c r="BK50" s="37" t="s">
        <v>55</v>
      </c>
      <c r="BL50" s="38" t="s">
        <v>53</v>
      </c>
      <c r="BM50" s="36" t="s">
        <v>55</v>
      </c>
      <c r="BN50" s="37" t="s">
        <v>55</v>
      </c>
      <c r="BO50" s="38" t="s">
        <v>53</v>
      </c>
      <c r="BP50" s="36" t="s">
        <v>55</v>
      </c>
      <c r="BQ50" s="37" t="s">
        <v>55</v>
      </c>
      <c r="BR50" s="38" t="s">
        <v>53</v>
      </c>
      <c r="BS50" s="36" t="s">
        <v>55</v>
      </c>
      <c r="BT50" s="37" t="s">
        <v>55</v>
      </c>
      <c r="BU50" s="38" t="s">
        <v>53</v>
      </c>
      <c r="BV50" s="36" t="s">
        <v>55</v>
      </c>
      <c r="BW50" s="37" t="s">
        <v>55</v>
      </c>
      <c r="BX50" s="38" t="s">
        <v>53</v>
      </c>
      <c r="BY50" s="36" t="s">
        <v>55</v>
      </c>
      <c r="BZ50" s="37" t="s">
        <v>55</v>
      </c>
      <c r="CA50" s="38" t="s">
        <v>53</v>
      </c>
      <c r="CB50" s="36" t="s">
        <v>55</v>
      </c>
      <c r="CC50" s="37" t="s">
        <v>55</v>
      </c>
      <c r="CD50" s="38" t="s">
        <v>53</v>
      </c>
      <c r="CE50" s="36" t="s">
        <v>55</v>
      </c>
      <c r="CF50" s="37" t="s">
        <v>55</v>
      </c>
      <c r="CG50" s="38" t="s">
        <v>53</v>
      </c>
      <c r="CH50" s="36" t="s">
        <v>55</v>
      </c>
      <c r="CI50" s="37" t="s">
        <v>55</v>
      </c>
      <c r="CJ50" s="38" t="s">
        <v>53</v>
      </c>
      <c r="CK50" s="36" t="s">
        <v>55</v>
      </c>
      <c r="CL50" s="37" t="s">
        <v>55</v>
      </c>
      <c r="CM50" s="38" t="s">
        <v>53</v>
      </c>
      <c r="CN50" s="36" t="s">
        <v>55</v>
      </c>
      <c r="CO50" s="37" t="s">
        <v>55</v>
      </c>
      <c r="CP50" s="38" t="s">
        <v>53</v>
      </c>
      <c r="CQ50" s="36" t="s">
        <v>55</v>
      </c>
      <c r="CR50" s="37" t="s">
        <v>55</v>
      </c>
      <c r="CS50" s="38" t="s">
        <v>53</v>
      </c>
      <c r="CT50" s="36" t="s">
        <v>55</v>
      </c>
      <c r="CU50" s="37" t="s">
        <v>55</v>
      </c>
      <c r="CV50" s="38" t="s">
        <v>53</v>
      </c>
      <c r="CW50" s="36" t="s">
        <v>55</v>
      </c>
      <c r="CX50" s="37" t="s">
        <v>55</v>
      </c>
      <c r="CY50" s="38" t="s">
        <v>53</v>
      </c>
      <c r="CZ50" s="36" t="s">
        <v>55</v>
      </c>
      <c r="DA50" s="37" t="s">
        <v>55</v>
      </c>
      <c r="DB50" s="38" t="s">
        <v>53</v>
      </c>
      <c r="DC50" s="36" t="s">
        <v>55</v>
      </c>
      <c r="DD50" s="37" t="s">
        <v>55</v>
      </c>
      <c r="DE50" s="38" t="s">
        <v>53</v>
      </c>
      <c r="DF50" s="36">
        <v>26.502286424308497</v>
      </c>
      <c r="DG50" s="37">
        <v>9.5200726062520218</v>
      </c>
      <c r="DH50" s="38" t="s">
        <v>53</v>
      </c>
      <c r="DI50" s="36" t="s">
        <v>55</v>
      </c>
      <c r="DJ50" s="37" t="s">
        <v>55</v>
      </c>
      <c r="DK50" s="39" t="s">
        <v>53</v>
      </c>
    </row>
    <row r="51" spans="1:115" x14ac:dyDescent="0.25">
      <c r="A51" s="15" t="s">
        <v>163</v>
      </c>
      <c r="B51" s="36">
        <v>20.069810550341003</v>
      </c>
      <c r="C51" s="37">
        <v>2.5323680510952702</v>
      </c>
      <c r="D51" s="38" t="s">
        <v>53</v>
      </c>
      <c r="E51" s="36">
        <v>22.001300180247611</v>
      </c>
      <c r="F51" s="37">
        <v>2.9289901053115459</v>
      </c>
      <c r="G51" s="38" t="s">
        <v>53</v>
      </c>
      <c r="H51" s="36">
        <v>25.418227763205088</v>
      </c>
      <c r="I51" s="37">
        <v>3.3101545626927518</v>
      </c>
      <c r="J51" s="38" t="s">
        <v>53</v>
      </c>
      <c r="K51" s="36">
        <v>18.322490505162893</v>
      </c>
      <c r="L51" s="37">
        <v>3.0200593065750159</v>
      </c>
      <c r="M51" s="38" t="s">
        <v>53</v>
      </c>
      <c r="N51" s="36">
        <v>-1.7473200451781123</v>
      </c>
      <c r="O51" s="37">
        <v>3.6455066255288897</v>
      </c>
      <c r="P51" s="38" t="s">
        <v>53</v>
      </c>
      <c r="Q51" s="36">
        <v>17.996092039052517</v>
      </c>
      <c r="R51" s="37">
        <v>3.0589084317366133</v>
      </c>
      <c r="S51" s="38" t="s">
        <v>53</v>
      </c>
      <c r="T51" s="36">
        <v>22.277556265780923</v>
      </c>
      <c r="U51" s="37">
        <v>3.1633014655027538</v>
      </c>
      <c r="V51" s="38" t="s">
        <v>53</v>
      </c>
      <c r="W51" s="36">
        <v>24.412564273497818</v>
      </c>
      <c r="X51" s="37">
        <v>2.9557365082273708</v>
      </c>
      <c r="Y51" s="38" t="s">
        <v>53</v>
      </c>
      <c r="Z51" s="36">
        <v>17.928067776897034</v>
      </c>
      <c r="AA51" s="37">
        <v>2.6782556297799331</v>
      </c>
      <c r="AB51" s="38" t="s">
        <v>53</v>
      </c>
      <c r="AC51" s="36">
        <v>-6.8024262155483864E-2</v>
      </c>
      <c r="AD51" s="37">
        <v>4.2487449512175477</v>
      </c>
      <c r="AE51" s="38" t="s">
        <v>53</v>
      </c>
      <c r="AF51" s="36">
        <v>15.824183539809541</v>
      </c>
      <c r="AG51" s="37">
        <v>2.9582479168891918</v>
      </c>
      <c r="AH51" s="38" t="s">
        <v>53</v>
      </c>
      <c r="AI51" s="36">
        <v>20.139815998612949</v>
      </c>
      <c r="AJ51" s="37">
        <v>2.7406838814276102</v>
      </c>
      <c r="AK51" s="38" t="s">
        <v>53</v>
      </c>
      <c r="AL51" s="36">
        <v>20.273020309596124</v>
      </c>
      <c r="AM51" s="37">
        <v>2.9484697763441301</v>
      </c>
      <c r="AN51" s="38" t="s">
        <v>53</v>
      </c>
      <c r="AO51" s="36">
        <v>27.239774963259261</v>
      </c>
      <c r="AP51" s="37">
        <v>3.272457207499587</v>
      </c>
      <c r="AQ51" s="38" t="s">
        <v>53</v>
      </c>
      <c r="AR51" s="36">
        <v>11.415591423449719</v>
      </c>
      <c r="AS51" s="37">
        <v>4.5071290864150075</v>
      </c>
      <c r="AT51" s="38" t="s">
        <v>53</v>
      </c>
      <c r="AU51" s="36">
        <v>21.144042610329027</v>
      </c>
      <c r="AV51" s="37">
        <v>3.0191333140785677</v>
      </c>
      <c r="AW51" s="38" t="s">
        <v>53</v>
      </c>
      <c r="AX51" s="36">
        <v>25.718466738065963</v>
      </c>
      <c r="AY51" s="37">
        <v>3.4902940793147015</v>
      </c>
      <c r="AZ51" s="38" t="s">
        <v>53</v>
      </c>
      <c r="BA51" s="36">
        <v>15.961153051600995</v>
      </c>
      <c r="BB51" s="37">
        <v>2.604189209246154</v>
      </c>
      <c r="BC51" s="38" t="s">
        <v>53</v>
      </c>
      <c r="BD51" s="36">
        <v>23.273102349802706</v>
      </c>
      <c r="BE51" s="37">
        <v>2.895845513228148</v>
      </c>
      <c r="BF51" s="38" t="s">
        <v>53</v>
      </c>
      <c r="BG51" s="36">
        <v>2.1290597394736768</v>
      </c>
      <c r="BH51" s="37">
        <v>3.9551657512190612</v>
      </c>
      <c r="BI51" s="38" t="s">
        <v>53</v>
      </c>
      <c r="BJ51" s="36">
        <v>14.50157851460691</v>
      </c>
      <c r="BK51" s="37">
        <v>2.5899485704676684</v>
      </c>
      <c r="BL51" s="38" t="s">
        <v>53</v>
      </c>
      <c r="BM51" s="36">
        <v>16.812913052741429</v>
      </c>
      <c r="BN51" s="37">
        <v>2.723110919977235</v>
      </c>
      <c r="BO51" s="38" t="s">
        <v>53</v>
      </c>
      <c r="BP51" s="36">
        <v>22.877466517644891</v>
      </c>
      <c r="BQ51" s="37">
        <v>3.1883235079063925</v>
      </c>
      <c r="BR51" s="38" t="s">
        <v>53</v>
      </c>
      <c r="BS51" s="36">
        <v>25.703495819588127</v>
      </c>
      <c r="BT51" s="37">
        <v>2.9867528007383624</v>
      </c>
      <c r="BU51" s="38" t="s">
        <v>53</v>
      </c>
      <c r="BV51" s="36">
        <v>11.201917304981222</v>
      </c>
      <c r="BW51" s="37">
        <v>3.7692364866317418</v>
      </c>
      <c r="BX51" s="38" t="s">
        <v>53</v>
      </c>
      <c r="BY51" s="36">
        <v>18.972989855927871</v>
      </c>
      <c r="BZ51" s="37">
        <v>2.9507827987731701</v>
      </c>
      <c r="CA51" s="38" t="s">
        <v>53</v>
      </c>
      <c r="CB51" s="36">
        <v>23.47046783851733</v>
      </c>
      <c r="CC51" s="37">
        <v>3.2415322789427181</v>
      </c>
      <c r="CD51" s="38" t="s">
        <v>53</v>
      </c>
      <c r="CE51" s="36">
        <v>23.775669420226652</v>
      </c>
      <c r="CF51" s="37">
        <v>3.2004837591957611</v>
      </c>
      <c r="CG51" s="38" t="s">
        <v>53</v>
      </c>
      <c r="CH51" s="36">
        <v>24.129026315917159</v>
      </c>
      <c r="CI51" s="37">
        <v>3.4606012294636233</v>
      </c>
      <c r="CJ51" s="38" t="s">
        <v>53</v>
      </c>
      <c r="CK51" s="36">
        <v>5.1560364599892861</v>
      </c>
      <c r="CL51" s="37">
        <v>4.5560096407804194</v>
      </c>
      <c r="CM51" s="38" t="s">
        <v>53</v>
      </c>
      <c r="CN51" s="36">
        <v>18.052210601569151</v>
      </c>
      <c r="CO51" s="37">
        <v>2.8694720049158939</v>
      </c>
      <c r="CP51" s="38" t="s">
        <v>53</v>
      </c>
      <c r="CQ51" s="36">
        <v>20.870518961412682</v>
      </c>
      <c r="CR51" s="37">
        <v>2.9789399411851907</v>
      </c>
      <c r="CS51" s="38" t="s">
        <v>53</v>
      </c>
      <c r="CT51" s="36">
        <v>24.257767223698025</v>
      </c>
      <c r="CU51" s="37">
        <v>3.0787465005402641</v>
      </c>
      <c r="CV51" s="38" t="s">
        <v>53</v>
      </c>
      <c r="CW51" s="36">
        <v>25.438067101666444</v>
      </c>
      <c r="CX51" s="37">
        <v>3.3485378999036821</v>
      </c>
      <c r="CY51" s="38" t="s">
        <v>53</v>
      </c>
      <c r="CZ51" s="36">
        <v>7.3858565000972902</v>
      </c>
      <c r="DA51" s="37">
        <v>4.4013181806130417</v>
      </c>
      <c r="DB51" s="38" t="s">
        <v>53</v>
      </c>
      <c r="DC51" s="36">
        <v>13.186463518486816</v>
      </c>
      <c r="DD51" s="37">
        <v>2.4631192562532016</v>
      </c>
      <c r="DE51" s="38" t="s">
        <v>53</v>
      </c>
      <c r="DF51" s="36">
        <v>23.766303718385327</v>
      </c>
      <c r="DG51" s="37">
        <v>1.9549718888866536</v>
      </c>
      <c r="DH51" s="38" t="s">
        <v>53</v>
      </c>
      <c r="DI51" s="36">
        <v>10.579840199898511</v>
      </c>
      <c r="DJ51" s="37">
        <v>2.8925939169861508</v>
      </c>
      <c r="DK51" s="39" t="s">
        <v>53</v>
      </c>
    </row>
    <row r="52" spans="1:115" x14ac:dyDescent="0.25">
      <c r="A52" s="15" t="s">
        <v>228</v>
      </c>
      <c r="B52" s="36">
        <v>23.524483226168918</v>
      </c>
      <c r="C52" s="37">
        <v>3.3083843284270951</v>
      </c>
      <c r="D52" s="38" t="s">
        <v>53</v>
      </c>
      <c r="E52" s="36">
        <v>24.242971381094339</v>
      </c>
      <c r="F52" s="37">
        <v>3.19863800879545</v>
      </c>
      <c r="G52" s="38" t="s">
        <v>53</v>
      </c>
      <c r="H52" s="36">
        <v>24.754205609659504</v>
      </c>
      <c r="I52" s="37">
        <v>3.293628446049309</v>
      </c>
      <c r="J52" s="38" t="s">
        <v>53</v>
      </c>
      <c r="K52" s="36">
        <v>29.290150641411415</v>
      </c>
      <c r="L52" s="37">
        <v>4.8081970682600774</v>
      </c>
      <c r="M52" s="38" t="s">
        <v>53</v>
      </c>
      <c r="N52" s="36">
        <v>5.765667415242496</v>
      </c>
      <c r="O52" s="37">
        <v>5.3640371111563026</v>
      </c>
      <c r="P52" s="38" t="s">
        <v>53</v>
      </c>
      <c r="Q52" s="36">
        <v>22.628903855386465</v>
      </c>
      <c r="R52" s="37">
        <v>3.4008070128631251</v>
      </c>
      <c r="S52" s="38" t="s">
        <v>53</v>
      </c>
      <c r="T52" s="36">
        <v>24.75193895044967</v>
      </c>
      <c r="U52" s="37">
        <v>2.844264265960319</v>
      </c>
      <c r="V52" s="38" t="s">
        <v>53</v>
      </c>
      <c r="W52" s="36">
        <v>29.300026963700322</v>
      </c>
      <c r="X52" s="37">
        <v>3.4525776527048482</v>
      </c>
      <c r="Y52" s="38" t="s">
        <v>53</v>
      </c>
      <c r="Z52" s="36">
        <v>21.280020988553421</v>
      </c>
      <c r="AA52" s="37">
        <v>3.9108510445727744</v>
      </c>
      <c r="AB52" s="38" t="s">
        <v>53</v>
      </c>
      <c r="AC52" s="36">
        <v>-1.348882866833037</v>
      </c>
      <c r="AD52" s="37">
        <v>4.4359626828384418</v>
      </c>
      <c r="AE52" s="38" t="s">
        <v>53</v>
      </c>
      <c r="AF52" s="36">
        <v>21.555830734459828</v>
      </c>
      <c r="AG52" s="37">
        <v>3.5271505973285775</v>
      </c>
      <c r="AH52" s="38" t="s">
        <v>53</v>
      </c>
      <c r="AI52" s="36">
        <v>21.716410483290581</v>
      </c>
      <c r="AJ52" s="37">
        <v>3.4877483744178122</v>
      </c>
      <c r="AK52" s="38" t="s">
        <v>53</v>
      </c>
      <c r="AL52" s="36">
        <v>21.196396625520375</v>
      </c>
      <c r="AM52" s="37">
        <v>3.3136976266070852</v>
      </c>
      <c r="AN52" s="38" t="s">
        <v>53</v>
      </c>
      <c r="AO52" s="36">
        <v>35.782117016434469</v>
      </c>
      <c r="AP52" s="37">
        <v>4.4811806139935628</v>
      </c>
      <c r="AQ52" s="38" t="s">
        <v>53</v>
      </c>
      <c r="AR52" s="36">
        <v>14.226286281974648</v>
      </c>
      <c r="AS52" s="37">
        <v>5.197920074717258</v>
      </c>
      <c r="AT52" s="38" t="s">
        <v>53</v>
      </c>
      <c r="AU52" s="36">
        <v>26.321807454249857</v>
      </c>
      <c r="AV52" s="37">
        <v>3.8603857290514028</v>
      </c>
      <c r="AW52" s="38" t="s">
        <v>53</v>
      </c>
      <c r="AX52" s="36">
        <v>19.415843141028393</v>
      </c>
      <c r="AY52" s="37">
        <v>3.0523714561212874</v>
      </c>
      <c r="AZ52" s="38" t="s">
        <v>53</v>
      </c>
      <c r="BA52" s="36">
        <v>26.947446148251952</v>
      </c>
      <c r="BB52" s="37">
        <v>3.358679138689876</v>
      </c>
      <c r="BC52" s="38" t="s">
        <v>53</v>
      </c>
      <c r="BD52" s="36">
        <v>27.356169095111781</v>
      </c>
      <c r="BE52" s="37">
        <v>4.3052327653253144</v>
      </c>
      <c r="BF52" s="38" t="s">
        <v>53</v>
      </c>
      <c r="BG52" s="36">
        <v>1.0343616408619198</v>
      </c>
      <c r="BH52" s="37">
        <v>4.9456495310330064</v>
      </c>
      <c r="BI52" s="38" t="s">
        <v>53</v>
      </c>
      <c r="BJ52" s="36">
        <v>14.140894530456247</v>
      </c>
      <c r="BK52" s="37">
        <v>2.9317905466546161</v>
      </c>
      <c r="BL52" s="38" t="s">
        <v>53</v>
      </c>
      <c r="BM52" s="36">
        <v>21.67020928006303</v>
      </c>
      <c r="BN52" s="37">
        <v>3.8049113308958882</v>
      </c>
      <c r="BO52" s="38" t="s">
        <v>53</v>
      </c>
      <c r="BP52" s="36">
        <v>24.737044644254734</v>
      </c>
      <c r="BQ52" s="37">
        <v>3.4438692576602028</v>
      </c>
      <c r="BR52" s="38" t="s">
        <v>53</v>
      </c>
      <c r="BS52" s="36">
        <v>33.941167417552073</v>
      </c>
      <c r="BT52" s="37">
        <v>4.0909071780917969</v>
      </c>
      <c r="BU52" s="38" t="s">
        <v>53</v>
      </c>
      <c r="BV52" s="36">
        <v>19.800272887095826</v>
      </c>
      <c r="BW52" s="37">
        <v>4.4821663007561501</v>
      </c>
      <c r="BX52" s="38" t="s">
        <v>53</v>
      </c>
      <c r="BY52" s="36">
        <v>19.509785929057951</v>
      </c>
      <c r="BZ52" s="37">
        <v>3.6285858706009448</v>
      </c>
      <c r="CA52" s="38" t="s">
        <v>53</v>
      </c>
      <c r="CB52" s="36">
        <v>23.763009979787032</v>
      </c>
      <c r="CC52" s="37">
        <v>3.5119583900893625</v>
      </c>
      <c r="CD52" s="38" t="s">
        <v>53</v>
      </c>
      <c r="CE52" s="36">
        <v>28.929251829318975</v>
      </c>
      <c r="CF52" s="37">
        <v>3.3334976057565053</v>
      </c>
      <c r="CG52" s="38" t="s">
        <v>53</v>
      </c>
      <c r="CH52" s="36">
        <v>28.482118945543629</v>
      </c>
      <c r="CI52" s="37">
        <v>3.7003760072138481</v>
      </c>
      <c r="CJ52" s="38" t="s">
        <v>53</v>
      </c>
      <c r="CK52" s="36">
        <v>8.9723330164856723</v>
      </c>
      <c r="CL52" s="37">
        <v>4.6157964834939822</v>
      </c>
      <c r="CM52" s="38" t="s">
        <v>53</v>
      </c>
      <c r="CN52" s="36">
        <v>15.575915783625138</v>
      </c>
      <c r="CO52" s="37">
        <v>3.4443708943754752</v>
      </c>
      <c r="CP52" s="38" t="s">
        <v>53</v>
      </c>
      <c r="CQ52" s="36">
        <v>27.310782347625157</v>
      </c>
      <c r="CR52" s="37">
        <v>3.7400170240809958</v>
      </c>
      <c r="CS52" s="38" t="s">
        <v>53</v>
      </c>
      <c r="CT52" s="36">
        <v>23.844733987213147</v>
      </c>
      <c r="CU52" s="37">
        <v>3.4931200897074182</v>
      </c>
      <c r="CV52" s="38" t="s">
        <v>53</v>
      </c>
      <c r="CW52" s="36">
        <v>37.079104339778581</v>
      </c>
      <c r="CX52" s="37">
        <v>4.816591335678317</v>
      </c>
      <c r="CY52" s="38" t="s">
        <v>53</v>
      </c>
      <c r="CZ52" s="36">
        <v>21.503188556153429</v>
      </c>
      <c r="DA52" s="37">
        <v>5.5692310379780494</v>
      </c>
      <c r="DB52" s="38" t="s">
        <v>53</v>
      </c>
      <c r="DC52" s="36">
        <v>14.386297841072606</v>
      </c>
      <c r="DD52" s="37">
        <v>2.6332620743740232</v>
      </c>
      <c r="DE52" s="38" t="s">
        <v>53</v>
      </c>
      <c r="DF52" s="36">
        <v>30.133788362658613</v>
      </c>
      <c r="DG52" s="37">
        <v>2.5553761342024077</v>
      </c>
      <c r="DH52" s="38" t="s">
        <v>53</v>
      </c>
      <c r="DI52" s="36">
        <v>15.747490521586013</v>
      </c>
      <c r="DJ52" s="37">
        <v>3.042989305729515</v>
      </c>
      <c r="DK52" s="39" t="s">
        <v>53</v>
      </c>
    </row>
    <row r="53" spans="1:115" x14ac:dyDescent="0.25">
      <c r="A53" s="15" t="s">
        <v>166</v>
      </c>
      <c r="B53" s="36">
        <v>13.95563176816974</v>
      </c>
      <c r="C53" s="37">
        <v>0.71906182605953373</v>
      </c>
      <c r="D53" s="38" t="s">
        <v>53</v>
      </c>
      <c r="E53" s="36">
        <v>17.387587866036789</v>
      </c>
      <c r="F53" s="37">
        <v>0.87333989706505244</v>
      </c>
      <c r="G53" s="38" t="s">
        <v>53</v>
      </c>
      <c r="H53" s="36">
        <v>21.185237984041208</v>
      </c>
      <c r="I53" s="37">
        <v>0.9655490434717614</v>
      </c>
      <c r="J53" s="38" t="s">
        <v>53</v>
      </c>
      <c r="K53" s="36">
        <v>19.886930944255131</v>
      </c>
      <c r="L53" s="37">
        <v>0.98055246584522271</v>
      </c>
      <c r="M53" s="38" t="s">
        <v>53</v>
      </c>
      <c r="N53" s="36">
        <v>4.6596817546637963</v>
      </c>
      <c r="O53" s="37">
        <v>1.1369800624124511</v>
      </c>
      <c r="P53" s="38" t="s">
        <v>53</v>
      </c>
      <c r="Q53" s="36">
        <v>16.294239544219248</v>
      </c>
      <c r="R53" s="37">
        <v>0.7707293845471348</v>
      </c>
      <c r="S53" s="38" t="s">
        <v>53</v>
      </c>
      <c r="T53" s="36">
        <v>17.627236855567809</v>
      </c>
      <c r="U53" s="37">
        <v>0.78028466551308184</v>
      </c>
      <c r="V53" s="38" t="s">
        <v>53</v>
      </c>
      <c r="W53" s="36">
        <v>18.3517665273211</v>
      </c>
      <c r="X53" s="37">
        <v>0.85944561712406664</v>
      </c>
      <c r="Y53" s="38" t="s">
        <v>53</v>
      </c>
      <c r="Z53" s="36">
        <v>15.6458439496023</v>
      </c>
      <c r="AA53" s="37">
        <v>0.77458173321337809</v>
      </c>
      <c r="AB53" s="38" t="s">
        <v>53</v>
      </c>
      <c r="AC53" s="36">
        <v>-0.78865789361968752</v>
      </c>
      <c r="AD53" s="37">
        <v>1.0858032048353921</v>
      </c>
      <c r="AE53" s="38" t="s">
        <v>53</v>
      </c>
      <c r="AF53" s="36">
        <v>13.84638343535083</v>
      </c>
      <c r="AG53" s="37">
        <v>0.73862372654906761</v>
      </c>
      <c r="AH53" s="38" t="s">
        <v>53</v>
      </c>
      <c r="AI53" s="36">
        <v>16.10364140478578</v>
      </c>
      <c r="AJ53" s="37">
        <v>0.76867897396222962</v>
      </c>
      <c r="AK53" s="38" t="s">
        <v>53</v>
      </c>
      <c r="AL53" s="36">
        <v>15.92337348158113</v>
      </c>
      <c r="AM53" s="37">
        <v>0.73906279807152964</v>
      </c>
      <c r="AN53" s="38" t="s">
        <v>53</v>
      </c>
      <c r="AO53" s="36">
        <v>23.190467633735789</v>
      </c>
      <c r="AP53" s="37">
        <v>0.92995175243307537</v>
      </c>
      <c r="AQ53" s="38" t="s">
        <v>53</v>
      </c>
      <c r="AR53" s="36">
        <v>9.4359114734684777</v>
      </c>
      <c r="AS53" s="37">
        <v>1.1533216369372681</v>
      </c>
      <c r="AT53" s="38" t="s">
        <v>53</v>
      </c>
      <c r="AU53" s="36">
        <v>15.590196105061921</v>
      </c>
      <c r="AV53" s="37">
        <v>0.72521719211997082</v>
      </c>
      <c r="AW53" s="38" t="s">
        <v>53</v>
      </c>
      <c r="AX53" s="36">
        <v>16.966219093930231</v>
      </c>
      <c r="AY53" s="37">
        <v>0.78193383177137077</v>
      </c>
      <c r="AZ53" s="38" t="s">
        <v>53</v>
      </c>
      <c r="BA53" s="36">
        <v>18.423193762976751</v>
      </c>
      <c r="BB53" s="37">
        <v>0.82544108051360809</v>
      </c>
      <c r="BC53" s="38" t="s">
        <v>53</v>
      </c>
      <c r="BD53" s="36">
        <v>21.13560314459318</v>
      </c>
      <c r="BE53" s="37">
        <v>0.85534140666727665</v>
      </c>
      <c r="BF53" s="38" t="s">
        <v>53</v>
      </c>
      <c r="BG53" s="36">
        <v>4.7846508543501987</v>
      </c>
      <c r="BH53" s="37">
        <v>1.052329710098552</v>
      </c>
      <c r="BI53" s="38" t="s">
        <v>53</v>
      </c>
      <c r="BJ53" s="36">
        <v>12.09640356130906</v>
      </c>
      <c r="BK53" s="37">
        <v>0.65669760763672458</v>
      </c>
      <c r="BL53" s="38" t="s">
        <v>53</v>
      </c>
      <c r="BM53" s="36">
        <v>15.08360522329585</v>
      </c>
      <c r="BN53" s="37">
        <v>0.68609192204911484</v>
      </c>
      <c r="BO53" s="38" t="s">
        <v>53</v>
      </c>
      <c r="BP53" s="36">
        <v>18.30725877104674</v>
      </c>
      <c r="BQ53" s="37">
        <v>0.84309401152120256</v>
      </c>
      <c r="BR53" s="38" t="s">
        <v>53</v>
      </c>
      <c r="BS53" s="36">
        <v>22.475521415781259</v>
      </c>
      <c r="BT53" s="37">
        <v>0.87670827293844777</v>
      </c>
      <c r="BU53" s="38" t="s">
        <v>53</v>
      </c>
      <c r="BV53" s="36">
        <v>9.9035419556594828</v>
      </c>
      <c r="BW53" s="37">
        <v>1.050451907908527</v>
      </c>
      <c r="BX53" s="38" t="s">
        <v>53</v>
      </c>
      <c r="BY53" s="36">
        <v>14.66883265249389</v>
      </c>
      <c r="BZ53" s="37">
        <v>0.65298304175058497</v>
      </c>
      <c r="CA53" s="38" t="s">
        <v>53</v>
      </c>
      <c r="CB53" s="36">
        <v>17.317244957381568</v>
      </c>
      <c r="CC53" s="37">
        <v>0.84208803333359394</v>
      </c>
      <c r="CD53" s="38" t="s">
        <v>53</v>
      </c>
      <c r="CE53" s="36">
        <v>20.016861272427661</v>
      </c>
      <c r="CF53" s="37">
        <v>0.91272974544840946</v>
      </c>
      <c r="CG53" s="38" t="s">
        <v>53</v>
      </c>
      <c r="CH53" s="36">
        <v>20.171339975776071</v>
      </c>
      <c r="CI53" s="37">
        <v>0.84841603041544045</v>
      </c>
      <c r="CJ53" s="38" t="s">
        <v>53</v>
      </c>
      <c r="CK53" s="36">
        <v>4.7908246273641053</v>
      </c>
      <c r="CL53" s="37">
        <v>1.0545784101568481</v>
      </c>
      <c r="CM53" s="38" t="s">
        <v>53</v>
      </c>
      <c r="CN53" s="36">
        <v>18.794497776105331</v>
      </c>
      <c r="CO53" s="37">
        <v>0.84585792322329423</v>
      </c>
      <c r="CP53" s="38" t="s">
        <v>53</v>
      </c>
      <c r="CQ53" s="36">
        <v>18.80577211089706</v>
      </c>
      <c r="CR53" s="37">
        <v>0.8936374184767174</v>
      </c>
      <c r="CS53" s="38" t="s">
        <v>53</v>
      </c>
      <c r="CT53" s="36">
        <v>17.129875476261301</v>
      </c>
      <c r="CU53" s="37">
        <v>0.86745590106619996</v>
      </c>
      <c r="CV53" s="38" t="s">
        <v>53</v>
      </c>
      <c r="CW53" s="36">
        <v>18.025769359252621</v>
      </c>
      <c r="CX53" s="37">
        <v>0.85823302298249449</v>
      </c>
      <c r="CY53" s="38" t="s">
        <v>53</v>
      </c>
      <c r="CZ53" s="36">
        <v>-1.121703783165279</v>
      </c>
      <c r="DA53" s="37">
        <v>1.1861855431300421</v>
      </c>
      <c r="DB53" s="38" t="s">
        <v>53</v>
      </c>
      <c r="DC53" s="36">
        <v>11.0047537807592</v>
      </c>
      <c r="DD53" s="37">
        <v>0.56914187097740998</v>
      </c>
      <c r="DE53" s="38" t="s">
        <v>53</v>
      </c>
      <c r="DF53" s="36">
        <v>21.747271826444621</v>
      </c>
      <c r="DG53" s="37">
        <v>0.68922386692380511</v>
      </c>
      <c r="DH53" s="38" t="s">
        <v>53</v>
      </c>
      <c r="DI53" s="36">
        <v>10.475240564889161</v>
      </c>
      <c r="DJ53" s="37">
        <v>0.78798259228860568</v>
      </c>
      <c r="DK53" s="39" t="s">
        <v>53</v>
      </c>
    </row>
    <row r="54" spans="1:115" x14ac:dyDescent="0.25">
      <c r="A54" s="57" t="s">
        <v>211</v>
      </c>
      <c r="B54" s="36"/>
      <c r="C54" s="37"/>
      <c r="D54" s="38"/>
      <c r="E54" s="36"/>
      <c r="F54" s="37"/>
      <c r="G54" s="38"/>
      <c r="H54" s="36"/>
      <c r="I54" s="37"/>
      <c r="J54" s="38"/>
      <c r="K54" s="36"/>
      <c r="L54" s="37"/>
      <c r="M54" s="38"/>
      <c r="N54" s="36"/>
      <c r="O54" s="37"/>
      <c r="P54" s="38"/>
      <c r="Q54" s="36"/>
      <c r="R54" s="37"/>
      <c r="S54" s="38"/>
      <c r="T54" s="36"/>
      <c r="U54" s="37"/>
      <c r="V54" s="38"/>
      <c r="W54" s="36"/>
      <c r="X54" s="37"/>
      <c r="Y54" s="38"/>
      <c r="Z54" s="36"/>
      <c r="AA54" s="37"/>
      <c r="AB54" s="38"/>
      <c r="AC54" s="36"/>
      <c r="AD54" s="37"/>
      <c r="AE54" s="38"/>
      <c r="AF54" s="36"/>
      <c r="AG54" s="37"/>
      <c r="AH54" s="38"/>
      <c r="AI54" s="36"/>
      <c r="AJ54" s="37"/>
      <c r="AK54" s="38"/>
      <c r="AL54" s="36"/>
      <c r="AM54" s="37"/>
      <c r="AN54" s="38"/>
      <c r="AO54" s="36"/>
      <c r="AP54" s="37"/>
      <c r="AQ54" s="38"/>
      <c r="AR54" s="36"/>
      <c r="AS54" s="37"/>
      <c r="AT54" s="38"/>
      <c r="AU54" s="36"/>
      <c r="AV54" s="37"/>
      <c r="AW54" s="38"/>
      <c r="AX54" s="36"/>
      <c r="AY54" s="37"/>
      <c r="AZ54" s="38"/>
      <c r="BA54" s="36"/>
      <c r="BB54" s="37"/>
      <c r="BC54" s="38"/>
      <c r="BD54" s="36"/>
      <c r="BE54" s="37"/>
      <c r="BF54" s="38"/>
      <c r="BG54" s="36"/>
      <c r="BH54" s="37"/>
      <c r="BI54" s="38"/>
      <c r="BJ54" s="36"/>
      <c r="BK54" s="37"/>
      <c r="BL54" s="38"/>
      <c r="BM54" s="36"/>
      <c r="BN54" s="37"/>
      <c r="BO54" s="38"/>
      <c r="BP54" s="36"/>
      <c r="BQ54" s="37"/>
      <c r="BR54" s="38"/>
      <c r="BS54" s="36"/>
      <c r="BT54" s="37"/>
      <c r="BU54" s="38"/>
      <c r="BV54" s="36"/>
      <c r="BW54" s="37"/>
      <c r="BX54" s="38"/>
      <c r="BY54" s="36"/>
      <c r="BZ54" s="37"/>
      <c r="CA54" s="38"/>
      <c r="CB54" s="36"/>
      <c r="CC54" s="37"/>
      <c r="CD54" s="38"/>
      <c r="CE54" s="36"/>
      <c r="CF54" s="37"/>
      <c r="CG54" s="38"/>
      <c r="CH54" s="36"/>
      <c r="CI54" s="37"/>
      <c r="CJ54" s="38"/>
      <c r="CK54" s="36"/>
      <c r="CL54" s="37"/>
      <c r="CM54" s="38"/>
      <c r="CN54" s="36"/>
      <c r="CO54" s="37"/>
      <c r="CP54" s="38"/>
      <c r="CQ54" s="36"/>
      <c r="CR54" s="37"/>
      <c r="CS54" s="38"/>
      <c r="CT54" s="36"/>
      <c r="CU54" s="37"/>
      <c r="CV54" s="38"/>
      <c r="CW54" s="36"/>
      <c r="CX54" s="37"/>
      <c r="CY54" s="38"/>
      <c r="CZ54" s="36"/>
      <c r="DA54" s="37"/>
      <c r="DB54" s="38"/>
      <c r="DC54" s="36"/>
      <c r="DD54" s="37"/>
      <c r="DE54" s="38"/>
      <c r="DF54" s="36"/>
      <c r="DG54" s="37"/>
      <c r="DH54" s="38"/>
      <c r="DI54" s="36"/>
      <c r="DJ54" s="37"/>
      <c r="DK54" s="39"/>
    </row>
    <row r="55" spans="1:115" x14ac:dyDescent="0.25">
      <c r="A55" s="15" t="s">
        <v>169</v>
      </c>
      <c r="B55" s="36" t="s">
        <v>55</v>
      </c>
      <c r="C55" s="37" t="s">
        <v>55</v>
      </c>
      <c r="D55" s="38" t="s">
        <v>53</v>
      </c>
      <c r="E55" s="36" t="s">
        <v>55</v>
      </c>
      <c r="F55" s="37" t="s">
        <v>55</v>
      </c>
      <c r="G55" s="38" t="s">
        <v>53</v>
      </c>
      <c r="H55" s="36" t="s">
        <v>55</v>
      </c>
      <c r="I55" s="37" t="s">
        <v>55</v>
      </c>
      <c r="J55" s="38" t="s">
        <v>53</v>
      </c>
      <c r="K55" s="36" t="s">
        <v>55</v>
      </c>
      <c r="L55" s="37" t="s">
        <v>55</v>
      </c>
      <c r="M55" s="38" t="s">
        <v>53</v>
      </c>
      <c r="N55" s="36" t="s">
        <v>55</v>
      </c>
      <c r="O55" s="37" t="s">
        <v>55</v>
      </c>
      <c r="P55" s="38" t="s">
        <v>53</v>
      </c>
      <c r="Q55" s="36" t="s">
        <v>55</v>
      </c>
      <c r="R55" s="37" t="s">
        <v>55</v>
      </c>
      <c r="S55" s="38" t="s">
        <v>53</v>
      </c>
      <c r="T55" s="36" t="s">
        <v>55</v>
      </c>
      <c r="U55" s="37" t="s">
        <v>55</v>
      </c>
      <c r="V55" s="38" t="s">
        <v>53</v>
      </c>
      <c r="W55" s="36" t="s">
        <v>55</v>
      </c>
      <c r="X55" s="37" t="s">
        <v>55</v>
      </c>
      <c r="Y55" s="38" t="s">
        <v>53</v>
      </c>
      <c r="Z55" s="36" t="s">
        <v>55</v>
      </c>
      <c r="AA55" s="37" t="s">
        <v>55</v>
      </c>
      <c r="AB55" s="38" t="s">
        <v>53</v>
      </c>
      <c r="AC55" s="36" t="s">
        <v>55</v>
      </c>
      <c r="AD55" s="37" t="s">
        <v>55</v>
      </c>
      <c r="AE55" s="38" t="s">
        <v>53</v>
      </c>
      <c r="AF55" s="36" t="s">
        <v>55</v>
      </c>
      <c r="AG55" s="37" t="s">
        <v>55</v>
      </c>
      <c r="AH55" s="38" t="s">
        <v>53</v>
      </c>
      <c r="AI55" s="36" t="s">
        <v>55</v>
      </c>
      <c r="AJ55" s="37" t="s">
        <v>55</v>
      </c>
      <c r="AK55" s="38" t="s">
        <v>53</v>
      </c>
      <c r="AL55" s="36" t="s">
        <v>55</v>
      </c>
      <c r="AM55" s="37" t="s">
        <v>55</v>
      </c>
      <c r="AN55" s="38" t="s">
        <v>53</v>
      </c>
      <c r="AO55" s="36" t="s">
        <v>55</v>
      </c>
      <c r="AP55" s="37" t="s">
        <v>55</v>
      </c>
      <c r="AQ55" s="38" t="s">
        <v>53</v>
      </c>
      <c r="AR55" s="36" t="s">
        <v>55</v>
      </c>
      <c r="AS55" s="37" t="s">
        <v>55</v>
      </c>
      <c r="AT55" s="38" t="s">
        <v>53</v>
      </c>
      <c r="AU55" s="36" t="s">
        <v>55</v>
      </c>
      <c r="AV55" s="37" t="s">
        <v>55</v>
      </c>
      <c r="AW55" s="38" t="s">
        <v>53</v>
      </c>
      <c r="AX55" s="36" t="s">
        <v>55</v>
      </c>
      <c r="AY55" s="37" t="s">
        <v>55</v>
      </c>
      <c r="AZ55" s="38" t="s">
        <v>53</v>
      </c>
      <c r="BA55" s="36" t="s">
        <v>55</v>
      </c>
      <c r="BB55" s="37" t="s">
        <v>55</v>
      </c>
      <c r="BC55" s="38" t="s">
        <v>53</v>
      </c>
      <c r="BD55" s="36" t="s">
        <v>55</v>
      </c>
      <c r="BE55" s="37" t="s">
        <v>55</v>
      </c>
      <c r="BF55" s="38" t="s">
        <v>53</v>
      </c>
      <c r="BG55" s="36" t="s">
        <v>55</v>
      </c>
      <c r="BH55" s="37" t="s">
        <v>55</v>
      </c>
      <c r="BI55" s="38" t="s">
        <v>53</v>
      </c>
      <c r="BJ55" s="36" t="s">
        <v>55</v>
      </c>
      <c r="BK55" s="37" t="s">
        <v>55</v>
      </c>
      <c r="BL55" s="38" t="s">
        <v>53</v>
      </c>
      <c r="BM55" s="36" t="s">
        <v>55</v>
      </c>
      <c r="BN55" s="37" t="s">
        <v>55</v>
      </c>
      <c r="BO55" s="38" t="s">
        <v>53</v>
      </c>
      <c r="BP55" s="36" t="s">
        <v>55</v>
      </c>
      <c r="BQ55" s="37" t="s">
        <v>55</v>
      </c>
      <c r="BR55" s="38" t="s">
        <v>53</v>
      </c>
      <c r="BS55" s="36" t="s">
        <v>55</v>
      </c>
      <c r="BT55" s="37" t="s">
        <v>55</v>
      </c>
      <c r="BU55" s="38" t="s">
        <v>53</v>
      </c>
      <c r="BV55" s="36" t="s">
        <v>55</v>
      </c>
      <c r="BW55" s="37" t="s">
        <v>55</v>
      </c>
      <c r="BX55" s="38" t="s">
        <v>53</v>
      </c>
      <c r="BY55" s="36" t="s">
        <v>55</v>
      </c>
      <c r="BZ55" s="37" t="s">
        <v>55</v>
      </c>
      <c r="CA55" s="38" t="s">
        <v>53</v>
      </c>
      <c r="CB55" s="36" t="s">
        <v>55</v>
      </c>
      <c r="CC55" s="37" t="s">
        <v>55</v>
      </c>
      <c r="CD55" s="38" t="s">
        <v>53</v>
      </c>
      <c r="CE55" s="36" t="s">
        <v>55</v>
      </c>
      <c r="CF55" s="37" t="s">
        <v>55</v>
      </c>
      <c r="CG55" s="38" t="s">
        <v>53</v>
      </c>
      <c r="CH55" s="36" t="s">
        <v>55</v>
      </c>
      <c r="CI55" s="37" t="s">
        <v>55</v>
      </c>
      <c r="CJ55" s="38" t="s">
        <v>53</v>
      </c>
      <c r="CK55" s="36" t="s">
        <v>55</v>
      </c>
      <c r="CL55" s="37" t="s">
        <v>55</v>
      </c>
      <c r="CM55" s="38" t="s">
        <v>53</v>
      </c>
      <c r="CN55" s="36" t="s">
        <v>55</v>
      </c>
      <c r="CO55" s="37" t="s">
        <v>55</v>
      </c>
      <c r="CP55" s="38" t="s">
        <v>53</v>
      </c>
      <c r="CQ55" s="36" t="s">
        <v>55</v>
      </c>
      <c r="CR55" s="37" t="s">
        <v>55</v>
      </c>
      <c r="CS55" s="38" t="s">
        <v>53</v>
      </c>
      <c r="CT55" s="36" t="s">
        <v>55</v>
      </c>
      <c r="CU55" s="37" t="s">
        <v>55</v>
      </c>
      <c r="CV55" s="38" t="s">
        <v>53</v>
      </c>
      <c r="CW55" s="36" t="s">
        <v>55</v>
      </c>
      <c r="CX55" s="37" t="s">
        <v>55</v>
      </c>
      <c r="CY55" s="38" t="s">
        <v>53</v>
      </c>
      <c r="CZ55" s="36" t="s">
        <v>55</v>
      </c>
      <c r="DA55" s="37" t="s">
        <v>55</v>
      </c>
      <c r="DB55" s="38" t="s">
        <v>53</v>
      </c>
      <c r="DC55" s="36" t="s">
        <v>55</v>
      </c>
      <c r="DD55" s="37" t="s">
        <v>55</v>
      </c>
      <c r="DE55" s="38" t="s">
        <v>53</v>
      </c>
      <c r="DF55" s="36" t="s">
        <v>55</v>
      </c>
      <c r="DG55" s="37" t="s">
        <v>55</v>
      </c>
      <c r="DH55" s="38" t="s">
        <v>53</v>
      </c>
      <c r="DI55" s="36" t="s">
        <v>55</v>
      </c>
      <c r="DJ55" s="37" t="s">
        <v>55</v>
      </c>
      <c r="DK55" s="39" t="s">
        <v>53</v>
      </c>
    </row>
    <row r="56" spans="1:115" x14ac:dyDescent="0.25">
      <c r="A56" s="15" t="s">
        <v>170</v>
      </c>
      <c r="B56" s="36">
        <v>20.546580168531914</v>
      </c>
      <c r="C56" s="37">
        <v>5.6830168893336408</v>
      </c>
      <c r="D56" s="38" t="s">
        <v>53</v>
      </c>
      <c r="E56" s="36">
        <v>20.101818027057682</v>
      </c>
      <c r="F56" s="37">
        <v>6.8202668972826004</v>
      </c>
      <c r="G56" s="38" t="s">
        <v>53</v>
      </c>
      <c r="H56" s="36">
        <v>40.303250246998282</v>
      </c>
      <c r="I56" s="37">
        <v>8.0554933311099148</v>
      </c>
      <c r="J56" s="38" t="s">
        <v>53</v>
      </c>
      <c r="K56" s="36">
        <v>32.833085607937782</v>
      </c>
      <c r="L56" s="37">
        <v>8.5068843246511179</v>
      </c>
      <c r="M56" s="38" t="s">
        <v>53</v>
      </c>
      <c r="N56" s="36">
        <v>12.28650543940587</v>
      </c>
      <c r="O56" s="37">
        <v>10.740267627141453</v>
      </c>
      <c r="P56" s="38" t="s">
        <v>53</v>
      </c>
      <c r="Q56" s="36">
        <v>19.367865070235684</v>
      </c>
      <c r="R56" s="37">
        <v>4.5725389919301556</v>
      </c>
      <c r="S56" s="38" t="s">
        <v>53</v>
      </c>
      <c r="T56" s="36">
        <v>20.677950660052794</v>
      </c>
      <c r="U56" s="37">
        <v>5.0170120083254313</v>
      </c>
      <c r="V56" s="38" t="s">
        <v>53</v>
      </c>
      <c r="W56" s="36">
        <v>29.406407293297356</v>
      </c>
      <c r="X56" s="37">
        <v>5.9575648655409736</v>
      </c>
      <c r="Y56" s="38" t="s">
        <v>53</v>
      </c>
      <c r="Z56" s="36">
        <v>26.441456414149577</v>
      </c>
      <c r="AA56" s="37">
        <v>4.9299771943852111</v>
      </c>
      <c r="AB56" s="38" t="s">
        <v>53</v>
      </c>
      <c r="AC56" s="36">
        <v>7.0735913439138969</v>
      </c>
      <c r="AD56" s="37">
        <v>6.3212261514048613</v>
      </c>
      <c r="AE56" s="38" t="s">
        <v>53</v>
      </c>
      <c r="AF56" s="36">
        <v>20.192140054657628</v>
      </c>
      <c r="AG56" s="37">
        <v>5.8331543805621484</v>
      </c>
      <c r="AH56" s="38" t="s">
        <v>53</v>
      </c>
      <c r="AI56" s="36">
        <v>23.489860191098959</v>
      </c>
      <c r="AJ56" s="37">
        <v>5.3435017028418343</v>
      </c>
      <c r="AK56" s="38" t="s">
        <v>53</v>
      </c>
      <c r="AL56" s="36">
        <v>22.633007568309438</v>
      </c>
      <c r="AM56" s="37">
        <v>5.2382336064653945</v>
      </c>
      <c r="AN56" s="38" t="s">
        <v>53</v>
      </c>
      <c r="AO56" s="36">
        <v>27.990018333608209</v>
      </c>
      <c r="AP56" s="37">
        <v>5.3660659046053789</v>
      </c>
      <c r="AQ56" s="38" t="s">
        <v>53</v>
      </c>
      <c r="AR56" s="36">
        <v>7.7978782789505878</v>
      </c>
      <c r="AS56" s="37">
        <v>7.7534792690590066</v>
      </c>
      <c r="AT56" s="38" t="s">
        <v>53</v>
      </c>
      <c r="AU56" s="36">
        <v>20.824058452710691</v>
      </c>
      <c r="AV56" s="37">
        <v>5.6004638785023495</v>
      </c>
      <c r="AW56" s="38" t="s">
        <v>53</v>
      </c>
      <c r="AX56" s="36">
        <v>29.265994993836703</v>
      </c>
      <c r="AY56" s="37">
        <v>5.7180826826522289</v>
      </c>
      <c r="AZ56" s="38" t="s">
        <v>53</v>
      </c>
      <c r="BA56" s="36">
        <v>32.491058009522021</v>
      </c>
      <c r="BB56" s="37">
        <v>6.0294256702088846</v>
      </c>
      <c r="BC56" s="38" t="s">
        <v>53</v>
      </c>
      <c r="BD56" s="36">
        <v>22.15228948083492</v>
      </c>
      <c r="BE56" s="37">
        <v>5.8461599745430002</v>
      </c>
      <c r="BF56" s="38" t="s">
        <v>53</v>
      </c>
      <c r="BG56" s="36">
        <v>1.3282310281242216</v>
      </c>
      <c r="BH56" s="37">
        <v>8.2003630093510633</v>
      </c>
      <c r="BI56" s="38" t="s">
        <v>53</v>
      </c>
      <c r="BJ56" s="36">
        <v>25.328693406330522</v>
      </c>
      <c r="BK56" s="37">
        <v>5.9495993024552289</v>
      </c>
      <c r="BL56" s="38" t="s">
        <v>53</v>
      </c>
      <c r="BM56" s="36">
        <v>19.297538179396579</v>
      </c>
      <c r="BN56" s="37">
        <v>4.8434539109531283</v>
      </c>
      <c r="BO56" s="38" t="s">
        <v>53</v>
      </c>
      <c r="BP56" s="36">
        <v>22.90200288717265</v>
      </c>
      <c r="BQ56" s="37">
        <v>5.7667727489252414</v>
      </c>
      <c r="BR56" s="38" t="s">
        <v>53</v>
      </c>
      <c r="BS56" s="36">
        <v>28.834120347320891</v>
      </c>
      <c r="BT56" s="37">
        <v>5.9522324351277307</v>
      </c>
      <c r="BU56" s="38" t="s">
        <v>53</v>
      </c>
      <c r="BV56" s="36">
        <v>3.505426940990366</v>
      </c>
      <c r="BW56" s="37">
        <v>8.3408365141061456</v>
      </c>
      <c r="BX56" s="38" t="s">
        <v>53</v>
      </c>
      <c r="BY56" s="36">
        <v>23.141734996325589</v>
      </c>
      <c r="BZ56" s="37">
        <v>7.6563326617179603</v>
      </c>
      <c r="CA56" s="38" t="s">
        <v>53</v>
      </c>
      <c r="CB56" s="36">
        <v>26.49330197308015</v>
      </c>
      <c r="CC56" s="37">
        <v>7.1278411973608584</v>
      </c>
      <c r="CD56" s="38" t="s">
        <v>53</v>
      </c>
      <c r="CE56" s="36">
        <v>30.442676065119116</v>
      </c>
      <c r="CF56" s="37">
        <v>7.2067842388933654</v>
      </c>
      <c r="CG56" s="38" t="s">
        <v>53</v>
      </c>
      <c r="CH56" s="36">
        <v>31.266822471422245</v>
      </c>
      <c r="CI56" s="37">
        <v>7.1787493568700746</v>
      </c>
      <c r="CJ56" s="38" t="s">
        <v>53</v>
      </c>
      <c r="CK56" s="36">
        <v>8.1250874750966595</v>
      </c>
      <c r="CL56" s="37">
        <v>10.579064648752819</v>
      </c>
      <c r="CM56" s="38" t="s">
        <v>53</v>
      </c>
      <c r="CN56" s="36">
        <v>28.485510861452941</v>
      </c>
      <c r="CO56" s="37">
        <v>8.5066886111752194</v>
      </c>
      <c r="CP56" s="38" t="s">
        <v>53</v>
      </c>
      <c r="CQ56" s="36">
        <v>23.911836705478674</v>
      </c>
      <c r="CR56" s="37">
        <v>7.301231561164971</v>
      </c>
      <c r="CS56" s="38" t="s">
        <v>53</v>
      </c>
      <c r="CT56" s="36">
        <v>21.089568151662956</v>
      </c>
      <c r="CU56" s="37">
        <v>6.4877703890765694</v>
      </c>
      <c r="CV56" s="38" t="s">
        <v>53</v>
      </c>
      <c r="CW56" s="36">
        <v>32.062306473538463</v>
      </c>
      <c r="CX56" s="37">
        <v>7.3342925171725222</v>
      </c>
      <c r="CY56" s="38" t="s">
        <v>53</v>
      </c>
      <c r="CZ56" s="36">
        <v>3.5767956120855171</v>
      </c>
      <c r="DA56" s="37">
        <v>11.341056536533641</v>
      </c>
      <c r="DB56" s="38" t="s">
        <v>53</v>
      </c>
      <c r="DC56" s="36">
        <v>15.084832039462515</v>
      </c>
      <c r="DD56" s="37">
        <v>3.5851288635761218</v>
      </c>
      <c r="DE56" s="38" t="s">
        <v>53</v>
      </c>
      <c r="DF56" s="36">
        <v>37.201805992547385</v>
      </c>
      <c r="DG56" s="37">
        <v>4.8149860500946735</v>
      </c>
      <c r="DH56" s="38" t="s">
        <v>53</v>
      </c>
      <c r="DI56" s="36">
        <v>22.116973953084869</v>
      </c>
      <c r="DJ56" s="37">
        <v>6.4553844874588568</v>
      </c>
      <c r="DK56" s="39" t="s">
        <v>53</v>
      </c>
    </row>
    <row r="57" spans="1:115" x14ac:dyDescent="0.25">
      <c r="A57" s="15" t="s">
        <v>171</v>
      </c>
      <c r="B57" s="36">
        <v>21.531331800341228</v>
      </c>
      <c r="C57" s="37">
        <v>6.4958282721389757</v>
      </c>
      <c r="D57" s="38" t="s">
        <v>53</v>
      </c>
      <c r="E57" s="36">
        <v>23.737906610658463</v>
      </c>
      <c r="F57" s="37">
        <v>6.9442959173893506</v>
      </c>
      <c r="G57" s="38" t="s">
        <v>53</v>
      </c>
      <c r="H57" s="36">
        <v>34.198273008669105</v>
      </c>
      <c r="I57" s="37">
        <v>9.7290999939837892</v>
      </c>
      <c r="J57" s="38" t="s">
        <v>53</v>
      </c>
      <c r="K57" s="36">
        <v>33.955659945340614</v>
      </c>
      <c r="L57" s="37">
        <v>7.5460469029991293</v>
      </c>
      <c r="M57" s="38" t="s">
        <v>53</v>
      </c>
      <c r="N57" s="36">
        <v>12.424328144999382</v>
      </c>
      <c r="O57" s="37">
        <v>9.5262598593767116</v>
      </c>
      <c r="P57" s="38" t="s">
        <v>53</v>
      </c>
      <c r="Q57" s="36">
        <v>14.223769077164089</v>
      </c>
      <c r="R57" s="37">
        <v>4.3257149720070736</v>
      </c>
      <c r="S57" s="38" t="s">
        <v>53</v>
      </c>
      <c r="T57" s="36">
        <v>33.764503842236444</v>
      </c>
      <c r="U57" s="37">
        <v>8.2056979987425613</v>
      </c>
      <c r="V57" s="38" t="s">
        <v>53</v>
      </c>
      <c r="W57" s="36">
        <v>15.893308055907562</v>
      </c>
      <c r="X57" s="37">
        <v>4.3384531617838205</v>
      </c>
      <c r="Y57" s="38" t="s">
        <v>53</v>
      </c>
      <c r="Z57" s="36">
        <v>23.757086765403539</v>
      </c>
      <c r="AA57" s="37">
        <v>5.3775390085455292</v>
      </c>
      <c r="AB57" s="38" t="s">
        <v>53</v>
      </c>
      <c r="AC57" s="36">
        <v>9.5333176882394532</v>
      </c>
      <c r="AD57" s="37">
        <v>6.4793615207028168</v>
      </c>
      <c r="AE57" s="38" t="s">
        <v>53</v>
      </c>
      <c r="AF57" s="36">
        <v>16.538589992713138</v>
      </c>
      <c r="AG57" s="37">
        <v>4.8482125419984277</v>
      </c>
      <c r="AH57" s="38" t="s">
        <v>53</v>
      </c>
      <c r="AI57" s="36">
        <v>19.106905555520193</v>
      </c>
      <c r="AJ57" s="37">
        <v>6.3835079582911387</v>
      </c>
      <c r="AK57" s="38" t="s">
        <v>53</v>
      </c>
      <c r="AL57" s="36">
        <v>24.77002224881063</v>
      </c>
      <c r="AM57" s="37">
        <v>5.3519626308661987</v>
      </c>
      <c r="AN57" s="38" t="s">
        <v>53</v>
      </c>
      <c r="AO57" s="36">
        <v>22.572022443628502</v>
      </c>
      <c r="AP57" s="37">
        <v>6.5706342764150776</v>
      </c>
      <c r="AQ57" s="38" t="s">
        <v>53</v>
      </c>
      <c r="AR57" s="36">
        <v>6.0334324509153614</v>
      </c>
      <c r="AS57" s="37">
        <v>8.5570170031700261</v>
      </c>
      <c r="AT57" s="38" t="s">
        <v>53</v>
      </c>
      <c r="AU57" s="36">
        <v>21.267714180490945</v>
      </c>
      <c r="AV57" s="37">
        <v>5.792350080883641</v>
      </c>
      <c r="AW57" s="38" t="s">
        <v>53</v>
      </c>
      <c r="AX57" s="36">
        <v>21.186338784629399</v>
      </c>
      <c r="AY57" s="37">
        <v>7.4823673812062381</v>
      </c>
      <c r="AZ57" s="38" t="s">
        <v>53</v>
      </c>
      <c r="BA57" s="36">
        <v>33.052809545855226</v>
      </c>
      <c r="BB57" s="37">
        <v>6.9764763057938701</v>
      </c>
      <c r="BC57" s="38" t="s">
        <v>53</v>
      </c>
      <c r="BD57" s="36">
        <v>27.093056382628372</v>
      </c>
      <c r="BE57" s="37">
        <v>6.6319558039314028</v>
      </c>
      <c r="BF57" s="38" t="s">
        <v>53</v>
      </c>
      <c r="BG57" s="36">
        <v>5.825342202137425</v>
      </c>
      <c r="BH57" s="37">
        <v>8.4543972300062311</v>
      </c>
      <c r="BI57" s="38" t="s">
        <v>53</v>
      </c>
      <c r="BJ57" s="36">
        <v>18.42609729589423</v>
      </c>
      <c r="BK57" s="37">
        <v>5.9561290176490775</v>
      </c>
      <c r="BL57" s="38" t="s">
        <v>53</v>
      </c>
      <c r="BM57" s="36">
        <v>21.037203430238794</v>
      </c>
      <c r="BN57" s="37">
        <v>5.0221413673428685</v>
      </c>
      <c r="BO57" s="38" t="s">
        <v>53</v>
      </c>
      <c r="BP57" s="36">
        <v>21.963325296367771</v>
      </c>
      <c r="BQ57" s="37">
        <v>6.0128147378574841</v>
      </c>
      <c r="BR57" s="38" t="s">
        <v>53</v>
      </c>
      <c r="BS57" s="36">
        <v>21.361180411885925</v>
      </c>
      <c r="BT57" s="37">
        <v>4.9106716716583874</v>
      </c>
      <c r="BU57" s="38" t="s">
        <v>53</v>
      </c>
      <c r="BV57" s="36">
        <v>2.9350831159916959</v>
      </c>
      <c r="BW57" s="37">
        <v>7.731691957178306</v>
      </c>
      <c r="BX57" s="38" t="s">
        <v>53</v>
      </c>
      <c r="BY57" s="36">
        <v>18.296616169783928</v>
      </c>
      <c r="BZ57" s="37">
        <v>6.4047088264107641</v>
      </c>
      <c r="CA57" s="38" t="s">
        <v>53</v>
      </c>
      <c r="CB57" s="36">
        <v>22.51133124142693</v>
      </c>
      <c r="CC57" s="37">
        <v>7.8318037443906379</v>
      </c>
      <c r="CD57" s="38" t="s">
        <v>53</v>
      </c>
      <c r="CE57" s="36">
        <v>36.357347277630907</v>
      </c>
      <c r="CF57" s="37">
        <v>10.268688387986298</v>
      </c>
      <c r="CG57" s="38" t="s">
        <v>53</v>
      </c>
      <c r="CH57" s="36" t="s">
        <v>55</v>
      </c>
      <c r="CI57" s="37" t="s">
        <v>55</v>
      </c>
      <c r="CJ57" s="38" t="s">
        <v>53</v>
      </c>
      <c r="CK57" s="36" t="s">
        <v>55</v>
      </c>
      <c r="CL57" s="37" t="s">
        <v>55</v>
      </c>
      <c r="CM57" s="38" t="s">
        <v>53</v>
      </c>
      <c r="CN57" s="36">
        <v>20.246188477282018</v>
      </c>
      <c r="CO57" s="37">
        <v>6.7637226985396568</v>
      </c>
      <c r="CP57" s="38" t="s">
        <v>53</v>
      </c>
      <c r="CQ57" s="36">
        <v>26.704868569725715</v>
      </c>
      <c r="CR57" s="37">
        <v>7.8956705168867325</v>
      </c>
      <c r="CS57" s="38" t="s">
        <v>53</v>
      </c>
      <c r="CT57" s="36">
        <v>29.45672032897156</v>
      </c>
      <c r="CU57" s="37">
        <v>10.234206821017173</v>
      </c>
      <c r="CV57" s="38" t="s">
        <v>53</v>
      </c>
      <c r="CW57" s="36">
        <v>36.093408811331955</v>
      </c>
      <c r="CX57" s="37">
        <v>9.0685619417079799</v>
      </c>
      <c r="CY57" s="38" t="s">
        <v>53</v>
      </c>
      <c r="CZ57" s="36">
        <v>15.847220334049931</v>
      </c>
      <c r="DA57" s="37">
        <v>11.6800677056721</v>
      </c>
      <c r="DB57" s="38" t="s">
        <v>53</v>
      </c>
      <c r="DC57" s="36">
        <v>16.643611292966437</v>
      </c>
      <c r="DD57" s="37">
        <v>4.5730909397659207</v>
      </c>
      <c r="DE57" s="38" t="s">
        <v>53</v>
      </c>
      <c r="DF57" s="36">
        <v>28.387905271095342</v>
      </c>
      <c r="DG57" s="37">
        <v>4.464669279049911</v>
      </c>
      <c r="DH57" s="38" t="s">
        <v>53</v>
      </c>
      <c r="DI57" s="36">
        <v>11.744293978128908</v>
      </c>
      <c r="DJ57" s="37">
        <v>6.0171333722023679</v>
      </c>
      <c r="DK57" s="39" t="s">
        <v>53</v>
      </c>
    </row>
    <row r="58" spans="1:115" x14ac:dyDescent="0.25">
      <c r="A58" s="15" t="s">
        <v>172</v>
      </c>
      <c r="B58" s="36">
        <v>27.212314384499436</v>
      </c>
      <c r="C58" s="37">
        <v>6.471127244176003</v>
      </c>
      <c r="D58" s="38" t="s">
        <v>53</v>
      </c>
      <c r="E58" s="36">
        <v>25.015258438646619</v>
      </c>
      <c r="F58" s="37">
        <v>5.8144768364631716</v>
      </c>
      <c r="G58" s="38" t="s">
        <v>53</v>
      </c>
      <c r="H58" s="36">
        <v>23.164494436164272</v>
      </c>
      <c r="I58" s="37">
        <v>8.5473336074295005</v>
      </c>
      <c r="J58" s="38" t="s">
        <v>53</v>
      </c>
      <c r="K58" s="36">
        <v>16.602053556675326</v>
      </c>
      <c r="L58" s="37">
        <v>6.7962335253302637</v>
      </c>
      <c r="M58" s="38" t="s">
        <v>53</v>
      </c>
      <c r="N58" s="36">
        <v>-10.610260827824114</v>
      </c>
      <c r="O58" s="37">
        <v>9.6123763034158056</v>
      </c>
      <c r="P58" s="38" t="s">
        <v>53</v>
      </c>
      <c r="Q58" s="36">
        <v>22.94036229692621</v>
      </c>
      <c r="R58" s="37">
        <v>6.3629197564441142</v>
      </c>
      <c r="S58" s="38" t="s">
        <v>53</v>
      </c>
      <c r="T58" s="36">
        <v>20.365716444234049</v>
      </c>
      <c r="U58" s="37">
        <v>5.6774822031037626</v>
      </c>
      <c r="V58" s="38" t="s">
        <v>53</v>
      </c>
      <c r="W58" s="36">
        <v>29.226969283933773</v>
      </c>
      <c r="X58" s="37">
        <v>7.391284549138402</v>
      </c>
      <c r="Y58" s="38" t="s">
        <v>53</v>
      </c>
      <c r="Z58" s="36">
        <v>19.418659624932143</v>
      </c>
      <c r="AA58" s="37">
        <v>5.8805307309463624</v>
      </c>
      <c r="AB58" s="38" t="s">
        <v>53</v>
      </c>
      <c r="AC58" s="36">
        <v>-3.5217026719940656</v>
      </c>
      <c r="AD58" s="37">
        <v>8.7161170046427294</v>
      </c>
      <c r="AE58" s="38" t="s">
        <v>53</v>
      </c>
      <c r="AF58" s="36">
        <v>20.246653926694265</v>
      </c>
      <c r="AG58" s="37">
        <v>5.5573904112432047</v>
      </c>
      <c r="AH58" s="38" t="s">
        <v>53</v>
      </c>
      <c r="AI58" s="36">
        <v>22.143644221373556</v>
      </c>
      <c r="AJ58" s="37">
        <v>6.3718771659714388</v>
      </c>
      <c r="AK58" s="38" t="s">
        <v>53</v>
      </c>
      <c r="AL58" s="36">
        <v>23.541025008363832</v>
      </c>
      <c r="AM58" s="37">
        <v>6.0927302229375329</v>
      </c>
      <c r="AN58" s="38" t="s">
        <v>53</v>
      </c>
      <c r="AO58" s="36">
        <v>25.41062158676462</v>
      </c>
      <c r="AP58" s="37">
        <v>6.9914490686100601</v>
      </c>
      <c r="AQ58" s="38" t="s">
        <v>53</v>
      </c>
      <c r="AR58" s="36">
        <v>5.163967660070357</v>
      </c>
      <c r="AS58" s="37">
        <v>9.499179113448541</v>
      </c>
      <c r="AT58" s="38" t="s">
        <v>53</v>
      </c>
      <c r="AU58" s="36">
        <v>27.015825051781551</v>
      </c>
      <c r="AV58" s="37">
        <v>6.2344795604997927</v>
      </c>
      <c r="AW58" s="38" t="s">
        <v>53</v>
      </c>
      <c r="AX58" s="36">
        <v>20.711575445571398</v>
      </c>
      <c r="AY58" s="37">
        <v>5.6627374538261668</v>
      </c>
      <c r="AZ58" s="38" t="s">
        <v>53</v>
      </c>
      <c r="BA58" s="36">
        <v>19.544768129234793</v>
      </c>
      <c r="BB58" s="37">
        <v>6.1288522783693882</v>
      </c>
      <c r="BC58" s="38" t="s">
        <v>53</v>
      </c>
      <c r="BD58" s="36">
        <v>24.156694407038636</v>
      </c>
      <c r="BE58" s="37">
        <v>7.2624753107760665</v>
      </c>
      <c r="BF58" s="38" t="s">
        <v>53</v>
      </c>
      <c r="BG58" s="36">
        <v>-2.8591306447429106</v>
      </c>
      <c r="BH58" s="37">
        <v>9.7742092222696613</v>
      </c>
      <c r="BI58" s="38" t="s">
        <v>53</v>
      </c>
      <c r="BJ58" s="36">
        <v>24.432634224991968</v>
      </c>
      <c r="BK58" s="37">
        <v>5.7592610714974954</v>
      </c>
      <c r="BL58" s="38" t="s">
        <v>53</v>
      </c>
      <c r="BM58" s="36">
        <v>20.515451393989267</v>
      </c>
      <c r="BN58" s="37">
        <v>5.8639446255966918</v>
      </c>
      <c r="BO58" s="38" t="s">
        <v>53</v>
      </c>
      <c r="BP58" s="36">
        <v>31.88449272954082</v>
      </c>
      <c r="BQ58" s="37">
        <v>6.7725352667750593</v>
      </c>
      <c r="BR58" s="38" t="s">
        <v>53</v>
      </c>
      <c r="BS58" s="36">
        <v>14.711729468156395</v>
      </c>
      <c r="BT58" s="37">
        <v>5.6976527318858778</v>
      </c>
      <c r="BU58" s="38" t="s">
        <v>53</v>
      </c>
      <c r="BV58" s="36">
        <v>-9.7209047568355711</v>
      </c>
      <c r="BW58" s="37">
        <v>7.8087698519802222</v>
      </c>
      <c r="BX58" s="38" t="s">
        <v>53</v>
      </c>
      <c r="BY58" s="36">
        <v>17.788667014432736</v>
      </c>
      <c r="BZ58" s="37">
        <v>5.968333740272219</v>
      </c>
      <c r="CA58" s="38" t="s">
        <v>53</v>
      </c>
      <c r="CB58" s="36">
        <v>22.273970125819627</v>
      </c>
      <c r="CC58" s="37">
        <v>6.1720789310514697</v>
      </c>
      <c r="CD58" s="38" t="s">
        <v>53</v>
      </c>
      <c r="CE58" s="36">
        <v>25.47919893423223</v>
      </c>
      <c r="CF58" s="37">
        <v>6.4365120982089667</v>
      </c>
      <c r="CG58" s="38" t="s">
        <v>53</v>
      </c>
      <c r="CH58" s="36">
        <v>28.767565084338642</v>
      </c>
      <c r="CI58" s="37">
        <v>7.3802928592411359</v>
      </c>
      <c r="CJ58" s="38" t="s">
        <v>53</v>
      </c>
      <c r="CK58" s="36">
        <v>10.978898069905913</v>
      </c>
      <c r="CL58" s="37">
        <v>9.6562942280802027</v>
      </c>
      <c r="CM58" s="38" t="s">
        <v>53</v>
      </c>
      <c r="CN58" s="36">
        <v>21.793641930486153</v>
      </c>
      <c r="CO58" s="37">
        <v>6.236295488402817</v>
      </c>
      <c r="CP58" s="38" t="s">
        <v>53</v>
      </c>
      <c r="CQ58" s="36">
        <v>24.595258636987893</v>
      </c>
      <c r="CR58" s="37">
        <v>6.9470033665715647</v>
      </c>
      <c r="CS58" s="38" t="s">
        <v>53</v>
      </c>
      <c r="CT58" s="36">
        <v>27.513460046319942</v>
      </c>
      <c r="CU58" s="37">
        <v>7.1140775310178483</v>
      </c>
      <c r="CV58" s="38" t="s">
        <v>53</v>
      </c>
      <c r="CW58" s="36">
        <v>21.553246742047051</v>
      </c>
      <c r="CX58" s="37">
        <v>5.9546545040075287</v>
      </c>
      <c r="CY58" s="38" t="s">
        <v>53</v>
      </c>
      <c r="CZ58" s="36">
        <v>-0.24039518843910618</v>
      </c>
      <c r="DA58" s="37">
        <v>8.4544679493546528</v>
      </c>
      <c r="DB58" s="38" t="s">
        <v>53</v>
      </c>
      <c r="DC58" s="36">
        <v>15.985807878249645</v>
      </c>
      <c r="DD58" s="37">
        <v>4.0025956548389088</v>
      </c>
      <c r="DE58" s="38" t="s">
        <v>53</v>
      </c>
      <c r="DF58" s="36">
        <v>29.310734518972154</v>
      </c>
      <c r="DG58" s="37">
        <v>4.8116820078401972</v>
      </c>
      <c r="DH58" s="38" t="s">
        <v>53</v>
      </c>
      <c r="DI58" s="36">
        <v>13.324926640722513</v>
      </c>
      <c r="DJ58" s="37">
        <v>6.7964498832118556</v>
      </c>
      <c r="DK58" s="39" t="s">
        <v>53</v>
      </c>
    </row>
    <row r="59" spans="1:115" x14ac:dyDescent="0.25">
      <c r="A59" s="15" t="s">
        <v>173</v>
      </c>
      <c r="B59" s="36">
        <v>16.624273443541913</v>
      </c>
      <c r="C59" s="37">
        <v>7.763624681494588</v>
      </c>
      <c r="D59" s="38" t="s">
        <v>53</v>
      </c>
      <c r="E59" s="36">
        <v>7.088822704692026</v>
      </c>
      <c r="F59" s="37">
        <v>4.2010911245813007</v>
      </c>
      <c r="G59" s="38" t="s">
        <v>53</v>
      </c>
      <c r="H59" s="36">
        <v>36.320510229085912</v>
      </c>
      <c r="I59" s="37">
        <v>9.60759686033831</v>
      </c>
      <c r="J59" s="38" t="s">
        <v>53</v>
      </c>
      <c r="K59" s="36">
        <v>30.850434035961978</v>
      </c>
      <c r="L59" s="37">
        <v>6.9666128881985507</v>
      </c>
      <c r="M59" s="38" t="s">
        <v>53</v>
      </c>
      <c r="N59" s="36">
        <v>14.226160592420065</v>
      </c>
      <c r="O59" s="37">
        <v>10.041203222090525</v>
      </c>
      <c r="P59" s="38" t="s">
        <v>53</v>
      </c>
      <c r="Q59" s="36">
        <v>20.123465746251934</v>
      </c>
      <c r="R59" s="37">
        <v>7.5958160571733435</v>
      </c>
      <c r="S59" s="38" t="s">
        <v>53</v>
      </c>
      <c r="T59" s="36">
        <v>33.833094245620444</v>
      </c>
      <c r="U59" s="37">
        <v>8.2133040004185602</v>
      </c>
      <c r="V59" s="38" t="s">
        <v>53</v>
      </c>
      <c r="W59" s="36">
        <v>21.894471971332457</v>
      </c>
      <c r="X59" s="37">
        <v>6.6072448362325984</v>
      </c>
      <c r="Y59" s="38" t="s">
        <v>53</v>
      </c>
      <c r="Z59" s="36">
        <v>10.252778770687064</v>
      </c>
      <c r="AA59" s="37">
        <v>4.2360636132035054</v>
      </c>
      <c r="AB59" s="38" t="s">
        <v>53</v>
      </c>
      <c r="AC59" s="36">
        <v>-9.8706869755648672</v>
      </c>
      <c r="AD59" s="37">
        <v>8.4111499360638593</v>
      </c>
      <c r="AE59" s="38" t="s">
        <v>53</v>
      </c>
      <c r="AF59" s="36">
        <v>10.973596107221855</v>
      </c>
      <c r="AG59" s="37">
        <v>5.4276158344570007</v>
      </c>
      <c r="AH59" s="38" t="s">
        <v>53</v>
      </c>
      <c r="AI59" s="36">
        <v>18.563319632904317</v>
      </c>
      <c r="AJ59" s="37">
        <v>6.0836193034559738</v>
      </c>
      <c r="AK59" s="38" t="s">
        <v>53</v>
      </c>
      <c r="AL59" s="36">
        <v>22.238646083567254</v>
      </c>
      <c r="AM59" s="37">
        <v>7.2717016636395417</v>
      </c>
      <c r="AN59" s="38" t="s">
        <v>53</v>
      </c>
      <c r="AO59" s="36">
        <v>33.996030633452492</v>
      </c>
      <c r="AP59" s="37">
        <v>9.6762935262186787</v>
      </c>
      <c r="AQ59" s="38" t="s">
        <v>53</v>
      </c>
      <c r="AR59" s="36">
        <v>23.022434526230633</v>
      </c>
      <c r="AS59" s="37">
        <v>10.623333165536373</v>
      </c>
      <c r="AT59" s="38" t="s">
        <v>53</v>
      </c>
      <c r="AU59" s="36">
        <v>19.238159704443468</v>
      </c>
      <c r="AV59" s="37">
        <v>5.6459250592658909</v>
      </c>
      <c r="AW59" s="38" t="s">
        <v>53</v>
      </c>
      <c r="AX59" s="36">
        <v>14.36139348140488</v>
      </c>
      <c r="AY59" s="37">
        <v>8.01821216844505</v>
      </c>
      <c r="AZ59" s="38" t="s">
        <v>53</v>
      </c>
      <c r="BA59" s="36">
        <v>25.177350694610563</v>
      </c>
      <c r="BB59" s="37">
        <v>9.6063760710380937</v>
      </c>
      <c r="BC59" s="38" t="s">
        <v>53</v>
      </c>
      <c r="BD59" s="36">
        <v>25.015304002911265</v>
      </c>
      <c r="BE59" s="37">
        <v>8.5372529401733814</v>
      </c>
      <c r="BF59" s="38" t="s">
        <v>53</v>
      </c>
      <c r="BG59" s="36">
        <v>5.7771442984677916</v>
      </c>
      <c r="BH59" s="37">
        <v>8.6044243495630965</v>
      </c>
      <c r="BI59" s="38" t="s">
        <v>53</v>
      </c>
      <c r="BJ59" s="36">
        <v>5.8348812182664815</v>
      </c>
      <c r="BK59" s="37">
        <v>4.0617204174178241</v>
      </c>
      <c r="BL59" s="38" t="s">
        <v>53</v>
      </c>
      <c r="BM59" s="36">
        <v>16.740897150671159</v>
      </c>
      <c r="BN59" s="37">
        <v>6.046750954236976</v>
      </c>
      <c r="BO59" s="38" t="s">
        <v>53</v>
      </c>
      <c r="BP59" s="36" t="s">
        <v>55</v>
      </c>
      <c r="BQ59" s="37" t="s">
        <v>55</v>
      </c>
      <c r="BR59" s="38" t="s">
        <v>53</v>
      </c>
      <c r="BS59" s="36">
        <v>31.73844316872686</v>
      </c>
      <c r="BT59" s="37">
        <v>7.9878627717600459</v>
      </c>
      <c r="BU59" s="38" t="s">
        <v>53</v>
      </c>
      <c r="BV59" s="36">
        <v>25.903561950460386</v>
      </c>
      <c r="BW59" s="37">
        <v>8.9885545181588213</v>
      </c>
      <c r="BX59" s="38" t="s">
        <v>53</v>
      </c>
      <c r="BY59" s="36">
        <v>14.399738489650554</v>
      </c>
      <c r="BZ59" s="37">
        <v>6.908616155092477</v>
      </c>
      <c r="CA59" s="38" t="s">
        <v>53</v>
      </c>
      <c r="CB59" s="36" t="s">
        <v>55</v>
      </c>
      <c r="CC59" s="37" t="s">
        <v>55</v>
      </c>
      <c r="CD59" s="38" t="s">
        <v>53</v>
      </c>
      <c r="CE59" s="36">
        <v>32.458079566736671</v>
      </c>
      <c r="CF59" s="37">
        <v>8.4203799472313374</v>
      </c>
      <c r="CG59" s="38" t="s">
        <v>53</v>
      </c>
      <c r="CH59" s="36">
        <v>25.0140196699836</v>
      </c>
      <c r="CI59" s="37">
        <v>7.4122426104410595</v>
      </c>
      <c r="CJ59" s="38" t="s">
        <v>53</v>
      </c>
      <c r="CK59" s="36">
        <v>10.61428118033305</v>
      </c>
      <c r="CL59" s="37">
        <v>9.5491029107594052</v>
      </c>
      <c r="CM59" s="38" t="s">
        <v>53</v>
      </c>
      <c r="CN59" s="36">
        <v>21.354860459382586</v>
      </c>
      <c r="CO59" s="37">
        <v>8.3704772185315566</v>
      </c>
      <c r="CP59" s="38" t="s">
        <v>53</v>
      </c>
      <c r="CQ59" s="36">
        <v>26.661553431037383</v>
      </c>
      <c r="CR59" s="37">
        <v>7.7113531047232158</v>
      </c>
      <c r="CS59" s="38" t="s">
        <v>53</v>
      </c>
      <c r="CT59" s="36" t="s">
        <v>55</v>
      </c>
      <c r="CU59" s="37" t="s">
        <v>55</v>
      </c>
      <c r="CV59" s="38" t="s">
        <v>53</v>
      </c>
      <c r="CW59" s="36">
        <v>21.938390073606119</v>
      </c>
      <c r="CX59" s="37">
        <v>6.8230652635721158</v>
      </c>
      <c r="CY59" s="38" t="s">
        <v>53</v>
      </c>
      <c r="CZ59" s="36">
        <v>0.58352961422353056</v>
      </c>
      <c r="DA59" s="37">
        <v>10.273656111221397</v>
      </c>
      <c r="DB59" s="38" t="s">
        <v>53</v>
      </c>
      <c r="DC59" s="36">
        <v>18.296771715696121</v>
      </c>
      <c r="DD59" s="37">
        <v>4.7686678853239535</v>
      </c>
      <c r="DE59" s="38" t="s">
        <v>53</v>
      </c>
      <c r="DF59" s="36">
        <v>24.754503601656129</v>
      </c>
      <c r="DG59" s="37">
        <v>5.9358609347260671</v>
      </c>
      <c r="DH59" s="38" t="s">
        <v>53</v>
      </c>
      <c r="DI59" s="36">
        <v>6.4577318859600048</v>
      </c>
      <c r="DJ59" s="37">
        <v>7.4168759946216269</v>
      </c>
      <c r="DK59" s="39" t="s">
        <v>53</v>
      </c>
    </row>
    <row r="60" spans="1:115" x14ac:dyDescent="0.25">
      <c r="A60" s="15" t="s">
        <v>174</v>
      </c>
      <c r="B60" s="36" t="s">
        <v>55</v>
      </c>
      <c r="C60" s="37" t="s">
        <v>55</v>
      </c>
      <c r="D60" s="38" t="s">
        <v>53</v>
      </c>
      <c r="E60" s="36" t="s">
        <v>55</v>
      </c>
      <c r="F60" s="37" t="s">
        <v>55</v>
      </c>
      <c r="G60" s="38" t="s">
        <v>53</v>
      </c>
      <c r="H60" s="36" t="s">
        <v>55</v>
      </c>
      <c r="I60" s="37" t="s">
        <v>55</v>
      </c>
      <c r="J60" s="38" t="s">
        <v>53</v>
      </c>
      <c r="K60" s="36" t="s">
        <v>55</v>
      </c>
      <c r="L60" s="37" t="s">
        <v>55</v>
      </c>
      <c r="M60" s="38" t="s">
        <v>53</v>
      </c>
      <c r="N60" s="36" t="s">
        <v>55</v>
      </c>
      <c r="O60" s="37" t="s">
        <v>55</v>
      </c>
      <c r="P60" s="38" t="s">
        <v>53</v>
      </c>
      <c r="Q60" s="36" t="s">
        <v>55</v>
      </c>
      <c r="R60" s="37" t="s">
        <v>55</v>
      </c>
      <c r="S60" s="38" t="s">
        <v>53</v>
      </c>
      <c r="T60" s="36" t="s">
        <v>55</v>
      </c>
      <c r="U60" s="37" t="s">
        <v>55</v>
      </c>
      <c r="V60" s="38" t="s">
        <v>53</v>
      </c>
      <c r="W60" s="36" t="s">
        <v>55</v>
      </c>
      <c r="X60" s="37" t="s">
        <v>55</v>
      </c>
      <c r="Y60" s="38" t="s">
        <v>53</v>
      </c>
      <c r="Z60" s="36" t="s">
        <v>55</v>
      </c>
      <c r="AA60" s="37" t="s">
        <v>55</v>
      </c>
      <c r="AB60" s="38" t="s">
        <v>53</v>
      </c>
      <c r="AC60" s="36" t="s">
        <v>55</v>
      </c>
      <c r="AD60" s="37" t="s">
        <v>55</v>
      </c>
      <c r="AE60" s="38" t="s">
        <v>53</v>
      </c>
      <c r="AF60" s="36" t="s">
        <v>55</v>
      </c>
      <c r="AG60" s="37" t="s">
        <v>55</v>
      </c>
      <c r="AH60" s="38" t="s">
        <v>53</v>
      </c>
      <c r="AI60" s="36" t="s">
        <v>55</v>
      </c>
      <c r="AJ60" s="37" t="s">
        <v>55</v>
      </c>
      <c r="AK60" s="38" t="s">
        <v>53</v>
      </c>
      <c r="AL60" s="36" t="s">
        <v>55</v>
      </c>
      <c r="AM60" s="37" t="s">
        <v>55</v>
      </c>
      <c r="AN60" s="38" t="s">
        <v>53</v>
      </c>
      <c r="AO60" s="36" t="s">
        <v>55</v>
      </c>
      <c r="AP60" s="37" t="s">
        <v>55</v>
      </c>
      <c r="AQ60" s="38" t="s">
        <v>53</v>
      </c>
      <c r="AR60" s="36" t="s">
        <v>55</v>
      </c>
      <c r="AS60" s="37" t="s">
        <v>55</v>
      </c>
      <c r="AT60" s="38" t="s">
        <v>53</v>
      </c>
      <c r="AU60" s="36" t="s">
        <v>55</v>
      </c>
      <c r="AV60" s="37" t="s">
        <v>55</v>
      </c>
      <c r="AW60" s="38" t="s">
        <v>53</v>
      </c>
      <c r="AX60" s="36" t="s">
        <v>55</v>
      </c>
      <c r="AY60" s="37" t="s">
        <v>55</v>
      </c>
      <c r="AZ60" s="38" t="s">
        <v>53</v>
      </c>
      <c r="BA60" s="36" t="s">
        <v>55</v>
      </c>
      <c r="BB60" s="37" t="s">
        <v>55</v>
      </c>
      <c r="BC60" s="38" t="s">
        <v>53</v>
      </c>
      <c r="BD60" s="36" t="s">
        <v>55</v>
      </c>
      <c r="BE60" s="37" t="s">
        <v>55</v>
      </c>
      <c r="BF60" s="38" t="s">
        <v>53</v>
      </c>
      <c r="BG60" s="36" t="s">
        <v>55</v>
      </c>
      <c r="BH60" s="37" t="s">
        <v>55</v>
      </c>
      <c r="BI60" s="38" t="s">
        <v>53</v>
      </c>
      <c r="BJ60" s="36" t="s">
        <v>55</v>
      </c>
      <c r="BK60" s="37" t="s">
        <v>55</v>
      </c>
      <c r="BL60" s="38" t="s">
        <v>53</v>
      </c>
      <c r="BM60" s="36" t="s">
        <v>55</v>
      </c>
      <c r="BN60" s="37" t="s">
        <v>55</v>
      </c>
      <c r="BO60" s="38" t="s">
        <v>53</v>
      </c>
      <c r="BP60" s="36" t="s">
        <v>55</v>
      </c>
      <c r="BQ60" s="37" t="s">
        <v>55</v>
      </c>
      <c r="BR60" s="38" t="s">
        <v>53</v>
      </c>
      <c r="BS60" s="36" t="s">
        <v>55</v>
      </c>
      <c r="BT60" s="37" t="s">
        <v>55</v>
      </c>
      <c r="BU60" s="38" t="s">
        <v>53</v>
      </c>
      <c r="BV60" s="36" t="s">
        <v>55</v>
      </c>
      <c r="BW60" s="37" t="s">
        <v>55</v>
      </c>
      <c r="BX60" s="38" t="s">
        <v>53</v>
      </c>
      <c r="BY60" s="36" t="s">
        <v>55</v>
      </c>
      <c r="BZ60" s="37" t="s">
        <v>55</v>
      </c>
      <c r="CA60" s="38" t="s">
        <v>53</v>
      </c>
      <c r="CB60" s="36" t="s">
        <v>55</v>
      </c>
      <c r="CC60" s="37" t="s">
        <v>55</v>
      </c>
      <c r="CD60" s="38" t="s">
        <v>53</v>
      </c>
      <c r="CE60" s="36" t="s">
        <v>55</v>
      </c>
      <c r="CF60" s="37" t="s">
        <v>55</v>
      </c>
      <c r="CG60" s="38" t="s">
        <v>53</v>
      </c>
      <c r="CH60" s="36" t="s">
        <v>55</v>
      </c>
      <c r="CI60" s="37" t="s">
        <v>55</v>
      </c>
      <c r="CJ60" s="38" t="s">
        <v>53</v>
      </c>
      <c r="CK60" s="36" t="s">
        <v>55</v>
      </c>
      <c r="CL60" s="37" t="s">
        <v>55</v>
      </c>
      <c r="CM60" s="38" t="s">
        <v>53</v>
      </c>
      <c r="CN60" s="36" t="s">
        <v>55</v>
      </c>
      <c r="CO60" s="37" t="s">
        <v>55</v>
      </c>
      <c r="CP60" s="38" t="s">
        <v>53</v>
      </c>
      <c r="CQ60" s="36" t="s">
        <v>55</v>
      </c>
      <c r="CR60" s="37" t="s">
        <v>55</v>
      </c>
      <c r="CS60" s="38" t="s">
        <v>53</v>
      </c>
      <c r="CT60" s="36" t="s">
        <v>55</v>
      </c>
      <c r="CU60" s="37" t="s">
        <v>55</v>
      </c>
      <c r="CV60" s="38" t="s">
        <v>53</v>
      </c>
      <c r="CW60" s="36" t="s">
        <v>55</v>
      </c>
      <c r="CX60" s="37" t="s">
        <v>55</v>
      </c>
      <c r="CY60" s="38" t="s">
        <v>53</v>
      </c>
      <c r="CZ60" s="36" t="s">
        <v>55</v>
      </c>
      <c r="DA60" s="37" t="s">
        <v>55</v>
      </c>
      <c r="DB60" s="38" t="s">
        <v>53</v>
      </c>
      <c r="DC60" s="36" t="s">
        <v>55</v>
      </c>
      <c r="DD60" s="37" t="s">
        <v>55</v>
      </c>
      <c r="DE60" s="38" t="s">
        <v>53</v>
      </c>
      <c r="DF60" s="36" t="s">
        <v>55</v>
      </c>
      <c r="DG60" s="37" t="s">
        <v>55</v>
      </c>
      <c r="DH60" s="38" t="s">
        <v>53</v>
      </c>
      <c r="DI60" s="36" t="s">
        <v>55</v>
      </c>
      <c r="DJ60" s="37" t="s">
        <v>55</v>
      </c>
      <c r="DK60" s="39" t="s">
        <v>53</v>
      </c>
    </row>
    <row r="61" spans="1:115" x14ac:dyDescent="0.25">
      <c r="A61" s="15" t="s">
        <v>175</v>
      </c>
      <c r="B61" s="36">
        <v>50.19133795410994</v>
      </c>
      <c r="C61" s="37">
        <v>5.2760146889679822</v>
      </c>
      <c r="D61" s="38" t="s">
        <v>53</v>
      </c>
      <c r="E61" s="36">
        <v>58.730507907465324</v>
      </c>
      <c r="F61" s="37">
        <v>5.512724638125996</v>
      </c>
      <c r="G61" s="38" t="s">
        <v>53</v>
      </c>
      <c r="H61" s="36">
        <v>61.276326770150511</v>
      </c>
      <c r="I61" s="37">
        <v>5.8504821980247774</v>
      </c>
      <c r="J61" s="38" t="s">
        <v>53</v>
      </c>
      <c r="K61" s="36">
        <v>60.662162051193022</v>
      </c>
      <c r="L61" s="37">
        <v>4.8480030964166199</v>
      </c>
      <c r="M61" s="38" t="s">
        <v>53</v>
      </c>
      <c r="N61" s="36">
        <v>10.470824097083083</v>
      </c>
      <c r="O61" s="37">
        <v>7.8713201776078394</v>
      </c>
      <c r="P61" s="38" t="s">
        <v>53</v>
      </c>
      <c r="Q61" s="36">
        <v>49.629925465946272</v>
      </c>
      <c r="R61" s="37">
        <v>4.3066460828125273</v>
      </c>
      <c r="S61" s="38" t="s">
        <v>53</v>
      </c>
      <c r="T61" s="36">
        <v>50.516193907667329</v>
      </c>
      <c r="U61" s="37">
        <v>5.0628459504708374</v>
      </c>
      <c r="V61" s="38" t="s">
        <v>53</v>
      </c>
      <c r="W61" s="36">
        <v>55.297777617868626</v>
      </c>
      <c r="X61" s="37">
        <v>5.248055773773479</v>
      </c>
      <c r="Y61" s="38" t="s">
        <v>53</v>
      </c>
      <c r="Z61" s="36">
        <v>59.326351445263235</v>
      </c>
      <c r="AA61" s="37">
        <v>4.2816812813312666</v>
      </c>
      <c r="AB61" s="38" t="s">
        <v>53</v>
      </c>
      <c r="AC61" s="36">
        <v>9.6964259793169632</v>
      </c>
      <c r="AD61" s="37">
        <v>6.2721954381261158</v>
      </c>
      <c r="AE61" s="38" t="s">
        <v>53</v>
      </c>
      <c r="AF61" s="36">
        <v>46.28970697072937</v>
      </c>
      <c r="AG61" s="37">
        <v>3.8474630258912459</v>
      </c>
      <c r="AH61" s="38" t="s">
        <v>53</v>
      </c>
      <c r="AI61" s="36">
        <v>56.183494144039358</v>
      </c>
      <c r="AJ61" s="37">
        <v>5.1690601712202824</v>
      </c>
      <c r="AK61" s="38" t="s">
        <v>53</v>
      </c>
      <c r="AL61" s="36">
        <v>52.268241916507371</v>
      </c>
      <c r="AM61" s="37">
        <v>4.5468081447312754</v>
      </c>
      <c r="AN61" s="38" t="s">
        <v>53</v>
      </c>
      <c r="AO61" s="36">
        <v>63.08526633045404</v>
      </c>
      <c r="AP61" s="37">
        <v>4.4137755176623727</v>
      </c>
      <c r="AQ61" s="38" t="s">
        <v>53</v>
      </c>
      <c r="AR61" s="36">
        <v>16.795559359724656</v>
      </c>
      <c r="AS61" s="37">
        <v>5.9356667627052762</v>
      </c>
      <c r="AT61" s="38" t="s">
        <v>53</v>
      </c>
      <c r="AU61" s="36">
        <v>51.845356384186225</v>
      </c>
      <c r="AV61" s="37">
        <v>4.2583109616620902</v>
      </c>
      <c r="AW61" s="38" t="s">
        <v>53</v>
      </c>
      <c r="AX61" s="36">
        <v>51.452486825580777</v>
      </c>
      <c r="AY61" s="37">
        <v>5.1588434125435363</v>
      </c>
      <c r="AZ61" s="38" t="s">
        <v>53</v>
      </c>
      <c r="BA61" s="36">
        <v>51.053869712740315</v>
      </c>
      <c r="BB61" s="37">
        <v>4.9599649451614836</v>
      </c>
      <c r="BC61" s="38" t="s">
        <v>53</v>
      </c>
      <c r="BD61" s="36">
        <v>64.233921525550258</v>
      </c>
      <c r="BE61" s="37">
        <v>4.1520459255208655</v>
      </c>
      <c r="BF61" s="38" t="s">
        <v>53</v>
      </c>
      <c r="BG61" s="36">
        <v>12.388565141364047</v>
      </c>
      <c r="BH61" s="37">
        <v>6.4828958352350003</v>
      </c>
      <c r="BI61" s="38" t="s">
        <v>53</v>
      </c>
      <c r="BJ61" s="36">
        <v>43.506246700791039</v>
      </c>
      <c r="BK61" s="37">
        <v>5.70495755762773</v>
      </c>
      <c r="BL61" s="38" t="s">
        <v>53</v>
      </c>
      <c r="BM61" s="36">
        <v>38.426973685247013</v>
      </c>
      <c r="BN61" s="37">
        <v>5.1336459592713757</v>
      </c>
      <c r="BO61" s="38" t="s">
        <v>53</v>
      </c>
      <c r="BP61" s="36">
        <v>43.938441839822637</v>
      </c>
      <c r="BQ61" s="37">
        <v>4.0514015033489148</v>
      </c>
      <c r="BR61" s="38" t="s">
        <v>53</v>
      </c>
      <c r="BS61" s="36">
        <v>74.155831461537886</v>
      </c>
      <c r="BT61" s="37">
        <v>2.9452068830341509</v>
      </c>
      <c r="BU61" s="38" t="s">
        <v>53</v>
      </c>
      <c r="BV61" s="36">
        <v>30.649584760746855</v>
      </c>
      <c r="BW61" s="37">
        <v>6.4052716886953105</v>
      </c>
      <c r="BX61" s="38" t="s">
        <v>53</v>
      </c>
      <c r="BY61" s="36">
        <v>52.276771304267889</v>
      </c>
      <c r="BZ61" s="37">
        <v>4.9379168247821985</v>
      </c>
      <c r="CA61" s="38" t="s">
        <v>53</v>
      </c>
      <c r="CB61" s="36">
        <v>57.706046457350702</v>
      </c>
      <c r="CC61" s="37">
        <v>4.7628611292967191</v>
      </c>
      <c r="CD61" s="38" t="s">
        <v>53</v>
      </c>
      <c r="CE61" s="36">
        <v>62.890038141347112</v>
      </c>
      <c r="CF61" s="37">
        <v>5.1504920412439654</v>
      </c>
      <c r="CG61" s="38" t="s">
        <v>53</v>
      </c>
      <c r="CH61" s="36">
        <v>59.531057180171345</v>
      </c>
      <c r="CI61" s="37">
        <v>4.982028949203948</v>
      </c>
      <c r="CJ61" s="38" t="s">
        <v>53</v>
      </c>
      <c r="CK61" s="36">
        <v>7.2542858759034639</v>
      </c>
      <c r="CL61" s="37">
        <v>7.2274858072704937</v>
      </c>
      <c r="CM61" s="38" t="s">
        <v>53</v>
      </c>
      <c r="CN61" s="36">
        <v>54.01329916143046</v>
      </c>
      <c r="CO61" s="37">
        <v>4.9505536544031381</v>
      </c>
      <c r="CP61" s="38" t="s">
        <v>53</v>
      </c>
      <c r="CQ61" s="36">
        <v>58.742758822871281</v>
      </c>
      <c r="CR61" s="37">
        <v>4.4818475934240354</v>
      </c>
      <c r="CS61" s="38" t="s">
        <v>53</v>
      </c>
      <c r="CT61" s="36">
        <v>58.859468371877973</v>
      </c>
      <c r="CU61" s="37">
        <v>6.3637728470612931</v>
      </c>
      <c r="CV61" s="38" t="s">
        <v>53</v>
      </c>
      <c r="CW61" s="36">
        <v>59.62924919475364</v>
      </c>
      <c r="CX61" s="37">
        <v>4.6296267642541959</v>
      </c>
      <c r="CY61" s="38" t="s">
        <v>53</v>
      </c>
      <c r="CZ61" s="36">
        <v>5.6159500333231742</v>
      </c>
      <c r="DA61" s="37">
        <v>6.1981046668213375</v>
      </c>
      <c r="DB61" s="38" t="s">
        <v>53</v>
      </c>
      <c r="DC61" s="36">
        <v>37.532293269847777</v>
      </c>
      <c r="DD61" s="37">
        <v>3.2250832568656027</v>
      </c>
      <c r="DE61" s="38" t="s">
        <v>53</v>
      </c>
      <c r="DF61" s="36">
        <v>68.281221696374843</v>
      </c>
      <c r="DG61" s="37">
        <v>2.5676411487869788</v>
      </c>
      <c r="DH61" s="38" t="s">
        <v>53</v>
      </c>
      <c r="DI61" s="36">
        <v>30.74892842652708</v>
      </c>
      <c r="DJ61" s="37">
        <v>4.1578330274595734</v>
      </c>
      <c r="DK61" s="39" t="s">
        <v>53</v>
      </c>
    </row>
    <row r="62" spans="1:115" x14ac:dyDescent="0.25">
      <c r="A62" s="15" t="s">
        <v>176</v>
      </c>
      <c r="B62" s="36" t="s">
        <v>55</v>
      </c>
      <c r="C62" s="37" t="s">
        <v>55</v>
      </c>
      <c r="D62" s="38" t="s">
        <v>53</v>
      </c>
      <c r="E62" s="36" t="s">
        <v>55</v>
      </c>
      <c r="F62" s="37" t="s">
        <v>55</v>
      </c>
      <c r="G62" s="38" t="s">
        <v>53</v>
      </c>
      <c r="H62" s="36" t="s">
        <v>55</v>
      </c>
      <c r="I62" s="37" t="s">
        <v>55</v>
      </c>
      <c r="J62" s="38" t="s">
        <v>53</v>
      </c>
      <c r="K62" s="36" t="s">
        <v>55</v>
      </c>
      <c r="L62" s="37" t="s">
        <v>55</v>
      </c>
      <c r="M62" s="38" t="s">
        <v>53</v>
      </c>
      <c r="N62" s="36" t="s">
        <v>55</v>
      </c>
      <c r="O62" s="37" t="s">
        <v>55</v>
      </c>
      <c r="P62" s="38" t="s">
        <v>53</v>
      </c>
      <c r="Q62" s="36" t="s">
        <v>55</v>
      </c>
      <c r="R62" s="37" t="s">
        <v>55</v>
      </c>
      <c r="S62" s="38" t="s">
        <v>53</v>
      </c>
      <c r="T62" s="36" t="s">
        <v>55</v>
      </c>
      <c r="U62" s="37" t="s">
        <v>55</v>
      </c>
      <c r="V62" s="38" t="s">
        <v>53</v>
      </c>
      <c r="W62" s="36" t="s">
        <v>55</v>
      </c>
      <c r="X62" s="37" t="s">
        <v>55</v>
      </c>
      <c r="Y62" s="38" t="s">
        <v>53</v>
      </c>
      <c r="Z62" s="36" t="s">
        <v>55</v>
      </c>
      <c r="AA62" s="37" t="s">
        <v>55</v>
      </c>
      <c r="AB62" s="38" t="s">
        <v>53</v>
      </c>
      <c r="AC62" s="36" t="s">
        <v>55</v>
      </c>
      <c r="AD62" s="37" t="s">
        <v>55</v>
      </c>
      <c r="AE62" s="38" t="s">
        <v>53</v>
      </c>
      <c r="AF62" s="36" t="s">
        <v>55</v>
      </c>
      <c r="AG62" s="37" t="s">
        <v>55</v>
      </c>
      <c r="AH62" s="38" t="s">
        <v>53</v>
      </c>
      <c r="AI62" s="36" t="s">
        <v>55</v>
      </c>
      <c r="AJ62" s="37" t="s">
        <v>55</v>
      </c>
      <c r="AK62" s="38" t="s">
        <v>53</v>
      </c>
      <c r="AL62" s="36" t="s">
        <v>55</v>
      </c>
      <c r="AM62" s="37" t="s">
        <v>55</v>
      </c>
      <c r="AN62" s="38" t="s">
        <v>53</v>
      </c>
      <c r="AO62" s="36" t="s">
        <v>55</v>
      </c>
      <c r="AP62" s="37" t="s">
        <v>55</v>
      </c>
      <c r="AQ62" s="38" t="s">
        <v>53</v>
      </c>
      <c r="AR62" s="36" t="s">
        <v>55</v>
      </c>
      <c r="AS62" s="37" t="s">
        <v>55</v>
      </c>
      <c r="AT62" s="38" t="s">
        <v>53</v>
      </c>
      <c r="AU62" s="36" t="s">
        <v>55</v>
      </c>
      <c r="AV62" s="37" t="s">
        <v>55</v>
      </c>
      <c r="AW62" s="38" t="s">
        <v>53</v>
      </c>
      <c r="AX62" s="36" t="s">
        <v>55</v>
      </c>
      <c r="AY62" s="37" t="s">
        <v>55</v>
      </c>
      <c r="AZ62" s="38" t="s">
        <v>53</v>
      </c>
      <c r="BA62" s="36" t="s">
        <v>55</v>
      </c>
      <c r="BB62" s="37" t="s">
        <v>55</v>
      </c>
      <c r="BC62" s="38" t="s">
        <v>53</v>
      </c>
      <c r="BD62" s="36" t="s">
        <v>55</v>
      </c>
      <c r="BE62" s="37" t="s">
        <v>55</v>
      </c>
      <c r="BF62" s="38" t="s">
        <v>53</v>
      </c>
      <c r="BG62" s="36" t="s">
        <v>55</v>
      </c>
      <c r="BH62" s="37" t="s">
        <v>55</v>
      </c>
      <c r="BI62" s="38" t="s">
        <v>53</v>
      </c>
      <c r="BJ62" s="36" t="s">
        <v>55</v>
      </c>
      <c r="BK62" s="37" t="s">
        <v>55</v>
      </c>
      <c r="BL62" s="38" t="s">
        <v>53</v>
      </c>
      <c r="BM62" s="36" t="s">
        <v>55</v>
      </c>
      <c r="BN62" s="37" t="s">
        <v>55</v>
      </c>
      <c r="BO62" s="38" t="s">
        <v>53</v>
      </c>
      <c r="BP62" s="36" t="s">
        <v>55</v>
      </c>
      <c r="BQ62" s="37" t="s">
        <v>55</v>
      </c>
      <c r="BR62" s="38" t="s">
        <v>53</v>
      </c>
      <c r="BS62" s="36" t="s">
        <v>55</v>
      </c>
      <c r="BT62" s="37" t="s">
        <v>55</v>
      </c>
      <c r="BU62" s="38" t="s">
        <v>53</v>
      </c>
      <c r="BV62" s="36" t="s">
        <v>55</v>
      </c>
      <c r="BW62" s="37" t="s">
        <v>55</v>
      </c>
      <c r="BX62" s="38" t="s">
        <v>53</v>
      </c>
      <c r="BY62" s="36" t="s">
        <v>55</v>
      </c>
      <c r="BZ62" s="37" t="s">
        <v>55</v>
      </c>
      <c r="CA62" s="38" t="s">
        <v>53</v>
      </c>
      <c r="CB62" s="36" t="s">
        <v>55</v>
      </c>
      <c r="CC62" s="37" t="s">
        <v>55</v>
      </c>
      <c r="CD62" s="38" t="s">
        <v>53</v>
      </c>
      <c r="CE62" s="36" t="s">
        <v>55</v>
      </c>
      <c r="CF62" s="37" t="s">
        <v>55</v>
      </c>
      <c r="CG62" s="38" t="s">
        <v>53</v>
      </c>
      <c r="CH62" s="36" t="s">
        <v>55</v>
      </c>
      <c r="CI62" s="37" t="s">
        <v>55</v>
      </c>
      <c r="CJ62" s="38" t="s">
        <v>53</v>
      </c>
      <c r="CK62" s="36" t="s">
        <v>55</v>
      </c>
      <c r="CL62" s="37" t="s">
        <v>55</v>
      </c>
      <c r="CM62" s="38" t="s">
        <v>53</v>
      </c>
      <c r="CN62" s="36" t="s">
        <v>55</v>
      </c>
      <c r="CO62" s="37" t="s">
        <v>55</v>
      </c>
      <c r="CP62" s="38" t="s">
        <v>53</v>
      </c>
      <c r="CQ62" s="36" t="s">
        <v>55</v>
      </c>
      <c r="CR62" s="37" t="s">
        <v>55</v>
      </c>
      <c r="CS62" s="38" t="s">
        <v>53</v>
      </c>
      <c r="CT62" s="36" t="s">
        <v>55</v>
      </c>
      <c r="CU62" s="37" t="s">
        <v>55</v>
      </c>
      <c r="CV62" s="38" t="s">
        <v>53</v>
      </c>
      <c r="CW62" s="36" t="s">
        <v>55</v>
      </c>
      <c r="CX62" s="37" t="s">
        <v>55</v>
      </c>
      <c r="CY62" s="38" t="s">
        <v>53</v>
      </c>
      <c r="CZ62" s="36" t="s">
        <v>55</v>
      </c>
      <c r="DA62" s="37" t="s">
        <v>55</v>
      </c>
      <c r="DB62" s="38" t="s">
        <v>53</v>
      </c>
      <c r="DC62" s="36" t="s">
        <v>55</v>
      </c>
      <c r="DD62" s="37" t="s">
        <v>55</v>
      </c>
      <c r="DE62" s="38" t="s">
        <v>53</v>
      </c>
      <c r="DF62" s="36" t="s">
        <v>55</v>
      </c>
      <c r="DG62" s="37" t="s">
        <v>55</v>
      </c>
      <c r="DH62" s="38" t="s">
        <v>53</v>
      </c>
      <c r="DI62" s="36" t="s">
        <v>55</v>
      </c>
      <c r="DJ62" s="37" t="s">
        <v>55</v>
      </c>
      <c r="DK62" s="39" t="s">
        <v>53</v>
      </c>
    </row>
    <row r="63" spans="1:115" x14ac:dyDescent="0.25">
      <c r="A63" s="15" t="s">
        <v>177</v>
      </c>
      <c r="B63" s="36" t="s">
        <v>55</v>
      </c>
      <c r="C63" s="37" t="s">
        <v>55</v>
      </c>
      <c r="D63" s="38" t="s">
        <v>53</v>
      </c>
      <c r="E63" s="36" t="s">
        <v>55</v>
      </c>
      <c r="F63" s="37" t="s">
        <v>55</v>
      </c>
      <c r="G63" s="38" t="s">
        <v>53</v>
      </c>
      <c r="H63" s="36" t="s">
        <v>55</v>
      </c>
      <c r="I63" s="37" t="s">
        <v>55</v>
      </c>
      <c r="J63" s="38" t="s">
        <v>53</v>
      </c>
      <c r="K63" s="36" t="s">
        <v>55</v>
      </c>
      <c r="L63" s="37" t="s">
        <v>55</v>
      </c>
      <c r="M63" s="38" t="s">
        <v>53</v>
      </c>
      <c r="N63" s="36" t="s">
        <v>55</v>
      </c>
      <c r="O63" s="37" t="s">
        <v>55</v>
      </c>
      <c r="P63" s="38" t="s">
        <v>53</v>
      </c>
      <c r="Q63" s="36" t="s">
        <v>55</v>
      </c>
      <c r="R63" s="37" t="s">
        <v>55</v>
      </c>
      <c r="S63" s="38" t="s">
        <v>53</v>
      </c>
      <c r="T63" s="36" t="s">
        <v>55</v>
      </c>
      <c r="U63" s="37" t="s">
        <v>55</v>
      </c>
      <c r="V63" s="38" t="s">
        <v>53</v>
      </c>
      <c r="W63" s="36" t="s">
        <v>55</v>
      </c>
      <c r="X63" s="37" t="s">
        <v>55</v>
      </c>
      <c r="Y63" s="38" t="s">
        <v>53</v>
      </c>
      <c r="Z63" s="36" t="s">
        <v>55</v>
      </c>
      <c r="AA63" s="37" t="s">
        <v>55</v>
      </c>
      <c r="AB63" s="38" t="s">
        <v>53</v>
      </c>
      <c r="AC63" s="36" t="s">
        <v>55</v>
      </c>
      <c r="AD63" s="37" t="s">
        <v>55</v>
      </c>
      <c r="AE63" s="38" t="s">
        <v>53</v>
      </c>
      <c r="AF63" s="36" t="s">
        <v>55</v>
      </c>
      <c r="AG63" s="37" t="s">
        <v>55</v>
      </c>
      <c r="AH63" s="38" t="s">
        <v>53</v>
      </c>
      <c r="AI63" s="36" t="s">
        <v>55</v>
      </c>
      <c r="AJ63" s="37" t="s">
        <v>55</v>
      </c>
      <c r="AK63" s="38" t="s">
        <v>53</v>
      </c>
      <c r="AL63" s="36" t="s">
        <v>55</v>
      </c>
      <c r="AM63" s="37" t="s">
        <v>55</v>
      </c>
      <c r="AN63" s="38" t="s">
        <v>53</v>
      </c>
      <c r="AO63" s="36" t="s">
        <v>55</v>
      </c>
      <c r="AP63" s="37" t="s">
        <v>55</v>
      </c>
      <c r="AQ63" s="38" t="s">
        <v>53</v>
      </c>
      <c r="AR63" s="36" t="s">
        <v>55</v>
      </c>
      <c r="AS63" s="37" t="s">
        <v>55</v>
      </c>
      <c r="AT63" s="38" t="s">
        <v>53</v>
      </c>
      <c r="AU63" s="36" t="s">
        <v>55</v>
      </c>
      <c r="AV63" s="37" t="s">
        <v>55</v>
      </c>
      <c r="AW63" s="38" t="s">
        <v>53</v>
      </c>
      <c r="AX63" s="36" t="s">
        <v>55</v>
      </c>
      <c r="AY63" s="37" t="s">
        <v>55</v>
      </c>
      <c r="AZ63" s="38" t="s">
        <v>53</v>
      </c>
      <c r="BA63" s="36" t="s">
        <v>55</v>
      </c>
      <c r="BB63" s="37" t="s">
        <v>55</v>
      </c>
      <c r="BC63" s="38" t="s">
        <v>53</v>
      </c>
      <c r="BD63" s="36" t="s">
        <v>55</v>
      </c>
      <c r="BE63" s="37" t="s">
        <v>55</v>
      </c>
      <c r="BF63" s="38" t="s">
        <v>53</v>
      </c>
      <c r="BG63" s="36" t="s">
        <v>55</v>
      </c>
      <c r="BH63" s="37" t="s">
        <v>55</v>
      </c>
      <c r="BI63" s="38" t="s">
        <v>53</v>
      </c>
      <c r="BJ63" s="36" t="s">
        <v>55</v>
      </c>
      <c r="BK63" s="37" t="s">
        <v>55</v>
      </c>
      <c r="BL63" s="38" t="s">
        <v>53</v>
      </c>
      <c r="BM63" s="36" t="s">
        <v>55</v>
      </c>
      <c r="BN63" s="37" t="s">
        <v>55</v>
      </c>
      <c r="BO63" s="38" t="s">
        <v>53</v>
      </c>
      <c r="BP63" s="36" t="s">
        <v>55</v>
      </c>
      <c r="BQ63" s="37" t="s">
        <v>55</v>
      </c>
      <c r="BR63" s="38" t="s">
        <v>53</v>
      </c>
      <c r="BS63" s="36" t="s">
        <v>55</v>
      </c>
      <c r="BT63" s="37" t="s">
        <v>55</v>
      </c>
      <c r="BU63" s="38" t="s">
        <v>53</v>
      </c>
      <c r="BV63" s="36" t="s">
        <v>55</v>
      </c>
      <c r="BW63" s="37" t="s">
        <v>55</v>
      </c>
      <c r="BX63" s="38" t="s">
        <v>53</v>
      </c>
      <c r="BY63" s="36" t="s">
        <v>55</v>
      </c>
      <c r="BZ63" s="37" t="s">
        <v>55</v>
      </c>
      <c r="CA63" s="38" t="s">
        <v>53</v>
      </c>
      <c r="CB63" s="36" t="s">
        <v>55</v>
      </c>
      <c r="CC63" s="37" t="s">
        <v>55</v>
      </c>
      <c r="CD63" s="38" t="s">
        <v>53</v>
      </c>
      <c r="CE63" s="36" t="s">
        <v>55</v>
      </c>
      <c r="CF63" s="37" t="s">
        <v>55</v>
      </c>
      <c r="CG63" s="38" t="s">
        <v>53</v>
      </c>
      <c r="CH63" s="36" t="s">
        <v>55</v>
      </c>
      <c r="CI63" s="37" t="s">
        <v>55</v>
      </c>
      <c r="CJ63" s="38" t="s">
        <v>53</v>
      </c>
      <c r="CK63" s="36" t="s">
        <v>55</v>
      </c>
      <c r="CL63" s="37" t="s">
        <v>55</v>
      </c>
      <c r="CM63" s="38" t="s">
        <v>53</v>
      </c>
      <c r="CN63" s="36" t="s">
        <v>55</v>
      </c>
      <c r="CO63" s="37" t="s">
        <v>55</v>
      </c>
      <c r="CP63" s="38" t="s">
        <v>53</v>
      </c>
      <c r="CQ63" s="36" t="s">
        <v>55</v>
      </c>
      <c r="CR63" s="37" t="s">
        <v>55</v>
      </c>
      <c r="CS63" s="38" t="s">
        <v>53</v>
      </c>
      <c r="CT63" s="36" t="s">
        <v>55</v>
      </c>
      <c r="CU63" s="37" t="s">
        <v>55</v>
      </c>
      <c r="CV63" s="38" t="s">
        <v>53</v>
      </c>
      <c r="CW63" s="36" t="s">
        <v>55</v>
      </c>
      <c r="CX63" s="37" t="s">
        <v>55</v>
      </c>
      <c r="CY63" s="38" t="s">
        <v>53</v>
      </c>
      <c r="CZ63" s="36" t="s">
        <v>55</v>
      </c>
      <c r="DA63" s="37" t="s">
        <v>55</v>
      </c>
      <c r="DB63" s="38" t="s">
        <v>53</v>
      </c>
      <c r="DC63" s="36" t="s">
        <v>55</v>
      </c>
      <c r="DD63" s="37" t="s">
        <v>55</v>
      </c>
      <c r="DE63" s="38" t="s">
        <v>53</v>
      </c>
      <c r="DF63" s="36">
        <v>22.304522465747507</v>
      </c>
      <c r="DG63" s="37">
        <v>6.4605831212240377</v>
      </c>
      <c r="DH63" s="38" t="s">
        <v>53</v>
      </c>
      <c r="DI63" s="36" t="s">
        <v>55</v>
      </c>
      <c r="DJ63" s="37" t="s">
        <v>55</v>
      </c>
      <c r="DK63" s="39" t="s">
        <v>53</v>
      </c>
    </row>
    <row r="64" spans="1:115" x14ac:dyDescent="0.25">
      <c r="A64" s="15" t="s">
        <v>178</v>
      </c>
      <c r="B64" s="36">
        <v>18.233996853690705</v>
      </c>
      <c r="C64" s="37">
        <v>3.8219544394826466</v>
      </c>
      <c r="D64" s="38" t="s">
        <v>53</v>
      </c>
      <c r="E64" s="36">
        <v>17.879759327182228</v>
      </c>
      <c r="F64" s="37">
        <v>3.7339162593896544</v>
      </c>
      <c r="G64" s="38" t="s">
        <v>53</v>
      </c>
      <c r="H64" s="36">
        <v>22.694373247216191</v>
      </c>
      <c r="I64" s="37">
        <v>5.9551497345864703</v>
      </c>
      <c r="J64" s="38" t="s">
        <v>53</v>
      </c>
      <c r="K64" s="36">
        <v>15.271957217926413</v>
      </c>
      <c r="L64" s="37">
        <v>4.2467083736367979</v>
      </c>
      <c r="M64" s="38" t="s">
        <v>53</v>
      </c>
      <c r="N64" s="36">
        <v>-2.9620396357642962</v>
      </c>
      <c r="O64" s="37">
        <v>5.1007462066397249</v>
      </c>
      <c r="P64" s="38" t="s">
        <v>53</v>
      </c>
      <c r="Q64" s="36">
        <v>21.503882437745926</v>
      </c>
      <c r="R64" s="37">
        <v>4.9169918059723257</v>
      </c>
      <c r="S64" s="38" t="s">
        <v>53</v>
      </c>
      <c r="T64" s="36">
        <v>16.124470302591796</v>
      </c>
      <c r="U64" s="37">
        <v>3.3483818358571766</v>
      </c>
      <c r="V64" s="38" t="s">
        <v>53</v>
      </c>
      <c r="W64" s="36">
        <v>19.360597750557606</v>
      </c>
      <c r="X64" s="37">
        <v>4.5126822124319617</v>
      </c>
      <c r="Y64" s="38" t="s">
        <v>53</v>
      </c>
      <c r="Z64" s="36">
        <v>14.661080616424698</v>
      </c>
      <c r="AA64" s="37">
        <v>3.3630979170568418</v>
      </c>
      <c r="AB64" s="38" t="s">
        <v>53</v>
      </c>
      <c r="AC64" s="36">
        <v>-6.8428018213212276</v>
      </c>
      <c r="AD64" s="37">
        <v>6.1028617102267795</v>
      </c>
      <c r="AE64" s="38" t="s">
        <v>53</v>
      </c>
      <c r="AF64" s="36">
        <v>17.016295373889914</v>
      </c>
      <c r="AG64" s="37">
        <v>3.8563745788310961</v>
      </c>
      <c r="AH64" s="38" t="s">
        <v>53</v>
      </c>
      <c r="AI64" s="36">
        <v>14.783852107173956</v>
      </c>
      <c r="AJ64" s="37">
        <v>3.9761606460301664</v>
      </c>
      <c r="AK64" s="38" t="s">
        <v>53</v>
      </c>
      <c r="AL64" s="36">
        <v>20.240577346212131</v>
      </c>
      <c r="AM64" s="37">
        <v>4.0224111810537932</v>
      </c>
      <c r="AN64" s="38" t="s">
        <v>53</v>
      </c>
      <c r="AO64" s="36">
        <v>20.497331135555175</v>
      </c>
      <c r="AP64" s="37">
        <v>4.5672728318073332</v>
      </c>
      <c r="AQ64" s="38" t="s">
        <v>53</v>
      </c>
      <c r="AR64" s="36">
        <v>3.4810357616652547</v>
      </c>
      <c r="AS64" s="37">
        <v>5.712177971331112</v>
      </c>
      <c r="AT64" s="38" t="s">
        <v>53</v>
      </c>
      <c r="AU64" s="36">
        <v>19.964835493904005</v>
      </c>
      <c r="AV64" s="37">
        <v>4.1661441919261941</v>
      </c>
      <c r="AW64" s="38" t="s">
        <v>53</v>
      </c>
      <c r="AX64" s="36">
        <v>13.799173174080265</v>
      </c>
      <c r="AY64" s="37">
        <v>3.0638059464136811</v>
      </c>
      <c r="AZ64" s="38" t="s">
        <v>53</v>
      </c>
      <c r="BA64" s="36">
        <v>23.033099909013941</v>
      </c>
      <c r="BB64" s="37">
        <v>4.7662262733624026</v>
      </c>
      <c r="BC64" s="38" t="s">
        <v>53</v>
      </c>
      <c r="BD64" s="36">
        <v>17.313112752766667</v>
      </c>
      <c r="BE64" s="37">
        <v>4.7108635739513867</v>
      </c>
      <c r="BF64" s="38" t="s">
        <v>53</v>
      </c>
      <c r="BG64" s="36">
        <v>-2.6517227411373354</v>
      </c>
      <c r="BH64" s="37">
        <v>5.9054666919135839</v>
      </c>
      <c r="BI64" s="38" t="s">
        <v>53</v>
      </c>
      <c r="BJ64" s="36">
        <v>15.160621475046595</v>
      </c>
      <c r="BK64" s="37">
        <v>3.4408721542232437</v>
      </c>
      <c r="BL64" s="38" t="s">
        <v>53</v>
      </c>
      <c r="BM64" s="36">
        <v>14.559342004926487</v>
      </c>
      <c r="BN64" s="37">
        <v>3.6250687269883413</v>
      </c>
      <c r="BO64" s="38" t="s">
        <v>53</v>
      </c>
      <c r="BP64" s="36">
        <v>20.253841452950279</v>
      </c>
      <c r="BQ64" s="37">
        <v>4.3647248797634743</v>
      </c>
      <c r="BR64" s="38" t="s">
        <v>53</v>
      </c>
      <c r="BS64" s="36">
        <v>21.622695069766525</v>
      </c>
      <c r="BT64" s="37">
        <v>5.267529711066028</v>
      </c>
      <c r="BU64" s="38" t="s">
        <v>53</v>
      </c>
      <c r="BV64" s="36">
        <v>6.462073594719933</v>
      </c>
      <c r="BW64" s="37">
        <v>6.236630404163936</v>
      </c>
      <c r="BX64" s="38" t="s">
        <v>53</v>
      </c>
      <c r="BY64" s="36">
        <v>17.82830955205575</v>
      </c>
      <c r="BZ64" s="37">
        <v>3.8132200892053816</v>
      </c>
      <c r="CA64" s="38" t="s">
        <v>53</v>
      </c>
      <c r="CB64" s="36">
        <v>14.349273921394785</v>
      </c>
      <c r="CC64" s="37">
        <v>3.8213752778236549</v>
      </c>
      <c r="CD64" s="38" t="s">
        <v>53</v>
      </c>
      <c r="CE64" s="36">
        <v>23.862656394622704</v>
      </c>
      <c r="CF64" s="37">
        <v>5.4710443039614907</v>
      </c>
      <c r="CG64" s="38" t="s">
        <v>53</v>
      </c>
      <c r="CH64" s="36">
        <v>19.754102016235606</v>
      </c>
      <c r="CI64" s="37">
        <v>4.754630306233695</v>
      </c>
      <c r="CJ64" s="38" t="s">
        <v>53</v>
      </c>
      <c r="CK64" s="36">
        <v>1.9257924641798596</v>
      </c>
      <c r="CL64" s="37">
        <v>6.0146706194388466</v>
      </c>
      <c r="CM64" s="38" t="s">
        <v>53</v>
      </c>
      <c r="CN64" s="36">
        <v>23.235488051511759</v>
      </c>
      <c r="CO64" s="37">
        <v>6.0351499977842282</v>
      </c>
      <c r="CP64" s="38" t="s">
        <v>53</v>
      </c>
      <c r="CQ64" s="36">
        <v>16.46594343481533</v>
      </c>
      <c r="CR64" s="37">
        <v>3.5012529679413875</v>
      </c>
      <c r="CS64" s="38" t="s">
        <v>53</v>
      </c>
      <c r="CT64" s="36">
        <v>17.540661646217195</v>
      </c>
      <c r="CU64" s="37">
        <v>4.8202308085133758</v>
      </c>
      <c r="CV64" s="38" t="s">
        <v>53</v>
      </c>
      <c r="CW64" s="36">
        <v>16.742369861065516</v>
      </c>
      <c r="CX64" s="37">
        <v>3.7182565941666952</v>
      </c>
      <c r="CY64" s="38" t="s">
        <v>53</v>
      </c>
      <c r="CZ64" s="36">
        <v>-6.4931181904462409</v>
      </c>
      <c r="DA64" s="37">
        <v>6.1192131772323055</v>
      </c>
      <c r="DB64" s="38" t="s">
        <v>53</v>
      </c>
      <c r="DC64" s="36">
        <v>10.270795361966618</v>
      </c>
      <c r="DD64" s="37">
        <v>2.5416203103184172</v>
      </c>
      <c r="DE64" s="38" t="s">
        <v>53</v>
      </c>
      <c r="DF64" s="36">
        <v>26.120305018852164</v>
      </c>
      <c r="DG64" s="37">
        <v>3.8519238104456899</v>
      </c>
      <c r="DH64" s="38" t="s">
        <v>53</v>
      </c>
      <c r="DI64" s="36">
        <v>15.84950965688555</v>
      </c>
      <c r="DJ64" s="37">
        <v>4.1806752415228416</v>
      </c>
      <c r="DK64" s="39" t="s">
        <v>53</v>
      </c>
    </row>
    <row r="65" spans="1:115" x14ac:dyDescent="0.25">
      <c r="A65" s="15" t="s">
        <v>179</v>
      </c>
      <c r="B65" s="36">
        <v>21.195126152288434</v>
      </c>
      <c r="C65" s="37">
        <v>4.030660981391776</v>
      </c>
      <c r="D65" s="38" t="s">
        <v>53</v>
      </c>
      <c r="E65" s="36">
        <v>17.382943632180901</v>
      </c>
      <c r="F65" s="37">
        <v>4.6633529952909329</v>
      </c>
      <c r="G65" s="38" t="s">
        <v>53</v>
      </c>
      <c r="H65" s="36">
        <v>26.032184292241318</v>
      </c>
      <c r="I65" s="37">
        <v>5.0279729339192478</v>
      </c>
      <c r="J65" s="38" t="s">
        <v>53</v>
      </c>
      <c r="K65" s="36">
        <v>27.10313260045535</v>
      </c>
      <c r="L65" s="37">
        <v>4.4215466859083969</v>
      </c>
      <c r="M65" s="38" t="s">
        <v>53</v>
      </c>
      <c r="N65" s="36">
        <v>5.9080064481669092</v>
      </c>
      <c r="O65" s="37">
        <v>5.7403425465648912</v>
      </c>
      <c r="P65" s="38" t="s">
        <v>53</v>
      </c>
      <c r="Q65" s="36">
        <v>23.113137992344569</v>
      </c>
      <c r="R65" s="37">
        <v>4.3316724898474792</v>
      </c>
      <c r="S65" s="38" t="s">
        <v>53</v>
      </c>
      <c r="T65" s="36">
        <v>23.800758367197783</v>
      </c>
      <c r="U65" s="37">
        <v>4.6357425809144557</v>
      </c>
      <c r="V65" s="38" t="s">
        <v>53</v>
      </c>
      <c r="W65" s="36">
        <v>18.382554855366664</v>
      </c>
      <c r="X65" s="37">
        <v>4.1866183702881834</v>
      </c>
      <c r="Y65" s="38" t="s">
        <v>53</v>
      </c>
      <c r="Z65" s="36">
        <v>20.330416951429896</v>
      </c>
      <c r="AA65" s="37">
        <v>4.0211836196862807</v>
      </c>
      <c r="AB65" s="38" t="s">
        <v>53</v>
      </c>
      <c r="AC65" s="36">
        <v>-2.7827210409146685</v>
      </c>
      <c r="AD65" s="37">
        <v>5.2268503965057889</v>
      </c>
      <c r="AE65" s="38" t="s">
        <v>53</v>
      </c>
      <c r="AF65" s="36">
        <v>22.314393429261706</v>
      </c>
      <c r="AG65" s="37">
        <v>3.8571354705574885</v>
      </c>
      <c r="AH65" s="38" t="s">
        <v>53</v>
      </c>
      <c r="AI65" s="36">
        <v>17.669360039190131</v>
      </c>
      <c r="AJ65" s="37">
        <v>4.1870076351426473</v>
      </c>
      <c r="AK65" s="38" t="s">
        <v>53</v>
      </c>
      <c r="AL65" s="36">
        <v>18.347946876764798</v>
      </c>
      <c r="AM65" s="37">
        <v>4.0555608446191309</v>
      </c>
      <c r="AN65" s="38" t="s">
        <v>53</v>
      </c>
      <c r="AO65" s="36">
        <v>27.151025668015272</v>
      </c>
      <c r="AP65" s="37">
        <v>4.4959022198028373</v>
      </c>
      <c r="AQ65" s="38" t="s">
        <v>53</v>
      </c>
      <c r="AR65" s="36">
        <v>4.8366322387535643</v>
      </c>
      <c r="AS65" s="37">
        <v>5.5675243448730312</v>
      </c>
      <c r="AT65" s="38" t="s">
        <v>53</v>
      </c>
      <c r="AU65" s="36">
        <v>18.564164998068595</v>
      </c>
      <c r="AV65" s="37">
        <v>3.8191210032602676</v>
      </c>
      <c r="AW65" s="38" t="s">
        <v>53</v>
      </c>
      <c r="AX65" s="36">
        <v>20.116136899435418</v>
      </c>
      <c r="AY65" s="37">
        <v>3.8137340207171357</v>
      </c>
      <c r="AZ65" s="38" t="s">
        <v>53</v>
      </c>
      <c r="BA65" s="36">
        <v>19.806545698725653</v>
      </c>
      <c r="BB65" s="37">
        <v>4.5304777576428572</v>
      </c>
      <c r="BC65" s="38" t="s">
        <v>53</v>
      </c>
      <c r="BD65" s="36">
        <v>30.366254526666498</v>
      </c>
      <c r="BE65" s="37">
        <v>5.2686311688469427</v>
      </c>
      <c r="BF65" s="38" t="s">
        <v>53</v>
      </c>
      <c r="BG65" s="36">
        <v>11.802089528597905</v>
      </c>
      <c r="BH65" s="37">
        <v>5.8304152305033474</v>
      </c>
      <c r="BI65" s="38" t="s">
        <v>53</v>
      </c>
      <c r="BJ65" s="36">
        <v>14.938994660189984</v>
      </c>
      <c r="BK65" s="37">
        <v>3.4305230104914846</v>
      </c>
      <c r="BL65" s="38" t="s">
        <v>53</v>
      </c>
      <c r="BM65" s="36">
        <v>18.210527922571551</v>
      </c>
      <c r="BN65" s="37">
        <v>4.0816208196468393</v>
      </c>
      <c r="BO65" s="38" t="s">
        <v>53</v>
      </c>
      <c r="BP65" s="36">
        <v>23.476307335540216</v>
      </c>
      <c r="BQ65" s="37">
        <v>4.1437367053811434</v>
      </c>
      <c r="BR65" s="38" t="s">
        <v>53</v>
      </c>
      <c r="BS65" s="36">
        <v>28.157768233080493</v>
      </c>
      <c r="BT65" s="37">
        <v>4.9431639491489525</v>
      </c>
      <c r="BU65" s="38" t="s">
        <v>53</v>
      </c>
      <c r="BV65" s="36">
        <v>13.218773572890511</v>
      </c>
      <c r="BW65" s="37">
        <v>6.0151152043110541</v>
      </c>
      <c r="BX65" s="38" t="s">
        <v>53</v>
      </c>
      <c r="BY65" s="36">
        <v>15.560400454623258</v>
      </c>
      <c r="BZ65" s="37">
        <v>4.0155754620361073</v>
      </c>
      <c r="CA65" s="38" t="s">
        <v>53</v>
      </c>
      <c r="CB65" s="36">
        <v>22.936629526735302</v>
      </c>
      <c r="CC65" s="37">
        <v>4.8516752952725772</v>
      </c>
      <c r="CD65" s="38" t="s">
        <v>53</v>
      </c>
      <c r="CE65" s="36">
        <v>37.064042130566911</v>
      </c>
      <c r="CF65" s="37">
        <v>5.8636900758314709</v>
      </c>
      <c r="CG65" s="38" t="s">
        <v>53</v>
      </c>
      <c r="CH65" s="36">
        <v>20.990642668672933</v>
      </c>
      <c r="CI65" s="37">
        <v>4.881501495469962</v>
      </c>
      <c r="CJ65" s="38" t="s">
        <v>53</v>
      </c>
      <c r="CK65" s="36">
        <v>5.430242214049672</v>
      </c>
      <c r="CL65" s="37">
        <v>6.2158571084308365</v>
      </c>
      <c r="CM65" s="38" t="s">
        <v>53</v>
      </c>
      <c r="CN65" s="36">
        <v>24.515420941055694</v>
      </c>
      <c r="CO65" s="37">
        <v>4.5192084072561496</v>
      </c>
      <c r="CP65" s="38" t="s">
        <v>53</v>
      </c>
      <c r="CQ65" s="36">
        <v>23.724503968115265</v>
      </c>
      <c r="CR65" s="37">
        <v>5.214034360120249</v>
      </c>
      <c r="CS65" s="38" t="s">
        <v>53</v>
      </c>
      <c r="CT65" s="36">
        <v>23.599847066824353</v>
      </c>
      <c r="CU65" s="37">
        <v>6.2699499879127085</v>
      </c>
      <c r="CV65" s="38" t="s">
        <v>53</v>
      </c>
      <c r="CW65" s="36">
        <v>24.195124928478748</v>
      </c>
      <c r="CX65" s="37">
        <v>4.6781071530097984</v>
      </c>
      <c r="CY65" s="38" t="s">
        <v>53</v>
      </c>
      <c r="CZ65" s="36">
        <v>-0.32029601257694995</v>
      </c>
      <c r="DA65" s="37">
        <v>6.6844121668822893</v>
      </c>
      <c r="DB65" s="38" t="s">
        <v>53</v>
      </c>
      <c r="DC65" s="36">
        <v>15.890710130588081</v>
      </c>
      <c r="DD65" s="37">
        <v>2.980849456644882</v>
      </c>
      <c r="DE65" s="38" t="s">
        <v>53</v>
      </c>
      <c r="DF65" s="36">
        <v>26.370834751148557</v>
      </c>
      <c r="DG65" s="37">
        <v>3.6428967752203389</v>
      </c>
      <c r="DH65" s="38" t="s">
        <v>53</v>
      </c>
      <c r="DI65" s="36">
        <v>10.480124620560474</v>
      </c>
      <c r="DJ65" s="37">
        <v>4.3684949626322558</v>
      </c>
      <c r="DK65" s="39" t="s">
        <v>53</v>
      </c>
    </row>
    <row r="66" spans="1:115" x14ac:dyDescent="0.25">
      <c r="A66" s="15" t="s">
        <v>180</v>
      </c>
      <c r="B66" s="36">
        <v>18.397762139658838</v>
      </c>
      <c r="C66" s="37">
        <v>4.0643989424567959</v>
      </c>
      <c r="D66" s="38" t="s">
        <v>53</v>
      </c>
      <c r="E66" s="36">
        <v>23.755010750034646</v>
      </c>
      <c r="F66" s="37">
        <v>4.5583388998892707</v>
      </c>
      <c r="G66" s="38" t="s">
        <v>53</v>
      </c>
      <c r="H66" s="36">
        <v>37.545217633897487</v>
      </c>
      <c r="I66" s="37">
        <v>4.4883722886947268</v>
      </c>
      <c r="J66" s="38" t="s">
        <v>53</v>
      </c>
      <c r="K66" s="36">
        <v>44.727485468878818</v>
      </c>
      <c r="L66" s="37">
        <v>4.821747524584481</v>
      </c>
      <c r="M66" s="38" t="s">
        <v>53</v>
      </c>
      <c r="N66" s="36">
        <v>26.329723329219973</v>
      </c>
      <c r="O66" s="37">
        <v>6.3304798813564753</v>
      </c>
      <c r="P66" s="38" t="s">
        <v>53</v>
      </c>
      <c r="Q66" s="36">
        <v>24.075236905356185</v>
      </c>
      <c r="R66" s="37">
        <v>3.7521645237470889</v>
      </c>
      <c r="S66" s="38" t="s">
        <v>53</v>
      </c>
      <c r="T66" s="36">
        <v>24.948234360207838</v>
      </c>
      <c r="U66" s="37">
        <v>3.9164924006135893</v>
      </c>
      <c r="V66" s="38" t="s">
        <v>53</v>
      </c>
      <c r="W66" s="36">
        <v>28.447523901760096</v>
      </c>
      <c r="X66" s="37">
        <v>3.9840154927707196</v>
      </c>
      <c r="Y66" s="38" t="s">
        <v>53</v>
      </c>
      <c r="Z66" s="36">
        <v>36.195517939767171</v>
      </c>
      <c r="AA66" s="37">
        <v>3.9425720249388703</v>
      </c>
      <c r="AB66" s="38" t="s">
        <v>53</v>
      </c>
      <c r="AC66" s="36">
        <v>12.120281034410981</v>
      </c>
      <c r="AD66" s="37">
        <v>5.4994722038572998</v>
      </c>
      <c r="AE66" s="38" t="s">
        <v>53</v>
      </c>
      <c r="AF66" s="36">
        <v>20.081050390641852</v>
      </c>
      <c r="AG66" s="37">
        <v>3.448263957026803</v>
      </c>
      <c r="AH66" s="38" t="s">
        <v>53</v>
      </c>
      <c r="AI66" s="36">
        <v>31.573050727184377</v>
      </c>
      <c r="AJ66" s="37">
        <v>4.3844778650192655</v>
      </c>
      <c r="AK66" s="38" t="s">
        <v>53</v>
      </c>
      <c r="AL66" s="36">
        <v>23.279285467408961</v>
      </c>
      <c r="AM66" s="37">
        <v>3.686411741201185</v>
      </c>
      <c r="AN66" s="38" t="s">
        <v>53</v>
      </c>
      <c r="AO66" s="36">
        <v>38.600911229001895</v>
      </c>
      <c r="AP66" s="37">
        <v>3.6470434328580894</v>
      </c>
      <c r="AQ66" s="38" t="s">
        <v>53</v>
      </c>
      <c r="AR66" s="36">
        <v>18.519860838360042</v>
      </c>
      <c r="AS66" s="37">
        <v>4.8742525196981097</v>
      </c>
      <c r="AT66" s="38" t="s">
        <v>53</v>
      </c>
      <c r="AU66" s="36">
        <v>23.337363191280907</v>
      </c>
      <c r="AV66" s="37">
        <v>3.4614487816336643</v>
      </c>
      <c r="AW66" s="38" t="s">
        <v>53</v>
      </c>
      <c r="AX66" s="36">
        <v>27.06973127200612</v>
      </c>
      <c r="AY66" s="37">
        <v>3.7616968071889598</v>
      </c>
      <c r="AZ66" s="38" t="s">
        <v>53</v>
      </c>
      <c r="BA66" s="36">
        <v>32.549139324683495</v>
      </c>
      <c r="BB66" s="37">
        <v>4.1930934852012589</v>
      </c>
      <c r="BC66" s="38" t="s">
        <v>53</v>
      </c>
      <c r="BD66" s="36">
        <v>35.359218400771233</v>
      </c>
      <c r="BE66" s="37">
        <v>4.3201850851323549</v>
      </c>
      <c r="BF66" s="38" t="s">
        <v>53</v>
      </c>
      <c r="BG66" s="36">
        <v>12.021855209490329</v>
      </c>
      <c r="BH66" s="37">
        <v>5.4037320654204137</v>
      </c>
      <c r="BI66" s="38" t="s">
        <v>53</v>
      </c>
      <c r="BJ66" s="36">
        <v>20.468149197904872</v>
      </c>
      <c r="BK66" s="37">
        <v>3.7748085237031956</v>
      </c>
      <c r="BL66" s="38" t="s">
        <v>53</v>
      </c>
      <c r="BM66" s="36">
        <v>27.025528699112016</v>
      </c>
      <c r="BN66" s="37">
        <v>4.2511666459184489</v>
      </c>
      <c r="BO66" s="38" t="s">
        <v>53</v>
      </c>
      <c r="BP66" s="36">
        <v>23.546954092255902</v>
      </c>
      <c r="BQ66" s="37">
        <v>3.902457546606001</v>
      </c>
      <c r="BR66" s="38" t="s">
        <v>53</v>
      </c>
      <c r="BS66" s="36">
        <v>38.599920337571071</v>
      </c>
      <c r="BT66" s="37">
        <v>3.3424621545102395</v>
      </c>
      <c r="BU66" s="38" t="s">
        <v>53</v>
      </c>
      <c r="BV66" s="36">
        <v>18.131771139666192</v>
      </c>
      <c r="BW66" s="37">
        <v>4.952274901399651</v>
      </c>
      <c r="BX66" s="38" t="s">
        <v>53</v>
      </c>
      <c r="BY66" s="36">
        <v>23.405269543285115</v>
      </c>
      <c r="BZ66" s="37">
        <v>4.0311219494654251</v>
      </c>
      <c r="CA66" s="38" t="s">
        <v>53</v>
      </c>
      <c r="CB66" s="36">
        <v>31.563236070443928</v>
      </c>
      <c r="CC66" s="37">
        <v>5.0973529651889162</v>
      </c>
      <c r="CD66" s="38" t="s">
        <v>53</v>
      </c>
      <c r="CE66" s="36">
        <v>34.341468524693724</v>
      </c>
      <c r="CF66" s="37">
        <v>4.8876698997685777</v>
      </c>
      <c r="CG66" s="38" t="s">
        <v>53</v>
      </c>
      <c r="CH66" s="36">
        <v>38.515438545320507</v>
      </c>
      <c r="CI66" s="37">
        <v>4.4160446845631443</v>
      </c>
      <c r="CJ66" s="38" t="s">
        <v>53</v>
      </c>
      <c r="CK66" s="36">
        <v>15.11016900203539</v>
      </c>
      <c r="CL66" s="37">
        <v>6.2724254958591406</v>
      </c>
      <c r="CM66" s="38" t="s">
        <v>53</v>
      </c>
      <c r="CN66" s="36">
        <v>23.878832464678386</v>
      </c>
      <c r="CO66" s="37">
        <v>3.5824549020856562</v>
      </c>
      <c r="CP66" s="38" t="s">
        <v>53</v>
      </c>
      <c r="CQ66" s="36">
        <v>25.941127562578242</v>
      </c>
      <c r="CR66" s="37">
        <v>4.1098291904011974</v>
      </c>
      <c r="CS66" s="38" t="s">
        <v>53</v>
      </c>
      <c r="CT66" s="36">
        <v>31.17862758153284</v>
      </c>
      <c r="CU66" s="37">
        <v>4.9119063656768418</v>
      </c>
      <c r="CV66" s="38" t="s">
        <v>53</v>
      </c>
      <c r="CW66" s="36">
        <v>41.85227109648919</v>
      </c>
      <c r="CX66" s="37">
        <v>5.0357609515313424</v>
      </c>
      <c r="CY66" s="38" t="s">
        <v>53</v>
      </c>
      <c r="CZ66" s="36">
        <v>17.973438631810801</v>
      </c>
      <c r="DA66" s="37">
        <v>5.9021372704009751</v>
      </c>
      <c r="DB66" s="38" t="s">
        <v>53</v>
      </c>
      <c r="DC66" s="36">
        <v>20.744410215017457</v>
      </c>
      <c r="DD66" s="37">
        <v>2.7724730880019735</v>
      </c>
      <c r="DE66" s="38" t="s">
        <v>53</v>
      </c>
      <c r="DF66" s="36">
        <v>36.740814857530843</v>
      </c>
      <c r="DG66" s="37">
        <v>2.7992733021813136</v>
      </c>
      <c r="DH66" s="38" t="s">
        <v>53</v>
      </c>
      <c r="DI66" s="36">
        <v>15.996404642513395</v>
      </c>
      <c r="DJ66" s="37">
        <v>3.9420486247549484</v>
      </c>
      <c r="DK66" s="39" t="s">
        <v>53</v>
      </c>
    </row>
    <row r="67" spans="1:115" x14ac:dyDescent="0.25">
      <c r="A67" s="15" t="s">
        <v>181</v>
      </c>
      <c r="B67" s="36" t="s">
        <v>55</v>
      </c>
      <c r="C67" s="37" t="s">
        <v>55</v>
      </c>
      <c r="D67" s="38" t="s">
        <v>53</v>
      </c>
      <c r="E67" s="36" t="s">
        <v>55</v>
      </c>
      <c r="F67" s="37" t="s">
        <v>55</v>
      </c>
      <c r="G67" s="38" t="s">
        <v>53</v>
      </c>
      <c r="H67" s="36" t="s">
        <v>55</v>
      </c>
      <c r="I67" s="37" t="s">
        <v>55</v>
      </c>
      <c r="J67" s="38" t="s">
        <v>53</v>
      </c>
      <c r="K67" s="36" t="s">
        <v>55</v>
      </c>
      <c r="L67" s="37" t="s">
        <v>55</v>
      </c>
      <c r="M67" s="38" t="s">
        <v>53</v>
      </c>
      <c r="N67" s="36" t="s">
        <v>55</v>
      </c>
      <c r="O67" s="37" t="s">
        <v>55</v>
      </c>
      <c r="P67" s="38" t="s">
        <v>53</v>
      </c>
      <c r="Q67" s="36">
        <v>18.262734839270664</v>
      </c>
      <c r="R67" s="37">
        <v>8.251931775125195</v>
      </c>
      <c r="S67" s="38" t="s">
        <v>53</v>
      </c>
      <c r="T67" s="36">
        <v>30.587821441205431</v>
      </c>
      <c r="U67" s="37">
        <v>8.406528590990364</v>
      </c>
      <c r="V67" s="38" t="s">
        <v>53</v>
      </c>
      <c r="W67" s="36">
        <v>18.655956103374717</v>
      </c>
      <c r="X67" s="37">
        <v>7.743993191727566</v>
      </c>
      <c r="Y67" s="38" t="s">
        <v>53</v>
      </c>
      <c r="Z67" s="36" t="s">
        <v>55</v>
      </c>
      <c r="AA67" s="37" t="s">
        <v>55</v>
      </c>
      <c r="AB67" s="38" t="s">
        <v>53</v>
      </c>
      <c r="AC67" s="36" t="s">
        <v>55</v>
      </c>
      <c r="AD67" s="37" t="s">
        <v>55</v>
      </c>
      <c r="AE67" s="38" t="s">
        <v>53</v>
      </c>
      <c r="AF67" s="36">
        <v>15.362713821114857</v>
      </c>
      <c r="AG67" s="37">
        <v>7.3932833233227591</v>
      </c>
      <c r="AH67" s="38" t="s">
        <v>53</v>
      </c>
      <c r="AI67" s="36">
        <v>32.505549804692471</v>
      </c>
      <c r="AJ67" s="37">
        <v>10.584787673087748</v>
      </c>
      <c r="AK67" s="38" t="s">
        <v>53</v>
      </c>
      <c r="AL67" s="36" t="s">
        <v>55</v>
      </c>
      <c r="AM67" s="37" t="s">
        <v>55</v>
      </c>
      <c r="AN67" s="38" t="s">
        <v>53</v>
      </c>
      <c r="AO67" s="36">
        <v>23.934122288861182</v>
      </c>
      <c r="AP67" s="37">
        <v>8.3315943221914832</v>
      </c>
      <c r="AQ67" s="38" t="s">
        <v>53</v>
      </c>
      <c r="AR67" s="36">
        <v>8.5714084677463287</v>
      </c>
      <c r="AS67" s="37">
        <v>10.759858510195809</v>
      </c>
      <c r="AT67" s="38" t="s">
        <v>53</v>
      </c>
      <c r="AU67" s="36" t="s">
        <v>55</v>
      </c>
      <c r="AV67" s="37" t="s">
        <v>55</v>
      </c>
      <c r="AW67" s="38" t="s">
        <v>53</v>
      </c>
      <c r="AX67" s="36" t="s">
        <v>55</v>
      </c>
      <c r="AY67" s="37" t="s">
        <v>55</v>
      </c>
      <c r="AZ67" s="38" t="s">
        <v>53</v>
      </c>
      <c r="BA67" s="36" t="s">
        <v>55</v>
      </c>
      <c r="BB67" s="37" t="s">
        <v>55</v>
      </c>
      <c r="BC67" s="38" t="s">
        <v>53</v>
      </c>
      <c r="BD67" s="36" t="s">
        <v>55</v>
      </c>
      <c r="BE67" s="37" t="s">
        <v>55</v>
      </c>
      <c r="BF67" s="38" t="s">
        <v>53</v>
      </c>
      <c r="BG67" s="36" t="s">
        <v>55</v>
      </c>
      <c r="BH67" s="37" t="s">
        <v>55</v>
      </c>
      <c r="BI67" s="38" t="s">
        <v>53</v>
      </c>
      <c r="BJ67" s="36">
        <v>13.614062228222016</v>
      </c>
      <c r="BK67" s="37">
        <v>5.903427739786216</v>
      </c>
      <c r="BL67" s="38" t="s">
        <v>53</v>
      </c>
      <c r="BM67" s="36">
        <v>19.209269523072813</v>
      </c>
      <c r="BN67" s="37">
        <v>8.8941445631910145</v>
      </c>
      <c r="BO67" s="38" t="s">
        <v>53</v>
      </c>
      <c r="BP67" s="36" t="s">
        <v>55</v>
      </c>
      <c r="BQ67" s="37" t="s">
        <v>55</v>
      </c>
      <c r="BR67" s="38" t="s">
        <v>53</v>
      </c>
      <c r="BS67" s="36" t="s">
        <v>55</v>
      </c>
      <c r="BT67" s="37" t="s">
        <v>55</v>
      </c>
      <c r="BU67" s="38" t="s">
        <v>53</v>
      </c>
      <c r="BV67" s="36" t="s">
        <v>55</v>
      </c>
      <c r="BW67" s="37" t="s">
        <v>55</v>
      </c>
      <c r="BX67" s="38" t="s">
        <v>53</v>
      </c>
      <c r="BY67" s="36" t="s">
        <v>55</v>
      </c>
      <c r="BZ67" s="37" t="s">
        <v>55</v>
      </c>
      <c r="CA67" s="38" t="s">
        <v>53</v>
      </c>
      <c r="CB67" s="36" t="s">
        <v>55</v>
      </c>
      <c r="CC67" s="37" t="s">
        <v>55</v>
      </c>
      <c r="CD67" s="38" t="s">
        <v>53</v>
      </c>
      <c r="CE67" s="36" t="s">
        <v>55</v>
      </c>
      <c r="CF67" s="37" t="s">
        <v>55</v>
      </c>
      <c r="CG67" s="38" t="s">
        <v>53</v>
      </c>
      <c r="CH67" s="36" t="s">
        <v>55</v>
      </c>
      <c r="CI67" s="37" t="s">
        <v>55</v>
      </c>
      <c r="CJ67" s="38" t="s">
        <v>53</v>
      </c>
      <c r="CK67" s="36" t="s">
        <v>55</v>
      </c>
      <c r="CL67" s="37" t="s">
        <v>55</v>
      </c>
      <c r="CM67" s="38" t="s">
        <v>53</v>
      </c>
      <c r="CN67" s="36" t="s">
        <v>55</v>
      </c>
      <c r="CO67" s="37" t="s">
        <v>55</v>
      </c>
      <c r="CP67" s="38" t="s">
        <v>53</v>
      </c>
      <c r="CQ67" s="36" t="s">
        <v>55</v>
      </c>
      <c r="CR67" s="37" t="s">
        <v>55</v>
      </c>
      <c r="CS67" s="38" t="s">
        <v>53</v>
      </c>
      <c r="CT67" s="36" t="s">
        <v>55</v>
      </c>
      <c r="CU67" s="37" t="s">
        <v>55</v>
      </c>
      <c r="CV67" s="38" t="s">
        <v>53</v>
      </c>
      <c r="CW67" s="36" t="s">
        <v>55</v>
      </c>
      <c r="CX67" s="37" t="s">
        <v>55</v>
      </c>
      <c r="CY67" s="38" t="s">
        <v>53</v>
      </c>
      <c r="CZ67" s="36" t="s">
        <v>55</v>
      </c>
      <c r="DA67" s="37" t="s">
        <v>55</v>
      </c>
      <c r="DB67" s="38" t="s">
        <v>53</v>
      </c>
      <c r="DC67" s="36">
        <v>18.611666029085498</v>
      </c>
      <c r="DD67" s="37">
        <v>5.5030591078074753</v>
      </c>
      <c r="DE67" s="38" t="s">
        <v>53</v>
      </c>
      <c r="DF67" s="36" t="s">
        <v>55</v>
      </c>
      <c r="DG67" s="37" t="s">
        <v>55</v>
      </c>
      <c r="DH67" s="38" t="s">
        <v>53</v>
      </c>
      <c r="DI67" s="36" t="s">
        <v>55</v>
      </c>
      <c r="DJ67" s="37" t="s">
        <v>55</v>
      </c>
      <c r="DK67" s="39" t="s">
        <v>53</v>
      </c>
    </row>
    <row r="68" spans="1:115" x14ac:dyDescent="0.25">
      <c r="A68" s="15" t="s">
        <v>182</v>
      </c>
      <c r="B68" s="36" t="s">
        <v>55</v>
      </c>
      <c r="C68" s="37" t="s">
        <v>55</v>
      </c>
      <c r="D68" s="38" t="s">
        <v>53</v>
      </c>
      <c r="E68" s="36" t="s">
        <v>55</v>
      </c>
      <c r="F68" s="37" t="s">
        <v>55</v>
      </c>
      <c r="G68" s="38" t="s">
        <v>53</v>
      </c>
      <c r="H68" s="36" t="s">
        <v>55</v>
      </c>
      <c r="I68" s="37" t="s">
        <v>55</v>
      </c>
      <c r="J68" s="38" t="s">
        <v>53</v>
      </c>
      <c r="K68" s="36" t="s">
        <v>55</v>
      </c>
      <c r="L68" s="37" t="s">
        <v>55</v>
      </c>
      <c r="M68" s="38" t="s">
        <v>53</v>
      </c>
      <c r="N68" s="36" t="s">
        <v>55</v>
      </c>
      <c r="O68" s="37" t="s">
        <v>55</v>
      </c>
      <c r="P68" s="38" t="s">
        <v>53</v>
      </c>
      <c r="Q68" s="36" t="s">
        <v>55</v>
      </c>
      <c r="R68" s="37" t="s">
        <v>55</v>
      </c>
      <c r="S68" s="38" t="s">
        <v>53</v>
      </c>
      <c r="T68" s="36" t="s">
        <v>55</v>
      </c>
      <c r="U68" s="37" t="s">
        <v>55</v>
      </c>
      <c r="V68" s="38" t="s">
        <v>53</v>
      </c>
      <c r="W68" s="36" t="s">
        <v>55</v>
      </c>
      <c r="X68" s="37" t="s">
        <v>55</v>
      </c>
      <c r="Y68" s="38" t="s">
        <v>53</v>
      </c>
      <c r="Z68" s="36" t="s">
        <v>55</v>
      </c>
      <c r="AA68" s="37" t="s">
        <v>55</v>
      </c>
      <c r="AB68" s="38" t="s">
        <v>53</v>
      </c>
      <c r="AC68" s="36" t="s">
        <v>55</v>
      </c>
      <c r="AD68" s="37" t="s">
        <v>55</v>
      </c>
      <c r="AE68" s="38" t="s">
        <v>53</v>
      </c>
      <c r="AF68" s="36" t="s">
        <v>55</v>
      </c>
      <c r="AG68" s="37" t="s">
        <v>55</v>
      </c>
      <c r="AH68" s="38" t="s">
        <v>53</v>
      </c>
      <c r="AI68" s="36" t="s">
        <v>55</v>
      </c>
      <c r="AJ68" s="37" t="s">
        <v>55</v>
      </c>
      <c r="AK68" s="38" t="s">
        <v>53</v>
      </c>
      <c r="AL68" s="36" t="s">
        <v>55</v>
      </c>
      <c r="AM68" s="37" t="s">
        <v>55</v>
      </c>
      <c r="AN68" s="38" t="s">
        <v>53</v>
      </c>
      <c r="AO68" s="36" t="s">
        <v>55</v>
      </c>
      <c r="AP68" s="37" t="s">
        <v>55</v>
      </c>
      <c r="AQ68" s="38" t="s">
        <v>53</v>
      </c>
      <c r="AR68" s="36" t="s">
        <v>55</v>
      </c>
      <c r="AS68" s="37" t="s">
        <v>55</v>
      </c>
      <c r="AT68" s="38" t="s">
        <v>53</v>
      </c>
      <c r="AU68" s="36" t="s">
        <v>55</v>
      </c>
      <c r="AV68" s="37" t="s">
        <v>55</v>
      </c>
      <c r="AW68" s="38" t="s">
        <v>53</v>
      </c>
      <c r="AX68" s="36" t="s">
        <v>55</v>
      </c>
      <c r="AY68" s="37" t="s">
        <v>55</v>
      </c>
      <c r="AZ68" s="38" t="s">
        <v>53</v>
      </c>
      <c r="BA68" s="36" t="s">
        <v>55</v>
      </c>
      <c r="BB68" s="37" t="s">
        <v>55</v>
      </c>
      <c r="BC68" s="38" t="s">
        <v>53</v>
      </c>
      <c r="BD68" s="36" t="s">
        <v>55</v>
      </c>
      <c r="BE68" s="37" t="s">
        <v>55</v>
      </c>
      <c r="BF68" s="38" t="s">
        <v>53</v>
      </c>
      <c r="BG68" s="36" t="s">
        <v>55</v>
      </c>
      <c r="BH68" s="37" t="s">
        <v>55</v>
      </c>
      <c r="BI68" s="38" t="s">
        <v>53</v>
      </c>
      <c r="BJ68" s="36">
        <v>4.5065661019815906</v>
      </c>
      <c r="BK68" s="37">
        <v>3.5673929416911387</v>
      </c>
      <c r="BL68" s="38" t="s">
        <v>53</v>
      </c>
      <c r="BM68" s="36" t="s">
        <v>55</v>
      </c>
      <c r="BN68" s="37" t="s">
        <v>55</v>
      </c>
      <c r="BO68" s="38" t="s">
        <v>53</v>
      </c>
      <c r="BP68" s="36" t="s">
        <v>55</v>
      </c>
      <c r="BQ68" s="37" t="s">
        <v>55</v>
      </c>
      <c r="BR68" s="38" t="s">
        <v>53</v>
      </c>
      <c r="BS68" s="36" t="s">
        <v>55</v>
      </c>
      <c r="BT68" s="37" t="s">
        <v>55</v>
      </c>
      <c r="BU68" s="38" t="s">
        <v>53</v>
      </c>
      <c r="BV68" s="36" t="s">
        <v>55</v>
      </c>
      <c r="BW68" s="37" t="s">
        <v>55</v>
      </c>
      <c r="BX68" s="38" t="s">
        <v>53</v>
      </c>
      <c r="BY68" s="36" t="s">
        <v>55</v>
      </c>
      <c r="BZ68" s="37" t="s">
        <v>55</v>
      </c>
      <c r="CA68" s="38" t="s">
        <v>53</v>
      </c>
      <c r="CB68" s="36" t="s">
        <v>55</v>
      </c>
      <c r="CC68" s="37" t="s">
        <v>55</v>
      </c>
      <c r="CD68" s="38" t="s">
        <v>53</v>
      </c>
      <c r="CE68" s="36" t="s">
        <v>55</v>
      </c>
      <c r="CF68" s="37" t="s">
        <v>55</v>
      </c>
      <c r="CG68" s="38" t="s">
        <v>53</v>
      </c>
      <c r="CH68" s="36" t="s">
        <v>55</v>
      </c>
      <c r="CI68" s="37" t="s">
        <v>55</v>
      </c>
      <c r="CJ68" s="38" t="s">
        <v>53</v>
      </c>
      <c r="CK68" s="36" t="s">
        <v>55</v>
      </c>
      <c r="CL68" s="37" t="s">
        <v>55</v>
      </c>
      <c r="CM68" s="38" t="s">
        <v>53</v>
      </c>
      <c r="CN68" s="36" t="s">
        <v>55</v>
      </c>
      <c r="CO68" s="37" t="s">
        <v>55</v>
      </c>
      <c r="CP68" s="38" t="s">
        <v>53</v>
      </c>
      <c r="CQ68" s="36" t="s">
        <v>55</v>
      </c>
      <c r="CR68" s="37" t="s">
        <v>55</v>
      </c>
      <c r="CS68" s="38" t="s">
        <v>53</v>
      </c>
      <c r="CT68" s="36" t="s">
        <v>55</v>
      </c>
      <c r="CU68" s="37" t="s">
        <v>55</v>
      </c>
      <c r="CV68" s="38" t="s">
        <v>53</v>
      </c>
      <c r="CW68" s="36" t="s">
        <v>55</v>
      </c>
      <c r="CX68" s="37" t="s">
        <v>55</v>
      </c>
      <c r="CY68" s="38" t="s">
        <v>53</v>
      </c>
      <c r="CZ68" s="36" t="s">
        <v>55</v>
      </c>
      <c r="DA68" s="37" t="s">
        <v>55</v>
      </c>
      <c r="DB68" s="38" t="s">
        <v>53</v>
      </c>
      <c r="DC68" s="36" t="s">
        <v>55</v>
      </c>
      <c r="DD68" s="37" t="s">
        <v>55</v>
      </c>
      <c r="DE68" s="38" t="s">
        <v>53</v>
      </c>
      <c r="DF68" s="36">
        <v>23.252606882338579</v>
      </c>
      <c r="DG68" s="37">
        <v>7.261632565252059</v>
      </c>
      <c r="DH68" s="38" t="s">
        <v>53</v>
      </c>
      <c r="DI68" s="36" t="s">
        <v>55</v>
      </c>
      <c r="DJ68" s="37" t="s">
        <v>55</v>
      </c>
      <c r="DK68" s="39" t="s">
        <v>53</v>
      </c>
    </row>
    <row r="69" spans="1:115" x14ac:dyDescent="0.25">
      <c r="A69" s="15" t="s">
        <v>229</v>
      </c>
      <c r="B69" s="36">
        <v>20.902629049333949</v>
      </c>
      <c r="C69" s="37">
        <v>2.077960237338087</v>
      </c>
      <c r="D69" s="38" t="s">
        <v>53</v>
      </c>
      <c r="E69" s="36">
        <v>22.766068127489536</v>
      </c>
      <c r="F69" s="37">
        <v>2.5311438345785979</v>
      </c>
      <c r="G69" s="38" t="s">
        <v>53</v>
      </c>
      <c r="H69" s="36">
        <v>26.502596285738051</v>
      </c>
      <c r="I69" s="37">
        <v>2.5309449671326303</v>
      </c>
      <c r="J69" s="38" t="s">
        <v>53</v>
      </c>
      <c r="K69" s="36">
        <v>26.661928238943815</v>
      </c>
      <c r="L69" s="37">
        <v>2.4339615192361217</v>
      </c>
      <c r="M69" s="38" t="s">
        <v>53</v>
      </c>
      <c r="N69" s="36">
        <v>5.7592991896098704</v>
      </c>
      <c r="O69" s="37">
        <v>2.8649906753839769</v>
      </c>
      <c r="P69" s="38" t="s">
        <v>53</v>
      </c>
      <c r="Q69" s="36">
        <v>22.131853412122648</v>
      </c>
      <c r="R69" s="37">
        <v>2.4328901784760801</v>
      </c>
      <c r="S69" s="38" t="s">
        <v>53</v>
      </c>
      <c r="T69" s="36">
        <v>23.451786201476978</v>
      </c>
      <c r="U69" s="37">
        <v>2.0368664393750833</v>
      </c>
      <c r="V69" s="38" t="s">
        <v>53</v>
      </c>
      <c r="W69" s="36">
        <v>26.900580711971212</v>
      </c>
      <c r="X69" s="37">
        <v>2.7155307122863173</v>
      </c>
      <c r="Y69" s="38" t="s">
        <v>53</v>
      </c>
      <c r="Z69" s="36">
        <v>23.397278396777942</v>
      </c>
      <c r="AA69" s="37">
        <v>2.0597425136520937</v>
      </c>
      <c r="AB69" s="38" t="s">
        <v>53</v>
      </c>
      <c r="AC69" s="36">
        <v>1.2654249846552943</v>
      </c>
      <c r="AD69" s="37">
        <v>3.1307454673709247</v>
      </c>
      <c r="AE69" s="38" t="s">
        <v>53</v>
      </c>
      <c r="AF69" s="36">
        <v>20.512200686539305</v>
      </c>
      <c r="AG69" s="37">
        <v>2.0154937199509746</v>
      </c>
      <c r="AH69" s="38" t="s">
        <v>53</v>
      </c>
      <c r="AI69" s="36">
        <v>25.056032093615972</v>
      </c>
      <c r="AJ69" s="37">
        <v>2.580955531778653</v>
      </c>
      <c r="AK69" s="38" t="s">
        <v>53</v>
      </c>
      <c r="AL69" s="36">
        <v>19.39340631187844</v>
      </c>
      <c r="AM69" s="37">
        <v>1.9692475333026358</v>
      </c>
      <c r="AN69" s="38" t="s">
        <v>53</v>
      </c>
      <c r="AO69" s="36">
        <v>30.948747120348191</v>
      </c>
      <c r="AP69" s="37">
        <v>2.3541071193078826</v>
      </c>
      <c r="AQ69" s="38" t="s">
        <v>53</v>
      </c>
      <c r="AR69" s="36">
        <v>10.436546433808886</v>
      </c>
      <c r="AS69" s="37">
        <v>2.7817802801365645</v>
      </c>
      <c r="AT69" s="38" t="s">
        <v>53</v>
      </c>
      <c r="AU69" s="36">
        <v>22.047891998305776</v>
      </c>
      <c r="AV69" s="37">
        <v>2.1666330004048979</v>
      </c>
      <c r="AW69" s="38" t="s">
        <v>53</v>
      </c>
      <c r="AX69" s="36">
        <v>25.754952732934928</v>
      </c>
      <c r="AY69" s="37">
        <v>2.5366873874773512</v>
      </c>
      <c r="AZ69" s="38" t="s">
        <v>53</v>
      </c>
      <c r="BA69" s="36">
        <v>20.189684813491791</v>
      </c>
      <c r="BB69" s="37">
        <v>1.8945891846929388</v>
      </c>
      <c r="BC69" s="38" t="s">
        <v>53</v>
      </c>
      <c r="BD69" s="36">
        <v>27.952371392887741</v>
      </c>
      <c r="BE69" s="37">
        <v>2.7203867571750648</v>
      </c>
      <c r="BF69" s="38" t="s">
        <v>53</v>
      </c>
      <c r="BG69" s="36">
        <v>5.9044793945819674</v>
      </c>
      <c r="BH69" s="37">
        <v>3.2372678022837995</v>
      </c>
      <c r="BI69" s="38" t="s">
        <v>53</v>
      </c>
      <c r="BJ69" s="36">
        <v>18.715865229802457</v>
      </c>
      <c r="BK69" s="37">
        <v>2.3941503141926899</v>
      </c>
      <c r="BL69" s="38" t="s">
        <v>53</v>
      </c>
      <c r="BM69" s="36">
        <v>20.826915493224298</v>
      </c>
      <c r="BN69" s="37">
        <v>2.0356564747780412</v>
      </c>
      <c r="BO69" s="38" t="s">
        <v>53</v>
      </c>
      <c r="BP69" s="36">
        <v>24.740219914631695</v>
      </c>
      <c r="BQ69" s="37">
        <v>2.4771474464522285</v>
      </c>
      <c r="BR69" s="38" t="s">
        <v>53</v>
      </c>
      <c r="BS69" s="36">
        <v>31.6469836355448</v>
      </c>
      <c r="BT69" s="37">
        <v>2.263124267221075</v>
      </c>
      <c r="BU69" s="38" t="s">
        <v>53</v>
      </c>
      <c r="BV69" s="36">
        <v>12.931118405742344</v>
      </c>
      <c r="BW69" s="37">
        <v>3.1351063055438422</v>
      </c>
      <c r="BX69" s="38" t="s">
        <v>53</v>
      </c>
      <c r="BY69" s="36">
        <v>17.154739070885046</v>
      </c>
      <c r="BZ69" s="37">
        <v>2.1089972076826751</v>
      </c>
      <c r="CA69" s="38" t="s">
        <v>53</v>
      </c>
      <c r="CB69" s="36">
        <v>28.021946842970141</v>
      </c>
      <c r="CC69" s="37">
        <v>2.6862962163744442</v>
      </c>
      <c r="CD69" s="38" t="s">
        <v>53</v>
      </c>
      <c r="CE69" s="36">
        <v>24.76424239894499</v>
      </c>
      <c r="CF69" s="37">
        <v>2.1839641767936526</v>
      </c>
      <c r="CG69" s="38" t="s">
        <v>53</v>
      </c>
      <c r="CH69" s="36">
        <v>26.499266445224219</v>
      </c>
      <c r="CI69" s="37">
        <v>2.5233225745284287</v>
      </c>
      <c r="CJ69" s="38" t="s">
        <v>53</v>
      </c>
      <c r="CK69" s="36">
        <v>9.3445273743391724</v>
      </c>
      <c r="CL69" s="37">
        <v>3.353157929651633</v>
      </c>
      <c r="CM69" s="38" t="s">
        <v>53</v>
      </c>
      <c r="CN69" s="36">
        <v>18.648952014100608</v>
      </c>
      <c r="CO69" s="37">
        <v>2.0720836379558469</v>
      </c>
      <c r="CP69" s="38" t="s">
        <v>53</v>
      </c>
      <c r="CQ69" s="36">
        <v>24.477134178746276</v>
      </c>
      <c r="CR69" s="37">
        <v>2.3194984536026868</v>
      </c>
      <c r="CS69" s="38" t="s">
        <v>53</v>
      </c>
      <c r="CT69" s="36">
        <v>22.510099710533591</v>
      </c>
      <c r="CU69" s="37">
        <v>2.2199100235215408</v>
      </c>
      <c r="CV69" s="38" t="s">
        <v>53</v>
      </c>
      <c r="CW69" s="36">
        <v>31.602979022479488</v>
      </c>
      <c r="CX69" s="37">
        <v>2.7492934979721628</v>
      </c>
      <c r="CY69" s="38" t="s">
        <v>53</v>
      </c>
      <c r="CZ69" s="36">
        <v>12.954027008378882</v>
      </c>
      <c r="DA69" s="37">
        <v>3.1812643523590518</v>
      </c>
      <c r="DB69" s="38" t="s">
        <v>53</v>
      </c>
      <c r="DC69" s="36">
        <v>25.067791019972169</v>
      </c>
      <c r="DD69" s="37">
        <v>1.7502073441751409</v>
      </c>
      <c r="DE69" s="38" t="s">
        <v>53</v>
      </c>
      <c r="DF69" s="36">
        <v>22.664187036081586</v>
      </c>
      <c r="DG69" s="37">
        <v>1.77898119636358</v>
      </c>
      <c r="DH69" s="38" t="s">
        <v>53</v>
      </c>
      <c r="DI69" s="36">
        <v>-2.4036039838905832</v>
      </c>
      <c r="DJ69" s="37">
        <v>2.2072941684015337</v>
      </c>
      <c r="DK69" s="39" t="s">
        <v>53</v>
      </c>
    </row>
    <row r="70" spans="1:115" x14ac:dyDescent="0.25">
      <c r="A70" s="15" t="s">
        <v>183</v>
      </c>
      <c r="B70" s="36" t="s">
        <v>55</v>
      </c>
      <c r="C70" s="37" t="s">
        <v>55</v>
      </c>
      <c r="D70" s="38" t="s">
        <v>53</v>
      </c>
      <c r="E70" s="36" t="s">
        <v>55</v>
      </c>
      <c r="F70" s="37" t="s">
        <v>55</v>
      </c>
      <c r="G70" s="38" t="s">
        <v>53</v>
      </c>
      <c r="H70" s="36" t="s">
        <v>55</v>
      </c>
      <c r="I70" s="37" t="s">
        <v>55</v>
      </c>
      <c r="J70" s="38" t="s">
        <v>53</v>
      </c>
      <c r="K70" s="36" t="s">
        <v>55</v>
      </c>
      <c r="L70" s="37" t="s">
        <v>55</v>
      </c>
      <c r="M70" s="38" t="s">
        <v>53</v>
      </c>
      <c r="N70" s="36" t="s">
        <v>55</v>
      </c>
      <c r="O70" s="37" t="s">
        <v>55</v>
      </c>
      <c r="P70" s="38" t="s">
        <v>53</v>
      </c>
      <c r="Q70" s="36" t="s">
        <v>55</v>
      </c>
      <c r="R70" s="37" t="s">
        <v>55</v>
      </c>
      <c r="S70" s="38" t="s">
        <v>53</v>
      </c>
      <c r="T70" s="36" t="s">
        <v>55</v>
      </c>
      <c r="U70" s="37" t="s">
        <v>55</v>
      </c>
      <c r="V70" s="38" t="s">
        <v>53</v>
      </c>
      <c r="W70" s="36" t="s">
        <v>55</v>
      </c>
      <c r="X70" s="37" t="s">
        <v>55</v>
      </c>
      <c r="Y70" s="38" t="s">
        <v>53</v>
      </c>
      <c r="Z70" s="36" t="s">
        <v>55</v>
      </c>
      <c r="AA70" s="37" t="s">
        <v>55</v>
      </c>
      <c r="AB70" s="38" t="s">
        <v>53</v>
      </c>
      <c r="AC70" s="36" t="s">
        <v>55</v>
      </c>
      <c r="AD70" s="37" t="s">
        <v>55</v>
      </c>
      <c r="AE70" s="38" t="s">
        <v>53</v>
      </c>
      <c r="AF70" s="36" t="s">
        <v>55</v>
      </c>
      <c r="AG70" s="37" t="s">
        <v>55</v>
      </c>
      <c r="AH70" s="38" t="s">
        <v>53</v>
      </c>
      <c r="AI70" s="36" t="s">
        <v>55</v>
      </c>
      <c r="AJ70" s="37" t="s">
        <v>55</v>
      </c>
      <c r="AK70" s="38" t="s">
        <v>53</v>
      </c>
      <c r="AL70" s="36" t="s">
        <v>55</v>
      </c>
      <c r="AM70" s="37" t="s">
        <v>55</v>
      </c>
      <c r="AN70" s="38" t="s">
        <v>53</v>
      </c>
      <c r="AO70" s="36" t="s">
        <v>55</v>
      </c>
      <c r="AP70" s="37" t="s">
        <v>55</v>
      </c>
      <c r="AQ70" s="38" t="s">
        <v>53</v>
      </c>
      <c r="AR70" s="36" t="s">
        <v>55</v>
      </c>
      <c r="AS70" s="37" t="s">
        <v>55</v>
      </c>
      <c r="AT70" s="38" t="s">
        <v>53</v>
      </c>
      <c r="AU70" s="36" t="s">
        <v>55</v>
      </c>
      <c r="AV70" s="37" t="s">
        <v>55</v>
      </c>
      <c r="AW70" s="38" t="s">
        <v>53</v>
      </c>
      <c r="AX70" s="36" t="s">
        <v>55</v>
      </c>
      <c r="AY70" s="37" t="s">
        <v>55</v>
      </c>
      <c r="AZ70" s="38" t="s">
        <v>53</v>
      </c>
      <c r="BA70" s="36" t="s">
        <v>55</v>
      </c>
      <c r="BB70" s="37" t="s">
        <v>55</v>
      </c>
      <c r="BC70" s="38" t="s">
        <v>53</v>
      </c>
      <c r="BD70" s="36" t="s">
        <v>55</v>
      </c>
      <c r="BE70" s="37" t="s">
        <v>55</v>
      </c>
      <c r="BF70" s="38" t="s">
        <v>53</v>
      </c>
      <c r="BG70" s="36" t="s">
        <v>55</v>
      </c>
      <c r="BH70" s="37" t="s">
        <v>55</v>
      </c>
      <c r="BI70" s="38" t="s">
        <v>53</v>
      </c>
      <c r="BJ70" s="36" t="s">
        <v>55</v>
      </c>
      <c r="BK70" s="37" t="s">
        <v>55</v>
      </c>
      <c r="BL70" s="38" t="s">
        <v>53</v>
      </c>
      <c r="BM70" s="36" t="s">
        <v>55</v>
      </c>
      <c r="BN70" s="37" t="s">
        <v>55</v>
      </c>
      <c r="BO70" s="38" t="s">
        <v>53</v>
      </c>
      <c r="BP70" s="36" t="s">
        <v>55</v>
      </c>
      <c r="BQ70" s="37" t="s">
        <v>55</v>
      </c>
      <c r="BR70" s="38" t="s">
        <v>53</v>
      </c>
      <c r="BS70" s="36" t="s">
        <v>55</v>
      </c>
      <c r="BT70" s="37" t="s">
        <v>55</v>
      </c>
      <c r="BU70" s="38" t="s">
        <v>53</v>
      </c>
      <c r="BV70" s="36" t="s">
        <v>55</v>
      </c>
      <c r="BW70" s="37" t="s">
        <v>55</v>
      </c>
      <c r="BX70" s="38" t="s">
        <v>53</v>
      </c>
      <c r="BY70" s="36" t="s">
        <v>55</v>
      </c>
      <c r="BZ70" s="37" t="s">
        <v>55</v>
      </c>
      <c r="CA70" s="38" t="s">
        <v>53</v>
      </c>
      <c r="CB70" s="36" t="s">
        <v>55</v>
      </c>
      <c r="CC70" s="37" t="s">
        <v>55</v>
      </c>
      <c r="CD70" s="38" t="s">
        <v>53</v>
      </c>
      <c r="CE70" s="36" t="s">
        <v>55</v>
      </c>
      <c r="CF70" s="37" t="s">
        <v>55</v>
      </c>
      <c r="CG70" s="38" t="s">
        <v>53</v>
      </c>
      <c r="CH70" s="36" t="s">
        <v>55</v>
      </c>
      <c r="CI70" s="37" t="s">
        <v>55</v>
      </c>
      <c r="CJ70" s="38" t="s">
        <v>53</v>
      </c>
      <c r="CK70" s="36" t="s">
        <v>55</v>
      </c>
      <c r="CL70" s="37" t="s">
        <v>55</v>
      </c>
      <c r="CM70" s="38" t="s">
        <v>53</v>
      </c>
      <c r="CN70" s="36" t="s">
        <v>55</v>
      </c>
      <c r="CO70" s="37" t="s">
        <v>55</v>
      </c>
      <c r="CP70" s="38" t="s">
        <v>53</v>
      </c>
      <c r="CQ70" s="36" t="s">
        <v>55</v>
      </c>
      <c r="CR70" s="37" t="s">
        <v>55</v>
      </c>
      <c r="CS70" s="38" t="s">
        <v>53</v>
      </c>
      <c r="CT70" s="36" t="s">
        <v>55</v>
      </c>
      <c r="CU70" s="37" t="s">
        <v>55</v>
      </c>
      <c r="CV70" s="38" t="s">
        <v>53</v>
      </c>
      <c r="CW70" s="36" t="s">
        <v>55</v>
      </c>
      <c r="CX70" s="37" t="s">
        <v>55</v>
      </c>
      <c r="CY70" s="38" t="s">
        <v>53</v>
      </c>
      <c r="CZ70" s="36" t="s">
        <v>55</v>
      </c>
      <c r="DA70" s="37" t="s">
        <v>55</v>
      </c>
      <c r="DB70" s="38" t="s">
        <v>53</v>
      </c>
      <c r="DC70" s="36" t="s">
        <v>55</v>
      </c>
      <c r="DD70" s="37" t="s">
        <v>55</v>
      </c>
      <c r="DE70" s="38" t="s">
        <v>53</v>
      </c>
      <c r="DF70" s="36" t="s">
        <v>55</v>
      </c>
      <c r="DG70" s="37" t="s">
        <v>55</v>
      </c>
      <c r="DH70" s="38" t="s">
        <v>53</v>
      </c>
      <c r="DI70" s="36" t="s">
        <v>55</v>
      </c>
      <c r="DJ70" s="37" t="s">
        <v>55</v>
      </c>
      <c r="DK70" s="39" t="s">
        <v>53</v>
      </c>
    </row>
    <row r="71" spans="1:115" x14ac:dyDescent="0.25">
      <c r="A71" s="15" t="s">
        <v>184</v>
      </c>
      <c r="B71" s="36">
        <v>22.476398050869086</v>
      </c>
      <c r="C71" s="37">
        <v>5.1519398420513145</v>
      </c>
      <c r="D71" s="38" t="s">
        <v>53</v>
      </c>
      <c r="E71" s="36">
        <v>25.838173996927864</v>
      </c>
      <c r="F71" s="37">
        <v>4.2404698721923593</v>
      </c>
      <c r="G71" s="38" t="s">
        <v>53</v>
      </c>
      <c r="H71" s="36">
        <v>35.147709379123661</v>
      </c>
      <c r="I71" s="37">
        <v>4.9297744951902001</v>
      </c>
      <c r="J71" s="38" t="s">
        <v>53</v>
      </c>
      <c r="K71" s="36">
        <v>48.456868421164231</v>
      </c>
      <c r="L71" s="37">
        <v>3.9661600208182142</v>
      </c>
      <c r="M71" s="38" t="s">
        <v>53</v>
      </c>
      <c r="N71" s="36">
        <v>25.980470370295144</v>
      </c>
      <c r="O71" s="37">
        <v>6.1316895927222026</v>
      </c>
      <c r="P71" s="38" t="s">
        <v>53</v>
      </c>
      <c r="Q71" s="36">
        <v>27.385489762054227</v>
      </c>
      <c r="R71" s="37">
        <v>4.6301483244834634</v>
      </c>
      <c r="S71" s="38" t="s">
        <v>53</v>
      </c>
      <c r="T71" s="36">
        <v>32.100166502246609</v>
      </c>
      <c r="U71" s="37">
        <v>4.506746929048588</v>
      </c>
      <c r="V71" s="38" t="s">
        <v>53</v>
      </c>
      <c r="W71" s="36">
        <v>30.674255333059914</v>
      </c>
      <c r="X71" s="37">
        <v>3.7295421444837005</v>
      </c>
      <c r="Y71" s="38" t="s">
        <v>53</v>
      </c>
      <c r="Z71" s="36">
        <v>37.774105365996462</v>
      </c>
      <c r="AA71" s="37">
        <v>4.24521117224098</v>
      </c>
      <c r="AB71" s="38" t="s">
        <v>53</v>
      </c>
      <c r="AC71" s="36">
        <v>10.388615603942236</v>
      </c>
      <c r="AD71" s="37">
        <v>5.9712256833869928</v>
      </c>
      <c r="AE71" s="38" t="s">
        <v>53</v>
      </c>
      <c r="AF71" s="36">
        <v>27.551014292461446</v>
      </c>
      <c r="AG71" s="37">
        <v>4.5222840920640728</v>
      </c>
      <c r="AH71" s="38" t="s">
        <v>53</v>
      </c>
      <c r="AI71" s="36">
        <v>29.885891286943021</v>
      </c>
      <c r="AJ71" s="37">
        <v>3.9990509409721549</v>
      </c>
      <c r="AK71" s="38" t="s">
        <v>53</v>
      </c>
      <c r="AL71" s="36">
        <v>34.404641754653355</v>
      </c>
      <c r="AM71" s="37">
        <v>4.1253205779817099</v>
      </c>
      <c r="AN71" s="38" t="s">
        <v>53</v>
      </c>
      <c r="AO71" s="36">
        <v>35.734027130124559</v>
      </c>
      <c r="AP71" s="37">
        <v>4.1302200434208656</v>
      </c>
      <c r="AQ71" s="38" t="s">
        <v>53</v>
      </c>
      <c r="AR71" s="36">
        <v>8.1830128376631173</v>
      </c>
      <c r="AS71" s="37">
        <v>5.8485684447954434</v>
      </c>
      <c r="AT71" s="38" t="s">
        <v>53</v>
      </c>
      <c r="AU71" s="36">
        <v>15.106589076010291</v>
      </c>
      <c r="AV71" s="37">
        <v>3.5752832720020078</v>
      </c>
      <c r="AW71" s="38" t="s">
        <v>53</v>
      </c>
      <c r="AX71" s="36">
        <v>32.695929099422429</v>
      </c>
      <c r="AY71" s="37">
        <v>4.1055530991079809</v>
      </c>
      <c r="AZ71" s="38" t="s">
        <v>53</v>
      </c>
      <c r="BA71" s="36">
        <v>40.573664528190776</v>
      </c>
      <c r="BB71" s="37">
        <v>4.5726509517265956</v>
      </c>
      <c r="BC71" s="38" t="s">
        <v>53</v>
      </c>
      <c r="BD71" s="36">
        <v>37.669987698549903</v>
      </c>
      <c r="BE71" s="37">
        <v>4.3249146464356816</v>
      </c>
      <c r="BF71" s="38" t="s">
        <v>53</v>
      </c>
      <c r="BG71" s="36">
        <v>22.563398622539609</v>
      </c>
      <c r="BH71" s="37">
        <v>5.1486804741438226</v>
      </c>
      <c r="BI71" s="38" t="s">
        <v>53</v>
      </c>
      <c r="BJ71" s="36">
        <v>26.453081986170364</v>
      </c>
      <c r="BK71" s="37">
        <v>4.067134741234196</v>
      </c>
      <c r="BL71" s="38" t="s">
        <v>53</v>
      </c>
      <c r="BM71" s="36">
        <v>31.233874040376463</v>
      </c>
      <c r="BN71" s="37">
        <v>4.312801075050106</v>
      </c>
      <c r="BO71" s="38" t="s">
        <v>53</v>
      </c>
      <c r="BP71" s="36">
        <v>39.101676153469491</v>
      </c>
      <c r="BQ71" s="37">
        <v>4.8282725321526812</v>
      </c>
      <c r="BR71" s="38" t="s">
        <v>53</v>
      </c>
      <c r="BS71" s="36">
        <v>32.414721694248499</v>
      </c>
      <c r="BT71" s="37">
        <v>4.0342278445479725</v>
      </c>
      <c r="BU71" s="38" t="s">
        <v>53</v>
      </c>
      <c r="BV71" s="36">
        <v>5.9616397080781303</v>
      </c>
      <c r="BW71" s="37">
        <v>5.4490561207256576</v>
      </c>
      <c r="BX71" s="38" t="s">
        <v>53</v>
      </c>
      <c r="BY71" s="36">
        <v>37.11767056401942</v>
      </c>
      <c r="BZ71" s="37">
        <v>4.8089199169620631</v>
      </c>
      <c r="CA71" s="38" t="s">
        <v>53</v>
      </c>
      <c r="CB71" s="36">
        <v>32.628349763016097</v>
      </c>
      <c r="CC71" s="37">
        <v>4.919696654219293</v>
      </c>
      <c r="CD71" s="38" t="s">
        <v>53</v>
      </c>
      <c r="CE71" s="36">
        <v>33.018753361213335</v>
      </c>
      <c r="CF71" s="37">
        <v>4.8271278012739112</v>
      </c>
      <c r="CG71" s="38" t="s">
        <v>53</v>
      </c>
      <c r="CH71" s="36">
        <v>30.632022528661256</v>
      </c>
      <c r="CI71" s="37">
        <v>4.5584450620350765</v>
      </c>
      <c r="CJ71" s="38" t="s">
        <v>53</v>
      </c>
      <c r="CK71" s="36">
        <v>-6.485648035358162</v>
      </c>
      <c r="CL71" s="37">
        <v>6.1738754067983921</v>
      </c>
      <c r="CM71" s="38" t="s">
        <v>53</v>
      </c>
      <c r="CN71" s="36">
        <v>30.13261553978775</v>
      </c>
      <c r="CO71" s="37">
        <v>4.243770740677963</v>
      </c>
      <c r="CP71" s="38" t="s">
        <v>53</v>
      </c>
      <c r="CQ71" s="36">
        <v>33.354797854480374</v>
      </c>
      <c r="CR71" s="37">
        <v>4.1565048222832655</v>
      </c>
      <c r="CS71" s="38" t="s">
        <v>53</v>
      </c>
      <c r="CT71" s="36">
        <v>31.839207012759989</v>
      </c>
      <c r="CU71" s="37">
        <v>4.6452057513933891</v>
      </c>
      <c r="CV71" s="38" t="s">
        <v>53</v>
      </c>
      <c r="CW71" s="36">
        <v>37.884625185973242</v>
      </c>
      <c r="CX71" s="37">
        <v>4.6346946779885068</v>
      </c>
      <c r="CY71" s="38" t="s">
        <v>53</v>
      </c>
      <c r="CZ71" s="36">
        <v>7.7520096461854937</v>
      </c>
      <c r="DA71" s="37">
        <v>5.651567312601526</v>
      </c>
      <c r="DB71" s="38" t="s">
        <v>53</v>
      </c>
      <c r="DC71" s="36">
        <v>20.739650120923891</v>
      </c>
      <c r="DD71" s="37">
        <v>3.1569166900027459</v>
      </c>
      <c r="DE71" s="38" t="s">
        <v>53</v>
      </c>
      <c r="DF71" s="36">
        <v>42.71155991531765</v>
      </c>
      <c r="DG71" s="37">
        <v>3.6614206152690154</v>
      </c>
      <c r="DH71" s="38" t="s">
        <v>53</v>
      </c>
      <c r="DI71" s="36">
        <v>21.971909794393763</v>
      </c>
      <c r="DJ71" s="37">
        <v>4.7318908433635318</v>
      </c>
      <c r="DK71" s="39" t="s">
        <v>53</v>
      </c>
    </row>
    <row r="72" spans="1:115" x14ac:dyDescent="0.25">
      <c r="A72" s="15" t="s">
        <v>185</v>
      </c>
      <c r="B72" s="36">
        <v>22.55712504076681</v>
      </c>
      <c r="C72" s="37">
        <v>2.8548699405636411</v>
      </c>
      <c r="D72" s="38" t="s">
        <v>53</v>
      </c>
      <c r="E72" s="36">
        <v>19.08103960069095</v>
      </c>
      <c r="F72" s="37">
        <v>2.6280243227743707</v>
      </c>
      <c r="G72" s="38" t="s">
        <v>53</v>
      </c>
      <c r="H72" s="36">
        <v>25.607523559870387</v>
      </c>
      <c r="I72" s="37">
        <v>3.7268975976551668</v>
      </c>
      <c r="J72" s="38" t="s">
        <v>53</v>
      </c>
      <c r="K72" s="36">
        <v>25.244386832088001</v>
      </c>
      <c r="L72" s="37">
        <v>4.0116377454143866</v>
      </c>
      <c r="M72" s="38" t="s">
        <v>53</v>
      </c>
      <c r="N72" s="36">
        <v>2.6872617913211982</v>
      </c>
      <c r="O72" s="37">
        <v>4.44910470316184</v>
      </c>
      <c r="P72" s="38" t="s">
        <v>53</v>
      </c>
      <c r="Q72" s="36">
        <v>19.851895960845255</v>
      </c>
      <c r="R72" s="37">
        <v>2.6609401817219296</v>
      </c>
      <c r="S72" s="38" t="s">
        <v>53</v>
      </c>
      <c r="T72" s="36">
        <v>18.906325691808867</v>
      </c>
      <c r="U72" s="37">
        <v>2.7220819555576221</v>
      </c>
      <c r="V72" s="38" t="s">
        <v>53</v>
      </c>
      <c r="W72" s="36">
        <v>23.970548517736344</v>
      </c>
      <c r="X72" s="37">
        <v>3.0589038521468281</v>
      </c>
      <c r="Y72" s="38" t="s">
        <v>53</v>
      </c>
      <c r="Z72" s="36">
        <v>19.771672278700063</v>
      </c>
      <c r="AA72" s="37">
        <v>3.2114051217472088</v>
      </c>
      <c r="AB72" s="38" t="s">
        <v>53</v>
      </c>
      <c r="AC72" s="36">
        <v>-8.0223682145188768E-2</v>
      </c>
      <c r="AD72" s="37">
        <v>4.0527532422808887</v>
      </c>
      <c r="AE72" s="38" t="s">
        <v>53</v>
      </c>
      <c r="AF72" s="36">
        <v>24.946863551537316</v>
      </c>
      <c r="AG72" s="37">
        <v>3.1242029974949772</v>
      </c>
      <c r="AH72" s="38" t="s">
        <v>53</v>
      </c>
      <c r="AI72" s="36">
        <v>20.865603398715443</v>
      </c>
      <c r="AJ72" s="37">
        <v>2.7188894164045685</v>
      </c>
      <c r="AK72" s="38" t="s">
        <v>53</v>
      </c>
      <c r="AL72" s="36">
        <v>18.744740725298882</v>
      </c>
      <c r="AM72" s="37">
        <v>2.7944617902372393</v>
      </c>
      <c r="AN72" s="38" t="s">
        <v>53</v>
      </c>
      <c r="AO72" s="36">
        <v>17.982771341901849</v>
      </c>
      <c r="AP72" s="37">
        <v>3.471671773087647</v>
      </c>
      <c r="AQ72" s="38" t="s">
        <v>53</v>
      </c>
      <c r="AR72" s="36">
        <v>-6.9640922096354698</v>
      </c>
      <c r="AS72" s="37">
        <v>4.7776998182169841</v>
      </c>
      <c r="AT72" s="38" t="s">
        <v>53</v>
      </c>
      <c r="AU72" s="36">
        <v>20.724589796045315</v>
      </c>
      <c r="AV72" s="37">
        <v>2.9346891093190641</v>
      </c>
      <c r="AW72" s="38" t="s">
        <v>53</v>
      </c>
      <c r="AX72" s="36">
        <v>23.772542441604795</v>
      </c>
      <c r="AY72" s="37">
        <v>3.0786443725491268</v>
      </c>
      <c r="AZ72" s="38" t="s">
        <v>53</v>
      </c>
      <c r="BA72" s="36">
        <v>22.475633509447707</v>
      </c>
      <c r="BB72" s="37">
        <v>3.0823498769360689</v>
      </c>
      <c r="BC72" s="38" t="s">
        <v>53</v>
      </c>
      <c r="BD72" s="36">
        <v>19.917756997482567</v>
      </c>
      <c r="BE72" s="37">
        <v>3.608849057290378</v>
      </c>
      <c r="BF72" s="38" t="s">
        <v>53</v>
      </c>
      <c r="BG72" s="36">
        <v>-0.80683279856275014</v>
      </c>
      <c r="BH72" s="37">
        <v>4.2481010670995882</v>
      </c>
      <c r="BI72" s="38" t="s">
        <v>53</v>
      </c>
      <c r="BJ72" s="36">
        <v>15.742469989558094</v>
      </c>
      <c r="BK72" s="37">
        <v>2.3946491733293196</v>
      </c>
      <c r="BL72" s="38" t="s">
        <v>53</v>
      </c>
      <c r="BM72" s="36">
        <v>21.287288750413396</v>
      </c>
      <c r="BN72" s="37">
        <v>2.9903264508175682</v>
      </c>
      <c r="BO72" s="38" t="s">
        <v>53</v>
      </c>
      <c r="BP72" s="36">
        <v>26.506812087451053</v>
      </c>
      <c r="BQ72" s="37">
        <v>3.6233548019381923</v>
      </c>
      <c r="BR72" s="38" t="s">
        <v>53</v>
      </c>
      <c r="BS72" s="36">
        <v>20.1814679417853</v>
      </c>
      <c r="BT72" s="37">
        <v>3.3594365295478803</v>
      </c>
      <c r="BU72" s="38" t="s">
        <v>53</v>
      </c>
      <c r="BV72" s="36">
        <v>4.4389979522272052</v>
      </c>
      <c r="BW72" s="37">
        <v>4.2419618446433134</v>
      </c>
      <c r="BX72" s="38" t="s">
        <v>53</v>
      </c>
      <c r="BY72" s="36">
        <v>17.863388271843643</v>
      </c>
      <c r="BZ72" s="37">
        <v>2.7650546111633845</v>
      </c>
      <c r="CA72" s="38" t="s">
        <v>53</v>
      </c>
      <c r="CB72" s="36">
        <v>24.136378048704511</v>
      </c>
      <c r="CC72" s="37">
        <v>4.0060465761162556</v>
      </c>
      <c r="CD72" s="38" t="s">
        <v>53</v>
      </c>
      <c r="CE72" s="36">
        <v>27.36525952125502</v>
      </c>
      <c r="CF72" s="37">
        <v>3.7611201687893012</v>
      </c>
      <c r="CG72" s="38" t="s">
        <v>53</v>
      </c>
      <c r="CH72" s="36">
        <v>24.991552510523089</v>
      </c>
      <c r="CI72" s="37">
        <v>4.1670138852742911</v>
      </c>
      <c r="CJ72" s="38" t="s">
        <v>53</v>
      </c>
      <c r="CK72" s="36">
        <v>7.1281642386794495</v>
      </c>
      <c r="CL72" s="37">
        <v>4.6135533036709706</v>
      </c>
      <c r="CM72" s="38" t="s">
        <v>53</v>
      </c>
      <c r="CN72" s="36">
        <v>22.015129254428611</v>
      </c>
      <c r="CO72" s="37">
        <v>2.9742657134733403</v>
      </c>
      <c r="CP72" s="38" t="s">
        <v>53</v>
      </c>
      <c r="CQ72" s="36">
        <v>25.289015152776955</v>
      </c>
      <c r="CR72" s="37">
        <v>3.1841431370337627</v>
      </c>
      <c r="CS72" s="38" t="s">
        <v>53</v>
      </c>
      <c r="CT72" s="36">
        <v>25.273701633710598</v>
      </c>
      <c r="CU72" s="37">
        <v>3.6406600635531361</v>
      </c>
      <c r="CV72" s="38" t="s">
        <v>53</v>
      </c>
      <c r="CW72" s="36">
        <v>21.665716988888605</v>
      </c>
      <c r="CX72" s="37">
        <v>2.912756539249334</v>
      </c>
      <c r="CY72" s="38" t="s">
        <v>53</v>
      </c>
      <c r="CZ72" s="36">
        <v>-0.34941226554000865</v>
      </c>
      <c r="DA72" s="37">
        <v>3.6987843476121407</v>
      </c>
      <c r="DB72" s="38" t="s">
        <v>53</v>
      </c>
      <c r="DC72" s="36">
        <v>13.095769911910837</v>
      </c>
      <c r="DD72" s="37">
        <v>1.8957071907638456</v>
      </c>
      <c r="DE72" s="38" t="s">
        <v>53</v>
      </c>
      <c r="DF72" s="36">
        <v>28.815775504738895</v>
      </c>
      <c r="DG72" s="37">
        <v>2.5701746846581432</v>
      </c>
      <c r="DH72" s="38" t="s">
        <v>53</v>
      </c>
      <c r="DI72" s="36">
        <v>15.720005592828054</v>
      </c>
      <c r="DJ72" s="37">
        <v>3.0816815101089698</v>
      </c>
      <c r="DK72" s="39" t="s">
        <v>53</v>
      </c>
    </row>
    <row r="73" spans="1:115" x14ac:dyDescent="0.25">
      <c r="A73" s="15" t="s">
        <v>186</v>
      </c>
      <c r="B73" s="36" t="s">
        <v>55</v>
      </c>
      <c r="C73" s="37" t="s">
        <v>55</v>
      </c>
      <c r="D73" s="38" t="s">
        <v>53</v>
      </c>
      <c r="E73" s="36" t="s">
        <v>55</v>
      </c>
      <c r="F73" s="37" t="s">
        <v>55</v>
      </c>
      <c r="G73" s="38" t="s">
        <v>53</v>
      </c>
      <c r="H73" s="36" t="s">
        <v>55</v>
      </c>
      <c r="I73" s="37" t="s">
        <v>55</v>
      </c>
      <c r="J73" s="38" t="s">
        <v>53</v>
      </c>
      <c r="K73" s="36" t="s">
        <v>55</v>
      </c>
      <c r="L73" s="37" t="s">
        <v>55</v>
      </c>
      <c r="M73" s="38" t="s">
        <v>53</v>
      </c>
      <c r="N73" s="36" t="s">
        <v>55</v>
      </c>
      <c r="O73" s="37" t="s">
        <v>55</v>
      </c>
      <c r="P73" s="38" t="s">
        <v>53</v>
      </c>
      <c r="Q73" s="36" t="s">
        <v>55</v>
      </c>
      <c r="R73" s="37" t="s">
        <v>55</v>
      </c>
      <c r="S73" s="38" t="s">
        <v>53</v>
      </c>
      <c r="T73" s="36" t="s">
        <v>55</v>
      </c>
      <c r="U73" s="37" t="s">
        <v>55</v>
      </c>
      <c r="V73" s="38" t="s">
        <v>53</v>
      </c>
      <c r="W73" s="36" t="s">
        <v>55</v>
      </c>
      <c r="X73" s="37" t="s">
        <v>55</v>
      </c>
      <c r="Y73" s="38" t="s">
        <v>53</v>
      </c>
      <c r="Z73" s="36" t="s">
        <v>55</v>
      </c>
      <c r="AA73" s="37" t="s">
        <v>55</v>
      </c>
      <c r="AB73" s="38" t="s">
        <v>53</v>
      </c>
      <c r="AC73" s="36" t="s">
        <v>55</v>
      </c>
      <c r="AD73" s="37" t="s">
        <v>55</v>
      </c>
      <c r="AE73" s="38" t="s">
        <v>53</v>
      </c>
      <c r="AF73" s="36" t="s">
        <v>55</v>
      </c>
      <c r="AG73" s="37" t="s">
        <v>55</v>
      </c>
      <c r="AH73" s="38" t="s">
        <v>53</v>
      </c>
      <c r="AI73" s="36" t="s">
        <v>55</v>
      </c>
      <c r="AJ73" s="37" t="s">
        <v>55</v>
      </c>
      <c r="AK73" s="38" t="s">
        <v>53</v>
      </c>
      <c r="AL73" s="36" t="s">
        <v>55</v>
      </c>
      <c r="AM73" s="37" t="s">
        <v>55</v>
      </c>
      <c r="AN73" s="38" t="s">
        <v>53</v>
      </c>
      <c r="AO73" s="36" t="s">
        <v>55</v>
      </c>
      <c r="AP73" s="37" t="s">
        <v>55</v>
      </c>
      <c r="AQ73" s="38" t="s">
        <v>53</v>
      </c>
      <c r="AR73" s="36" t="s">
        <v>55</v>
      </c>
      <c r="AS73" s="37" t="s">
        <v>55</v>
      </c>
      <c r="AT73" s="38" t="s">
        <v>53</v>
      </c>
      <c r="AU73" s="36" t="s">
        <v>55</v>
      </c>
      <c r="AV73" s="37" t="s">
        <v>55</v>
      </c>
      <c r="AW73" s="38" t="s">
        <v>53</v>
      </c>
      <c r="AX73" s="36" t="s">
        <v>55</v>
      </c>
      <c r="AY73" s="37" t="s">
        <v>55</v>
      </c>
      <c r="AZ73" s="38" t="s">
        <v>53</v>
      </c>
      <c r="BA73" s="36" t="s">
        <v>55</v>
      </c>
      <c r="BB73" s="37" t="s">
        <v>55</v>
      </c>
      <c r="BC73" s="38" t="s">
        <v>53</v>
      </c>
      <c r="BD73" s="36" t="s">
        <v>55</v>
      </c>
      <c r="BE73" s="37" t="s">
        <v>55</v>
      </c>
      <c r="BF73" s="38" t="s">
        <v>53</v>
      </c>
      <c r="BG73" s="36" t="s">
        <v>55</v>
      </c>
      <c r="BH73" s="37" t="s">
        <v>55</v>
      </c>
      <c r="BI73" s="38" t="s">
        <v>53</v>
      </c>
      <c r="BJ73" s="36" t="s">
        <v>55</v>
      </c>
      <c r="BK73" s="37" t="s">
        <v>55</v>
      </c>
      <c r="BL73" s="38" t="s">
        <v>53</v>
      </c>
      <c r="BM73" s="36" t="s">
        <v>55</v>
      </c>
      <c r="BN73" s="37" t="s">
        <v>55</v>
      </c>
      <c r="BO73" s="38" t="s">
        <v>53</v>
      </c>
      <c r="BP73" s="36" t="s">
        <v>55</v>
      </c>
      <c r="BQ73" s="37" t="s">
        <v>55</v>
      </c>
      <c r="BR73" s="38" t="s">
        <v>53</v>
      </c>
      <c r="BS73" s="36" t="s">
        <v>55</v>
      </c>
      <c r="BT73" s="37" t="s">
        <v>55</v>
      </c>
      <c r="BU73" s="38" t="s">
        <v>53</v>
      </c>
      <c r="BV73" s="36" t="s">
        <v>55</v>
      </c>
      <c r="BW73" s="37" t="s">
        <v>55</v>
      </c>
      <c r="BX73" s="38" t="s">
        <v>53</v>
      </c>
      <c r="BY73" s="36" t="s">
        <v>55</v>
      </c>
      <c r="BZ73" s="37" t="s">
        <v>55</v>
      </c>
      <c r="CA73" s="38" t="s">
        <v>53</v>
      </c>
      <c r="CB73" s="36" t="s">
        <v>55</v>
      </c>
      <c r="CC73" s="37" t="s">
        <v>55</v>
      </c>
      <c r="CD73" s="38" t="s">
        <v>53</v>
      </c>
      <c r="CE73" s="36" t="s">
        <v>55</v>
      </c>
      <c r="CF73" s="37" t="s">
        <v>55</v>
      </c>
      <c r="CG73" s="38" t="s">
        <v>53</v>
      </c>
      <c r="CH73" s="36" t="s">
        <v>55</v>
      </c>
      <c r="CI73" s="37" t="s">
        <v>55</v>
      </c>
      <c r="CJ73" s="38" t="s">
        <v>53</v>
      </c>
      <c r="CK73" s="36" t="s">
        <v>55</v>
      </c>
      <c r="CL73" s="37" t="s">
        <v>55</v>
      </c>
      <c r="CM73" s="38" t="s">
        <v>53</v>
      </c>
      <c r="CN73" s="36" t="s">
        <v>55</v>
      </c>
      <c r="CO73" s="37" t="s">
        <v>55</v>
      </c>
      <c r="CP73" s="38" t="s">
        <v>53</v>
      </c>
      <c r="CQ73" s="36" t="s">
        <v>55</v>
      </c>
      <c r="CR73" s="37" t="s">
        <v>55</v>
      </c>
      <c r="CS73" s="38" t="s">
        <v>53</v>
      </c>
      <c r="CT73" s="36" t="s">
        <v>55</v>
      </c>
      <c r="CU73" s="37" t="s">
        <v>55</v>
      </c>
      <c r="CV73" s="38" t="s">
        <v>53</v>
      </c>
      <c r="CW73" s="36" t="s">
        <v>55</v>
      </c>
      <c r="CX73" s="37" t="s">
        <v>55</v>
      </c>
      <c r="CY73" s="38" t="s">
        <v>53</v>
      </c>
      <c r="CZ73" s="36" t="s">
        <v>55</v>
      </c>
      <c r="DA73" s="37" t="s">
        <v>55</v>
      </c>
      <c r="DB73" s="38" t="s">
        <v>53</v>
      </c>
      <c r="DC73" s="36">
        <v>13.008642067769809</v>
      </c>
      <c r="DD73" s="37">
        <v>7.1896172910183065</v>
      </c>
      <c r="DE73" s="38" t="s">
        <v>53</v>
      </c>
      <c r="DF73" s="36" t="s">
        <v>55</v>
      </c>
      <c r="DG73" s="37" t="s">
        <v>55</v>
      </c>
      <c r="DH73" s="38" t="s">
        <v>53</v>
      </c>
      <c r="DI73" s="36" t="s">
        <v>55</v>
      </c>
      <c r="DJ73" s="37" t="s">
        <v>55</v>
      </c>
      <c r="DK73" s="39" t="s">
        <v>53</v>
      </c>
    </row>
    <row r="74" spans="1:115" x14ac:dyDescent="0.25">
      <c r="A74" s="15" t="s">
        <v>187</v>
      </c>
      <c r="B74" s="36">
        <v>2.4626765514321121</v>
      </c>
      <c r="C74" s="37">
        <v>1.8827403552376849</v>
      </c>
      <c r="D74" s="38" t="s">
        <v>53</v>
      </c>
      <c r="E74" s="36">
        <v>16.365096757131703</v>
      </c>
      <c r="F74" s="37">
        <v>5.3537176252546219</v>
      </c>
      <c r="G74" s="38" t="s">
        <v>53</v>
      </c>
      <c r="H74" s="36">
        <v>22.386947756416731</v>
      </c>
      <c r="I74" s="37">
        <v>6.9177054157650453</v>
      </c>
      <c r="J74" s="38" t="s">
        <v>53</v>
      </c>
      <c r="K74" s="36" t="s">
        <v>55</v>
      </c>
      <c r="L74" s="37" t="s">
        <v>55</v>
      </c>
      <c r="M74" s="38" t="s">
        <v>53</v>
      </c>
      <c r="N74" s="36" t="s">
        <v>55</v>
      </c>
      <c r="O74" s="37" t="s">
        <v>55</v>
      </c>
      <c r="P74" s="38" t="s">
        <v>53</v>
      </c>
      <c r="Q74" s="36" t="s">
        <v>55</v>
      </c>
      <c r="R74" s="37" t="s">
        <v>55</v>
      </c>
      <c r="S74" s="38" t="s">
        <v>53</v>
      </c>
      <c r="T74" s="36" t="s">
        <v>55</v>
      </c>
      <c r="U74" s="37" t="s">
        <v>55</v>
      </c>
      <c r="V74" s="38" t="s">
        <v>53</v>
      </c>
      <c r="W74" s="36" t="s">
        <v>55</v>
      </c>
      <c r="X74" s="37" t="s">
        <v>55</v>
      </c>
      <c r="Y74" s="38" t="s">
        <v>53</v>
      </c>
      <c r="Z74" s="36" t="s">
        <v>55</v>
      </c>
      <c r="AA74" s="37" t="s">
        <v>55</v>
      </c>
      <c r="AB74" s="38" t="s">
        <v>53</v>
      </c>
      <c r="AC74" s="36" t="s">
        <v>55</v>
      </c>
      <c r="AD74" s="37" t="s">
        <v>55</v>
      </c>
      <c r="AE74" s="38" t="s">
        <v>53</v>
      </c>
      <c r="AF74" s="36" t="s">
        <v>55</v>
      </c>
      <c r="AG74" s="37" t="s">
        <v>55</v>
      </c>
      <c r="AH74" s="38" t="s">
        <v>53</v>
      </c>
      <c r="AI74" s="36" t="s">
        <v>55</v>
      </c>
      <c r="AJ74" s="37" t="s">
        <v>55</v>
      </c>
      <c r="AK74" s="38" t="s">
        <v>53</v>
      </c>
      <c r="AL74" s="36" t="s">
        <v>55</v>
      </c>
      <c r="AM74" s="37" t="s">
        <v>55</v>
      </c>
      <c r="AN74" s="38" t="s">
        <v>53</v>
      </c>
      <c r="AO74" s="36" t="s">
        <v>55</v>
      </c>
      <c r="AP74" s="37" t="s">
        <v>55</v>
      </c>
      <c r="AQ74" s="38" t="s">
        <v>53</v>
      </c>
      <c r="AR74" s="36" t="s">
        <v>55</v>
      </c>
      <c r="AS74" s="37" t="s">
        <v>55</v>
      </c>
      <c r="AT74" s="38" t="s">
        <v>53</v>
      </c>
      <c r="AU74" s="36">
        <v>3.9435901071988502</v>
      </c>
      <c r="AV74" s="37">
        <v>2.4938374509544303</v>
      </c>
      <c r="AW74" s="38" t="s">
        <v>53</v>
      </c>
      <c r="AX74" s="36">
        <v>19.10279709858964</v>
      </c>
      <c r="AY74" s="37">
        <v>5.5181774980354685</v>
      </c>
      <c r="AZ74" s="38" t="s">
        <v>53</v>
      </c>
      <c r="BA74" s="36">
        <v>21.631040538715983</v>
      </c>
      <c r="BB74" s="37">
        <v>7.3161309459232617</v>
      </c>
      <c r="BC74" s="38" t="s">
        <v>53</v>
      </c>
      <c r="BD74" s="36">
        <v>31.982145055197687</v>
      </c>
      <c r="BE74" s="37">
        <v>10.601507801549555</v>
      </c>
      <c r="BF74" s="38" t="s">
        <v>53</v>
      </c>
      <c r="BG74" s="36">
        <v>28.03855494799884</v>
      </c>
      <c r="BH74" s="37">
        <v>10.623476010501875</v>
      </c>
      <c r="BI74" s="38" t="s">
        <v>53</v>
      </c>
      <c r="BJ74" s="36" t="s">
        <v>55</v>
      </c>
      <c r="BK74" s="37" t="s">
        <v>55</v>
      </c>
      <c r="BL74" s="38" t="s">
        <v>53</v>
      </c>
      <c r="BM74" s="36" t="s">
        <v>55</v>
      </c>
      <c r="BN74" s="37" t="s">
        <v>55</v>
      </c>
      <c r="BO74" s="38" t="s">
        <v>53</v>
      </c>
      <c r="BP74" s="36" t="s">
        <v>55</v>
      </c>
      <c r="BQ74" s="37" t="s">
        <v>55</v>
      </c>
      <c r="BR74" s="38" t="s">
        <v>53</v>
      </c>
      <c r="BS74" s="36" t="s">
        <v>55</v>
      </c>
      <c r="BT74" s="37" t="s">
        <v>55</v>
      </c>
      <c r="BU74" s="38" t="s">
        <v>53</v>
      </c>
      <c r="BV74" s="36" t="s">
        <v>55</v>
      </c>
      <c r="BW74" s="37" t="s">
        <v>55</v>
      </c>
      <c r="BX74" s="38" t="s">
        <v>53</v>
      </c>
      <c r="BY74" s="36">
        <v>14.040323169201347</v>
      </c>
      <c r="BZ74" s="37">
        <v>5.1645221437728361</v>
      </c>
      <c r="CA74" s="38" t="s">
        <v>53</v>
      </c>
      <c r="CB74" s="36">
        <v>3.6676831386254536</v>
      </c>
      <c r="CC74" s="37">
        <v>2.6428199783856892</v>
      </c>
      <c r="CD74" s="38" t="s">
        <v>53</v>
      </c>
      <c r="CE74" s="36">
        <v>31.628994762871709</v>
      </c>
      <c r="CF74" s="37">
        <v>9.3618503858841997</v>
      </c>
      <c r="CG74" s="38" t="s">
        <v>53</v>
      </c>
      <c r="CH74" s="36">
        <v>24.330029267989111</v>
      </c>
      <c r="CI74" s="37">
        <v>8.5335152140111639</v>
      </c>
      <c r="CJ74" s="38" t="s">
        <v>53</v>
      </c>
      <c r="CK74" s="36">
        <v>10.289706098787764</v>
      </c>
      <c r="CL74" s="37">
        <v>9.6863546912702461</v>
      </c>
      <c r="CM74" s="38" t="s">
        <v>53</v>
      </c>
      <c r="CN74" s="36">
        <v>9.9935232299022605</v>
      </c>
      <c r="CO74" s="37">
        <v>5.6359580417260062</v>
      </c>
      <c r="CP74" s="38" t="s">
        <v>53</v>
      </c>
      <c r="CQ74" s="36">
        <v>7.0308040413496116</v>
      </c>
      <c r="CR74" s="37">
        <v>4.0488586534386837</v>
      </c>
      <c r="CS74" s="38" t="s">
        <v>53</v>
      </c>
      <c r="CT74" s="36">
        <v>15.962652541997514</v>
      </c>
      <c r="CU74" s="37">
        <v>6.110948990656448</v>
      </c>
      <c r="CV74" s="38" t="s">
        <v>53</v>
      </c>
      <c r="CW74" s="36">
        <v>37.308187276426906</v>
      </c>
      <c r="CX74" s="37">
        <v>8.9133201201839185</v>
      </c>
      <c r="CY74" s="38" t="s">
        <v>53</v>
      </c>
      <c r="CZ74" s="36">
        <v>27.314664046524641</v>
      </c>
      <c r="DA74" s="37">
        <v>10.749584671223873</v>
      </c>
      <c r="DB74" s="38" t="s">
        <v>53</v>
      </c>
      <c r="DC74" s="36">
        <v>14.057171200552082</v>
      </c>
      <c r="DD74" s="37">
        <v>3.755159377600009</v>
      </c>
      <c r="DE74" s="38" t="s">
        <v>53</v>
      </c>
      <c r="DF74" s="36">
        <v>18.873621823502749</v>
      </c>
      <c r="DG74" s="37">
        <v>4.9804487081375175</v>
      </c>
      <c r="DH74" s="38" t="s">
        <v>53</v>
      </c>
      <c r="DI74" s="36">
        <v>4.816450622950665</v>
      </c>
      <c r="DJ74" s="37">
        <v>6.4116208646933304</v>
      </c>
      <c r="DK74" s="39" t="s">
        <v>53</v>
      </c>
    </row>
    <row r="75" spans="1:115" x14ac:dyDescent="0.25">
      <c r="A75" s="15" t="s">
        <v>188</v>
      </c>
      <c r="B75" s="36">
        <v>25.169646064448514</v>
      </c>
      <c r="C75" s="37">
        <v>1.9694863038488473</v>
      </c>
      <c r="D75" s="38" t="s">
        <v>53</v>
      </c>
      <c r="E75" s="36">
        <v>23.659680522850891</v>
      </c>
      <c r="F75" s="37">
        <v>1.9529200833391662</v>
      </c>
      <c r="G75" s="38" t="s">
        <v>53</v>
      </c>
      <c r="H75" s="36">
        <v>26.714437648967493</v>
      </c>
      <c r="I75" s="37">
        <v>2.1487287102201376</v>
      </c>
      <c r="J75" s="38" t="s">
        <v>53</v>
      </c>
      <c r="K75" s="36">
        <v>33.893256826381908</v>
      </c>
      <c r="L75" s="37">
        <v>2.320211861803918</v>
      </c>
      <c r="M75" s="38" t="s">
        <v>53</v>
      </c>
      <c r="N75" s="36">
        <v>8.7236107619333918</v>
      </c>
      <c r="O75" s="37">
        <v>3.224173308598882</v>
      </c>
      <c r="P75" s="38" t="s">
        <v>53</v>
      </c>
      <c r="Q75" s="36">
        <v>22.647154272661794</v>
      </c>
      <c r="R75" s="37">
        <v>2.0451376740604656</v>
      </c>
      <c r="S75" s="38" t="s">
        <v>53</v>
      </c>
      <c r="T75" s="36">
        <v>30.260154147422046</v>
      </c>
      <c r="U75" s="37">
        <v>2.2177811960604918</v>
      </c>
      <c r="V75" s="38" t="s">
        <v>53</v>
      </c>
      <c r="W75" s="36">
        <v>30.882914939887467</v>
      </c>
      <c r="X75" s="37">
        <v>1.9222980667309815</v>
      </c>
      <c r="Y75" s="38" t="s">
        <v>53</v>
      </c>
      <c r="Z75" s="36">
        <v>25.307787260463382</v>
      </c>
      <c r="AA75" s="37">
        <v>1.8664163237887128</v>
      </c>
      <c r="AB75" s="38" t="s">
        <v>53</v>
      </c>
      <c r="AC75" s="36">
        <v>2.6606329878015753</v>
      </c>
      <c r="AD75" s="37">
        <v>2.7492259617123924</v>
      </c>
      <c r="AE75" s="38" t="s">
        <v>53</v>
      </c>
      <c r="AF75" s="36">
        <v>26.005769551691916</v>
      </c>
      <c r="AG75" s="37">
        <v>2.0143519189055152</v>
      </c>
      <c r="AH75" s="38" t="s">
        <v>53</v>
      </c>
      <c r="AI75" s="36">
        <v>27.46951051219564</v>
      </c>
      <c r="AJ75" s="37">
        <v>2.0970792273470797</v>
      </c>
      <c r="AK75" s="38" t="s">
        <v>53</v>
      </c>
      <c r="AL75" s="36">
        <v>24.359316457203963</v>
      </c>
      <c r="AM75" s="37">
        <v>1.9328511582935681</v>
      </c>
      <c r="AN75" s="38" t="s">
        <v>53</v>
      </c>
      <c r="AO75" s="36">
        <v>31.584834354635593</v>
      </c>
      <c r="AP75" s="37">
        <v>2.2028550489465077</v>
      </c>
      <c r="AQ75" s="38" t="s">
        <v>53</v>
      </c>
      <c r="AR75" s="36">
        <v>5.5790648029436785</v>
      </c>
      <c r="AS75" s="37">
        <v>3.1857098581246226</v>
      </c>
      <c r="AT75" s="38" t="s">
        <v>53</v>
      </c>
      <c r="AU75" s="36">
        <v>24.402387956958577</v>
      </c>
      <c r="AV75" s="37">
        <v>2.0524848605560586</v>
      </c>
      <c r="AW75" s="38" t="s">
        <v>53</v>
      </c>
      <c r="AX75" s="36">
        <v>27.65634730501376</v>
      </c>
      <c r="AY75" s="37">
        <v>1.9643189705199289</v>
      </c>
      <c r="AZ75" s="38" t="s">
        <v>53</v>
      </c>
      <c r="BA75" s="36">
        <v>22.734370416111577</v>
      </c>
      <c r="BB75" s="37">
        <v>1.9627783743781295</v>
      </c>
      <c r="BC75" s="38" t="s">
        <v>53</v>
      </c>
      <c r="BD75" s="36">
        <v>34.192245480296265</v>
      </c>
      <c r="BE75" s="37">
        <v>2.1344184343971691</v>
      </c>
      <c r="BF75" s="38" t="s">
        <v>53</v>
      </c>
      <c r="BG75" s="36">
        <v>9.7898575233377017</v>
      </c>
      <c r="BH75" s="37">
        <v>2.9653318268127662</v>
      </c>
      <c r="BI75" s="38" t="s">
        <v>53</v>
      </c>
      <c r="BJ75" s="36">
        <v>23.923335768899655</v>
      </c>
      <c r="BK75" s="37">
        <v>2.1277563292013002</v>
      </c>
      <c r="BL75" s="38" t="s">
        <v>53</v>
      </c>
      <c r="BM75" s="36">
        <v>23.997096741505956</v>
      </c>
      <c r="BN75" s="37">
        <v>1.887006751532561</v>
      </c>
      <c r="BO75" s="38" t="s">
        <v>53</v>
      </c>
      <c r="BP75" s="36">
        <v>27.087995449628956</v>
      </c>
      <c r="BQ75" s="37">
        <v>2.1815811836613945</v>
      </c>
      <c r="BR75" s="38" t="s">
        <v>53</v>
      </c>
      <c r="BS75" s="36">
        <v>34.043385202877694</v>
      </c>
      <c r="BT75" s="37">
        <v>2.358658782116589</v>
      </c>
      <c r="BU75" s="38" t="s">
        <v>53</v>
      </c>
      <c r="BV75" s="36">
        <v>10.120049433978028</v>
      </c>
      <c r="BW75" s="37">
        <v>3.0434000001128019</v>
      </c>
      <c r="BX75" s="38" t="s">
        <v>53</v>
      </c>
      <c r="BY75" s="36">
        <v>23.218642180896289</v>
      </c>
      <c r="BZ75" s="37">
        <v>1.8598024931403569</v>
      </c>
      <c r="CA75" s="38" t="s">
        <v>53</v>
      </c>
      <c r="CB75" s="36">
        <v>30.899590594984573</v>
      </c>
      <c r="CC75" s="37">
        <v>1.9343026246888697</v>
      </c>
      <c r="CD75" s="38" t="s">
        <v>53</v>
      </c>
      <c r="CE75" s="36">
        <v>26.231575564687336</v>
      </c>
      <c r="CF75" s="37">
        <v>2.0136336809644941</v>
      </c>
      <c r="CG75" s="38" t="s">
        <v>53</v>
      </c>
      <c r="CH75" s="36">
        <v>29.443298963878188</v>
      </c>
      <c r="CI75" s="37">
        <v>1.8822576054654494</v>
      </c>
      <c r="CJ75" s="38" t="s">
        <v>53</v>
      </c>
      <c r="CK75" s="36">
        <v>6.2246567829819011</v>
      </c>
      <c r="CL75" s="37">
        <v>2.4546665057272512</v>
      </c>
      <c r="CM75" s="38" t="s">
        <v>53</v>
      </c>
      <c r="CN75" s="36">
        <v>23.916030794224543</v>
      </c>
      <c r="CO75" s="37">
        <v>1.9310856450647376</v>
      </c>
      <c r="CP75" s="38" t="s">
        <v>53</v>
      </c>
      <c r="CQ75" s="36">
        <v>26.388850849624657</v>
      </c>
      <c r="CR75" s="37">
        <v>2.014035359346857</v>
      </c>
      <c r="CS75" s="38" t="s">
        <v>53</v>
      </c>
      <c r="CT75" s="36">
        <v>27.677989041329553</v>
      </c>
      <c r="CU75" s="37">
        <v>2.0573569488551549</v>
      </c>
      <c r="CV75" s="38" t="s">
        <v>53</v>
      </c>
      <c r="CW75" s="36">
        <v>31.780736298255931</v>
      </c>
      <c r="CX75" s="37">
        <v>2.2104454340019424</v>
      </c>
      <c r="CY75" s="38" t="s">
        <v>53</v>
      </c>
      <c r="CZ75" s="36">
        <v>7.8647055040313854</v>
      </c>
      <c r="DA75" s="37">
        <v>2.9412117451065605</v>
      </c>
      <c r="DB75" s="38" t="s">
        <v>53</v>
      </c>
      <c r="DC75" s="36">
        <v>25.924815297608681</v>
      </c>
      <c r="DD75" s="37">
        <v>1.5190625414424503</v>
      </c>
      <c r="DE75" s="38" t="s">
        <v>53</v>
      </c>
      <c r="DF75" s="36">
        <v>28.643665748161489</v>
      </c>
      <c r="DG75" s="37">
        <v>1.4311492317258503</v>
      </c>
      <c r="DH75" s="38" t="s">
        <v>53</v>
      </c>
      <c r="DI75" s="36">
        <v>2.7188504505528006</v>
      </c>
      <c r="DJ75" s="37">
        <v>2.3538410530568648</v>
      </c>
      <c r="DK75" s="39" t="s">
        <v>53</v>
      </c>
    </row>
    <row r="76" spans="1:115" x14ac:dyDescent="0.25">
      <c r="A76" s="15" t="s">
        <v>189</v>
      </c>
      <c r="B76" s="36" t="s">
        <v>55</v>
      </c>
      <c r="C76" s="37" t="s">
        <v>55</v>
      </c>
      <c r="D76" s="38" t="s">
        <v>53</v>
      </c>
      <c r="E76" s="36" t="s">
        <v>55</v>
      </c>
      <c r="F76" s="37" t="s">
        <v>55</v>
      </c>
      <c r="G76" s="38" t="s">
        <v>53</v>
      </c>
      <c r="H76" s="36" t="s">
        <v>55</v>
      </c>
      <c r="I76" s="37" t="s">
        <v>55</v>
      </c>
      <c r="J76" s="38" t="s">
        <v>53</v>
      </c>
      <c r="K76" s="36" t="s">
        <v>55</v>
      </c>
      <c r="L76" s="37" t="s">
        <v>55</v>
      </c>
      <c r="M76" s="38" t="s">
        <v>53</v>
      </c>
      <c r="N76" s="36" t="s">
        <v>55</v>
      </c>
      <c r="O76" s="37" t="s">
        <v>55</v>
      </c>
      <c r="P76" s="38" t="s">
        <v>53</v>
      </c>
      <c r="Q76" s="36" t="s">
        <v>55</v>
      </c>
      <c r="R76" s="37" t="s">
        <v>55</v>
      </c>
      <c r="S76" s="38" t="s">
        <v>53</v>
      </c>
      <c r="T76" s="36" t="s">
        <v>55</v>
      </c>
      <c r="U76" s="37" t="s">
        <v>55</v>
      </c>
      <c r="V76" s="38" t="s">
        <v>53</v>
      </c>
      <c r="W76" s="36" t="s">
        <v>55</v>
      </c>
      <c r="X76" s="37" t="s">
        <v>55</v>
      </c>
      <c r="Y76" s="38" t="s">
        <v>53</v>
      </c>
      <c r="Z76" s="36" t="s">
        <v>55</v>
      </c>
      <c r="AA76" s="37" t="s">
        <v>55</v>
      </c>
      <c r="AB76" s="38" t="s">
        <v>53</v>
      </c>
      <c r="AC76" s="36" t="s">
        <v>55</v>
      </c>
      <c r="AD76" s="37" t="s">
        <v>55</v>
      </c>
      <c r="AE76" s="38" t="s">
        <v>53</v>
      </c>
      <c r="AF76" s="36" t="s">
        <v>55</v>
      </c>
      <c r="AG76" s="37" t="s">
        <v>55</v>
      </c>
      <c r="AH76" s="38" t="s">
        <v>53</v>
      </c>
      <c r="AI76" s="36" t="s">
        <v>55</v>
      </c>
      <c r="AJ76" s="37" t="s">
        <v>55</v>
      </c>
      <c r="AK76" s="38" t="s">
        <v>53</v>
      </c>
      <c r="AL76" s="36" t="s">
        <v>55</v>
      </c>
      <c r="AM76" s="37" t="s">
        <v>55</v>
      </c>
      <c r="AN76" s="38" t="s">
        <v>53</v>
      </c>
      <c r="AO76" s="36" t="s">
        <v>55</v>
      </c>
      <c r="AP76" s="37" t="s">
        <v>55</v>
      </c>
      <c r="AQ76" s="38" t="s">
        <v>53</v>
      </c>
      <c r="AR76" s="36" t="s">
        <v>55</v>
      </c>
      <c r="AS76" s="37" t="s">
        <v>55</v>
      </c>
      <c r="AT76" s="38" t="s">
        <v>53</v>
      </c>
      <c r="AU76" s="36" t="s">
        <v>55</v>
      </c>
      <c r="AV76" s="37" t="s">
        <v>55</v>
      </c>
      <c r="AW76" s="38" t="s">
        <v>53</v>
      </c>
      <c r="AX76" s="36" t="s">
        <v>55</v>
      </c>
      <c r="AY76" s="37" t="s">
        <v>55</v>
      </c>
      <c r="AZ76" s="38" t="s">
        <v>53</v>
      </c>
      <c r="BA76" s="36" t="s">
        <v>55</v>
      </c>
      <c r="BB76" s="37" t="s">
        <v>55</v>
      </c>
      <c r="BC76" s="38" t="s">
        <v>53</v>
      </c>
      <c r="BD76" s="36" t="s">
        <v>55</v>
      </c>
      <c r="BE76" s="37" t="s">
        <v>55</v>
      </c>
      <c r="BF76" s="38" t="s">
        <v>53</v>
      </c>
      <c r="BG76" s="36" t="s">
        <v>55</v>
      </c>
      <c r="BH76" s="37" t="s">
        <v>55</v>
      </c>
      <c r="BI76" s="38" t="s">
        <v>53</v>
      </c>
      <c r="BJ76" s="36">
        <v>8.2919644772637291</v>
      </c>
      <c r="BK76" s="37">
        <v>5.3046735225131796</v>
      </c>
      <c r="BL76" s="38" t="s">
        <v>53</v>
      </c>
      <c r="BM76" s="36" t="s">
        <v>55</v>
      </c>
      <c r="BN76" s="37" t="s">
        <v>55</v>
      </c>
      <c r="BO76" s="38" t="s">
        <v>53</v>
      </c>
      <c r="BP76" s="36" t="s">
        <v>55</v>
      </c>
      <c r="BQ76" s="37" t="s">
        <v>55</v>
      </c>
      <c r="BR76" s="38" t="s">
        <v>53</v>
      </c>
      <c r="BS76" s="36" t="s">
        <v>55</v>
      </c>
      <c r="BT76" s="37" t="s">
        <v>55</v>
      </c>
      <c r="BU76" s="38" t="s">
        <v>53</v>
      </c>
      <c r="BV76" s="36" t="s">
        <v>55</v>
      </c>
      <c r="BW76" s="37" t="s">
        <v>55</v>
      </c>
      <c r="BX76" s="38" t="s">
        <v>53</v>
      </c>
      <c r="BY76" s="36" t="s">
        <v>55</v>
      </c>
      <c r="BZ76" s="37" t="s">
        <v>55</v>
      </c>
      <c r="CA76" s="38" t="s">
        <v>53</v>
      </c>
      <c r="CB76" s="36" t="s">
        <v>55</v>
      </c>
      <c r="CC76" s="37" t="s">
        <v>55</v>
      </c>
      <c r="CD76" s="38" t="s">
        <v>53</v>
      </c>
      <c r="CE76" s="36" t="s">
        <v>55</v>
      </c>
      <c r="CF76" s="37" t="s">
        <v>55</v>
      </c>
      <c r="CG76" s="38" t="s">
        <v>53</v>
      </c>
      <c r="CH76" s="36" t="s">
        <v>55</v>
      </c>
      <c r="CI76" s="37" t="s">
        <v>55</v>
      </c>
      <c r="CJ76" s="38" t="s">
        <v>53</v>
      </c>
      <c r="CK76" s="36" t="s">
        <v>55</v>
      </c>
      <c r="CL76" s="37" t="s">
        <v>55</v>
      </c>
      <c r="CM76" s="38" t="s">
        <v>53</v>
      </c>
      <c r="CN76" s="36" t="s">
        <v>55</v>
      </c>
      <c r="CO76" s="37" t="s">
        <v>55</v>
      </c>
      <c r="CP76" s="38" t="s">
        <v>53</v>
      </c>
      <c r="CQ76" s="36" t="s">
        <v>55</v>
      </c>
      <c r="CR76" s="37" t="s">
        <v>55</v>
      </c>
      <c r="CS76" s="38" t="s">
        <v>53</v>
      </c>
      <c r="CT76" s="36" t="s">
        <v>55</v>
      </c>
      <c r="CU76" s="37" t="s">
        <v>55</v>
      </c>
      <c r="CV76" s="38" t="s">
        <v>53</v>
      </c>
      <c r="CW76" s="36" t="s">
        <v>55</v>
      </c>
      <c r="CX76" s="37" t="s">
        <v>55</v>
      </c>
      <c r="CY76" s="38" t="s">
        <v>53</v>
      </c>
      <c r="CZ76" s="36" t="s">
        <v>55</v>
      </c>
      <c r="DA76" s="37" t="s">
        <v>55</v>
      </c>
      <c r="DB76" s="38" t="s">
        <v>53</v>
      </c>
      <c r="DC76" s="36">
        <v>10.007949937657045</v>
      </c>
      <c r="DD76" s="37">
        <v>5.9329287710786121</v>
      </c>
      <c r="DE76" s="38" t="s">
        <v>53</v>
      </c>
      <c r="DF76" s="36">
        <v>42.014978338482791</v>
      </c>
      <c r="DG76" s="37">
        <v>8.8369130803831357</v>
      </c>
      <c r="DH76" s="38" t="s">
        <v>53</v>
      </c>
      <c r="DI76" s="36">
        <v>32.007028400825746</v>
      </c>
      <c r="DJ76" s="37">
        <v>9.0327654776820054</v>
      </c>
      <c r="DK76" s="39" t="s">
        <v>53</v>
      </c>
    </row>
    <row r="77" spans="1:115" x14ac:dyDescent="0.25">
      <c r="A77" s="15" t="s">
        <v>190</v>
      </c>
      <c r="B77" s="36">
        <v>21.235600665538371</v>
      </c>
      <c r="C77" s="37">
        <v>6.2247341752949232</v>
      </c>
      <c r="D77" s="38" t="s">
        <v>53</v>
      </c>
      <c r="E77" s="36">
        <v>40.669302955840905</v>
      </c>
      <c r="F77" s="37">
        <v>6.4229014643053706</v>
      </c>
      <c r="G77" s="38" t="s">
        <v>53</v>
      </c>
      <c r="H77" s="36">
        <v>35.965640459731887</v>
      </c>
      <c r="I77" s="37">
        <v>7.7483666848058546</v>
      </c>
      <c r="J77" s="38" t="s">
        <v>53</v>
      </c>
      <c r="K77" s="36">
        <v>28.02491379545728</v>
      </c>
      <c r="L77" s="37">
        <v>7.1974570723745313</v>
      </c>
      <c r="M77" s="38" t="s">
        <v>53</v>
      </c>
      <c r="N77" s="36">
        <v>6.789313129918904</v>
      </c>
      <c r="O77" s="37">
        <v>9.6578151785733208</v>
      </c>
      <c r="P77" s="38" t="s">
        <v>53</v>
      </c>
      <c r="Q77" s="36">
        <v>25.893062391918669</v>
      </c>
      <c r="R77" s="37">
        <v>6.1690870164100211</v>
      </c>
      <c r="S77" s="38" t="s">
        <v>53</v>
      </c>
      <c r="T77" s="36">
        <v>29.375034719521821</v>
      </c>
      <c r="U77" s="37">
        <v>5.6721148882365942</v>
      </c>
      <c r="V77" s="38" t="s">
        <v>53</v>
      </c>
      <c r="W77" s="36">
        <v>27.536430458619339</v>
      </c>
      <c r="X77" s="37">
        <v>6.0675646203876967</v>
      </c>
      <c r="Y77" s="38" t="s">
        <v>53</v>
      </c>
      <c r="Z77" s="36">
        <v>29.761428866835605</v>
      </c>
      <c r="AA77" s="37">
        <v>5.9863897373685884</v>
      </c>
      <c r="AB77" s="38" t="s">
        <v>53</v>
      </c>
      <c r="AC77" s="36">
        <v>3.8683664749169302</v>
      </c>
      <c r="AD77" s="37">
        <v>8.3207698482800652</v>
      </c>
      <c r="AE77" s="38" t="s">
        <v>53</v>
      </c>
      <c r="AF77" s="36">
        <v>23.962165545152452</v>
      </c>
      <c r="AG77" s="37">
        <v>6.3141338464222319</v>
      </c>
      <c r="AH77" s="38" t="s">
        <v>53</v>
      </c>
      <c r="AI77" s="36">
        <v>27.737166624968246</v>
      </c>
      <c r="AJ77" s="37">
        <v>5.227519316625358</v>
      </c>
      <c r="AK77" s="38" t="s">
        <v>53</v>
      </c>
      <c r="AL77" s="36">
        <v>25.040990604998502</v>
      </c>
      <c r="AM77" s="37">
        <v>5.9923258796667298</v>
      </c>
      <c r="AN77" s="38" t="s">
        <v>53</v>
      </c>
      <c r="AO77" s="36">
        <v>35.080181051826123</v>
      </c>
      <c r="AP77" s="37">
        <v>5.901431660871407</v>
      </c>
      <c r="AQ77" s="38" t="s">
        <v>53</v>
      </c>
      <c r="AR77" s="36">
        <v>11.118015506673668</v>
      </c>
      <c r="AS77" s="37">
        <v>7.9434059083384039</v>
      </c>
      <c r="AT77" s="38" t="s">
        <v>53</v>
      </c>
      <c r="AU77" s="36">
        <v>21.821626344852852</v>
      </c>
      <c r="AV77" s="37">
        <v>4.9581048879283394</v>
      </c>
      <c r="AW77" s="38" t="s">
        <v>53</v>
      </c>
      <c r="AX77" s="36">
        <v>37.253566083574313</v>
      </c>
      <c r="AY77" s="37">
        <v>6.7777751443199419</v>
      </c>
      <c r="AZ77" s="38" t="s">
        <v>53</v>
      </c>
      <c r="BA77" s="36">
        <v>34.690780932999736</v>
      </c>
      <c r="BB77" s="37">
        <v>6.1114860215122437</v>
      </c>
      <c r="BC77" s="38" t="s">
        <v>53</v>
      </c>
      <c r="BD77" s="36">
        <v>27.11215721190835</v>
      </c>
      <c r="BE77" s="37">
        <v>7.915023868390314</v>
      </c>
      <c r="BF77" s="38" t="s">
        <v>53</v>
      </c>
      <c r="BG77" s="36">
        <v>5.2905308670554927</v>
      </c>
      <c r="BH77" s="37">
        <v>9.8738747123204078</v>
      </c>
      <c r="BI77" s="38" t="s">
        <v>53</v>
      </c>
      <c r="BJ77" s="36">
        <v>21.323819088842168</v>
      </c>
      <c r="BK77" s="37">
        <v>5.8606345400896265</v>
      </c>
      <c r="BL77" s="38" t="s">
        <v>53</v>
      </c>
      <c r="BM77" s="36">
        <v>32.602540831513352</v>
      </c>
      <c r="BN77" s="37">
        <v>6.0100657193695586</v>
      </c>
      <c r="BO77" s="38" t="s">
        <v>53</v>
      </c>
      <c r="BP77" s="36">
        <v>28.010508498406882</v>
      </c>
      <c r="BQ77" s="37">
        <v>5.9270652073385994</v>
      </c>
      <c r="BR77" s="38" t="s">
        <v>53</v>
      </c>
      <c r="BS77" s="36">
        <v>28.642014590083047</v>
      </c>
      <c r="BT77" s="37">
        <v>5.6117956968990645</v>
      </c>
      <c r="BU77" s="38" t="s">
        <v>53</v>
      </c>
      <c r="BV77" s="36">
        <v>7.3181955012408801</v>
      </c>
      <c r="BW77" s="37">
        <v>8.1153931827433947</v>
      </c>
      <c r="BX77" s="38" t="s">
        <v>53</v>
      </c>
      <c r="BY77" s="36">
        <v>30.882843455731674</v>
      </c>
      <c r="BZ77" s="37">
        <v>6.982119541511504</v>
      </c>
      <c r="CA77" s="38" t="s">
        <v>53</v>
      </c>
      <c r="CB77" s="36">
        <v>27.244511097474959</v>
      </c>
      <c r="CC77" s="37">
        <v>6.3245074295976398</v>
      </c>
      <c r="CD77" s="38" t="s">
        <v>53</v>
      </c>
      <c r="CE77" s="36">
        <v>39.444982096265498</v>
      </c>
      <c r="CF77" s="37">
        <v>5.7790892827208804</v>
      </c>
      <c r="CG77" s="38" t="s">
        <v>53</v>
      </c>
      <c r="CH77" s="36">
        <v>29.461496314988771</v>
      </c>
      <c r="CI77" s="37">
        <v>7.4443105946607036</v>
      </c>
      <c r="CJ77" s="38" t="s">
        <v>53</v>
      </c>
      <c r="CK77" s="36">
        <v>-1.4213471407428975</v>
      </c>
      <c r="CL77" s="37">
        <v>10.746733065846676</v>
      </c>
      <c r="CM77" s="38" t="s">
        <v>53</v>
      </c>
      <c r="CN77" s="36">
        <v>30.887497906705885</v>
      </c>
      <c r="CO77" s="37">
        <v>6.2856515196395097</v>
      </c>
      <c r="CP77" s="38" t="s">
        <v>53</v>
      </c>
      <c r="CQ77" s="36">
        <v>30.646870444429375</v>
      </c>
      <c r="CR77" s="37">
        <v>7.0580703436849817</v>
      </c>
      <c r="CS77" s="38" t="s">
        <v>53</v>
      </c>
      <c r="CT77" s="36">
        <v>30.422516620460271</v>
      </c>
      <c r="CU77" s="37">
        <v>6.7149324684546885</v>
      </c>
      <c r="CV77" s="38" t="s">
        <v>53</v>
      </c>
      <c r="CW77" s="36">
        <v>37.653971785176083</v>
      </c>
      <c r="CX77" s="37">
        <v>8.314838114479004</v>
      </c>
      <c r="CY77" s="38" t="s">
        <v>53</v>
      </c>
      <c r="CZ77" s="36">
        <v>6.7664738784702045</v>
      </c>
      <c r="DA77" s="37">
        <v>10.320960222624858</v>
      </c>
      <c r="DB77" s="38" t="s">
        <v>53</v>
      </c>
      <c r="DC77" s="36">
        <v>23.259517322771412</v>
      </c>
      <c r="DD77" s="37">
        <v>4.6839612891543005</v>
      </c>
      <c r="DE77" s="38" t="s">
        <v>53</v>
      </c>
      <c r="DF77" s="36">
        <v>33.280099611760633</v>
      </c>
      <c r="DG77" s="37">
        <v>4.1559110217091533</v>
      </c>
      <c r="DH77" s="38" t="s">
        <v>53</v>
      </c>
      <c r="DI77" s="36">
        <v>10.020582288989228</v>
      </c>
      <c r="DJ77" s="37">
        <v>6.4194199011200155</v>
      </c>
      <c r="DK77" s="39" t="s">
        <v>53</v>
      </c>
    </row>
    <row r="78" spans="1:115" x14ac:dyDescent="0.25">
      <c r="A78" s="15" t="s">
        <v>191</v>
      </c>
      <c r="B78" s="36" t="s">
        <v>55</v>
      </c>
      <c r="C78" s="37" t="s">
        <v>55</v>
      </c>
      <c r="D78" s="38" t="s">
        <v>53</v>
      </c>
      <c r="E78" s="36" t="s">
        <v>55</v>
      </c>
      <c r="F78" s="37" t="s">
        <v>55</v>
      </c>
      <c r="G78" s="38" t="s">
        <v>53</v>
      </c>
      <c r="H78" s="36" t="s">
        <v>55</v>
      </c>
      <c r="I78" s="37" t="s">
        <v>55</v>
      </c>
      <c r="J78" s="38" t="s">
        <v>53</v>
      </c>
      <c r="K78" s="36" t="s">
        <v>55</v>
      </c>
      <c r="L78" s="37" t="s">
        <v>55</v>
      </c>
      <c r="M78" s="38" t="s">
        <v>53</v>
      </c>
      <c r="N78" s="36" t="s">
        <v>55</v>
      </c>
      <c r="O78" s="37" t="s">
        <v>55</v>
      </c>
      <c r="P78" s="38" t="s">
        <v>53</v>
      </c>
      <c r="Q78" s="36" t="s">
        <v>55</v>
      </c>
      <c r="R78" s="37" t="s">
        <v>55</v>
      </c>
      <c r="S78" s="38" t="s">
        <v>53</v>
      </c>
      <c r="T78" s="36" t="s">
        <v>55</v>
      </c>
      <c r="U78" s="37" t="s">
        <v>55</v>
      </c>
      <c r="V78" s="38" t="s">
        <v>53</v>
      </c>
      <c r="W78" s="36" t="s">
        <v>55</v>
      </c>
      <c r="X78" s="37" t="s">
        <v>55</v>
      </c>
      <c r="Y78" s="38" t="s">
        <v>53</v>
      </c>
      <c r="Z78" s="36" t="s">
        <v>55</v>
      </c>
      <c r="AA78" s="37" t="s">
        <v>55</v>
      </c>
      <c r="AB78" s="38" t="s">
        <v>53</v>
      </c>
      <c r="AC78" s="36" t="s">
        <v>55</v>
      </c>
      <c r="AD78" s="37" t="s">
        <v>55</v>
      </c>
      <c r="AE78" s="38" t="s">
        <v>53</v>
      </c>
      <c r="AF78" s="36" t="s">
        <v>55</v>
      </c>
      <c r="AG78" s="37" t="s">
        <v>55</v>
      </c>
      <c r="AH78" s="38" t="s">
        <v>53</v>
      </c>
      <c r="AI78" s="36" t="s">
        <v>55</v>
      </c>
      <c r="AJ78" s="37" t="s">
        <v>55</v>
      </c>
      <c r="AK78" s="38" t="s">
        <v>53</v>
      </c>
      <c r="AL78" s="36" t="s">
        <v>55</v>
      </c>
      <c r="AM78" s="37" t="s">
        <v>55</v>
      </c>
      <c r="AN78" s="38" t="s">
        <v>53</v>
      </c>
      <c r="AO78" s="36" t="s">
        <v>55</v>
      </c>
      <c r="AP78" s="37" t="s">
        <v>55</v>
      </c>
      <c r="AQ78" s="38" t="s">
        <v>53</v>
      </c>
      <c r="AR78" s="36" t="s">
        <v>55</v>
      </c>
      <c r="AS78" s="37" t="s">
        <v>55</v>
      </c>
      <c r="AT78" s="38" t="s">
        <v>53</v>
      </c>
      <c r="AU78" s="36" t="s">
        <v>55</v>
      </c>
      <c r="AV78" s="37" t="s">
        <v>55</v>
      </c>
      <c r="AW78" s="38" t="s">
        <v>53</v>
      </c>
      <c r="AX78" s="36" t="s">
        <v>55</v>
      </c>
      <c r="AY78" s="37" t="s">
        <v>55</v>
      </c>
      <c r="AZ78" s="38" t="s">
        <v>53</v>
      </c>
      <c r="BA78" s="36" t="s">
        <v>55</v>
      </c>
      <c r="BB78" s="37" t="s">
        <v>55</v>
      </c>
      <c r="BC78" s="38" t="s">
        <v>53</v>
      </c>
      <c r="BD78" s="36" t="s">
        <v>55</v>
      </c>
      <c r="BE78" s="37" t="s">
        <v>55</v>
      </c>
      <c r="BF78" s="38" t="s">
        <v>53</v>
      </c>
      <c r="BG78" s="36" t="s">
        <v>55</v>
      </c>
      <c r="BH78" s="37" t="s">
        <v>55</v>
      </c>
      <c r="BI78" s="38" t="s">
        <v>53</v>
      </c>
      <c r="BJ78" s="36" t="s">
        <v>55</v>
      </c>
      <c r="BK78" s="37" t="s">
        <v>55</v>
      </c>
      <c r="BL78" s="38" t="s">
        <v>53</v>
      </c>
      <c r="BM78" s="36" t="s">
        <v>55</v>
      </c>
      <c r="BN78" s="37" t="s">
        <v>55</v>
      </c>
      <c r="BO78" s="38" t="s">
        <v>53</v>
      </c>
      <c r="BP78" s="36" t="s">
        <v>55</v>
      </c>
      <c r="BQ78" s="37" t="s">
        <v>55</v>
      </c>
      <c r="BR78" s="38" t="s">
        <v>53</v>
      </c>
      <c r="BS78" s="36" t="s">
        <v>55</v>
      </c>
      <c r="BT78" s="37" t="s">
        <v>55</v>
      </c>
      <c r="BU78" s="38" t="s">
        <v>53</v>
      </c>
      <c r="BV78" s="36" t="s">
        <v>55</v>
      </c>
      <c r="BW78" s="37" t="s">
        <v>55</v>
      </c>
      <c r="BX78" s="38" t="s">
        <v>53</v>
      </c>
      <c r="BY78" s="36" t="s">
        <v>55</v>
      </c>
      <c r="BZ78" s="37" t="s">
        <v>55</v>
      </c>
      <c r="CA78" s="38" t="s">
        <v>53</v>
      </c>
      <c r="CB78" s="36" t="s">
        <v>55</v>
      </c>
      <c r="CC78" s="37" t="s">
        <v>55</v>
      </c>
      <c r="CD78" s="38" t="s">
        <v>53</v>
      </c>
      <c r="CE78" s="36" t="s">
        <v>55</v>
      </c>
      <c r="CF78" s="37" t="s">
        <v>55</v>
      </c>
      <c r="CG78" s="38" t="s">
        <v>53</v>
      </c>
      <c r="CH78" s="36" t="s">
        <v>55</v>
      </c>
      <c r="CI78" s="37" t="s">
        <v>55</v>
      </c>
      <c r="CJ78" s="38" t="s">
        <v>53</v>
      </c>
      <c r="CK78" s="36" t="s">
        <v>55</v>
      </c>
      <c r="CL78" s="37" t="s">
        <v>55</v>
      </c>
      <c r="CM78" s="38" t="s">
        <v>53</v>
      </c>
      <c r="CN78" s="36" t="s">
        <v>55</v>
      </c>
      <c r="CO78" s="37" t="s">
        <v>55</v>
      </c>
      <c r="CP78" s="38" t="s">
        <v>53</v>
      </c>
      <c r="CQ78" s="36" t="s">
        <v>55</v>
      </c>
      <c r="CR78" s="37" t="s">
        <v>55</v>
      </c>
      <c r="CS78" s="38" t="s">
        <v>53</v>
      </c>
      <c r="CT78" s="36" t="s">
        <v>55</v>
      </c>
      <c r="CU78" s="37" t="s">
        <v>55</v>
      </c>
      <c r="CV78" s="38" t="s">
        <v>53</v>
      </c>
      <c r="CW78" s="36" t="s">
        <v>55</v>
      </c>
      <c r="CX78" s="37" t="s">
        <v>55</v>
      </c>
      <c r="CY78" s="38" t="s">
        <v>53</v>
      </c>
      <c r="CZ78" s="36" t="s">
        <v>55</v>
      </c>
      <c r="DA78" s="37" t="s">
        <v>55</v>
      </c>
      <c r="DB78" s="38" t="s">
        <v>53</v>
      </c>
      <c r="DC78" s="36" t="s">
        <v>55</v>
      </c>
      <c r="DD78" s="37" t="s">
        <v>55</v>
      </c>
      <c r="DE78" s="38" t="s">
        <v>53</v>
      </c>
      <c r="DF78" s="36">
        <v>37.806963657850282</v>
      </c>
      <c r="DG78" s="37">
        <v>7.6487330872060166</v>
      </c>
      <c r="DH78" s="38" t="s">
        <v>53</v>
      </c>
      <c r="DI78" s="36" t="s">
        <v>55</v>
      </c>
      <c r="DJ78" s="37" t="s">
        <v>55</v>
      </c>
      <c r="DK78" s="39" t="s">
        <v>53</v>
      </c>
    </row>
    <row r="79" spans="1:115" x14ac:dyDescent="0.25">
      <c r="A79" s="15" t="s">
        <v>192</v>
      </c>
      <c r="B79" s="36">
        <v>20.445902365108442</v>
      </c>
      <c r="C79" s="37">
        <v>4.2797889011057109</v>
      </c>
      <c r="D79" s="38" t="s">
        <v>53</v>
      </c>
      <c r="E79" s="36">
        <v>36.004608424346713</v>
      </c>
      <c r="F79" s="37">
        <v>6.7884250941718252</v>
      </c>
      <c r="G79" s="38" t="s">
        <v>53</v>
      </c>
      <c r="H79" s="36">
        <v>38.145725916255699</v>
      </c>
      <c r="I79" s="37">
        <v>6.5882034939856586</v>
      </c>
      <c r="J79" s="38" t="s">
        <v>53</v>
      </c>
      <c r="K79" s="36">
        <v>42.549736299741554</v>
      </c>
      <c r="L79" s="37">
        <v>6.9934811480278229</v>
      </c>
      <c r="M79" s="38" t="s">
        <v>53</v>
      </c>
      <c r="N79" s="36">
        <v>22.103833934633109</v>
      </c>
      <c r="O79" s="37">
        <v>8.4329653122652548</v>
      </c>
      <c r="P79" s="38" t="s">
        <v>53</v>
      </c>
      <c r="Q79" s="36">
        <v>29.575420444610383</v>
      </c>
      <c r="R79" s="37">
        <v>4.2615777465948428</v>
      </c>
      <c r="S79" s="38" t="s">
        <v>53</v>
      </c>
      <c r="T79" s="36">
        <v>33.947274502326543</v>
      </c>
      <c r="U79" s="37">
        <v>6.9101739931399511</v>
      </c>
      <c r="V79" s="38" t="s">
        <v>53</v>
      </c>
      <c r="W79" s="36">
        <v>32.295602039633792</v>
      </c>
      <c r="X79" s="37">
        <v>6.0443075276101643</v>
      </c>
      <c r="Y79" s="38" t="s">
        <v>53</v>
      </c>
      <c r="Z79" s="36">
        <v>27.755753587348259</v>
      </c>
      <c r="AA79" s="37">
        <v>5.1174684469435805</v>
      </c>
      <c r="AB79" s="38" t="s">
        <v>53</v>
      </c>
      <c r="AC79" s="36">
        <v>-1.819666857262134</v>
      </c>
      <c r="AD79" s="37">
        <v>6.4848167860232371</v>
      </c>
      <c r="AE79" s="38" t="s">
        <v>53</v>
      </c>
      <c r="AF79" s="36">
        <v>23.123552047551254</v>
      </c>
      <c r="AG79" s="37">
        <v>4.8711197796402237</v>
      </c>
      <c r="AH79" s="38" t="s">
        <v>53</v>
      </c>
      <c r="AI79" s="36">
        <v>31.839612329705901</v>
      </c>
      <c r="AJ79" s="37">
        <v>5.8314151555835334</v>
      </c>
      <c r="AK79" s="38" t="s">
        <v>53</v>
      </c>
      <c r="AL79" s="36">
        <v>26.356755145609661</v>
      </c>
      <c r="AM79" s="37">
        <v>5.7289148780576706</v>
      </c>
      <c r="AN79" s="38" t="s">
        <v>53</v>
      </c>
      <c r="AO79" s="36">
        <v>45.148433889340431</v>
      </c>
      <c r="AP79" s="37">
        <v>6.0158532996052489</v>
      </c>
      <c r="AQ79" s="38" t="s">
        <v>53</v>
      </c>
      <c r="AR79" s="36">
        <v>22.024881841789178</v>
      </c>
      <c r="AS79" s="37">
        <v>7.9487497410200723</v>
      </c>
      <c r="AT79" s="38" t="s">
        <v>53</v>
      </c>
      <c r="AU79" s="36">
        <v>28.047497769300083</v>
      </c>
      <c r="AV79" s="37">
        <v>4.8079336245254432</v>
      </c>
      <c r="AW79" s="38" t="s">
        <v>53</v>
      </c>
      <c r="AX79" s="36">
        <v>26.905787652961333</v>
      </c>
      <c r="AY79" s="37">
        <v>5.1269693414072091</v>
      </c>
      <c r="AZ79" s="38" t="s">
        <v>53</v>
      </c>
      <c r="BA79" s="36">
        <v>38.385549848005581</v>
      </c>
      <c r="BB79" s="37">
        <v>7.2342102664203853</v>
      </c>
      <c r="BC79" s="38" t="s">
        <v>53</v>
      </c>
      <c r="BD79" s="36">
        <v>36.253816280505653</v>
      </c>
      <c r="BE79" s="37">
        <v>5.7178240744932003</v>
      </c>
      <c r="BF79" s="38" t="s">
        <v>53</v>
      </c>
      <c r="BG79" s="36">
        <v>8.2063185112055681</v>
      </c>
      <c r="BH79" s="37">
        <v>7.8828450546258226</v>
      </c>
      <c r="BI79" s="38" t="s">
        <v>53</v>
      </c>
      <c r="BJ79" s="36">
        <v>18.275712653846487</v>
      </c>
      <c r="BK79" s="37">
        <v>3.6995369697257585</v>
      </c>
      <c r="BL79" s="38" t="s">
        <v>53</v>
      </c>
      <c r="BM79" s="36">
        <v>31.784509439157954</v>
      </c>
      <c r="BN79" s="37">
        <v>5.3273683129162173</v>
      </c>
      <c r="BO79" s="38" t="s">
        <v>53</v>
      </c>
      <c r="BP79" s="36">
        <v>39.183223554570382</v>
      </c>
      <c r="BQ79" s="37">
        <v>5.2677911173033793</v>
      </c>
      <c r="BR79" s="38" t="s">
        <v>53</v>
      </c>
      <c r="BS79" s="36">
        <v>36.74942435281185</v>
      </c>
      <c r="BT79" s="37">
        <v>6.8065680594726397</v>
      </c>
      <c r="BU79" s="38" t="s">
        <v>53</v>
      </c>
      <c r="BV79" s="36">
        <v>18.473711698965356</v>
      </c>
      <c r="BW79" s="37">
        <v>7.9742205128200228</v>
      </c>
      <c r="BX79" s="38" t="s">
        <v>53</v>
      </c>
      <c r="BY79" s="36">
        <v>25.254707991578751</v>
      </c>
      <c r="BZ79" s="37">
        <v>4.7673750746585943</v>
      </c>
      <c r="CA79" s="38" t="s">
        <v>53</v>
      </c>
      <c r="CB79" s="36">
        <v>36.912338877266862</v>
      </c>
      <c r="CC79" s="37">
        <v>5.3160284018408026</v>
      </c>
      <c r="CD79" s="38" t="s">
        <v>53</v>
      </c>
      <c r="CE79" s="36">
        <v>42.418313089624689</v>
      </c>
      <c r="CF79" s="37">
        <v>7.8017566731279313</v>
      </c>
      <c r="CG79" s="38" t="s">
        <v>53</v>
      </c>
      <c r="CH79" s="36">
        <v>32.504575122899624</v>
      </c>
      <c r="CI79" s="37">
        <v>5.8457439028973033</v>
      </c>
      <c r="CJ79" s="38" t="s">
        <v>53</v>
      </c>
      <c r="CK79" s="36">
        <v>7.2498671313208778</v>
      </c>
      <c r="CL79" s="37">
        <v>7.9619345478904657</v>
      </c>
      <c r="CM79" s="38" t="s">
        <v>53</v>
      </c>
      <c r="CN79" s="36">
        <v>24.70169369002685</v>
      </c>
      <c r="CO79" s="37">
        <v>4.8791832775376225</v>
      </c>
      <c r="CP79" s="38" t="s">
        <v>53</v>
      </c>
      <c r="CQ79" s="36">
        <v>40.151000918639234</v>
      </c>
      <c r="CR79" s="37">
        <v>6.4013717996344939</v>
      </c>
      <c r="CS79" s="38" t="s">
        <v>53</v>
      </c>
      <c r="CT79" s="36">
        <v>30.701467912739066</v>
      </c>
      <c r="CU79" s="37">
        <v>6.0338159566648422</v>
      </c>
      <c r="CV79" s="38" t="s">
        <v>53</v>
      </c>
      <c r="CW79" s="36">
        <v>40.821063220994382</v>
      </c>
      <c r="CX79" s="37">
        <v>6.8275339909980053</v>
      </c>
      <c r="CY79" s="38" t="s">
        <v>53</v>
      </c>
      <c r="CZ79" s="36">
        <v>16.119369530967536</v>
      </c>
      <c r="DA79" s="37">
        <v>8.663313279071831</v>
      </c>
      <c r="DB79" s="38" t="s">
        <v>53</v>
      </c>
      <c r="DC79" s="36">
        <v>31.424263332021816</v>
      </c>
      <c r="DD79" s="37">
        <v>3.2680573445988723</v>
      </c>
      <c r="DE79" s="38" t="s">
        <v>53</v>
      </c>
      <c r="DF79" s="36">
        <v>29.779051740518643</v>
      </c>
      <c r="DG79" s="37">
        <v>4.0542973361568491</v>
      </c>
      <c r="DH79" s="38" t="s">
        <v>53</v>
      </c>
      <c r="DI79" s="36">
        <v>-1.6452115915031718</v>
      </c>
      <c r="DJ79" s="37">
        <v>5.2703358911812694</v>
      </c>
      <c r="DK79" s="39" t="s">
        <v>53</v>
      </c>
    </row>
    <row r="80" spans="1:115" x14ac:dyDescent="0.25">
      <c r="A80" s="15" t="s">
        <v>193</v>
      </c>
      <c r="B80" s="36" t="s">
        <v>55</v>
      </c>
      <c r="C80" s="37" t="s">
        <v>55</v>
      </c>
      <c r="D80" s="38" t="s">
        <v>53</v>
      </c>
      <c r="E80" s="36" t="s">
        <v>55</v>
      </c>
      <c r="F80" s="37" t="s">
        <v>55</v>
      </c>
      <c r="G80" s="38" t="s">
        <v>53</v>
      </c>
      <c r="H80" s="36" t="s">
        <v>55</v>
      </c>
      <c r="I80" s="37" t="s">
        <v>55</v>
      </c>
      <c r="J80" s="38" t="s">
        <v>53</v>
      </c>
      <c r="K80" s="36" t="s">
        <v>55</v>
      </c>
      <c r="L80" s="37" t="s">
        <v>55</v>
      </c>
      <c r="M80" s="38" t="s">
        <v>53</v>
      </c>
      <c r="N80" s="36" t="s">
        <v>55</v>
      </c>
      <c r="O80" s="37" t="s">
        <v>55</v>
      </c>
      <c r="P80" s="38" t="s">
        <v>53</v>
      </c>
      <c r="Q80" s="36" t="s">
        <v>55</v>
      </c>
      <c r="R80" s="37" t="s">
        <v>55</v>
      </c>
      <c r="S80" s="38" t="s">
        <v>53</v>
      </c>
      <c r="T80" s="36" t="s">
        <v>55</v>
      </c>
      <c r="U80" s="37" t="s">
        <v>55</v>
      </c>
      <c r="V80" s="38" t="s">
        <v>53</v>
      </c>
      <c r="W80" s="36" t="s">
        <v>55</v>
      </c>
      <c r="X80" s="37" t="s">
        <v>55</v>
      </c>
      <c r="Y80" s="38" t="s">
        <v>53</v>
      </c>
      <c r="Z80" s="36" t="s">
        <v>55</v>
      </c>
      <c r="AA80" s="37" t="s">
        <v>55</v>
      </c>
      <c r="AB80" s="38" t="s">
        <v>53</v>
      </c>
      <c r="AC80" s="36" t="s">
        <v>55</v>
      </c>
      <c r="AD80" s="37" t="s">
        <v>55</v>
      </c>
      <c r="AE80" s="38" t="s">
        <v>53</v>
      </c>
      <c r="AF80" s="36" t="s">
        <v>55</v>
      </c>
      <c r="AG80" s="37" t="s">
        <v>55</v>
      </c>
      <c r="AH80" s="38" t="s">
        <v>53</v>
      </c>
      <c r="AI80" s="36" t="s">
        <v>55</v>
      </c>
      <c r="AJ80" s="37" t="s">
        <v>55</v>
      </c>
      <c r="AK80" s="38" t="s">
        <v>53</v>
      </c>
      <c r="AL80" s="36" t="s">
        <v>55</v>
      </c>
      <c r="AM80" s="37" t="s">
        <v>55</v>
      </c>
      <c r="AN80" s="38" t="s">
        <v>53</v>
      </c>
      <c r="AO80" s="36" t="s">
        <v>55</v>
      </c>
      <c r="AP80" s="37" t="s">
        <v>55</v>
      </c>
      <c r="AQ80" s="38" t="s">
        <v>53</v>
      </c>
      <c r="AR80" s="36" t="s">
        <v>55</v>
      </c>
      <c r="AS80" s="37" t="s">
        <v>55</v>
      </c>
      <c r="AT80" s="38" t="s">
        <v>53</v>
      </c>
      <c r="AU80" s="36" t="s">
        <v>55</v>
      </c>
      <c r="AV80" s="37" t="s">
        <v>55</v>
      </c>
      <c r="AW80" s="38" t="s">
        <v>53</v>
      </c>
      <c r="AX80" s="36" t="s">
        <v>55</v>
      </c>
      <c r="AY80" s="37" t="s">
        <v>55</v>
      </c>
      <c r="AZ80" s="38" t="s">
        <v>53</v>
      </c>
      <c r="BA80" s="36" t="s">
        <v>55</v>
      </c>
      <c r="BB80" s="37" t="s">
        <v>55</v>
      </c>
      <c r="BC80" s="38" t="s">
        <v>53</v>
      </c>
      <c r="BD80" s="36" t="s">
        <v>55</v>
      </c>
      <c r="BE80" s="37" t="s">
        <v>55</v>
      </c>
      <c r="BF80" s="38" t="s">
        <v>53</v>
      </c>
      <c r="BG80" s="36" t="s">
        <v>55</v>
      </c>
      <c r="BH80" s="37" t="s">
        <v>55</v>
      </c>
      <c r="BI80" s="38" t="s">
        <v>53</v>
      </c>
      <c r="BJ80" s="36" t="s">
        <v>55</v>
      </c>
      <c r="BK80" s="37" t="s">
        <v>55</v>
      </c>
      <c r="BL80" s="38" t="s">
        <v>53</v>
      </c>
      <c r="BM80" s="36" t="s">
        <v>55</v>
      </c>
      <c r="BN80" s="37" t="s">
        <v>55</v>
      </c>
      <c r="BO80" s="38" t="s">
        <v>53</v>
      </c>
      <c r="BP80" s="36" t="s">
        <v>55</v>
      </c>
      <c r="BQ80" s="37" t="s">
        <v>55</v>
      </c>
      <c r="BR80" s="38" t="s">
        <v>53</v>
      </c>
      <c r="BS80" s="36" t="s">
        <v>55</v>
      </c>
      <c r="BT80" s="37" t="s">
        <v>55</v>
      </c>
      <c r="BU80" s="38" t="s">
        <v>53</v>
      </c>
      <c r="BV80" s="36" t="s">
        <v>55</v>
      </c>
      <c r="BW80" s="37" t="s">
        <v>55</v>
      </c>
      <c r="BX80" s="38" t="s">
        <v>53</v>
      </c>
      <c r="BY80" s="36" t="s">
        <v>55</v>
      </c>
      <c r="BZ80" s="37" t="s">
        <v>55</v>
      </c>
      <c r="CA80" s="38" t="s">
        <v>53</v>
      </c>
      <c r="CB80" s="36" t="s">
        <v>55</v>
      </c>
      <c r="CC80" s="37" t="s">
        <v>55</v>
      </c>
      <c r="CD80" s="38" t="s">
        <v>53</v>
      </c>
      <c r="CE80" s="36" t="s">
        <v>55</v>
      </c>
      <c r="CF80" s="37" t="s">
        <v>55</v>
      </c>
      <c r="CG80" s="38" t="s">
        <v>53</v>
      </c>
      <c r="CH80" s="36" t="s">
        <v>55</v>
      </c>
      <c r="CI80" s="37" t="s">
        <v>55</v>
      </c>
      <c r="CJ80" s="38" t="s">
        <v>53</v>
      </c>
      <c r="CK80" s="36" t="s">
        <v>55</v>
      </c>
      <c r="CL80" s="37" t="s">
        <v>55</v>
      </c>
      <c r="CM80" s="38" t="s">
        <v>53</v>
      </c>
      <c r="CN80" s="36" t="s">
        <v>55</v>
      </c>
      <c r="CO80" s="37" t="s">
        <v>55</v>
      </c>
      <c r="CP80" s="38" t="s">
        <v>53</v>
      </c>
      <c r="CQ80" s="36" t="s">
        <v>55</v>
      </c>
      <c r="CR80" s="37" t="s">
        <v>55</v>
      </c>
      <c r="CS80" s="38" t="s">
        <v>53</v>
      </c>
      <c r="CT80" s="36" t="s">
        <v>55</v>
      </c>
      <c r="CU80" s="37" t="s">
        <v>55</v>
      </c>
      <c r="CV80" s="38" t="s">
        <v>53</v>
      </c>
      <c r="CW80" s="36" t="s">
        <v>55</v>
      </c>
      <c r="CX80" s="37" t="s">
        <v>55</v>
      </c>
      <c r="CY80" s="38" t="s">
        <v>53</v>
      </c>
      <c r="CZ80" s="36" t="s">
        <v>55</v>
      </c>
      <c r="DA80" s="37" t="s">
        <v>55</v>
      </c>
      <c r="DB80" s="38" t="s">
        <v>53</v>
      </c>
      <c r="DC80" s="36" t="s">
        <v>55</v>
      </c>
      <c r="DD80" s="37" t="s">
        <v>55</v>
      </c>
      <c r="DE80" s="38" t="s">
        <v>53</v>
      </c>
      <c r="DF80" s="36" t="s">
        <v>55</v>
      </c>
      <c r="DG80" s="37" t="s">
        <v>55</v>
      </c>
      <c r="DH80" s="38" t="s">
        <v>53</v>
      </c>
      <c r="DI80" s="36" t="s">
        <v>55</v>
      </c>
      <c r="DJ80" s="37" t="s">
        <v>55</v>
      </c>
      <c r="DK80" s="39" t="s">
        <v>53</v>
      </c>
    </row>
    <row r="81" spans="1:115" x14ac:dyDescent="0.25">
      <c r="A81" s="15" t="s">
        <v>194</v>
      </c>
      <c r="B81" s="36" t="s">
        <v>55</v>
      </c>
      <c r="C81" s="37" t="s">
        <v>55</v>
      </c>
      <c r="D81" s="38" t="s">
        <v>53</v>
      </c>
      <c r="E81" s="36" t="s">
        <v>55</v>
      </c>
      <c r="F81" s="37" t="s">
        <v>55</v>
      </c>
      <c r="G81" s="38" t="s">
        <v>53</v>
      </c>
      <c r="H81" s="36" t="s">
        <v>55</v>
      </c>
      <c r="I81" s="37" t="s">
        <v>55</v>
      </c>
      <c r="J81" s="38" t="s">
        <v>53</v>
      </c>
      <c r="K81" s="36" t="s">
        <v>55</v>
      </c>
      <c r="L81" s="37" t="s">
        <v>55</v>
      </c>
      <c r="M81" s="38" t="s">
        <v>53</v>
      </c>
      <c r="N81" s="36" t="s">
        <v>55</v>
      </c>
      <c r="O81" s="37" t="s">
        <v>55</v>
      </c>
      <c r="P81" s="38" t="s">
        <v>53</v>
      </c>
      <c r="Q81" s="36" t="s">
        <v>55</v>
      </c>
      <c r="R81" s="37" t="s">
        <v>55</v>
      </c>
      <c r="S81" s="38" t="s">
        <v>53</v>
      </c>
      <c r="T81" s="36" t="s">
        <v>55</v>
      </c>
      <c r="U81" s="37" t="s">
        <v>55</v>
      </c>
      <c r="V81" s="38" t="s">
        <v>53</v>
      </c>
      <c r="W81" s="36" t="s">
        <v>55</v>
      </c>
      <c r="X81" s="37" t="s">
        <v>55</v>
      </c>
      <c r="Y81" s="38" t="s">
        <v>53</v>
      </c>
      <c r="Z81" s="36" t="s">
        <v>55</v>
      </c>
      <c r="AA81" s="37" t="s">
        <v>55</v>
      </c>
      <c r="AB81" s="38" t="s">
        <v>53</v>
      </c>
      <c r="AC81" s="36" t="s">
        <v>55</v>
      </c>
      <c r="AD81" s="37" t="s">
        <v>55</v>
      </c>
      <c r="AE81" s="38" t="s">
        <v>53</v>
      </c>
      <c r="AF81" s="36" t="s">
        <v>55</v>
      </c>
      <c r="AG81" s="37" t="s">
        <v>55</v>
      </c>
      <c r="AH81" s="38" t="s">
        <v>53</v>
      </c>
      <c r="AI81" s="36" t="s">
        <v>55</v>
      </c>
      <c r="AJ81" s="37" t="s">
        <v>55</v>
      </c>
      <c r="AK81" s="38" t="s">
        <v>53</v>
      </c>
      <c r="AL81" s="36" t="s">
        <v>55</v>
      </c>
      <c r="AM81" s="37" t="s">
        <v>55</v>
      </c>
      <c r="AN81" s="38" t="s">
        <v>53</v>
      </c>
      <c r="AO81" s="36" t="s">
        <v>55</v>
      </c>
      <c r="AP81" s="37" t="s">
        <v>55</v>
      </c>
      <c r="AQ81" s="38" t="s">
        <v>53</v>
      </c>
      <c r="AR81" s="36" t="s">
        <v>55</v>
      </c>
      <c r="AS81" s="37" t="s">
        <v>55</v>
      </c>
      <c r="AT81" s="38" t="s">
        <v>53</v>
      </c>
      <c r="AU81" s="36" t="s">
        <v>55</v>
      </c>
      <c r="AV81" s="37" t="s">
        <v>55</v>
      </c>
      <c r="AW81" s="38" t="s">
        <v>53</v>
      </c>
      <c r="AX81" s="36" t="s">
        <v>55</v>
      </c>
      <c r="AY81" s="37" t="s">
        <v>55</v>
      </c>
      <c r="AZ81" s="38" t="s">
        <v>53</v>
      </c>
      <c r="BA81" s="36" t="s">
        <v>55</v>
      </c>
      <c r="BB81" s="37" t="s">
        <v>55</v>
      </c>
      <c r="BC81" s="38" t="s">
        <v>53</v>
      </c>
      <c r="BD81" s="36" t="s">
        <v>55</v>
      </c>
      <c r="BE81" s="37" t="s">
        <v>55</v>
      </c>
      <c r="BF81" s="38" t="s">
        <v>53</v>
      </c>
      <c r="BG81" s="36" t="s">
        <v>55</v>
      </c>
      <c r="BH81" s="37" t="s">
        <v>55</v>
      </c>
      <c r="BI81" s="38" t="s">
        <v>53</v>
      </c>
      <c r="BJ81" s="36" t="s">
        <v>55</v>
      </c>
      <c r="BK81" s="37" t="s">
        <v>55</v>
      </c>
      <c r="BL81" s="38" t="s">
        <v>53</v>
      </c>
      <c r="BM81" s="36" t="s">
        <v>55</v>
      </c>
      <c r="BN81" s="37" t="s">
        <v>55</v>
      </c>
      <c r="BO81" s="38" t="s">
        <v>53</v>
      </c>
      <c r="BP81" s="36" t="s">
        <v>55</v>
      </c>
      <c r="BQ81" s="37" t="s">
        <v>55</v>
      </c>
      <c r="BR81" s="38" t="s">
        <v>53</v>
      </c>
      <c r="BS81" s="36" t="s">
        <v>55</v>
      </c>
      <c r="BT81" s="37" t="s">
        <v>55</v>
      </c>
      <c r="BU81" s="38" t="s">
        <v>53</v>
      </c>
      <c r="BV81" s="36" t="s">
        <v>55</v>
      </c>
      <c r="BW81" s="37" t="s">
        <v>55</v>
      </c>
      <c r="BX81" s="38" t="s">
        <v>53</v>
      </c>
      <c r="BY81" s="36" t="s">
        <v>55</v>
      </c>
      <c r="BZ81" s="37" t="s">
        <v>55</v>
      </c>
      <c r="CA81" s="38" t="s">
        <v>53</v>
      </c>
      <c r="CB81" s="36" t="s">
        <v>55</v>
      </c>
      <c r="CC81" s="37" t="s">
        <v>55</v>
      </c>
      <c r="CD81" s="38" t="s">
        <v>53</v>
      </c>
      <c r="CE81" s="36" t="s">
        <v>55</v>
      </c>
      <c r="CF81" s="37" t="s">
        <v>55</v>
      </c>
      <c r="CG81" s="38" t="s">
        <v>53</v>
      </c>
      <c r="CH81" s="36" t="s">
        <v>55</v>
      </c>
      <c r="CI81" s="37" t="s">
        <v>55</v>
      </c>
      <c r="CJ81" s="38" t="s">
        <v>53</v>
      </c>
      <c r="CK81" s="36" t="s">
        <v>55</v>
      </c>
      <c r="CL81" s="37" t="s">
        <v>55</v>
      </c>
      <c r="CM81" s="38" t="s">
        <v>53</v>
      </c>
      <c r="CN81" s="36" t="s">
        <v>55</v>
      </c>
      <c r="CO81" s="37" t="s">
        <v>55</v>
      </c>
      <c r="CP81" s="38" t="s">
        <v>53</v>
      </c>
      <c r="CQ81" s="36" t="s">
        <v>55</v>
      </c>
      <c r="CR81" s="37" t="s">
        <v>55</v>
      </c>
      <c r="CS81" s="38" t="s">
        <v>53</v>
      </c>
      <c r="CT81" s="36" t="s">
        <v>55</v>
      </c>
      <c r="CU81" s="37" t="s">
        <v>55</v>
      </c>
      <c r="CV81" s="38" t="s">
        <v>53</v>
      </c>
      <c r="CW81" s="36" t="s">
        <v>55</v>
      </c>
      <c r="CX81" s="37" t="s">
        <v>55</v>
      </c>
      <c r="CY81" s="38" t="s">
        <v>53</v>
      </c>
      <c r="CZ81" s="36" t="s">
        <v>55</v>
      </c>
      <c r="DA81" s="37" t="s">
        <v>55</v>
      </c>
      <c r="DB81" s="38" t="s">
        <v>53</v>
      </c>
      <c r="DC81" s="36">
        <v>21.077231272028612</v>
      </c>
      <c r="DD81" s="37">
        <v>8.302186838951771</v>
      </c>
      <c r="DE81" s="38" t="s">
        <v>53</v>
      </c>
      <c r="DF81" s="36" t="s">
        <v>55</v>
      </c>
      <c r="DG81" s="37" t="s">
        <v>55</v>
      </c>
      <c r="DH81" s="38" t="s">
        <v>53</v>
      </c>
      <c r="DI81" s="36" t="s">
        <v>55</v>
      </c>
      <c r="DJ81" s="37" t="s">
        <v>55</v>
      </c>
      <c r="DK81" s="39" t="s">
        <v>53</v>
      </c>
    </row>
    <row r="82" spans="1:115" x14ac:dyDescent="0.25">
      <c r="A82" s="15" t="s">
        <v>195</v>
      </c>
      <c r="B82" s="36">
        <v>39.308274354136358</v>
      </c>
      <c r="C82" s="37">
        <v>7.0382679680399116</v>
      </c>
      <c r="D82" s="38" t="s">
        <v>53</v>
      </c>
      <c r="E82" s="36">
        <v>33.397369480314623</v>
      </c>
      <c r="F82" s="37">
        <v>8.6667013827716328</v>
      </c>
      <c r="G82" s="38" t="s">
        <v>53</v>
      </c>
      <c r="H82" s="36" t="s">
        <v>55</v>
      </c>
      <c r="I82" s="37" t="s">
        <v>55</v>
      </c>
      <c r="J82" s="38" t="s">
        <v>53</v>
      </c>
      <c r="K82" s="36">
        <v>73.136933063114427</v>
      </c>
      <c r="L82" s="37">
        <v>9.6683686802511222</v>
      </c>
      <c r="M82" s="38" t="s">
        <v>53</v>
      </c>
      <c r="N82" s="36">
        <v>33.828658708978068</v>
      </c>
      <c r="O82" s="37">
        <v>11.580519281263379</v>
      </c>
      <c r="P82" s="38" t="s">
        <v>53</v>
      </c>
      <c r="Q82" s="36">
        <v>51.093336695946903</v>
      </c>
      <c r="R82" s="37">
        <v>10.059577540263531</v>
      </c>
      <c r="S82" s="38" t="s">
        <v>53</v>
      </c>
      <c r="T82" s="36">
        <v>40.164361751894283</v>
      </c>
      <c r="U82" s="37">
        <v>7.908160017808104</v>
      </c>
      <c r="V82" s="38" t="s">
        <v>53</v>
      </c>
      <c r="W82" s="36">
        <v>44.538234643086746</v>
      </c>
      <c r="X82" s="37">
        <v>7.8477051805738167</v>
      </c>
      <c r="Y82" s="38" t="s">
        <v>53</v>
      </c>
      <c r="Z82" s="36">
        <v>34.671844845987401</v>
      </c>
      <c r="AA82" s="37">
        <v>9.2492678451642654</v>
      </c>
      <c r="AB82" s="38" t="s">
        <v>53</v>
      </c>
      <c r="AC82" s="36">
        <v>-16.421491849959498</v>
      </c>
      <c r="AD82" s="37">
        <v>14.972272866744065</v>
      </c>
      <c r="AE82" s="38" t="s">
        <v>53</v>
      </c>
      <c r="AF82" s="36">
        <v>44.182703421951771</v>
      </c>
      <c r="AG82" s="37">
        <v>8.6727555076521821</v>
      </c>
      <c r="AH82" s="38" t="s">
        <v>53</v>
      </c>
      <c r="AI82" s="36">
        <v>39.075104484885145</v>
      </c>
      <c r="AJ82" s="37">
        <v>6.1090469459195367</v>
      </c>
      <c r="AK82" s="38" t="s">
        <v>53</v>
      </c>
      <c r="AL82" s="36">
        <v>54.545316580874982</v>
      </c>
      <c r="AM82" s="37">
        <v>8.9711662543794137</v>
      </c>
      <c r="AN82" s="38" t="s">
        <v>53</v>
      </c>
      <c r="AO82" s="36">
        <v>35.962936580183147</v>
      </c>
      <c r="AP82" s="37">
        <v>10.434806059738714</v>
      </c>
      <c r="AQ82" s="38" t="s">
        <v>53</v>
      </c>
      <c r="AR82" s="36">
        <v>-8.2197668417686174</v>
      </c>
      <c r="AS82" s="37">
        <v>13.551237703999094</v>
      </c>
      <c r="AT82" s="38" t="s">
        <v>53</v>
      </c>
      <c r="AU82" s="36">
        <v>27.600975409339028</v>
      </c>
      <c r="AV82" s="37">
        <v>7.4423183799238064</v>
      </c>
      <c r="AW82" s="38" t="s">
        <v>53</v>
      </c>
      <c r="AX82" s="36">
        <v>47.477511114498313</v>
      </c>
      <c r="AY82" s="37">
        <v>8.0500158821194105</v>
      </c>
      <c r="AZ82" s="38" t="s">
        <v>53</v>
      </c>
      <c r="BA82" s="36">
        <v>82.565226709364453</v>
      </c>
      <c r="BB82" s="37">
        <v>7.9275188741301283</v>
      </c>
      <c r="BC82" s="38" t="s">
        <v>53</v>
      </c>
      <c r="BD82" s="36">
        <v>57.375020383714201</v>
      </c>
      <c r="BE82" s="37">
        <v>9.3866313843492222</v>
      </c>
      <c r="BF82" s="38" t="s">
        <v>53</v>
      </c>
      <c r="BG82" s="36">
        <v>29.774044974375162</v>
      </c>
      <c r="BH82" s="37">
        <v>11.420102193890228</v>
      </c>
      <c r="BI82" s="38" t="s">
        <v>53</v>
      </c>
      <c r="BJ82" s="36">
        <v>36.970697743669632</v>
      </c>
      <c r="BK82" s="37">
        <v>8.0910231953809433</v>
      </c>
      <c r="BL82" s="38" t="s">
        <v>53</v>
      </c>
      <c r="BM82" s="36">
        <v>40.609985316913168</v>
      </c>
      <c r="BN82" s="37">
        <v>6.5530593468691789</v>
      </c>
      <c r="BO82" s="38" t="s">
        <v>53</v>
      </c>
      <c r="BP82" s="36">
        <v>44.551016002332375</v>
      </c>
      <c r="BQ82" s="37">
        <v>9.8437955097616037</v>
      </c>
      <c r="BR82" s="38" t="s">
        <v>53</v>
      </c>
      <c r="BS82" s="36">
        <v>52.639108346701732</v>
      </c>
      <c r="BT82" s="37">
        <v>10.784306325503453</v>
      </c>
      <c r="BU82" s="38" t="s">
        <v>53</v>
      </c>
      <c r="BV82" s="36">
        <v>15.668410603032099</v>
      </c>
      <c r="BW82" s="37">
        <v>13.081705665741275</v>
      </c>
      <c r="BX82" s="38" t="s">
        <v>53</v>
      </c>
      <c r="BY82" s="36">
        <v>38.836027960729723</v>
      </c>
      <c r="BZ82" s="37">
        <v>10.864184585864702</v>
      </c>
      <c r="CA82" s="38" t="s">
        <v>53</v>
      </c>
      <c r="CB82" s="36">
        <v>44.952672029668918</v>
      </c>
      <c r="CC82" s="37">
        <v>11.524845592844855</v>
      </c>
      <c r="CD82" s="38" t="s">
        <v>53</v>
      </c>
      <c r="CE82" s="36" t="s">
        <v>55</v>
      </c>
      <c r="CF82" s="37" t="s">
        <v>55</v>
      </c>
      <c r="CG82" s="38" t="s">
        <v>53</v>
      </c>
      <c r="CH82" s="36" t="s">
        <v>55</v>
      </c>
      <c r="CI82" s="37" t="s">
        <v>55</v>
      </c>
      <c r="CJ82" s="38" t="s">
        <v>53</v>
      </c>
      <c r="CK82" s="36" t="s">
        <v>55</v>
      </c>
      <c r="CL82" s="37" t="s">
        <v>55</v>
      </c>
      <c r="CM82" s="38" t="s">
        <v>53</v>
      </c>
      <c r="CN82" s="36">
        <v>40.590466812960365</v>
      </c>
      <c r="CO82" s="37">
        <v>11.690353608276393</v>
      </c>
      <c r="CP82" s="38" t="s">
        <v>53</v>
      </c>
      <c r="CQ82" s="36">
        <v>36.553104309357401</v>
      </c>
      <c r="CR82" s="37">
        <v>8.2230249286372512</v>
      </c>
      <c r="CS82" s="38" t="s">
        <v>53</v>
      </c>
      <c r="CT82" s="36">
        <v>60.649015787811365</v>
      </c>
      <c r="CU82" s="37">
        <v>10.292013327647098</v>
      </c>
      <c r="CV82" s="38" t="s">
        <v>53</v>
      </c>
      <c r="CW82" s="36">
        <v>69.386572513750608</v>
      </c>
      <c r="CX82" s="37">
        <v>9.7876462513841567</v>
      </c>
      <c r="CY82" s="38" t="s">
        <v>53</v>
      </c>
      <c r="CZ82" s="36">
        <v>28.796105700790246</v>
      </c>
      <c r="DA82" s="37">
        <v>13.430579586835631</v>
      </c>
      <c r="DB82" s="38" t="s">
        <v>53</v>
      </c>
      <c r="DC82" s="36">
        <v>35.004260233203723</v>
      </c>
      <c r="DD82" s="37">
        <v>5.8032303879302445</v>
      </c>
      <c r="DE82" s="38" t="s">
        <v>53</v>
      </c>
      <c r="DF82" s="36">
        <v>67.608395551361383</v>
      </c>
      <c r="DG82" s="37">
        <v>7.305489220908294</v>
      </c>
      <c r="DH82" s="38" t="s">
        <v>53</v>
      </c>
      <c r="DI82" s="36">
        <v>32.60413531815766</v>
      </c>
      <c r="DJ82" s="37">
        <v>9.0236814266036571</v>
      </c>
      <c r="DK82" s="39" t="s">
        <v>53</v>
      </c>
    </row>
    <row r="83" spans="1:115" x14ac:dyDescent="0.25">
      <c r="A83" s="15" t="s">
        <v>196</v>
      </c>
      <c r="B83" s="36" t="s">
        <v>55</v>
      </c>
      <c r="C83" s="37" t="s">
        <v>55</v>
      </c>
      <c r="D83" s="38" t="s">
        <v>53</v>
      </c>
      <c r="E83" s="36" t="s">
        <v>55</v>
      </c>
      <c r="F83" s="37" t="s">
        <v>55</v>
      </c>
      <c r="G83" s="38" t="s">
        <v>53</v>
      </c>
      <c r="H83" s="36" t="s">
        <v>55</v>
      </c>
      <c r="I83" s="37" t="s">
        <v>55</v>
      </c>
      <c r="J83" s="38" t="s">
        <v>53</v>
      </c>
      <c r="K83" s="36" t="s">
        <v>55</v>
      </c>
      <c r="L83" s="37" t="s">
        <v>55</v>
      </c>
      <c r="M83" s="38" t="s">
        <v>53</v>
      </c>
      <c r="N83" s="36" t="s">
        <v>55</v>
      </c>
      <c r="O83" s="37" t="s">
        <v>55</v>
      </c>
      <c r="P83" s="38" t="s">
        <v>53</v>
      </c>
      <c r="Q83" s="36" t="s">
        <v>55</v>
      </c>
      <c r="R83" s="37" t="s">
        <v>55</v>
      </c>
      <c r="S83" s="38" t="s">
        <v>53</v>
      </c>
      <c r="T83" s="36" t="s">
        <v>55</v>
      </c>
      <c r="U83" s="37" t="s">
        <v>55</v>
      </c>
      <c r="V83" s="38" t="s">
        <v>53</v>
      </c>
      <c r="W83" s="36" t="s">
        <v>55</v>
      </c>
      <c r="X83" s="37" t="s">
        <v>55</v>
      </c>
      <c r="Y83" s="38" t="s">
        <v>53</v>
      </c>
      <c r="Z83" s="36" t="s">
        <v>55</v>
      </c>
      <c r="AA83" s="37" t="s">
        <v>55</v>
      </c>
      <c r="AB83" s="38" t="s">
        <v>53</v>
      </c>
      <c r="AC83" s="36" t="s">
        <v>55</v>
      </c>
      <c r="AD83" s="37" t="s">
        <v>55</v>
      </c>
      <c r="AE83" s="38" t="s">
        <v>53</v>
      </c>
      <c r="AF83" s="36" t="s">
        <v>55</v>
      </c>
      <c r="AG83" s="37" t="s">
        <v>55</v>
      </c>
      <c r="AH83" s="38" t="s">
        <v>53</v>
      </c>
      <c r="AI83" s="36" t="s">
        <v>55</v>
      </c>
      <c r="AJ83" s="37" t="s">
        <v>55</v>
      </c>
      <c r="AK83" s="38" t="s">
        <v>53</v>
      </c>
      <c r="AL83" s="36" t="s">
        <v>55</v>
      </c>
      <c r="AM83" s="37" t="s">
        <v>55</v>
      </c>
      <c r="AN83" s="38" t="s">
        <v>53</v>
      </c>
      <c r="AO83" s="36" t="s">
        <v>55</v>
      </c>
      <c r="AP83" s="37" t="s">
        <v>55</v>
      </c>
      <c r="AQ83" s="38" t="s">
        <v>53</v>
      </c>
      <c r="AR83" s="36" t="s">
        <v>55</v>
      </c>
      <c r="AS83" s="37" t="s">
        <v>55</v>
      </c>
      <c r="AT83" s="38" t="s">
        <v>53</v>
      </c>
      <c r="AU83" s="36" t="s">
        <v>55</v>
      </c>
      <c r="AV83" s="37" t="s">
        <v>55</v>
      </c>
      <c r="AW83" s="38" t="s">
        <v>53</v>
      </c>
      <c r="AX83" s="36" t="s">
        <v>55</v>
      </c>
      <c r="AY83" s="37" t="s">
        <v>55</v>
      </c>
      <c r="AZ83" s="38" t="s">
        <v>53</v>
      </c>
      <c r="BA83" s="36" t="s">
        <v>55</v>
      </c>
      <c r="BB83" s="37" t="s">
        <v>55</v>
      </c>
      <c r="BC83" s="38" t="s">
        <v>53</v>
      </c>
      <c r="BD83" s="36" t="s">
        <v>55</v>
      </c>
      <c r="BE83" s="37" t="s">
        <v>55</v>
      </c>
      <c r="BF83" s="38" t="s">
        <v>53</v>
      </c>
      <c r="BG83" s="36" t="s">
        <v>55</v>
      </c>
      <c r="BH83" s="37" t="s">
        <v>55</v>
      </c>
      <c r="BI83" s="38" t="s">
        <v>53</v>
      </c>
      <c r="BJ83" s="36" t="s">
        <v>55</v>
      </c>
      <c r="BK83" s="37" t="s">
        <v>55</v>
      </c>
      <c r="BL83" s="38" t="s">
        <v>53</v>
      </c>
      <c r="BM83" s="36" t="s">
        <v>55</v>
      </c>
      <c r="BN83" s="37" t="s">
        <v>55</v>
      </c>
      <c r="BO83" s="38" t="s">
        <v>53</v>
      </c>
      <c r="BP83" s="36" t="s">
        <v>55</v>
      </c>
      <c r="BQ83" s="37" t="s">
        <v>55</v>
      </c>
      <c r="BR83" s="38" t="s">
        <v>53</v>
      </c>
      <c r="BS83" s="36" t="s">
        <v>55</v>
      </c>
      <c r="BT83" s="37" t="s">
        <v>55</v>
      </c>
      <c r="BU83" s="38" t="s">
        <v>53</v>
      </c>
      <c r="BV83" s="36" t="s">
        <v>55</v>
      </c>
      <c r="BW83" s="37" t="s">
        <v>55</v>
      </c>
      <c r="BX83" s="38" t="s">
        <v>53</v>
      </c>
      <c r="BY83" s="36" t="s">
        <v>55</v>
      </c>
      <c r="BZ83" s="37" t="s">
        <v>55</v>
      </c>
      <c r="CA83" s="38" t="s">
        <v>53</v>
      </c>
      <c r="CB83" s="36" t="s">
        <v>55</v>
      </c>
      <c r="CC83" s="37" t="s">
        <v>55</v>
      </c>
      <c r="CD83" s="38" t="s">
        <v>53</v>
      </c>
      <c r="CE83" s="36" t="s">
        <v>55</v>
      </c>
      <c r="CF83" s="37" t="s">
        <v>55</v>
      </c>
      <c r="CG83" s="38" t="s">
        <v>53</v>
      </c>
      <c r="CH83" s="36" t="s">
        <v>55</v>
      </c>
      <c r="CI83" s="37" t="s">
        <v>55</v>
      </c>
      <c r="CJ83" s="38" t="s">
        <v>53</v>
      </c>
      <c r="CK83" s="36" t="s">
        <v>55</v>
      </c>
      <c r="CL83" s="37" t="s">
        <v>55</v>
      </c>
      <c r="CM83" s="38" t="s">
        <v>53</v>
      </c>
      <c r="CN83" s="36" t="s">
        <v>55</v>
      </c>
      <c r="CO83" s="37" t="s">
        <v>55</v>
      </c>
      <c r="CP83" s="38" t="s">
        <v>53</v>
      </c>
      <c r="CQ83" s="36" t="s">
        <v>55</v>
      </c>
      <c r="CR83" s="37" t="s">
        <v>55</v>
      </c>
      <c r="CS83" s="38" t="s">
        <v>53</v>
      </c>
      <c r="CT83" s="36" t="s">
        <v>55</v>
      </c>
      <c r="CU83" s="37" t="s">
        <v>55</v>
      </c>
      <c r="CV83" s="38" t="s">
        <v>53</v>
      </c>
      <c r="CW83" s="36" t="s">
        <v>55</v>
      </c>
      <c r="CX83" s="37" t="s">
        <v>55</v>
      </c>
      <c r="CY83" s="38" t="s">
        <v>53</v>
      </c>
      <c r="CZ83" s="36" t="s">
        <v>55</v>
      </c>
      <c r="DA83" s="37" t="s">
        <v>55</v>
      </c>
      <c r="DB83" s="38" t="s">
        <v>53</v>
      </c>
      <c r="DC83" s="36" t="s">
        <v>55</v>
      </c>
      <c r="DD83" s="37" t="s">
        <v>55</v>
      </c>
      <c r="DE83" s="38" t="s">
        <v>53</v>
      </c>
      <c r="DF83" s="36" t="s">
        <v>55</v>
      </c>
      <c r="DG83" s="37" t="s">
        <v>55</v>
      </c>
      <c r="DH83" s="38" t="s">
        <v>53</v>
      </c>
      <c r="DI83" s="36" t="s">
        <v>55</v>
      </c>
      <c r="DJ83" s="37" t="s">
        <v>55</v>
      </c>
      <c r="DK83" s="39" t="s">
        <v>53</v>
      </c>
    </row>
    <row r="84" spans="1:115" x14ac:dyDescent="0.25">
      <c r="A84" s="15" t="s">
        <v>197</v>
      </c>
      <c r="B84" s="36">
        <v>0</v>
      </c>
      <c r="C84" s="37" t="s">
        <v>56</v>
      </c>
      <c r="D84" s="38" t="s">
        <v>53</v>
      </c>
      <c r="E84" s="36" t="s">
        <v>55</v>
      </c>
      <c r="F84" s="37" t="s">
        <v>55</v>
      </c>
      <c r="G84" s="38" t="s">
        <v>53</v>
      </c>
      <c r="H84" s="36" t="s">
        <v>55</v>
      </c>
      <c r="I84" s="37" t="s">
        <v>55</v>
      </c>
      <c r="J84" s="38" t="s">
        <v>53</v>
      </c>
      <c r="K84" s="36" t="s">
        <v>55</v>
      </c>
      <c r="L84" s="37" t="s">
        <v>55</v>
      </c>
      <c r="M84" s="38" t="s">
        <v>53</v>
      </c>
      <c r="N84" s="36" t="s">
        <v>55</v>
      </c>
      <c r="O84" s="37" t="s">
        <v>55</v>
      </c>
      <c r="P84" s="38" t="s">
        <v>53</v>
      </c>
      <c r="Q84" s="36" t="s">
        <v>55</v>
      </c>
      <c r="R84" s="37" t="s">
        <v>55</v>
      </c>
      <c r="S84" s="38" t="s">
        <v>53</v>
      </c>
      <c r="T84" s="36" t="s">
        <v>55</v>
      </c>
      <c r="U84" s="37" t="s">
        <v>55</v>
      </c>
      <c r="V84" s="38" t="s">
        <v>53</v>
      </c>
      <c r="W84" s="36" t="s">
        <v>55</v>
      </c>
      <c r="X84" s="37" t="s">
        <v>55</v>
      </c>
      <c r="Y84" s="38" t="s">
        <v>53</v>
      </c>
      <c r="Z84" s="36" t="s">
        <v>55</v>
      </c>
      <c r="AA84" s="37" t="s">
        <v>55</v>
      </c>
      <c r="AB84" s="38" t="s">
        <v>53</v>
      </c>
      <c r="AC84" s="36" t="s">
        <v>55</v>
      </c>
      <c r="AD84" s="37" t="s">
        <v>55</v>
      </c>
      <c r="AE84" s="38" t="s">
        <v>53</v>
      </c>
      <c r="AF84" s="36">
        <v>7.5191053953565197</v>
      </c>
      <c r="AG84" s="37">
        <v>4.2984885336241803</v>
      </c>
      <c r="AH84" s="38" t="s">
        <v>53</v>
      </c>
      <c r="AI84" s="36" t="s">
        <v>55</v>
      </c>
      <c r="AJ84" s="37" t="s">
        <v>55</v>
      </c>
      <c r="AK84" s="38" t="s">
        <v>53</v>
      </c>
      <c r="AL84" s="36" t="s">
        <v>55</v>
      </c>
      <c r="AM84" s="37" t="s">
        <v>55</v>
      </c>
      <c r="AN84" s="38" t="s">
        <v>53</v>
      </c>
      <c r="AO84" s="36" t="s">
        <v>55</v>
      </c>
      <c r="AP84" s="37" t="s">
        <v>55</v>
      </c>
      <c r="AQ84" s="38" t="s">
        <v>53</v>
      </c>
      <c r="AR84" s="36" t="s">
        <v>55</v>
      </c>
      <c r="AS84" s="37" t="s">
        <v>55</v>
      </c>
      <c r="AT84" s="38" t="s">
        <v>53</v>
      </c>
      <c r="AU84" s="36">
        <v>6.7891796468669163</v>
      </c>
      <c r="AV84" s="37">
        <v>5.2365767895262616</v>
      </c>
      <c r="AW84" s="38" t="s">
        <v>53</v>
      </c>
      <c r="AX84" s="36" t="s">
        <v>55</v>
      </c>
      <c r="AY84" s="37" t="s">
        <v>55</v>
      </c>
      <c r="AZ84" s="38" t="s">
        <v>53</v>
      </c>
      <c r="BA84" s="36" t="s">
        <v>55</v>
      </c>
      <c r="BB84" s="37" t="s">
        <v>55</v>
      </c>
      <c r="BC84" s="38" t="s">
        <v>53</v>
      </c>
      <c r="BD84" s="36" t="s">
        <v>55</v>
      </c>
      <c r="BE84" s="37" t="s">
        <v>55</v>
      </c>
      <c r="BF84" s="38" t="s">
        <v>53</v>
      </c>
      <c r="BG84" s="36" t="s">
        <v>55</v>
      </c>
      <c r="BH84" s="37" t="s">
        <v>55</v>
      </c>
      <c r="BI84" s="38" t="s">
        <v>53</v>
      </c>
      <c r="BJ84" s="36">
        <v>8.6334575977460304</v>
      </c>
      <c r="BK84" s="37">
        <v>6.0438371126317296</v>
      </c>
      <c r="BL84" s="38" t="s">
        <v>53</v>
      </c>
      <c r="BM84" s="36" t="s">
        <v>55</v>
      </c>
      <c r="BN84" s="37" t="s">
        <v>55</v>
      </c>
      <c r="BO84" s="38" t="s">
        <v>53</v>
      </c>
      <c r="BP84" s="36" t="s">
        <v>55</v>
      </c>
      <c r="BQ84" s="37" t="s">
        <v>55</v>
      </c>
      <c r="BR84" s="38" t="s">
        <v>53</v>
      </c>
      <c r="BS84" s="36" t="s">
        <v>55</v>
      </c>
      <c r="BT84" s="37" t="s">
        <v>55</v>
      </c>
      <c r="BU84" s="38" t="s">
        <v>53</v>
      </c>
      <c r="BV84" s="36" t="s">
        <v>55</v>
      </c>
      <c r="BW84" s="37" t="s">
        <v>55</v>
      </c>
      <c r="BX84" s="38" t="s">
        <v>53</v>
      </c>
      <c r="BY84" s="36" t="s">
        <v>55</v>
      </c>
      <c r="BZ84" s="37" t="s">
        <v>55</v>
      </c>
      <c r="CA84" s="38" t="s">
        <v>53</v>
      </c>
      <c r="CB84" s="36" t="s">
        <v>55</v>
      </c>
      <c r="CC84" s="37" t="s">
        <v>55</v>
      </c>
      <c r="CD84" s="38" t="s">
        <v>53</v>
      </c>
      <c r="CE84" s="36" t="s">
        <v>55</v>
      </c>
      <c r="CF84" s="37" t="s">
        <v>55</v>
      </c>
      <c r="CG84" s="38" t="s">
        <v>53</v>
      </c>
      <c r="CH84" s="36" t="s">
        <v>55</v>
      </c>
      <c r="CI84" s="37" t="s">
        <v>55</v>
      </c>
      <c r="CJ84" s="38" t="s">
        <v>53</v>
      </c>
      <c r="CK84" s="36" t="s">
        <v>55</v>
      </c>
      <c r="CL84" s="37" t="s">
        <v>55</v>
      </c>
      <c r="CM84" s="38" t="s">
        <v>53</v>
      </c>
      <c r="CN84" s="36" t="s">
        <v>55</v>
      </c>
      <c r="CO84" s="37" t="s">
        <v>55</v>
      </c>
      <c r="CP84" s="38" t="s">
        <v>53</v>
      </c>
      <c r="CQ84" s="36" t="s">
        <v>55</v>
      </c>
      <c r="CR84" s="37" t="s">
        <v>55</v>
      </c>
      <c r="CS84" s="38" t="s">
        <v>53</v>
      </c>
      <c r="CT84" s="36" t="s">
        <v>55</v>
      </c>
      <c r="CU84" s="37" t="s">
        <v>55</v>
      </c>
      <c r="CV84" s="38" t="s">
        <v>53</v>
      </c>
      <c r="CW84" s="36" t="s">
        <v>55</v>
      </c>
      <c r="CX84" s="37" t="s">
        <v>55</v>
      </c>
      <c r="CY84" s="38" t="s">
        <v>53</v>
      </c>
      <c r="CZ84" s="36" t="s">
        <v>55</v>
      </c>
      <c r="DA84" s="37" t="s">
        <v>55</v>
      </c>
      <c r="DB84" s="38" t="s">
        <v>53</v>
      </c>
      <c r="DC84" s="36">
        <v>5.2987241042415771</v>
      </c>
      <c r="DD84" s="37">
        <v>4.1330266472129544</v>
      </c>
      <c r="DE84" s="38" t="s">
        <v>53</v>
      </c>
      <c r="DF84" s="36">
        <v>20.320049085923248</v>
      </c>
      <c r="DG84" s="37">
        <v>9.1102085155368364</v>
      </c>
      <c r="DH84" s="38" t="s">
        <v>53</v>
      </c>
      <c r="DI84" s="36">
        <v>15.021324981681678</v>
      </c>
      <c r="DJ84" s="37">
        <v>7.7930062002053724</v>
      </c>
      <c r="DK84" s="39" t="s">
        <v>53</v>
      </c>
    </row>
    <row r="85" spans="1:115" x14ac:dyDescent="0.25">
      <c r="A85" s="15" t="s">
        <v>198</v>
      </c>
      <c r="B85" s="36">
        <v>29.991969917295023</v>
      </c>
      <c r="C85" s="37">
        <v>1.2748492811481964</v>
      </c>
      <c r="D85" s="38" t="s">
        <v>53</v>
      </c>
      <c r="E85" s="36">
        <v>35.927950873028422</v>
      </c>
      <c r="F85" s="37">
        <v>1.2728477874480246</v>
      </c>
      <c r="G85" s="38" t="s">
        <v>53</v>
      </c>
      <c r="H85" s="36">
        <v>44.160525817428528</v>
      </c>
      <c r="I85" s="37">
        <v>1.3002017077737369</v>
      </c>
      <c r="J85" s="38" t="s">
        <v>53</v>
      </c>
      <c r="K85" s="36">
        <v>43.064115054007949</v>
      </c>
      <c r="L85" s="37">
        <v>1.1901643354976563</v>
      </c>
      <c r="M85" s="38" t="s">
        <v>53</v>
      </c>
      <c r="N85" s="36">
        <v>13.072145136712928</v>
      </c>
      <c r="O85" s="37">
        <v>1.8661174369640148</v>
      </c>
      <c r="P85" s="38" t="s">
        <v>53</v>
      </c>
      <c r="Q85" s="36">
        <v>34.081501858383277</v>
      </c>
      <c r="R85" s="37">
        <v>1.2341191670868881</v>
      </c>
      <c r="S85" s="38" t="s">
        <v>53</v>
      </c>
      <c r="T85" s="36">
        <v>41.544250006611698</v>
      </c>
      <c r="U85" s="37">
        <v>1.1998690025841876</v>
      </c>
      <c r="V85" s="38" t="s">
        <v>53</v>
      </c>
      <c r="W85" s="36">
        <v>37.318060344208568</v>
      </c>
      <c r="X85" s="37">
        <v>1.3589522601561295</v>
      </c>
      <c r="Y85" s="38" t="s">
        <v>53</v>
      </c>
      <c r="Z85" s="36">
        <v>34.708116855237783</v>
      </c>
      <c r="AA85" s="37">
        <v>1.258748588445479</v>
      </c>
      <c r="AB85" s="38" t="s">
        <v>53</v>
      </c>
      <c r="AC85" s="36">
        <v>0.62661499685451871</v>
      </c>
      <c r="AD85" s="37">
        <v>1.8093822873507484</v>
      </c>
      <c r="AE85" s="38" t="s">
        <v>53</v>
      </c>
      <c r="AF85" s="36">
        <v>30.833754644137514</v>
      </c>
      <c r="AG85" s="37">
        <v>1.2575938193048064</v>
      </c>
      <c r="AH85" s="38" t="s">
        <v>53</v>
      </c>
      <c r="AI85" s="36">
        <v>36.122284746737122</v>
      </c>
      <c r="AJ85" s="37">
        <v>1.1602551424309557</v>
      </c>
      <c r="AK85" s="38" t="s">
        <v>53</v>
      </c>
      <c r="AL85" s="36">
        <v>36.162900721194099</v>
      </c>
      <c r="AM85" s="37">
        <v>1.1751930400768786</v>
      </c>
      <c r="AN85" s="38" t="s">
        <v>53</v>
      </c>
      <c r="AO85" s="36">
        <v>44.285937196097507</v>
      </c>
      <c r="AP85" s="37">
        <v>1.0786580240720522</v>
      </c>
      <c r="AQ85" s="38" t="s">
        <v>53</v>
      </c>
      <c r="AR85" s="36">
        <v>13.452182551959998</v>
      </c>
      <c r="AS85" s="37">
        <v>1.7638811886292123</v>
      </c>
      <c r="AT85" s="38" t="s">
        <v>53</v>
      </c>
      <c r="AU85" s="36">
        <v>34.724317098857192</v>
      </c>
      <c r="AV85" s="37">
        <v>1.2678000627021269</v>
      </c>
      <c r="AW85" s="38" t="s">
        <v>53</v>
      </c>
      <c r="AX85" s="36">
        <v>36.843427270282284</v>
      </c>
      <c r="AY85" s="37">
        <v>1.3738399020291991</v>
      </c>
      <c r="AZ85" s="38" t="s">
        <v>53</v>
      </c>
      <c r="BA85" s="36">
        <v>39.417499919881244</v>
      </c>
      <c r="BB85" s="37">
        <v>1.2929918003531902</v>
      </c>
      <c r="BC85" s="38" t="s">
        <v>53</v>
      </c>
      <c r="BD85" s="36">
        <v>42.113081898090066</v>
      </c>
      <c r="BE85" s="37">
        <v>1.3689845444484423</v>
      </c>
      <c r="BF85" s="38" t="s">
        <v>53</v>
      </c>
      <c r="BG85" s="36">
        <v>7.3887647992328773</v>
      </c>
      <c r="BH85" s="37">
        <v>1.8734800639889637</v>
      </c>
      <c r="BI85" s="38" t="s">
        <v>53</v>
      </c>
      <c r="BJ85" s="36">
        <v>23.228695176847125</v>
      </c>
      <c r="BK85" s="37">
        <v>1.1269320859690661</v>
      </c>
      <c r="BL85" s="38" t="s">
        <v>53</v>
      </c>
      <c r="BM85" s="36">
        <v>32.142754296860609</v>
      </c>
      <c r="BN85" s="37">
        <v>1.1306532126237894</v>
      </c>
      <c r="BO85" s="38" t="s">
        <v>53</v>
      </c>
      <c r="BP85" s="36">
        <v>42.013661419924077</v>
      </c>
      <c r="BQ85" s="37">
        <v>1.1760916786502287</v>
      </c>
      <c r="BR85" s="38" t="s">
        <v>53</v>
      </c>
      <c r="BS85" s="36">
        <v>46.745668269093798</v>
      </c>
      <c r="BT85" s="37">
        <v>1.2709235664497487</v>
      </c>
      <c r="BU85" s="38" t="s">
        <v>53</v>
      </c>
      <c r="BV85" s="36">
        <v>23.51697309224668</v>
      </c>
      <c r="BW85" s="37">
        <v>1.7721276998040336</v>
      </c>
      <c r="BX85" s="38" t="s">
        <v>53</v>
      </c>
      <c r="BY85" s="36">
        <v>34.922630571704637</v>
      </c>
      <c r="BZ85" s="37">
        <v>1.2629612790921334</v>
      </c>
      <c r="CA85" s="38" t="s">
        <v>53</v>
      </c>
      <c r="CB85" s="36">
        <v>40.925659419977769</v>
      </c>
      <c r="CC85" s="37">
        <v>1.3092645333054114</v>
      </c>
      <c r="CD85" s="38" t="s">
        <v>53</v>
      </c>
      <c r="CE85" s="36">
        <v>41.844378796739392</v>
      </c>
      <c r="CF85" s="37">
        <v>1.3611185062154194</v>
      </c>
      <c r="CG85" s="38" t="s">
        <v>53</v>
      </c>
      <c r="CH85" s="36">
        <v>37.970932364800028</v>
      </c>
      <c r="CI85" s="37">
        <v>1.235339758813145</v>
      </c>
      <c r="CJ85" s="38" t="s">
        <v>53</v>
      </c>
      <c r="CK85" s="36">
        <v>3.0483017930953995</v>
      </c>
      <c r="CL85" s="37">
        <v>1.9265166609520046</v>
      </c>
      <c r="CM85" s="38" t="s">
        <v>53</v>
      </c>
      <c r="CN85" s="36">
        <v>35.748016502568177</v>
      </c>
      <c r="CO85" s="37">
        <v>1.3594528495830729</v>
      </c>
      <c r="CP85" s="38" t="s">
        <v>53</v>
      </c>
      <c r="CQ85" s="36">
        <v>38.226399166829758</v>
      </c>
      <c r="CR85" s="37">
        <v>1.2738129319430314</v>
      </c>
      <c r="CS85" s="38" t="s">
        <v>53</v>
      </c>
      <c r="CT85" s="36">
        <v>39.433155867271743</v>
      </c>
      <c r="CU85" s="37">
        <v>1.3071496538805907</v>
      </c>
      <c r="CV85" s="38" t="s">
        <v>53</v>
      </c>
      <c r="CW85" s="36">
        <v>41.592103830721818</v>
      </c>
      <c r="CX85" s="37">
        <v>1.1651517787694559</v>
      </c>
      <c r="CY85" s="38" t="s">
        <v>53</v>
      </c>
      <c r="CZ85" s="36">
        <v>5.8440873281536536</v>
      </c>
      <c r="DA85" s="37">
        <v>1.8860465024837985</v>
      </c>
      <c r="DB85" s="38" t="s">
        <v>53</v>
      </c>
      <c r="DC85" s="36">
        <v>24.708773372676973</v>
      </c>
      <c r="DD85" s="37">
        <v>0.88132089903240185</v>
      </c>
      <c r="DE85" s="38" t="s">
        <v>53</v>
      </c>
      <c r="DF85" s="36">
        <v>49.151342234014301</v>
      </c>
      <c r="DG85" s="37">
        <v>0.81376739197530334</v>
      </c>
      <c r="DH85" s="38" t="s">
        <v>53</v>
      </c>
      <c r="DI85" s="36">
        <v>24.442568861337332</v>
      </c>
      <c r="DJ85" s="37">
        <v>1.3470914302672707</v>
      </c>
      <c r="DK85" s="39" t="s">
        <v>53</v>
      </c>
    </row>
    <row r="86" spans="1:115" x14ac:dyDescent="0.25">
      <c r="A86" s="15" t="s">
        <v>199</v>
      </c>
      <c r="B86" s="36" t="s">
        <v>55</v>
      </c>
      <c r="C86" s="37" t="s">
        <v>55</v>
      </c>
      <c r="D86" s="38" t="s">
        <v>53</v>
      </c>
      <c r="E86" s="36" t="s">
        <v>55</v>
      </c>
      <c r="F86" s="37" t="s">
        <v>55</v>
      </c>
      <c r="G86" s="38" t="s">
        <v>53</v>
      </c>
      <c r="H86" s="36" t="s">
        <v>55</v>
      </c>
      <c r="I86" s="37" t="s">
        <v>55</v>
      </c>
      <c r="J86" s="38" t="s">
        <v>53</v>
      </c>
      <c r="K86" s="36" t="s">
        <v>55</v>
      </c>
      <c r="L86" s="37" t="s">
        <v>55</v>
      </c>
      <c r="M86" s="38" t="s">
        <v>53</v>
      </c>
      <c r="N86" s="36" t="s">
        <v>55</v>
      </c>
      <c r="O86" s="37" t="s">
        <v>55</v>
      </c>
      <c r="P86" s="38" t="s">
        <v>53</v>
      </c>
      <c r="Q86" s="36" t="s">
        <v>55</v>
      </c>
      <c r="R86" s="37" t="s">
        <v>55</v>
      </c>
      <c r="S86" s="38" t="s">
        <v>53</v>
      </c>
      <c r="T86" s="36" t="s">
        <v>55</v>
      </c>
      <c r="U86" s="37" t="s">
        <v>55</v>
      </c>
      <c r="V86" s="38" t="s">
        <v>53</v>
      </c>
      <c r="W86" s="36" t="s">
        <v>55</v>
      </c>
      <c r="X86" s="37" t="s">
        <v>55</v>
      </c>
      <c r="Y86" s="38" t="s">
        <v>53</v>
      </c>
      <c r="Z86" s="36" t="s">
        <v>55</v>
      </c>
      <c r="AA86" s="37" t="s">
        <v>55</v>
      </c>
      <c r="AB86" s="38" t="s">
        <v>53</v>
      </c>
      <c r="AC86" s="36" t="s">
        <v>55</v>
      </c>
      <c r="AD86" s="37" t="s">
        <v>55</v>
      </c>
      <c r="AE86" s="38" t="s">
        <v>53</v>
      </c>
      <c r="AF86" s="36" t="s">
        <v>55</v>
      </c>
      <c r="AG86" s="37" t="s">
        <v>55</v>
      </c>
      <c r="AH86" s="38" t="s">
        <v>53</v>
      </c>
      <c r="AI86" s="36" t="s">
        <v>55</v>
      </c>
      <c r="AJ86" s="37" t="s">
        <v>55</v>
      </c>
      <c r="AK86" s="38" t="s">
        <v>53</v>
      </c>
      <c r="AL86" s="36" t="s">
        <v>55</v>
      </c>
      <c r="AM86" s="37" t="s">
        <v>55</v>
      </c>
      <c r="AN86" s="38" t="s">
        <v>53</v>
      </c>
      <c r="AO86" s="36" t="s">
        <v>55</v>
      </c>
      <c r="AP86" s="37" t="s">
        <v>55</v>
      </c>
      <c r="AQ86" s="38" t="s">
        <v>53</v>
      </c>
      <c r="AR86" s="36" t="s">
        <v>55</v>
      </c>
      <c r="AS86" s="37" t="s">
        <v>55</v>
      </c>
      <c r="AT86" s="38" t="s">
        <v>53</v>
      </c>
      <c r="AU86" s="36" t="s">
        <v>55</v>
      </c>
      <c r="AV86" s="37" t="s">
        <v>55</v>
      </c>
      <c r="AW86" s="38" t="s">
        <v>53</v>
      </c>
      <c r="AX86" s="36" t="s">
        <v>55</v>
      </c>
      <c r="AY86" s="37" t="s">
        <v>55</v>
      </c>
      <c r="AZ86" s="38" t="s">
        <v>53</v>
      </c>
      <c r="BA86" s="36" t="s">
        <v>55</v>
      </c>
      <c r="BB86" s="37" t="s">
        <v>55</v>
      </c>
      <c r="BC86" s="38" t="s">
        <v>53</v>
      </c>
      <c r="BD86" s="36" t="s">
        <v>55</v>
      </c>
      <c r="BE86" s="37" t="s">
        <v>55</v>
      </c>
      <c r="BF86" s="38" t="s">
        <v>53</v>
      </c>
      <c r="BG86" s="36" t="s">
        <v>55</v>
      </c>
      <c r="BH86" s="37" t="s">
        <v>55</v>
      </c>
      <c r="BI86" s="38" t="s">
        <v>53</v>
      </c>
      <c r="BJ86" s="36" t="s">
        <v>55</v>
      </c>
      <c r="BK86" s="37" t="s">
        <v>55</v>
      </c>
      <c r="BL86" s="38" t="s">
        <v>53</v>
      </c>
      <c r="BM86" s="36" t="s">
        <v>55</v>
      </c>
      <c r="BN86" s="37" t="s">
        <v>55</v>
      </c>
      <c r="BO86" s="38" t="s">
        <v>53</v>
      </c>
      <c r="BP86" s="36" t="s">
        <v>55</v>
      </c>
      <c r="BQ86" s="37" t="s">
        <v>55</v>
      </c>
      <c r="BR86" s="38" t="s">
        <v>53</v>
      </c>
      <c r="BS86" s="36" t="s">
        <v>55</v>
      </c>
      <c r="BT86" s="37" t="s">
        <v>55</v>
      </c>
      <c r="BU86" s="38" t="s">
        <v>53</v>
      </c>
      <c r="BV86" s="36" t="s">
        <v>55</v>
      </c>
      <c r="BW86" s="37" t="s">
        <v>55</v>
      </c>
      <c r="BX86" s="38" t="s">
        <v>53</v>
      </c>
      <c r="BY86" s="36" t="s">
        <v>55</v>
      </c>
      <c r="BZ86" s="37" t="s">
        <v>55</v>
      </c>
      <c r="CA86" s="38" t="s">
        <v>53</v>
      </c>
      <c r="CB86" s="36" t="s">
        <v>55</v>
      </c>
      <c r="CC86" s="37" t="s">
        <v>55</v>
      </c>
      <c r="CD86" s="38" t="s">
        <v>53</v>
      </c>
      <c r="CE86" s="36" t="s">
        <v>55</v>
      </c>
      <c r="CF86" s="37" t="s">
        <v>55</v>
      </c>
      <c r="CG86" s="38" t="s">
        <v>53</v>
      </c>
      <c r="CH86" s="36" t="s">
        <v>55</v>
      </c>
      <c r="CI86" s="37" t="s">
        <v>55</v>
      </c>
      <c r="CJ86" s="38" t="s">
        <v>53</v>
      </c>
      <c r="CK86" s="36" t="s">
        <v>55</v>
      </c>
      <c r="CL86" s="37" t="s">
        <v>55</v>
      </c>
      <c r="CM86" s="38" t="s">
        <v>53</v>
      </c>
      <c r="CN86" s="36" t="s">
        <v>55</v>
      </c>
      <c r="CO86" s="37" t="s">
        <v>55</v>
      </c>
      <c r="CP86" s="38" t="s">
        <v>53</v>
      </c>
      <c r="CQ86" s="36" t="s">
        <v>55</v>
      </c>
      <c r="CR86" s="37" t="s">
        <v>55</v>
      </c>
      <c r="CS86" s="38" t="s">
        <v>53</v>
      </c>
      <c r="CT86" s="36" t="s">
        <v>55</v>
      </c>
      <c r="CU86" s="37" t="s">
        <v>55</v>
      </c>
      <c r="CV86" s="38" t="s">
        <v>53</v>
      </c>
      <c r="CW86" s="36" t="s">
        <v>55</v>
      </c>
      <c r="CX86" s="37" t="s">
        <v>55</v>
      </c>
      <c r="CY86" s="38" t="s">
        <v>53</v>
      </c>
      <c r="CZ86" s="36" t="s">
        <v>55</v>
      </c>
      <c r="DA86" s="37" t="s">
        <v>55</v>
      </c>
      <c r="DB86" s="38" t="s">
        <v>53</v>
      </c>
      <c r="DC86" s="36" t="s">
        <v>55</v>
      </c>
      <c r="DD86" s="37" t="s">
        <v>55</v>
      </c>
      <c r="DE86" s="38" t="s">
        <v>53</v>
      </c>
      <c r="DF86" s="36" t="s">
        <v>55</v>
      </c>
      <c r="DG86" s="37" t="s">
        <v>55</v>
      </c>
      <c r="DH86" s="38" t="s">
        <v>53</v>
      </c>
      <c r="DI86" s="36" t="s">
        <v>55</v>
      </c>
      <c r="DJ86" s="37" t="s">
        <v>55</v>
      </c>
      <c r="DK86" s="39" t="s">
        <v>53</v>
      </c>
    </row>
    <row r="87" spans="1:115" x14ac:dyDescent="0.25">
      <c r="A87" s="15" t="s">
        <v>200</v>
      </c>
      <c r="B87" s="36">
        <v>18.796728855334731</v>
      </c>
      <c r="C87" s="37">
        <v>5.0100724205398031</v>
      </c>
      <c r="D87" s="38" t="s">
        <v>53</v>
      </c>
      <c r="E87" s="36">
        <v>28.737308411777327</v>
      </c>
      <c r="F87" s="37">
        <v>6.3084740307283855</v>
      </c>
      <c r="G87" s="38" t="s">
        <v>53</v>
      </c>
      <c r="H87" s="36">
        <v>31.990555353446702</v>
      </c>
      <c r="I87" s="37">
        <v>6.2010199126929644</v>
      </c>
      <c r="J87" s="38" t="s">
        <v>53</v>
      </c>
      <c r="K87" s="36">
        <v>26.315576593860325</v>
      </c>
      <c r="L87" s="37">
        <v>5.6293215142030704</v>
      </c>
      <c r="M87" s="38" t="s">
        <v>53</v>
      </c>
      <c r="N87" s="36">
        <v>7.5188477385255919</v>
      </c>
      <c r="O87" s="37">
        <v>7.4080233008817347</v>
      </c>
      <c r="P87" s="38" t="s">
        <v>53</v>
      </c>
      <c r="Q87" s="36">
        <v>24.767444736082407</v>
      </c>
      <c r="R87" s="37">
        <v>4.8746456318274474</v>
      </c>
      <c r="S87" s="38" t="s">
        <v>53</v>
      </c>
      <c r="T87" s="36">
        <v>26.059804390721826</v>
      </c>
      <c r="U87" s="37">
        <v>5.371935598474133</v>
      </c>
      <c r="V87" s="38" t="s">
        <v>53</v>
      </c>
      <c r="W87" s="36">
        <v>29.981852201775716</v>
      </c>
      <c r="X87" s="37">
        <v>5.7510424678233685</v>
      </c>
      <c r="Y87" s="38" t="s">
        <v>53</v>
      </c>
      <c r="Z87" s="36">
        <v>23.983955537011038</v>
      </c>
      <c r="AA87" s="37">
        <v>5.1266913715652054</v>
      </c>
      <c r="AB87" s="38" t="s">
        <v>53</v>
      </c>
      <c r="AC87" s="36">
        <v>-0.78348919907136749</v>
      </c>
      <c r="AD87" s="37">
        <v>7.2335986299857451</v>
      </c>
      <c r="AE87" s="38" t="s">
        <v>53</v>
      </c>
      <c r="AF87" s="36">
        <v>21.264687971863669</v>
      </c>
      <c r="AG87" s="37">
        <v>4.6328308367409727</v>
      </c>
      <c r="AH87" s="38" t="s">
        <v>53</v>
      </c>
      <c r="AI87" s="36">
        <v>32.317725669085043</v>
      </c>
      <c r="AJ87" s="37">
        <v>4.7861495868145507</v>
      </c>
      <c r="AK87" s="38" t="s">
        <v>53</v>
      </c>
      <c r="AL87" s="36">
        <v>20.694783528983979</v>
      </c>
      <c r="AM87" s="37">
        <v>4.9858547877219346</v>
      </c>
      <c r="AN87" s="38" t="s">
        <v>53</v>
      </c>
      <c r="AO87" s="36">
        <v>31.604708026889639</v>
      </c>
      <c r="AP87" s="37">
        <v>6.8385085332877393</v>
      </c>
      <c r="AQ87" s="38" t="s">
        <v>53</v>
      </c>
      <c r="AR87" s="36">
        <v>10.34002005502597</v>
      </c>
      <c r="AS87" s="37">
        <v>7.2852962107489248</v>
      </c>
      <c r="AT87" s="38" t="s">
        <v>53</v>
      </c>
      <c r="AU87" s="36">
        <v>25.409301770737518</v>
      </c>
      <c r="AV87" s="37">
        <v>5.969370969497148</v>
      </c>
      <c r="AW87" s="38" t="s">
        <v>53</v>
      </c>
      <c r="AX87" s="36">
        <v>31.415087354504617</v>
      </c>
      <c r="AY87" s="37">
        <v>5.5209776568703299</v>
      </c>
      <c r="AZ87" s="38" t="s">
        <v>53</v>
      </c>
      <c r="BA87" s="36">
        <v>20.748196858357261</v>
      </c>
      <c r="BB87" s="37">
        <v>5.7198278132482452</v>
      </c>
      <c r="BC87" s="38" t="s">
        <v>53</v>
      </c>
      <c r="BD87" s="36">
        <v>30.537694605968259</v>
      </c>
      <c r="BE87" s="37">
        <v>5.5672844922261033</v>
      </c>
      <c r="BF87" s="38" t="s">
        <v>53</v>
      </c>
      <c r="BG87" s="36">
        <v>5.1283928352307324</v>
      </c>
      <c r="BH87" s="37">
        <v>7.6694004400149423</v>
      </c>
      <c r="BI87" s="38" t="s">
        <v>53</v>
      </c>
      <c r="BJ87" s="36">
        <v>26.299938346876171</v>
      </c>
      <c r="BK87" s="37">
        <v>5.1500411682323275</v>
      </c>
      <c r="BL87" s="38" t="s">
        <v>53</v>
      </c>
      <c r="BM87" s="36">
        <v>24.772414580590336</v>
      </c>
      <c r="BN87" s="37">
        <v>4.8370803036516055</v>
      </c>
      <c r="BO87" s="38" t="s">
        <v>53</v>
      </c>
      <c r="BP87" s="36">
        <v>26.263983349172388</v>
      </c>
      <c r="BQ87" s="37">
        <v>4.787027605210076</v>
      </c>
      <c r="BR87" s="38" t="s">
        <v>53</v>
      </c>
      <c r="BS87" s="36">
        <v>28.813303790979127</v>
      </c>
      <c r="BT87" s="37">
        <v>6.505459591931376</v>
      </c>
      <c r="BU87" s="38" t="s">
        <v>53</v>
      </c>
      <c r="BV87" s="36">
        <v>2.5133654441029596</v>
      </c>
      <c r="BW87" s="37">
        <v>7.599808889164966</v>
      </c>
      <c r="BX87" s="38" t="s">
        <v>53</v>
      </c>
      <c r="BY87" s="36">
        <v>28.101782814326761</v>
      </c>
      <c r="BZ87" s="37">
        <v>5.458721339989995</v>
      </c>
      <c r="CA87" s="38" t="s">
        <v>53</v>
      </c>
      <c r="CB87" s="36">
        <v>23.284247841443968</v>
      </c>
      <c r="CC87" s="37">
        <v>5.5093465878502679</v>
      </c>
      <c r="CD87" s="38" t="s">
        <v>53</v>
      </c>
      <c r="CE87" s="36">
        <v>25.185991272016366</v>
      </c>
      <c r="CF87" s="37">
        <v>6.5986395906663349</v>
      </c>
      <c r="CG87" s="38" t="s">
        <v>53</v>
      </c>
      <c r="CH87" s="36">
        <v>28.476572526061002</v>
      </c>
      <c r="CI87" s="37">
        <v>6.29129509981375</v>
      </c>
      <c r="CJ87" s="38" t="s">
        <v>53</v>
      </c>
      <c r="CK87" s="36">
        <v>0.37478971173423747</v>
      </c>
      <c r="CL87" s="37">
        <v>8.2621345680957887</v>
      </c>
      <c r="CM87" s="38" t="s">
        <v>53</v>
      </c>
      <c r="CN87" s="36">
        <v>28.542299331457905</v>
      </c>
      <c r="CO87" s="37">
        <v>5.3152647557515698</v>
      </c>
      <c r="CP87" s="38" t="s">
        <v>53</v>
      </c>
      <c r="CQ87" s="36">
        <v>21.075064324355264</v>
      </c>
      <c r="CR87" s="37">
        <v>4.9541582885611186</v>
      </c>
      <c r="CS87" s="38" t="s">
        <v>53</v>
      </c>
      <c r="CT87" s="36">
        <v>24.57249502684855</v>
      </c>
      <c r="CU87" s="37">
        <v>6.8658293605555656</v>
      </c>
      <c r="CV87" s="38" t="s">
        <v>53</v>
      </c>
      <c r="CW87" s="36">
        <v>31.926950383495466</v>
      </c>
      <c r="CX87" s="37">
        <v>5.5084761481947071</v>
      </c>
      <c r="CY87" s="38" t="s">
        <v>53</v>
      </c>
      <c r="CZ87" s="36">
        <v>3.3846510520375621</v>
      </c>
      <c r="DA87" s="37">
        <v>7.2402677377517239</v>
      </c>
      <c r="DB87" s="38" t="s">
        <v>53</v>
      </c>
      <c r="DC87" s="36">
        <v>16.231189504275704</v>
      </c>
      <c r="DD87" s="37">
        <v>3.8981886890341406</v>
      </c>
      <c r="DE87" s="38" t="s">
        <v>53</v>
      </c>
      <c r="DF87" s="36">
        <v>32.371263748437897</v>
      </c>
      <c r="DG87" s="37">
        <v>3.4126368477401989</v>
      </c>
      <c r="DH87" s="38" t="s">
        <v>53</v>
      </c>
      <c r="DI87" s="36">
        <v>16.1400742441622</v>
      </c>
      <c r="DJ87" s="37">
        <v>4.763836209989174</v>
      </c>
      <c r="DK87" s="39" t="s">
        <v>53</v>
      </c>
    </row>
    <row r="88" spans="1:115" x14ac:dyDescent="0.25">
      <c r="A88" s="15" t="s">
        <v>201</v>
      </c>
      <c r="B88" s="36">
        <v>26.322883228282485</v>
      </c>
      <c r="C88" s="37">
        <v>4.4087223078653963</v>
      </c>
      <c r="D88" s="38" t="s">
        <v>53</v>
      </c>
      <c r="E88" s="36">
        <v>33.397728045953471</v>
      </c>
      <c r="F88" s="37">
        <v>4.6333637332305937</v>
      </c>
      <c r="G88" s="38" t="s">
        <v>53</v>
      </c>
      <c r="H88" s="36">
        <v>54.000559795177004</v>
      </c>
      <c r="I88" s="37">
        <v>5.4085443016856773</v>
      </c>
      <c r="J88" s="38" t="s">
        <v>53</v>
      </c>
      <c r="K88" s="36">
        <v>47.206909939519683</v>
      </c>
      <c r="L88" s="37">
        <v>4.9711323741352791</v>
      </c>
      <c r="M88" s="38" t="s">
        <v>53</v>
      </c>
      <c r="N88" s="36">
        <v>20.884026711237187</v>
      </c>
      <c r="O88" s="37">
        <v>6.6445196961501809</v>
      </c>
      <c r="P88" s="38" t="s">
        <v>53</v>
      </c>
      <c r="Q88" s="36">
        <v>34.480701381516823</v>
      </c>
      <c r="R88" s="37">
        <v>4.8056809829532545</v>
      </c>
      <c r="S88" s="38" t="s">
        <v>53</v>
      </c>
      <c r="T88" s="36">
        <v>39.038081610735837</v>
      </c>
      <c r="U88" s="37">
        <v>4.5783063948060798</v>
      </c>
      <c r="V88" s="38" t="s">
        <v>53</v>
      </c>
      <c r="W88" s="36">
        <v>45.388415670732869</v>
      </c>
      <c r="X88" s="37">
        <v>5.1273712397436197</v>
      </c>
      <c r="Y88" s="38" t="s">
        <v>53</v>
      </c>
      <c r="Z88" s="36">
        <v>36.351465362098146</v>
      </c>
      <c r="AA88" s="37">
        <v>4.4046200635654866</v>
      </c>
      <c r="AB88" s="38" t="s">
        <v>53</v>
      </c>
      <c r="AC88" s="36">
        <v>1.8707639805813243</v>
      </c>
      <c r="AD88" s="37">
        <v>6.3288074187263108</v>
      </c>
      <c r="AE88" s="38" t="s">
        <v>53</v>
      </c>
      <c r="AF88" s="36">
        <v>38.348686629132786</v>
      </c>
      <c r="AG88" s="37">
        <v>4.7356885076838955</v>
      </c>
      <c r="AH88" s="38" t="s">
        <v>53</v>
      </c>
      <c r="AI88" s="36">
        <v>38.723117556583546</v>
      </c>
      <c r="AJ88" s="37">
        <v>4.6520393329833478</v>
      </c>
      <c r="AK88" s="38" t="s">
        <v>53</v>
      </c>
      <c r="AL88" s="36">
        <v>40.867475159029823</v>
      </c>
      <c r="AM88" s="37">
        <v>5.1233764251401377</v>
      </c>
      <c r="AN88" s="38" t="s">
        <v>53</v>
      </c>
      <c r="AO88" s="36">
        <v>40.547417108709411</v>
      </c>
      <c r="AP88" s="37">
        <v>4.6249981038318122</v>
      </c>
      <c r="AQ88" s="38" t="s">
        <v>53</v>
      </c>
      <c r="AR88" s="36">
        <v>2.198730479576624</v>
      </c>
      <c r="AS88" s="37">
        <v>6.438398032022624</v>
      </c>
      <c r="AT88" s="38" t="s">
        <v>53</v>
      </c>
      <c r="AU88" s="36">
        <v>30.661164135654762</v>
      </c>
      <c r="AV88" s="37">
        <v>5.3104470724063058</v>
      </c>
      <c r="AW88" s="38" t="s">
        <v>53</v>
      </c>
      <c r="AX88" s="36">
        <v>34.159063740034625</v>
      </c>
      <c r="AY88" s="37">
        <v>4.1779339006294283</v>
      </c>
      <c r="AZ88" s="38" t="s">
        <v>53</v>
      </c>
      <c r="BA88" s="36">
        <v>49.66151040161855</v>
      </c>
      <c r="BB88" s="37">
        <v>4.3612639564292817</v>
      </c>
      <c r="BC88" s="38" t="s">
        <v>53</v>
      </c>
      <c r="BD88" s="36">
        <v>44.380363870319293</v>
      </c>
      <c r="BE88" s="37">
        <v>5.2738585224277363</v>
      </c>
      <c r="BF88" s="38" t="s">
        <v>53</v>
      </c>
      <c r="BG88" s="36">
        <v>13.719199734664533</v>
      </c>
      <c r="BH88" s="37">
        <v>7.0091933056922739</v>
      </c>
      <c r="BI88" s="38" t="s">
        <v>53</v>
      </c>
      <c r="BJ88" s="36">
        <v>31.169739704868142</v>
      </c>
      <c r="BK88" s="37">
        <v>4.4908731347794406</v>
      </c>
      <c r="BL88" s="38" t="s">
        <v>53</v>
      </c>
      <c r="BM88" s="36">
        <v>38.194061512630462</v>
      </c>
      <c r="BN88" s="37">
        <v>4.9682295511645984</v>
      </c>
      <c r="BO88" s="38" t="s">
        <v>53</v>
      </c>
      <c r="BP88" s="36">
        <v>42.545814014751592</v>
      </c>
      <c r="BQ88" s="37">
        <v>4.6366134026812009</v>
      </c>
      <c r="BR88" s="38" t="s">
        <v>53</v>
      </c>
      <c r="BS88" s="36">
        <v>44.691416659094727</v>
      </c>
      <c r="BT88" s="37">
        <v>4.8001458597722602</v>
      </c>
      <c r="BU88" s="38" t="s">
        <v>53</v>
      </c>
      <c r="BV88" s="36">
        <v>13.521676954226599</v>
      </c>
      <c r="BW88" s="37">
        <v>6.2625133629806014</v>
      </c>
      <c r="BX88" s="38" t="s">
        <v>53</v>
      </c>
      <c r="BY88" s="36">
        <v>41.445351851997344</v>
      </c>
      <c r="BZ88" s="37">
        <v>5.4746473157908069</v>
      </c>
      <c r="CA88" s="38" t="s">
        <v>53</v>
      </c>
      <c r="CB88" s="36">
        <v>43.19990505435981</v>
      </c>
      <c r="CC88" s="37">
        <v>5.193853741672469</v>
      </c>
      <c r="CD88" s="38" t="s">
        <v>53</v>
      </c>
      <c r="CE88" s="36">
        <v>42.033093586748322</v>
      </c>
      <c r="CF88" s="37">
        <v>5.586415158568653</v>
      </c>
      <c r="CG88" s="38" t="s">
        <v>53</v>
      </c>
      <c r="CH88" s="36">
        <v>35.726779126885198</v>
      </c>
      <c r="CI88" s="37">
        <v>5.3954232851158324</v>
      </c>
      <c r="CJ88" s="38" t="s">
        <v>53</v>
      </c>
      <c r="CK88" s="36">
        <v>-5.7185727251121472</v>
      </c>
      <c r="CL88" s="37">
        <v>7.3583485289322033</v>
      </c>
      <c r="CM88" s="38" t="s">
        <v>53</v>
      </c>
      <c r="CN88" s="36">
        <v>45.924333310283799</v>
      </c>
      <c r="CO88" s="37">
        <v>5.4166094057182441</v>
      </c>
      <c r="CP88" s="38" t="s">
        <v>53</v>
      </c>
      <c r="CQ88" s="36">
        <v>43.378348528135596</v>
      </c>
      <c r="CR88" s="37">
        <v>4.9721985711312691</v>
      </c>
      <c r="CS88" s="38" t="s">
        <v>53</v>
      </c>
      <c r="CT88" s="36">
        <v>33.678023994118519</v>
      </c>
      <c r="CU88" s="37">
        <v>4.5292143064043655</v>
      </c>
      <c r="CV88" s="38" t="s">
        <v>53</v>
      </c>
      <c r="CW88" s="36">
        <v>39.974013821417827</v>
      </c>
      <c r="CX88" s="37">
        <v>4.7167662957252245</v>
      </c>
      <c r="CY88" s="38" t="s">
        <v>53</v>
      </c>
      <c r="CZ88" s="36">
        <v>-5.9503194888659783</v>
      </c>
      <c r="DA88" s="37">
        <v>6.9897448298888412</v>
      </c>
      <c r="DB88" s="38" t="s">
        <v>53</v>
      </c>
      <c r="DC88" s="36">
        <v>28.228070099987253</v>
      </c>
      <c r="DD88" s="37">
        <v>3.043823871988705</v>
      </c>
      <c r="DE88" s="38" t="s">
        <v>53</v>
      </c>
      <c r="DF88" s="36">
        <v>52.422962798215792</v>
      </c>
      <c r="DG88" s="37">
        <v>4.0982632659355094</v>
      </c>
      <c r="DH88" s="38" t="s">
        <v>53</v>
      </c>
      <c r="DI88" s="36">
        <v>24.194892698228543</v>
      </c>
      <c r="DJ88" s="37">
        <v>4.5300839836309192</v>
      </c>
      <c r="DK88" s="39" t="s">
        <v>53</v>
      </c>
    </row>
    <row r="89" spans="1:115" x14ac:dyDescent="0.25">
      <c r="A89" s="15" t="s">
        <v>202</v>
      </c>
      <c r="B89" s="36">
        <v>19.495203896941653</v>
      </c>
      <c r="C89" s="37">
        <v>4.3921363770051336</v>
      </c>
      <c r="D89" s="38" t="s">
        <v>53</v>
      </c>
      <c r="E89" s="36">
        <v>21.804396929661426</v>
      </c>
      <c r="F89" s="37">
        <v>4.5101651209167688</v>
      </c>
      <c r="G89" s="38" t="s">
        <v>53</v>
      </c>
      <c r="H89" s="36">
        <v>28.94008874057052</v>
      </c>
      <c r="I89" s="37">
        <v>5.3715302014721145</v>
      </c>
      <c r="J89" s="38" t="s">
        <v>53</v>
      </c>
      <c r="K89" s="36">
        <v>44.529304468840003</v>
      </c>
      <c r="L89" s="37">
        <v>5.6740539560467997</v>
      </c>
      <c r="M89" s="38" t="s">
        <v>53</v>
      </c>
      <c r="N89" s="36">
        <v>25.03410057189835</v>
      </c>
      <c r="O89" s="37">
        <v>6.1572564313182259</v>
      </c>
      <c r="P89" s="38" t="s">
        <v>53</v>
      </c>
      <c r="Q89" s="36">
        <v>30.552117158069386</v>
      </c>
      <c r="R89" s="37">
        <v>4.5246902709022274</v>
      </c>
      <c r="S89" s="38" t="s">
        <v>53</v>
      </c>
      <c r="T89" s="36">
        <v>30.582380001677816</v>
      </c>
      <c r="U89" s="37">
        <v>5.876351783329075</v>
      </c>
      <c r="V89" s="38" t="s">
        <v>53</v>
      </c>
      <c r="W89" s="36">
        <v>23.481272084068273</v>
      </c>
      <c r="X89" s="37">
        <v>4.3078706047255704</v>
      </c>
      <c r="Y89" s="38" t="s">
        <v>53</v>
      </c>
      <c r="Z89" s="36">
        <v>27.253185740284025</v>
      </c>
      <c r="AA89" s="37">
        <v>4.1257113355787078</v>
      </c>
      <c r="AB89" s="38" t="s">
        <v>53</v>
      </c>
      <c r="AC89" s="36">
        <v>-3.2989314177853655</v>
      </c>
      <c r="AD89" s="37">
        <v>5.4815125288609918</v>
      </c>
      <c r="AE89" s="38" t="s">
        <v>53</v>
      </c>
      <c r="AF89" s="36">
        <v>19.969619366510486</v>
      </c>
      <c r="AG89" s="37">
        <v>3.8793221983019759</v>
      </c>
      <c r="AH89" s="38" t="s">
        <v>53</v>
      </c>
      <c r="AI89" s="36">
        <v>31.7829898020128</v>
      </c>
      <c r="AJ89" s="37">
        <v>5.1331005739572548</v>
      </c>
      <c r="AK89" s="38" t="s">
        <v>53</v>
      </c>
      <c r="AL89" s="36">
        <v>25.785179552237196</v>
      </c>
      <c r="AM89" s="37">
        <v>4.474793171720683</v>
      </c>
      <c r="AN89" s="38" t="s">
        <v>53</v>
      </c>
      <c r="AO89" s="36">
        <v>37.577050375994524</v>
      </c>
      <c r="AP89" s="37">
        <v>5.9267672222288894</v>
      </c>
      <c r="AQ89" s="38" t="s">
        <v>53</v>
      </c>
      <c r="AR89" s="36">
        <v>17.607431009484042</v>
      </c>
      <c r="AS89" s="37">
        <v>6.3253508110919734</v>
      </c>
      <c r="AT89" s="38" t="s">
        <v>53</v>
      </c>
      <c r="AU89" s="36">
        <v>28.642843249558396</v>
      </c>
      <c r="AV89" s="37">
        <v>4.5608920518926226</v>
      </c>
      <c r="AW89" s="38" t="s">
        <v>53</v>
      </c>
      <c r="AX89" s="36">
        <v>21.814813619735769</v>
      </c>
      <c r="AY89" s="37">
        <v>4.7127359004342919</v>
      </c>
      <c r="AZ89" s="38" t="s">
        <v>53</v>
      </c>
      <c r="BA89" s="36">
        <v>37.769762153551717</v>
      </c>
      <c r="BB89" s="37">
        <v>6.8196666906732384</v>
      </c>
      <c r="BC89" s="38" t="s">
        <v>53</v>
      </c>
      <c r="BD89" s="36">
        <v>29.465095407827725</v>
      </c>
      <c r="BE89" s="37">
        <v>4.4143247399612511</v>
      </c>
      <c r="BF89" s="38" t="s">
        <v>53</v>
      </c>
      <c r="BG89" s="36">
        <v>0.82225215826932374</v>
      </c>
      <c r="BH89" s="37">
        <v>6.283849603400574</v>
      </c>
      <c r="BI89" s="38" t="s">
        <v>53</v>
      </c>
      <c r="BJ89" s="36">
        <v>15.552015202838684</v>
      </c>
      <c r="BK89" s="37">
        <v>3.9458807445596418</v>
      </c>
      <c r="BL89" s="38" t="s">
        <v>53</v>
      </c>
      <c r="BM89" s="36">
        <v>31.138561408885579</v>
      </c>
      <c r="BN89" s="37">
        <v>4.6403761851540244</v>
      </c>
      <c r="BO89" s="38" t="s">
        <v>53</v>
      </c>
      <c r="BP89" s="36">
        <v>29.693227303443258</v>
      </c>
      <c r="BQ89" s="37">
        <v>4.5614634300140704</v>
      </c>
      <c r="BR89" s="38" t="s">
        <v>53</v>
      </c>
      <c r="BS89" s="36">
        <v>37.7771203487614</v>
      </c>
      <c r="BT89" s="37">
        <v>6.1639166641981342</v>
      </c>
      <c r="BU89" s="38" t="s">
        <v>53</v>
      </c>
      <c r="BV89" s="36">
        <v>22.225105145922722</v>
      </c>
      <c r="BW89" s="37">
        <v>7.4568530924066696</v>
      </c>
      <c r="BX89" s="38" t="s">
        <v>53</v>
      </c>
      <c r="BY89" s="36">
        <v>30.031468198287332</v>
      </c>
      <c r="BZ89" s="37">
        <v>5.2254489215451319</v>
      </c>
      <c r="CA89" s="38" t="s">
        <v>53</v>
      </c>
      <c r="CB89" s="36">
        <v>27.076102735125751</v>
      </c>
      <c r="CC89" s="37">
        <v>5.2008572618998379</v>
      </c>
      <c r="CD89" s="38" t="s">
        <v>53</v>
      </c>
      <c r="CE89" s="36">
        <v>30.459179259140257</v>
      </c>
      <c r="CF89" s="37">
        <v>5.420404859492713</v>
      </c>
      <c r="CG89" s="38" t="s">
        <v>53</v>
      </c>
      <c r="CH89" s="36">
        <v>33.067128907442239</v>
      </c>
      <c r="CI89" s="37">
        <v>5.6778309480888689</v>
      </c>
      <c r="CJ89" s="38" t="s">
        <v>53</v>
      </c>
      <c r="CK89" s="36">
        <v>3.0356607091549104</v>
      </c>
      <c r="CL89" s="37">
        <v>6.726113848249474</v>
      </c>
      <c r="CM89" s="38" t="s">
        <v>53</v>
      </c>
      <c r="CN89" s="36">
        <v>28.069417312591415</v>
      </c>
      <c r="CO89" s="37">
        <v>5.3201151844837753</v>
      </c>
      <c r="CP89" s="38" t="s">
        <v>53</v>
      </c>
      <c r="CQ89" s="36">
        <v>30.253883389546733</v>
      </c>
      <c r="CR89" s="37">
        <v>5.0427672183999706</v>
      </c>
      <c r="CS89" s="38" t="s">
        <v>53</v>
      </c>
      <c r="CT89" s="36">
        <v>27.06473874547105</v>
      </c>
      <c r="CU89" s="37">
        <v>6.4343747467903887</v>
      </c>
      <c r="CV89" s="38" t="s">
        <v>53</v>
      </c>
      <c r="CW89" s="36">
        <v>32.856750944603938</v>
      </c>
      <c r="CX89" s="37">
        <v>5.2681452238672382</v>
      </c>
      <c r="CY89" s="38" t="s">
        <v>53</v>
      </c>
      <c r="CZ89" s="36">
        <v>4.7873336320125253</v>
      </c>
      <c r="DA89" s="37">
        <v>6.9349596416911989</v>
      </c>
      <c r="DB89" s="38" t="s">
        <v>53</v>
      </c>
      <c r="DC89" s="36">
        <v>24.237781376376013</v>
      </c>
      <c r="DD89" s="37">
        <v>3.6342083539785777</v>
      </c>
      <c r="DE89" s="38" t="s">
        <v>53</v>
      </c>
      <c r="DF89" s="36">
        <v>32.168013167171885</v>
      </c>
      <c r="DG89" s="37">
        <v>3.6654605324276259</v>
      </c>
      <c r="DH89" s="38" t="s">
        <v>53</v>
      </c>
      <c r="DI89" s="36">
        <v>7.930231790795875</v>
      </c>
      <c r="DJ89" s="37">
        <v>4.0841441697805534</v>
      </c>
      <c r="DK89" s="39" t="s">
        <v>53</v>
      </c>
    </row>
    <row r="90" spans="1:115" x14ac:dyDescent="0.25">
      <c r="A90" s="15" t="s">
        <v>203</v>
      </c>
      <c r="B90" s="36">
        <v>25.713140526677496</v>
      </c>
      <c r="C90" s="37">
        <v>2.812090122460444</v>
      </c>
      <c r="D90" s="38" t="s">
        <v>53</v>
      </c>
      <c r="E90" s="36">
        <v>23.132839059037178</v>
      </c>
      <c r="F90" s="37">
        <v>2.8922346812148709</v>
      </c>
      <c r="G90" s="38" t="s">
        <v>53</v>
      </c>
      <c r="H90" s="36">
        <v>33.09524359779239</v>
      </c>
      <c r="I90" s="37">
        <v>2.329643622967255</v>
      </c>
      <c r="J90" s="38" t="s">
        <v>53</v>
      </c>
      <c r="K90" s="36">
        <v>31.889519710813442</v>
      </c>
      <c r="L90" s="37">
        <v>2.4938574761708794</v>
      </c>
      <c r="M90" s="38" t="s">
        <v>53</v>
      </c>
      <c r="N90" s="36">
        <v>6.1763791841359428</v>
      </c>
      <c r="O90" s="37">
        <v>4.0430777459966327</v>
      </c>
      <c r="P90" s="38" t="s">
        <v>53</v>
      </c>
      <c r="Q90" s="36">
        <v>27.293736965289622</v>
      </c>
      <c r="R90" s="37">
        <v>2.6441049606918865</v>
      </c>
      <c r="S90" s="38" t="s">
        <v>53</v>
      </c>
      <c r="T90" s="36">
        <v>26.934641875359382</v>
      </c>
      <c r="U90" s="37">
        <v>2.9961397520042055</v>
      </c>
      <c r="V90" s="38" t="s">
        <v>53</v>
      </c>
      <c r="W90" s="36">
        <v>32.153609202399167</v>
      </c>
      <c r="X90" s="37">
        <v>3.0006312096928793</v>
      </c>
      <c r="Y90" s="38" t="s">
        <v>53</v>
      </c>
      <c r="Z90" s="36">
        <v>29.101887315281903</v>
      </c>
      <c r="AA90" s="37">
        <v>2.5953387892194661</v>
      </c>
      <c r="AB90" s="38" t="s">
        <v>53</v>
      </c>
      <c r="AC90" s="36">
        <v>1.8081503499922886</v>
      </c>
      <c r="AD90" s="37">
        <v>3.9056132968825548</v>
      </c>
      <c r="AE90" s="38" t="s">
        <v>53</v>
      </c>
      <c r="AF90" s="36">
        <v>27.41001327097506</v>
      </c>
      <c r="AG90" s="37">
        <v>2.8276532086996298</v>
      </c>
      <c r="AH90" s="38" t="s">
        <v>53</v>
      </c>
      <c r="AI90" s="36">
        <v>26.942798236032985</v>
      </c>
      <c r="AJ90" s="37">
        <v>3.2327543542190975</v>
      </c>
      <c r="AK90" s="38" t="s">
        <v>53</v>
      </c>
      <c r="AL90" s="36">
        <v>25.479135475595339</v>
      </c>
      <c r="AM90" s="37">
        <v>2.928051004490428</v>
      </c>
      <c r="AN90" s="38" t="s">
        <v>53</v>
      </c>
      <c r="AO90" s="36">
        <v>34.819589048724794</v>
      </c>
      <c r="AP90" s="37">
        <v>2.5882690527627199</v>
      </c>
      <c r="AQ90" s="38" t="s">
        <v>53</v>
      </c>
      <c r="AR90" s="36">
        <v>7.4095757777497422</v>
      </c>
      <c r="AS90" s="37">
        <v>3.8389072282359638</v>
      </c>
      <c r="AT90" s="38" t="s">
        <v>53</v>
      </c>
      <c r="AU90" s="36">
        <v>30.688693477102657</v>
      </c>
      <c r="AV90" s="37">
        <v>3.5360946346954907</v>
      </c>
      <c r="AW90" s="38" t="s">
        <v>53</v>
      </c>
      <c r="AX90" s="36">
        <v>25.281629761694575</v>
      </c>
      <c r="AY90" s="37">
        <v>2.9226975799627395</v>
      </c>
      <c r="AZ90" s="38" t="s">
        <v>53</v>
      </c>
      <c r="BA90" s="36">
        <v>28.193212680105077</v>
      </c>
      <c r="BB90" s="37">
        <v>2.8178459696393636</v>
      </c>
      <c r="BC90" s="38" t="s">
        <v>53</v>
      </c>
      <c r="BD90" s="36">
        <v>32.025033084980706</v>
      </c>
      <c r="BE90" s="37">
        <v>2.4698814430726386</v>
      </c>
      <c r="BF90" s="38" t="s">
        <v>53</v>
      </c>
      <c r="BG90" s="36">
        <v>1.3363396078780481</v>
      </c>
      <c r="BH90" s="37">
        <v>4.6333377062331795</v>
      </c>
      <c r="BI90" s="38" t="s">
        <v>53</v>
      </c>
      <c r="BJ90" s="36">
        <v>19.954986652269508</v>
      </c>
      <c r="BK90" s="37">
        <v>2.8897998826436169</v>
      </c>
      <c r="BL90" s="38" t="s">
        <v>53</v>
      </c>
      <c r="BM90" s="36">
        <v>23.040109407437583</v>
      </c>
      <c r="BN90" s="37">
        <v>2.8634470355612156</v>
      </c>
      <c r="BO90" s="38" t="s">
        <v>53</v>
      </c>
      <c r="BP90" s="36">
        <v>32.521607774252395</v>
      </c>
      <c r="BQ90" s="37">
        <v>3.7877305410173583</v>
      </c>
      <c r="BR90" s="38" t="s">
        <v>53</v>
      </c>
      <c r="BS90" s="36">
        <v>36.341350896159227</v>
      </c>
      <c r="BT90" s="37">
        <v>2.7257917578805424</v>
      </c>
      <c r="BU90" s="38" t="s">
        <v>53</v>
      </c>
      <c r="BV90" s="36">
        <v>16.386364243889719</v>
      </c>
      <c r="BW90" s="37">
        <v>4.2022678950155674</v>
      </c>
      <c r="BX90" s="38" t="s">
        <v>53</v>
      </c>
      <c r="BY90" s="36">
        <v>23.996490053795704</v>
      </c>
      <c r="BZ90" s="37">
        <v>2.7590488231928134</v>
      </c>
      <c r="CA90" s="38" t="s">
        <v>53</v>
      </c>
      <c r="CB90" s="36">
        <v>28.301789387251347</v>
      </c>
      <c r="CC90" s="37">
        <v>3.4828622152263504</v>
      </c>
      <c r="CD90" s="38" t="s">
        <v>53</v>
      </c>
      <c r="CE90" s="36">
        <v>32.099863887562634</v>
      </c>
      <c r="CF90" s="37">
        <v>2.9694938166781832</v>
      </c>
      <c r="CG90" s="38" t="s">
        <v>53</v>
      </c>
      <c r="CH90" s="36">
        <v>30.661605406844551</v>
      </c>
      <c r="CI90" s="37">
        <v>2.8590891419994753</v>
      </c>
      <c r="CJ90" s="38" t="s">
        <v>53</v>
      </c>
      <c r="CK90" s="36">
        <v>6.6651153530488383</v>
      </c>
      <c r="CL90" s="37">
        <v>4.0283425509579676</v>
      </c>
      <c r="CM90" s="38" t="s">
        <v>53</v>
      </c>
      <c r="CN90" s="36">
        <v>27.260335270430648</v>
      </c>
      <c r="CO90" s="37">
        <v>2.735375417135387</v>
      </c>
      <c r="CP90" s="38" t="s">
        <v>53</v>
      </c>
      <c r="CQ90" s="36">
        <v>28.877706518787789</v>
      </c>
      <c r="CR90" s="37">
        <v>3.1056515609755477</v>
      </c>
      <c r="CS90" s="38" t="s">
        <v>53</v>
      </c>
      <c r="CT90" s="36">
        <v>26.53725206589516</v>
      </c>
      <c r="CU90" s="37">
        <v>2.4754884596598483</v>
      </c>
      <c r="CV90" s="38" t="s">
        <v>53</v>
      </c>
      <c r="CW90" s="36">
        <v>32.673578138374879</v>
      </c>
      <c r="CX90" s="37">
        <v>3.083709266486478</v>
      </c>
      <c r="CY90" s="38" t="s">
        <v>53</v>
      </c>
      <c r="CZ90" s="36">
        <v>5.4132428679442377</v>
      </c>
      <c r="DA90" s="37">
        <v>4.4414927396759118</v>
      </c>
      <c r="DB90" s="38" t="s">
        <v>53</v>
      </c>
      <c r="DC90" s="36">
        <v>23.582318568927686</v>
      </c>
      <c r="DD90" s="37">
        <v>2.295051736096863</v>
      </c>
      <c r="DE90" s="38" t="s">
        <v>53</v>
      </c>
      <c r="DF90" s="36">
        <v>32.246710777660795</v>
      </c>
      <c r="DG90" s="37">
        <v>1.8280946035875205</v>
      </c>
      <c r="DH90" s="38" t="s">
        <v>53</v>
      </c>
      <c r="DI90" s="36">
        <v>8.664392208733112</v>
      </c>
      <c r="DJ90" s="37">
        <v>2.9982345243367106</v>
      </c>
      <c r="DK90" s="39" t="s">
        <v>53</v>
      </c>
    </row>
    <row r="91" spans="1:115" x14ac:dyDescent="0.25">
      <c r="A91" s="15" t="s">
        <v>204</v>
      </c>
      <c r="B91" s="36" t="s">
        <v>55</v>
      </c>
      <c r="C91" s="37" t="s">
        <v>55</v>
      </c>
      <c r="D91" s="38" t="s">
        <v>53</v>
      </c>
      <c r="E91" s="36" t="s">
        <v>55</v>
      </c>
      <c r="F91" s="37" t="s">
        <v>55</v>
      </c>
      <c r="G91" s="38" t="s">
        <v>53</v>
      </c>
      <c r="H91" s="36" t="s">
        <v>55</v>
      </c>
      <c r="I91" s="37" t="s">
        <v>55</v>
      </c>
      <c r="J91" s="38" t="s">
        <v>53</v>
      </c>
      <c r="K91" s="36" t="s">
        <v>55</v>
      </c>
      <c r="L91" s="37" t="s">
        <v>55</v>
      </c>
      <c r="M91" s="38" t="s">
        <v>53</v>
      </c>
      <c r="N91" s="36" t="s">
        <v>55</v>
      </c>
      <c r="O91" s="37" t="s">
        <v>55</v>
      </c>
      <c r="P91" s="38" t="s">
        <v>53</v>
      </c>
      <c r="Q91" s="36" t="s">
        <v>55</v>
      </c>
      <c r="R91" s="37" t="s">
        <v>55</v>
      </c>
      <c r="S91" s="38" t="s">
        <v>53</v>
      </c>
      <c r="T91" s="36" t="s">
        <v>55</v>
      </c>
      <c r="U91" s="37" t="s">
        <v>55</v>
      </c>
      <c r="V91" s="38" t="s">
        <v>53</v>
      </c>
      <c r="W91" s="36" t="s">
        <v>55</v>
      </c>
      <c r="X91" s="37" t="s">
        <v>55</v>
      </c>
      <c r="Y91" s="38" t="s">
        <v>53</v>
      </c>
      <c r="Z91" s="36" t="s">
        <v>55</v>
      </c>
      <c r="AA91" s="37" t="s">
        <v>55</v>
      </c>
      <c r="AB91" s="38" t="s">
        <v>53</v>
      </c>
      <c r="AC91" s="36" t="s">
        <v>55</v>
      </c>
      <c r="AD91" s="37" t="s">
        <v>55</v>
      </c>
      <c r="AE91" s="38" t="s">
        <v>53</v>
      </c>
      <c r="AF91" s="36" t="s">
        <v>55</v>
      </c>
      <c r="AG91" s="37" t="s">
        <v>55</v>
      </c>
      <c r="AH91" s="38" t="s">
        <v>53</v>
      </c>
      <c r="AI91" s="36" t="s">
        <v>55</v>
      </c>
      <c r="AJ91" s="37" t="s">
        <v>55</v>
      </c>
      <c r="AK91" s="38" t="s">
        <v>53</v>
      </c>
      <c r="AL91" s="36" t="s">
        <v>55</v>
      </c>
      <c r="AM91" s="37" t="s">
        <v>55</v>
      </c>
      <c r="AN91" s="38" t="s">
        <v>53</v>
      </c>
      <c r="AO91" s="36" t="s">
        <v>55</v>
      </c>
      <c r="AP91" s="37" t="s">
        <v>55</v>
      </c>
      <c r="AQ91" s="38" t="s">
        <v>53</v>
      </c>
      <c r="AR91" s="36" t="s">
        <v>55</v>
      </c>
      <c r="AS91" s="37" t="s">
        <v>55</v>
      </c>
      <c r="AT91" s="38" t="s">
        <v>53</v>
      </c>
      <c r="AU91" s="36" t="s">
        <v>55</v>
      </c>
      <c r="AV91" s="37" t="s">
        <v>55</v>
      </c>
      <c r="AW91" s="38" t="s">
        <v>53</v>
      </c>
      <c r="AX91" s="36" t="s">
        <v>55</v>
      </c>
      <c r="AY91" s="37" t="s">
        <v>55</v>
      </c>
      <c r="AZ91" s="38" t="s">
        <v>53</v>
      </c>
      <c r="BA91" s="36" t="s">
        <v>55</v>
      </c>
      <c r="BB91" s="37" t="s">
        <v>55</v>
      </c>
      <c r="BC91" s="38" t="s">
        <v>53</v>
      </c>
      <c r="BD91" s="36" t="s">
        <v>55</v>
      </c>
      <c r="BE91" s="37" t="s">
        <v>55</v>
      </c>
      <c r="BF91" s="38" t="s">
        <v>53</v>
      </c>
      <c r="BG91" s="36" t="s">
        <v>55</v>
      </c>
      <c r="BH91" s="37" t="s">
        <v>55</v>
      </c>
      <c r="BI91" s="38" t="s">
        <v>53</v>
      </c>
      <c r="BJ91" s="36" t="s">
        <v>55</v>
      </c>
      <c r="BK91" s="37" t="s">
        <v>55</v>
      </c>
      <c r="BL91" s="38" t="s">
        <v>53</v>
      </c>
      <c r="BM91" s="36" t="s">
        <v>55</v>
      </c>
      <c r="BN91" s="37" t="s">
        <v>55</v>
      </c>
      <c r="BO91" s="38" t="s">
        <v>53</v>
      </c>
      <c r="BP91" s="36" t="s">
        <v>55</v>
      </c>
      <c r="BQ91" s="37" t="s">
        <v>55</v>
      </c>
      <c r="BR91" s="38" t="s">
        <v>53</v>
      </c>
      <c r="BS91" s="36" t="s">
        <v>55</v>
      </c>
      <c r="BT91" s="37" t="s">
        <v>55</v>
      </c>
      <c r="BU91" s="38" t="s">
        <v>53</v>
      </c>
      <c r="BV91" s="36" t="s">
        <v>55</v>
      </c>
      <c r="BW91" s="37" t="s">
        <v>55</v>
      </c>
      <c r="BX91" s="38" t="s">
        <v>53</v>
      </c>
      <c r="BY91" s="36" t="s">
        <v>55</v>
      </c>
      <c r="BZ91" s="37" t="s">
        <v>55</v>
      </c>
      <c r="CA91" s="38" t="s">
        <v>53</v>
      </c>
      <c r="CB91" s="36" t="s">
        <v>55</v>
      </c>
      <c r="CC91" s="37" t="s">
        <v>55</v>
      </c>
      <c r="CD91" s="38" t="s">
        <v>53</v>
      </c>
      <c r="CE91" s="36" t="s">
        <v>55</v>
      </c>
      <c r="CF91" s="37" t="s">
        <v>55</v>
      </c>
      <c r="CG91" s="38" t="s">
        <v>53</v>
      </c>
      <c r="CH91" s="36" t="s">
        <v>55</v>
      </c>
      <c r="CI91" s="37" t="s">
        <v>55</v>
      </c>
      <c r="CJ91" s="38" t="s">
        <v>53</v>
      </c>
      <c r="CK91" s="36" t="s">
        <v>55</v>
      </c>
      <c r="CL91" s="37" t="s">
        <v>55</v>
      </c>
      <c r="CM91" s="38" t="s">
        <v>53</v>
      </c>
      <c r="CN91" s="36" t="s">
        <v>55</v>
      </c>
      <c r="CO91" s="37" t="s">
        <v>55</v>
      </c>
      <c r="CP91" s="38" t="s">
        <v>53</v>
      </c>
      <c r="CQ91" s="36" t="s">
        <v>55</v>
      </c>
      <c r="CR91" s="37" t="s">
        <v>55</v>
      </c>
      <c r="CS91" s="38" t="s">
        <v>53</v>
      </c>
      <c r="CT91" s="36" t="s">
        <v>55</v>
      </c>
      <c r="CU91" s="37" t="s">
        <v>55</v>
      </c>
      <c r="CV91" s="38" t="s">
        <v>53</v>
      </c>
      <c r="CW91" s="36" t="s">
        <v>55</v>
      </c>
      <c r="CX91" s="37" t="s">
        <v>55</v>
      </c>
      <c r="CY91" s="38" t="s">
        <v>53</v>
      </c>
      <c r="CZ91" s="36" t="s">
        <v>55</v>
      </c>
      <c r="DA91" s="37" t="s">
        <v>55</v>
      </c>
      <c r="DB91" s="38" t="s">
        <v>53</v>
      </c>
      <c r="DC91" s="36" t="s">
        <v>55</v>
      </c>
      <c r="DD91" s="37" t="s">
        <v>55</v>
      </c>
      <c r="DE91" s="38" t="s">
        <v>53</v>
      </c>
      <c r="DF91" s="36" t="s">
        <v>55</v>
      </c>
      <c r="DG91" s="37" t="s">
        <v>55</v>
      </c>
      <c r="DH91" s="38" t="s">
        <v>53</v>
      </c>
      <c r="DI91" s="36" t="s">
        <v>55</v>
      </c>
      <c r="DJ91" s="37" t="s">
        <v>55</v>
      </c>
      <c r="DK91" s="39" t="s">
        <v>53</v>
      </c>
    </row>
    <row r="92" spans="1:115" x14ac:dyDescent="0.25">
      <c r="A92" s="15" t="s">
        <v>205</v>
      </c>
      <c r="B92" s="36" t="s">
        <v>55</v>
      </c>
      <c r="C92" s="37" t="s">
        <v>55</v>
      </c>
      <c r="D92" s="38" t="s">
        <v>53</v>
      </c>
      <c r="E92" s="36" t="s">
        <v>55</v>
      </c>
      <c r="F92" s="37" t="s">
        <v>55</v>
      </c>
      <c r="G92" s="38" t="s">
        <v>53</v>
      </c>
      <c r="H92" s="36" t="s">
        <v>55</v>
      </c>
      <c r="I92" s="37" t="s">
        <v>55</v>
      </c>
      <c r="J92" s="38" t="s">
        <v>53</v>
      </c>
      <c r="K92" s="36" t="s">
        <v>55</v>
      </c>
      <c r="L92" s="37" t="s">
        <v>55</v>
      </c>
      <c r="M92" s="38" t="s">
        <v>53</v>
      </c>
      <c r="N92" s="36" t="s">
        <v>55</v>
      </c>
      <c r="O92" s="37" t="s">
        <v>55</v>
      </c>
      <c r="P92" s="38" t="s">
        <v>53</v>
      </c>
      <c r="Q92" s="36" t="s">
        <v>55</v>
      </c>
      <c r="R92" s="37" t="s">
        <v>55</v>
      </c>
      <c r="S92" s="38" t="s">
        <v>53</v>
      </c>
      <c r="T92" s="36" t="s">
        <v>55</v>
      </c>
      <c r="U92" s="37" t="s">
        <v>55</v>
      </c>
      <c r="V92" s="38" t="s">
        <v>53</v>
      </c>
      <c r="W92" s="36" t="s">
        <v>55</v>
      </c>
      <c r="X92" s="37" t="s">
        <v>55</v>
      </c>
      <c r="Y92" s="38" t="s">
        <v>53</v>
      </c>
      <c r="Z92" s="36" t="s">
        <v>55</v>
      </c>
      <c r="AA92" s="37" t="s">
        <v>55</v>
      </c>
      <c r="AB92" s="38" t="s">
        <v>53</v>
      </c>
      <c r="AC92" s="36" t="s">
        <v>55</v>
      </c>
      <c r="AD92" s="37" t="s">
        <v>55</v>
      </c>
      <c r="AE92" s="38" t="s">
        <v>53</v>
      </c>
      <c r="AF92" s="36" t="s">
        <v>55</v>
      </c>
      <c r="AG92" s="37" t="s">
        <v>55</v>
      </c>
      <c r="AH92" s="38" t="s">
        <v>53</v>
      </c>
      <c r="AI92" s="36" t="s">
        <v>55</v>
      </c>
      <c r="AJ92" s="37" t="s">
        <v>55</v>
      </c>
      <c r="AK92" s="38" t="s">
        <v>53</v>
      </c>
      <c r="AL92" s="36" t="s">
        <v>55</v>
      </c>
      <c r="AM92" s="37" t="s">
        <v>55</v>
      </c>
      <c r="AN92" s="38" t="s">
        <v>53</v>
      </c>
      <c r="AO92" s="36" t="s">
        <v>55</v>
      </c>
      <c r="AP92" s="37" t="s">
        <v>55</v>
      </c>
      <c r="AQ92" s="38" t="s">
        <v>53</v>
      </c>
      <c r="AR92" s="36" t="s">
        <v>55</v>
      </c>
      <c r="AS92" s="37" t="s">
        <v>55</v>
      </c>
      <c r="AT92" s="38" t="s">
        <v>53</v>
      </c>
      <c r="AU92" s="36" t="s">
        <v>55</v>
      </c>
      <c r="AV92" s="37" t="s">
        <v>55</v>
      </c>
      <c r="AW92" s="38" t="s">
        <v>53</v>
      </c>
      <c r="AX92" s="36" t="s">
        <v>55</v>
      </c>
      <c r="AY92" s="37" t="s">
        <v>55</v>
      </c>
      <c r="AZ92" s="38" t="s">
        <v>53</v>
      </c>
      <c r="BA92" s="36" t="s">
        <v>55</v>
      </c>
      <c r="BB92" s="37" t="s">
        <v>55</v>
      </c>
      <c r="BC92" s="38" t="s">
        <v>53</v>
      </c>
      <c r="BD92" s="36" t="s">
        <v>55</v>
      </c>
      <c r="BE92" s="37" t="s">
        <v>55</v>
      </c>
      <c r="BF92" s="38" t="s">
        <v>53</v>
      </c>
      <c r="BG92" s="36" t="s">
        <v>55</v>
      </c>
      <c r="BH92" s="37" t="s">
        <v>55</v>
      </c>
      <c r="BI92" s="38" t="s">
        <v>53</v>
      </c>
      <c r="BJ92" s="36" t="s">
        <v>55</v>
      </c>
      <c r="BK92" s="37" t="s">
        <v>55</v>
      </c>
      <c r="BL92" s="38" t="s">
        <v>53</v>
      </c>
      <c r="BM92" s="36" t="s">
        <v>55</v>
      </c>
      <c r="BN92" s="37" t="s">
        <v>55</v>
      </c>
      <c r="BO92" s="38" t="s">
        <v>53</v>
      </c>
      <c r="BP92" s="36" t="s">
        <v>55</v>
      </c>
      <c r="BQ92" s="37" t="s">
        <v>55</v>
      </c>
      <c r="BR92" s="38" t="s">
        <v>53</v>
      </c>
      <c r="BS92" s="36" t="s">
        <v>55</v>
      </c>
      <c r="BT92" s="37" t="s">
        <v>55</v>
      </c>
      <c r="BU92" s="38" t="s">
        <v>53</v>
      </c>
      <c r="BV92" s="36" t="s">
        <v>55</v>
      </c>
      <c r="BW92" s="37" t="s">
        <v>55</v>
      </c>
      <c r="BX92" s="38" t="s">
        <v>53</v>
      </c>
      <c r="BY92" s="36" t="s">
        <v>55</v>
      </c>
      <c r="BZ92" s="37" t="s">
        <v>55</v>
      </c>
      <c r="CA92" s="38" t="s">
        <v>53</v>
      </c>
      <c r="CB92" s="36" t="s">
        <v>55</v>
      </c>
      <c r="CC92" s="37" t="s">
        <v>55</v>
      </c>
      <c r="CD92" s="38" t="s">
        <v>53</v>
      </c>
      <c r="CE92" s="36" t="s">
        <v>55</v>
      </c>
      <c r="CF92" s="37" t="s">
        <v>55</v>
      </c>
      <c r="CG92" s="38" t="s">
        <v>53</v>
      </c>
      <c r="CH92" s="36" t="s">
        <v>55</v>
      </c>
      <c r="CI92" s="37" t="s">
        <v>55</v>
      </c>
      <c r="CJ92" s="38" t="s">
        <v>53</v>
      </c>
      <c r="CK92" s="36" t="s">
        <v>55</v>
      </c>
      <c r="CL92" s="37" t="s">
        <v>55</v>
      </c>
      <c r="CM92" s="38" t="s">
        <v>53</v>
      </c>
      <c r="CN92" s="36" t="s">
        <v>55</v>
      </c>
      <c r="CO92" s="37" t="s">
        <v>55</v>
      </c>
      <c r="CP92" s="38" t="s">
        <v>53</v>
      </c>
      <c r="CQ92" s="36" t="s">
        <v>55</v>
      </c>
      <c r="CR92" s="37" t="s">
        <v>55</v>
      </c>
      <c r="CS92" s="38" t="s">
        <v>53</v>
      </c>
      <c r="CT92" s="36" t="s">
        <v>55</v>
      </c>
      <c r="CU92" s="37" t="s">
        <v>55</v>
      </c>
      <c r="CV92" s="38" t="s">
        <v>53</v>
      </c>
      <c r="CW92" s="36" t="s">
        <v>55</v>
      </c>
      <c r="CX92" s="37" t="s">
        <v>55</v>
      </c>
      <c r="CY92" s="38" t="s">
        <v>53</v>
      </c>
      <c r="CZ92" s="36" t="s">
        <v>55</v>
      </c>
      <c r="DA92" s="37" t="s">
        <v>55</v>
      </c>
      <c r="DB92" s="38" t="s">
        <v>53</v>
      </c>
      <c r="DC92" s="36">
        <v>8.6754808452396759</v>
      </c>
      <c r="DD92" s="37">
        <v>7.0839985790104532</v>
      </c>
      <c r="DE92" s="38" t="s">
        <v>53</v>
      </c>
      <c r="DF92" s="36">
        <v>28.617997555043345</v>
      </c>
      <c r="DG92" s="37">
        <v>12.192350186611641</v>
      </c>
      <c r="DH92" s="38" t="s">
        <v>53</v>
      </c>
      <c r="DI92" s="36">
        <v>19.942516709803666</v>
      </c>
      <c r="DJ92" s="37">
        <v>12.599642881981479</v>
      </c>
      <c r="DK92" s="39" t="s">
        <v>53</v>
      </c>
    </row>
    <row r="93" spans="1:115" x14ac:dyDescent="0.25">
      <c r="A93" s="15" t="s">
        <v>206</v>
      </c>
      <c r="B93" s="36">
        <v>6.512655612566312</v>
      </c>
      <c r="C93" s="37">
        <v>5.596388136106512</v>
      </c>
      <c r="D93" s="38" t="s">
        <v>53</v>
      </c>
      <c r="E93" s="36" t="s">
        <v>55</v>
      </c>
      <c r="F93" s="37" t="s">
        <v>55</v>
      </c>
      <c r="G93" s="38" t="s">
        <v>53</v>
      </c>
      <c r="H93" s="36" t="s">
        <v>55</v>
      </c>
      <c r="I93" s="37" t="s">
        <v>55</v>
      </c>
      <c r="J93" s="38" t="s">
        <v>53</v>
      </c>
      <c r="K93" s="36">
        <v>13.08940544836268</v>
      </c>
      <c r="L93" s="37">
        <v>7.2679419241970136</v>
      </c>
      <c r="M93" s="38" t="s">
        <v>53</v>
      </c>
      <c r="N93" s="36">
        <v>6.5767498357963676</v>
      </c>
      <c r="O93" s="37">
        <v>8.8463711260730147</v>
      </c>
      <c r="P93" s="38" t="s">
        <v>53</v>
      </c>
      <c r="Q93" s="36" t="s">
        <v>55</v>
      </c>
      <c r="R93" s="37" t="s">
        <v>55</v>
      </c>
      <c r="S93" s="38" t="s">
        <v>53</v>
      </c>
      <c r="T93" s="36" t="s">
        <v>55</v>
      </c>
      <c r="U93" s="37" t="s">
        <v>55</v>
      </c>
      <c r="V93" s="38" t="s">
        <v>53</v>
      </c>
      <c r="W93" s="36" t="s">
        <v>55</v>
      </c>
      <c r="X93" s="37" t="s">
        <v>55</v>
      </c>
      <c r="Y93" s="38" t="s">
        <v>53</v>
      </c>
      <c r="Z93" s="36" t="s">
        <v>55</v>
      </c>
      <c r="AA93" s="37" t="s">
        <v>55</v>
      </c>
      <c r="AB93" s="38" t="s">
        <v>53</v>
      </c>
      <c r="AC93" s="36" t="s">
        <v>55</v>
      </c>
      <c r="AD93" s="37" t="s">
        <v>55</v>
      </c>
      <c r="AE93" s="38" t="s">
        <v>53</v>
      </c>
      <c r="AF93" s="36">
        <v>19.681056453084768</v>
      </c>
      <c r="AG93" s="37">
        <v>7.5307739486864786</v>
      </c>
      <c r="AH93" s="38" t="s">
        <v>53</v>
      </c>
      <c r="AI93" s="36">
        <v>12.489102310652941</v>
      </c>
      <c r="AJ93" s="37">
        <v>6.8164109556411292</v>
      </c>
      <c r="AK93" s="38" t="s">
        <v>53</v>
      </c>
      <c r="AL93" s="36" t="s">
        <v>55</v>
      </c>
      <c r="AM93" s="37" t="s">
        <v>55</v>
      </c>
      <c r="AN93" s="38" t="s">
        <v>53</v>
      </c>
      <c r="AO93" s="36" t="s">
        <v>55</v>
      </c>
      <c r="AP93" s="37" t="s">
        <v>55</v>
      </c>
      <c r="AQ93" s="38" t="s">
        <v>53</v>
      </c>
      <c r="AR93" s="36" t="s">
        <v>55</v>
      </c>
      <c r="AS93" s="37" t="s">
        <v>55</v>
      </c>
      <c r="AT93" s="38" t="s">
        <v>53</v>
      </c>
      <c r="AU93" s="36">
        <v>6.9131079340061019</v>
      </c>
      <c r="AV93" s="37">
        <v>5.185918061064883</v>
      </c>
      <c r="AW93" s="38" t="s">
        <v>53</v>
      </c>
      <c r="AX93" s="36" t="s">
        <v>55</v>
      </c>
      <c r="AY93" s="37" t="s">
        <v>55</v>
      </c>
      <c r="AZ93" s="38" t="s">
        <v>53</v>
      </c>
      <c r="BA93" s="36" t="s">
        <v>55</v>
      </c>
      <c r="BB93" s="37" t="s">
        <v>55</v>
      </c>
      <c r="BC93" s="38" t="s">
        <v>53</v>
      </c>
      <c r="BD93" s="36">
        <v>30.746137682140763</v>
      </c>
      <c r="BE93" s="37">
        <v>9.3847557801473158</v>
      </c>
      <c r="BF93" s="38" t="s">
        <v>53</v>
      </c>
      <c r="BG93" s="36">
        <v>23.833029748134656</v>
      </c>
      <c r="BH93" s="37">
        <v>10.369728177522195</v>
      </c>
      <c r="BI93" s="38" t="s">
        <v>53</v>
      </c>
      <c r="BJ93" s="36">
        <v>10.832717551634028</v>
      </c>
      <c r="BK93" s="37">
        <v>4.9884394035847164</v>
      </c>
      <c r="BL93" s="38" t="s">
        <v>53</v>
      </c>
      <c r="BM93" s="36">
        <v>16.678588544566217</v>
      </c>
      <c r="BN93" s="37">
        <v>8.4138347913111424</v>
      </c>
      <c r="BO93" s="38" t="s">
        <v>53</v>
      </c>
      <c r="BP93" s="36" t="s">
        <v>55</v>
      </c>
      <c r="BQ93" s="37" t="s">
        <v>55</v>
      </c>
      <c r="BR93" s="38" t="s">
        <v>53</v>
      </c>
      <c r="BS93" s="36" t="s">
        <v>55</v>
      </c>
      <c r="BT93" s="37" t="s">
        <v>55</v>
      </c>
      <c r="BU93" s="38" t="s">
        <v>53</v>
      </c>
      <c r="BV93" s="36" t="s">
        <v>55</v>
      </c>
      <c r="BW93" s="37" t="s">
        <v>55</v>
      </c>
      <c r="BX93" s="38" t="s">
        <v>53</v>
      </c>
      <c r="BY93" s="36">
        <v>15.224217544284796</v>
      </c>
      <c r="BZ93" s="37">
        <v>7.4890903748671622</v>
      </c>
      <c r="CA93" s="38" t="s">
        <v>53</v>
      </c>
      <c r="CB93" s="36">
        <v>12.752418534132785</v>
      </c>
      <c r="CC93" s="37">
        <v>7.2050848198782003</v>
      </c>
      <c r="CD93" s="38" t="s">
        <v>53</v>
      </c>
      <c r="CE93" s="36" t="s">
        <v>55</v>
      </c>
      <c r="CF93" s="37" t="s">
        <v>55</v>
      </c>
      <c r="CG93" s="38" t="s">
        <v>53</v>
      </c>
      <c r="CH93" s="36" t="s">
        <v>55</v>
      </c>
      <c r="CI93" s="37" t="s">
        <v>55</v>
      </c>
      <c r="CJ93" s="38" t="s">
        <v>53</v>
      </c>
      <c r="CK93" s="36" t="s">
        <v>55</v>
      </c>
      <c r="CL93" s="37" t="s">
        <v>55</v>
      </c>
      <c r="CM93" s="38" t="s">
        <v>53</v>
      </c>
      <c r="CN93" s="36">
        <v>16.090218606490879</v>
      </c>
      <c r="CO93" s="37">
        <v>7.8346366081958356</v>
      </c>
      <c r="CP93" s="38" t="s">
        <v>53</v>
      </c>
      <c r="CQ93" s="36" t="s">
        <v>55</v>
      </c>
      <c r="CR93" s="37" t="s">
        <v>55</v>
      </c>
      <c r="CS93" s="38" t="s">
        <v>53</v>
      </c>
      <c r="CT93" s="36" t="s">
        <v>55</v>
      </c>
      <c r="CU93" s="37" t="s">
        <v>55</v>
      </c>
      <c r="CV93" s="38" t="s">
        <v>53</v>
      </c>
      <c r="CW93" s="36">
        <v>15.047702530521878</v>
      </c>
      <c r="CX93" s="37">
        <v>7.119007740858974</v>
      </c>
      <c r="CY93" s="38" t="s">
        <v>53</v>
      </c>
      <c r="CZ93" s="36">
        <v>-1.0425160759690006</v>
      </c>
      <c r="DA93" s="37">
        <v>9.6292582460402212</v>
      </c>
      <c r="DB93" s="38" t="s">
        <v>53</v>
      </c>
      <c r="DC93" s="36">
        <v>7.3907040125878076</v>
      </c>
      <c r="DD93" s="37">
        <v>6.2739667943327664</v>
      </c>
      <c r="DE93" s="38" t="s">
        <v>53</v>
      </c>
      <c r="DF93" s="36">
        <v>20.113675936717364</v>
      </c>
      <c r="DG93" s="37">
        <v>5.4241803830775268</v>
      </c>
      <c r="DH93" s="38" t="s">
        <v>53</v>
      </c>
      <c r="DI93" s="36">
        <v>12.722971924129553</v>
      </c>
      <c r="DJ93" s="37">
        <v>8.5333789687537376</v>
      </c>
      <c r="DK93" s="39" t="s">
        <v>53</v>
      </c>
    </row>
    <row r="94" spans="1:115" x14ac:dyDescent="0.25">
      <c r="A94" s="15" t="s">
        <v>207</v>
      </c>
      <c r="B94" s="36">
        <v>33.25056877555064</v>
      </c>
      <c r="C94" s="37">
        <v>2.0385953809709774</v>
      </c>
      <c r="D94" s="38" t="s">
        <v>53</v>
      </c>
      <c r="E94" s="36">
        <v>40.239937564085032</v>
      </c>
      <c r="F94" s="37">
        <v>1.7621027941843499</v>
      </c>
      <c r="G94" s="38" t="s">
        <v>53</v>
      </c>
      <c r="H94" s="36">
        <v>41.893837483842901</v>
      </c>
      <c r="I94" s="37">
        <v>1.5344935644451809</v>
      </c>
      <c r="J94" s="38" t="s">
        <v>53</v>
      </c>
      <c r="K94" s="36">
        <v>42.209940374137489</v>
      </c>
      <c r="L94" s="37">
        <v>1.601084168363434</v>
      </c>
      <c r="M94" s="38" t="s">
        <v>53</v>
      </c>
      <c r="N94" s="36">
        <v>8.9593715985868467</v>
      </c>
      <c r="O94" s="37">
        <v>2.2669514468453644</v>
      </c>
      <c r="P94" s="38" t="s">
        <v>53</v>
      </c>
      <c r="Q94" s="36">
        <v>38.451631793544991</v>
      </c>
      <c r="R94" s="37">
        <v>2.6242687347165363</v>
      </c>
      <c r="S94" s="38" t="s">
        <v>53</v>
      </c>
      <c r="T94" s="36">
        <v>40.840901579360022</v>
      </c>
      <c r="U94" s="37">
        <v>1.6180459789408266</v>
      </c>
      <c r="V94" s="38" t="s">
        <v>53</v>
      </c>
      <c r="W94" s="36">
        <v>39.069064615453684</v>
      </c>
      <c r="X94" s="37">
        <v>1.5691597745796131</v>
      </c>
      <c r="Y94" s="38" t="s">
        <v>53</v>
      </c>
      <c r="Z94" s="36">
        <v>36.695871450224423</v>
      </c>
      <c r="AA94" s="37">
        <v>1.3924493877858803</v>
      </c>
      <c r="AB94" s="38" t="s">
        <v>53</v>
      </c>
      <c r="AC94" s="36">
        <v>-1.7557603433205697</v>
      </c>
      <c r="AD94" s="37">
        <v>2.7150890543901403</v>
      </c>
      <c r="AE94" s="38" t="s">
        <v>53</v>
      </c>
      <c r="AF94" s="36">
        <v>36.374838713432759</v>
      </c>
      <c r="AG94" s="37">
        <v>4.0050152431634363</v>
      </c>
      <c r="AH94" s="38" t="s">
        <v>53</v>
      </c>
      <c r="AI94" s="36">
        <v>37.340962316150794</v>
      </c>
      <c r="AJ94" s="37">
        <v>1.4651847031299539</v>
      </c>
      <c r="AK94" s="38" t="s">
        <v>53</v>
      </c>
      <c r="AL94" s="36">
        <v>38.956004127159417</v>
      </c>
      <c r="AM94" s="37">
        <v>1.4478034034310872</v>
      </c>
      <c r="AN94" s="38" t="s">
        <v>53</v>
      </c>
      <c r="AO94" s="36">
        <v>42.501334225996104</v>
      </c>
      <c r="AP94" s="37">
        <v>1.6468207098255812</v>
      </c>
      <c r="AQ94" s="38" t="s">
        <v>53</v>
      </c>
      <c r="AR94" s="36">
        <v>6.1264955125633431</v>
      </c>
      <c r="AS94" s="37">
        <v>4.3728506412155062</v>
      </c>
      <c r="AT94" s="38" t="s">
        <v>53</v>
      </c>
      <c r="AU94" s="36">
        <v>40.912583800682341</v>
      </c>
      <c r="AV94" s="37">
        <v>2.8087259047086484</v>
      </c>
      <c r="AW94" s="38" t="s">
        <v>53</v>
      </c>
      <c r="AX94" s="36">
        <v>33.285807434228552</v>
      </c>
      <c r="AY94" s="37">
        <v>1.5024980728250563</v>
      </c>
      <c r="AZ94" s="38" t="s">
        <v>53</v>
      </c>
      <c r="BA94" s="36">
        <v>45.162408023793041</v>
      </c>
      <c r="BB94" s="37">
        <v>1.4569027930380027</v>
      </c>
      <c r="BC94" s="38" t="s">
        <v>53</v>
      </c>
      <c r="BD94" s="36">
        <v>37.711298338631316</v>
      </c>
      <c r="BE94" s="37">
        <v>1.4480820679606636</v>
      </c>
      <c r="BF94" s="38" t="s">
        <v>53</v>
      </c>
      <c r="BG94" s="36">
        <v>-3.2012854620510214</v>
      </c>
      <c r="BH94" s="37">
        <v>2.8216884511008682</v>
      </c>
      <c r="BI94" s="38" t="s">
        <v>53</v>
      </c>
      <c r="BJ94" s="36">
        <v>28.127162031745893</v>
      </c>
      <c r="BK94" s="37">
        <v>2.4757778900275853</v>
      </c>
      <c r="BL94" s="38" t="s">
        <v>53</v>
      </c>
      <c r="BM94" s="36">
        <v>39.254476160387675</v>
      </c>
      <c r="BN94" s="37">
        <v>1.652421409342584</v>
      </c>
      <c r="BO94" s="38" t="s">
        <v>53</v>
      </c>
      <c r="BP94" s="36">
        <v>44.419545108602875</v>
      </c>
      <c r="BQ94" s="37">
        <v>1.6298114817713156</v>
      </c>
      <c r="BR94" s="38" t="s">
        <v>53</v>
      </c>
      <c r="BS94" s="36">
        <v>41.435039141072814</v>
      </c>
      <c r="BT94" s="37">
        <v>1.6077391581934417</v>
      </c>
      <c r="BU94" s="38" t="s">
        <v>53</v>
      </c>
      <c r="BV94" s="36">
        <v>13.307877109326933</v>
      </c>
      <c r="BW94" s="37">
        <v>2.8831427439402297</v>
      </c>
      <c r="BX94" s="38" t="s">
        <v>53</v>
      </c>
      <c r="BY94" s="36">
        <v>37.374618235971809</v>
      </c>
      <c r="BZ94" s="37">
        <v>2.3188740563521977</v>
      </c>
      <c r="CA94" s="38" t="s">
        <v>53</v>
      </c>
      <c r="CB94" s="36">
        <v>40.090830013694266</v>
      </c>
      <c r="CC94" s="37">
        <v>1.7737181272038911</v>
      </c>
      <c r="CD94" s="38" t="s">
        <v>53</v>
      </c>
      <c r="CE94" s="36">
        <v>43.701822817493976</v>
      </c>
      <c r="CF94" s="37">
        <v>1.7480052615830668</v>
      </c>
      <c r="CG94" s="38" t="s">
        <v>53</v>
      </c>
      <c r="CH94" s="36">
        <v>38.560483454867864</v>
      </c>
      <c r="CI94" s="37">
        <v>1.7223751037912891</v>
      </c>
      <c r="CJ94" s="38" t="s">
        <v>53</v>
      </c>
      <c r="CK94" s="36">
        <v>1.1858652188960523</v>
      </c>
      <c r="CL94" s="37">
        <v>2.8014762481866202</v>
      </c>
      <c r="CM94" s="38" t="s">
        <v>53</v>
      </c>
      <c r="CN94" s="36">
        <v>37.184534165935084</v>
      </c>
      <c r="CO94" s="37">
        <v>2.3129148072692303</v>
      </c>
      <c r="CP94" s="38" t="s">
        <v>53</v>
      </c>
      <c r="CQ94" s="36">
        <v>40.041935237629602</v>
      </c>
      <c r="CR94" s="37">
        <v>1.7136064229304602</v>
      </c>
      <c r="CS94" s="38" t="s">
        <v>53</v>
      </c>
      <c r="CT94" s="36">
        <v>39.279594575973512</v>
      </c>
      <c r="CU94" s="37">
        <v>1.5357868883873171</v>
      </c>
      <c r="CV94" s="38" t="s">
        <v>53</v>
      </c>
      <c r="CW94" s="36">
        <v>42.207097105736146</v>
      </c>
      <c r="CX94" s="37">
        <v>2.0368561721284224</v>
      </c>
      <c r="CY94" s="38" t="s">
        <v>53</v>
      </c>
      <c r="CZ94" s="36">
        <v>5.0225629398010652</v>
      </c>
      <c r="DA94" s="37">
        <v>2.1501410344038239</v>
      </c>
      <c r="DB94" s="38" t="s">
        <v>53</v>
      </c>
      <c r="DC94" s="36">
        <v>25.025404049737094</v>
      </c>
      <c r="DD94" s="37">
        <v>1.6188867878501676</v>
      </c>
      <c r="DE94" s="38" t="s">
        <v>53</v>
      </c>
      <c r="DF94" s="36">
        <v>52.187785564562276</v>
      </c>
      <c r="DG94" s="37">
        <v>1.244863873933072</v>
      </c>
      <c r="DH94" s="38" t="s">
        <v>53</v>
      </c>
      <c r="DI94" s="36">
        <v>27.162381514825185</v>
      </c>
      <c r="DJ94" s="37">
        <v>1.6792132275409786</v>
      </c>
      <c r="DK94" s="39" t="s">
        <v>53</v>
      </c>
    </row>
    <row r="95" spans="1:115" x14ac:dyDescent="0.25">
      <c r="A95" s="15" t="s">
        <v>208</v>
      </c>
      <c r="B95" s="36" t="s">
        <v>55</v>
      </c>
      <c r="C95" s="37" t="s">
        <v>55</v>
      </c>
      <c r="D95" s="38" t="s">
        <v>53</v>
      </c>
      <c r="E95" s="36" t="s">
        <v>55</v>
      </c>
      <c r="F95" s="37" t="s">
        <v>55</v>
      </c>
      <c r="G95" s="38" t="s">
        <v>53</v>
      </c>
      <c r="H95" s="36" t="s">
        <v>55</v>
      </c>
      <c r="I95" s="37" t="s">
        <v>55</v>
      </c>
      <c r="J95" s="38" t="s">
        <v>53</v>
      </c>
      <c r="K95" s="36" t="s">
        <v>55</v>
      </c>
      <c r="L95" s="37" t="s">
        <v>55</v>
      </c>
      <c r="M95" s="38" t="s">
        <v>53</v>
      </c>
      <c r="N95" s="36" t="s">
        <v>55</v>
      </c>
      <c r="O95" s="37" t="s">
        <v>55</v>
      </c>
      <c r="P95" s="38" t="s">
        <v>53</v>
      </c>
      <c r="Q95" s="36" t="s">
        <v>55</v>
      </c>
      <c r="R95" s="37" t="s">
        <v>55</v>
      </c>
      <c r="S95" s="38" t="s">
        <v>53</v>
      </c>
      <c r="T95" s="36" t="s">
        <v>55</v>
      </c>
      <c r="U95" s="37" t="s">
        <v>55</v>
      </c>
      <c r="V95" s="38" t="s">
        <v>53</v>
      </c>
      <c r="W95" s="36" t="s">
        <v>55</v>
      </c>
      <c r="X95" s="37" t="s">
        <v>55</v>
      </c>
      <c r="Y95" s="38" t="s">
        <v>53</v>
      </c>
      <c r="Z95" s="36" t="s">
        <v>55</v>
      </c>
      <c r="AA95" s="37" t="s">
        <v>55</v>
      </c>
      <c r="AB95" s="38" t="s">
        <v>53</v>
      </c>
      <c r="AC95" s="36" t="s">
        <v>55</v>
      </c>
      <c r="AD95" s="37" t="s">
        <v>55</v>
      </c>
      <c r="AE95" s="38" t="s">
        <v>53</v>
      </c>
      <c r="AF95" s="36" t="s">
        <v>55</v>
      </c>
      <c r="AG95" s="37" t="s">
        <v>55</v>
      </c>
      <c r="AH95" s="38" t="s">
        <v>53</v>
      </c>
      <c r="AI95" s="36" t="s">
        <v>55</v>
      </c>
      <c r="AJ95" s="37" t="s">
        <v>55</v>
      </c>
      <c r="AK95" s="38" t="s">
        <v>53</v>
      </c>
      <c r="AL95" s="36" t="s">
        <v>55</v>
      </c>
      <c r="AM95" s="37" t="s">
        <v>55</v>
      </c>
      <c r="AN95" s="38" t="s">
        <v>53</v>
      </c>
      <c r="AO95" s="36" t="s">
        <v>55</v>
      </c>
      <c r="AP95" s="37" t="s">
        <v>55</v>
      </c>
      <c r="AQ95" s="38" t="s">
        <v>53</v>
      </c>
      <c r="AR95" s="36" t="s">
        <v>55</v>
      </c>
      <c r="AS95" s="37" t="s">
        <v>55</v>
      </c>
      <c r="AT95" s="38" t="s">
        <v>53</v>
      </c>
      <c r="AU95" s="36" t="s">
        <v>55</v>
      </c>
      <c r="AV95" s="37" t="s">
        <v>55</v>
      </c>
      <c r="AW95" s="38" t="s">
        <v>53</v>
      </c>
      <c r="AX95" s="36" t="s">
        <v>55</v>
      </c>
      <c r="AY95" s="37" t="s">
        <v>55</v>
      </c>
      <c r="AZ95" s="38" t="s">
        <v>53</v>
      </c>
      <c r="BA95" s="36" t="s">
        <v>55</v>
      </c>
      <c r="BB95" s="37" t="s">
        <v>55</v>
      </c>
      <c r="BC95" s="38" t="s">
        <v>53</v>
      </c>
      <c r="BD95" s="36" t="s">
        <v>55</v>
      </c>
      <c r="BE95" s="37" t="s">
        <v>55</v>
      </c>
      <c r="BF95" s="38" t="s">
        <v>53</v>
      </c>
      <c r="BG95" s="36" t="s">
        <v>55</v>
      </c>
      <c r="BH95" s="37" t="s">
        <v>55</v>
      </c>
      <c r="BI95" s="38" t="s">
        <v>53</v>
      </c>
      <c r="BJ95" s="36" t="s">
        <v>55</v>
      </c>
      <c r="BK95" s="37" t="s">
        <v>55</v>
      </c>
      <c r="BL95" s="38" t="s">
        <v>53</v>
      </c>
      <c r="BM95" s="36" t="s">
        <v>55</v>
      </c>
      <c r="BN95" s="37" t="s">
        <v>55</v>
      </c>
      <c r="BO95" s="38" t="s">
        <v>53</v>
      </c>
      <c r="BP95" s="36" t="s">
        <v>55</v>
      </c>
      <c r="BQ95" s="37" t="s">
        <v>55</v>
      </c>
      <c r="BR95" s="38" t="s">
        <v>53</v>
      </c>
      <c r="BS95" s="36" t="s">
        <v>55</v>
      </c>
      <c r="BT95" s="37" t="s">
        <v>55</v>
      </c>
      <c r="BU95" s="38" t="s">
        <v>53</v>
      </c>
      <c r="BV95" s="36" t="s">
        <v>55</v>
      </c>
      <c r="BW95" s="37" t="s">
        <v>55</v>
      </c>
      <c r="BX95" s="38" t="s">
        <v>53</v>
      </c>
      <c r="BY95" s="36" t="s">
        <v>55</v>
      </c>
      <c r="BZ95" s="37" t="s">
        <v>55</v>
      </c>
      <c r="CA95" s="38" t="s">
        <v>53</v>
      </c>
      <c r="CB95" s="36" t="s">
        <v>55</v>
      </c>
      <c r="CC95" s="37" t="s">
        <v>55</v>
      </c>
      <c r="CD95" s="38" t="s">
        <v>53</v>
      </c>
      <c r="CE95" s="36" t="s">
        <v>55</v>
      </c>
      <c r="CF95" s="37" t="s">
        <v>55</v>
      </c>
      <c r="CG95" s="38" t="s">
        <v>53</v>
      </c>
      <c r="CH95" s="36" t="s">
        <v>55</v>
      </c>
      <c r="CI95" s="37" t="s">
        <v>55</v>
      </c>
      <c r="CJ95" s="38" t="s">
        <v>53</v>
      </c>
      <c r="CK95" s="36" t="s">
        <v>55</v>
      </c>
      <c r="CL95" s="37" t="s">
        <v>55</v>
      </c>
      <c r="CM95" s="38" t="s">
        <v>53</v>
      </c>
      <c r="CN95" s="36" t="s">
        <v>55</v>
      </c>
      <c r="CO95" s="37" t="s">
        <v>55</v>
      </c>
      <c r="CP95" s="38" t="s">
        <v>53</v>
      </c>
      <c r="CQ95" s="36" t="s">
        <v>55</v>
      </c>
      <c r="CR95" s="37" t="s">
        <v>55</v>
      </c>
      <c r="CS95" s="38" t="s">
        <v>53</v>
      </c>
      <c r="CT95" s="36" t="s">
        <v>55</v>
      </c>
      <c r="CU95" s="37" t="s">
        <v>55</v>
      </c>
      <c r="CV95" s="38" t="s">
        <v>53</v>
      </c>
      <c r="CW95" s="36" t="s">
        <v>55</v>
      </c>
      <c r="CX95" s="37" t="s">
        <v>55</v>
      </c>
      <c r="CY95" s="38" t="s">
        <v>53</v>
      </c>
      <c r="CZ95" s="36" t="s">
        <v>55</v>
      </c>
      <c r="DA95" s="37" t="s">
        <v>55</v>
      </c>
      <c r="DB95" s="38" t="s">
        <v>53</v>
      </c>
      <c r="DC95" s="36" t="s">
        <v>55</v>
      </c>
      <c r="DD95" s="37" t="s">
        <v>55</v>
      </c>
      <c r="DE95" s="38" t="s">
        <v>53</v>
      </c>
      <c r="DF95" s="36" t="s">
        <v>55</v>
      </c>
      <c r="DG95" s="37" t="s">
        <v>55</v>
      </c>
      <c r="DH95" s="38" t="s">
        <v>53</v>
      </c>
      <c r="DI95" s="36" t="s">
        <v>55</v>
      </c>
      <c r="DJ95" s="37" t="s">
        <v>55</v>
      </c>
      <c r="DK95" s="39" t="s">
        <v>53</v>
      </c>
    </row>
    <row r="96" spans="1:115" ht="13.8" thickBot="1" x14ac:dyDescent="0.3">
      <c r="A96" s="18" t="s">
        <v>209</v>
      </c>
      <c r="B96" s="40" t="s">
        <v>55</v>
      </c>
      <c r="C96" s="41" t="s">
        <v>55</v>
      </c>
      <c r="D96" s="42" t="s">
        <v>53</v>
      </c>
      <c r="E96" s="40" t="s">
        <v>55</v>
      </c>
      <c r="F96" s="41" t="s">
        <v>55</v>
      </c>
      <c r="G96" s="42" t="s">
        <v>53</v>
      </c>
      <c r="H96" s="40" t="s">
        <v>55</v>
      </c>
      <c r="I96" s="41" t="s">
        <v>55</v>
      </c>
      <c r="J96" s="42" t="s">
        <v>53</v>
      </c>
      <c r="K96" s="40" t="s">
        <v>55</v>
      </c>
      <c r="L96" s="41" t="s">
        <v>55</v>
      </c>
      <c r="M96" s="42" t="s">
        <v>53</v>
      </c>
      <c r="N96" s="40" t="s">
        <v>55</v>
      </c>
      <c r="O96" s="41" t="s">
        <v>55</v>
      </c>
      <c r="P96" s="42" t="s">
        <v>53</v>
      </c>
      <c r="Q96" s="40" t="s">
        <v>55</v>
      </c>
      <c r="R96" s="41" t="s">
        <v>55</v>
      </c>
      <c r="S96" s="42" t="s">
        <v>53</v>
      </c>
      <c r="T96" s="40" t="s">
        <v>55</v>
      </c>
      <c r="U96" s="41" t="s">
        <v>55</v>
      </c>
      <c r="V96" s="42" t="s">
        <v>53</v>
      </c>
      <c r="W96" s="40" t="s">
        <v>55</v>
      </c>
      <c r="X96" s="41" t="s">
        <v>55</v>
      </c>
      <c r="Y96" s="42" t="s">
        <v>53</v>
      </c>
      <c r="Z96" s="40" t="s">
        <v>55</v>
      </c>
      <c r="AA96" s="41" t="s">
        <v>55</v>
      </c>
      <c r="AB96" s="42" t="s">
        <v>53</v>
      </c>
      <c r="AC96" s="40" t="s">
        <v>55</v>
      </c>
      <c r="AD96" s="41" t="s">
        <v>55</v>
      </c>
      <c r="AE96" s="42" t="s">
        <v>53</v>
      </c>
      <c r="AF96" s="40" t="s">
        <v>55</v>
      </c>
      <c r="AG96" s="41" t="s">
        <v>55</v>
      </c>
      <c r="AH96" s="42" t="s">
        <v>53</v>
      </c>
      <c r="AI96" s="40" t="s">
        <v>55</v>
      </c>
      <c r="AJ96" s="41" t="s">
        <v>55</v>
      </c>
      <c r="AK96" s="42" t="s">
        <v>53</v>
      </c>
      <c r="AL96" s="40" t="s">
        <v>55</v>
      </c>
      <c r="AM96" s="41" t="s">
        <v>55</v>
      </c>
      <c r="AN96" s="42" t="s">
        <v>53</v>
      </c>
      <c r="AO96" s="40" t="s">
        <v>55</v>
      </c>
      <c r="AP96" s="41" t="s">
        <v>55</v>
      </c>
      <c r="AQ96" s="42" t="s">
        <v>53</v>
      </c>
      <c r="AR96" s="40" t="s">
        <v>55</v>
      </c>
      <c r="AS96" s="41" t="s">
        <v>55</v>
      </c>
      <c r="AT96" s="42" t="s">
        <v>53</v>
      </c>
      <c r="AU96" s="40" t="s">
        <v>55</v>
      </c>
      <c r="AV96" s="41" t="s">
        <v>55</v>
      </c>
      <c r="AW96" s="42" t="s">
        <v>53</v>
      </c>
      <c r="AX96" s="40" t="s">
        <v>55</v>
      </c>
      <c r="AY96" s="41" t="s">
        <v>55</v>
      </c>
      <c r="AZ96" s="42" t="s">
        <v>53</v>
      </c>
      <c r="BA96" s="40" t="s">
        <v>55</v>
      </c>
      <c r="BB96" s="41" t="s">
        <v>55</v>
      </c>
      <c r="BC96" s="42" t="s">
        <v>53</v>
      </c>
      <c r="BD96" s="40" t="s">
        <v>55</v>
      </c>
      <c r="BE96" s="41" t="s">
        <v>55</v>
      </c>
      <c r="BF96" s="42" t="s">
        <v>53</v>
      </c>
      <c r="BG96" s="40" t="s">
        <v>55</v>
      </c>
      <c r="BH96" s="41" t="s">
        <v>55</v>
      </c>
      <c r="BI96" s="42" t="s">
        <v>53</v>
      </c>
      <c r="BJ96" s="40" t="s">
        <v>55</v>
      </c>
      <c r="BK96" s="41" t="s">
        <v>55</v>
      </c>
      <c r="BL96" s="42" t="s">
        <v>53</v>
      </c>
      <c r="BM96" s="40" t="s">
        <v>55</v>
      </c>
      <c r="BN96" s="41" t="s">
        <v>55</v>
      </c>
      <c r="BO96" s="42" t="s">
        <v>53</v>
      </c>
      <c r="BP96" s="40" t="s">
        <v>55</v>
      </c>
      <c r="BQ96" s="41" t="s">
        <v>55</v>
      </c>
      <c r="BR96" s="42" t="s">
        <v>53</v>
      </c>
      <c r="BS96" s="40" t="s">
        <v>55</v>
      </c>
      <c r="BT96" s="41" t="s">
        <v>55</v>
      </c>
      <c r="BU96" s="42" t="s">
        <v>53</v>
      </c>
      <c r="BV96" s="40" t="s">
        <v>55</v>
      </c>
      <c r="BW96" s="41" t="s">
        <v>55</v>
      </c>
      <c r="BX96" s="42" t="s">
        <v>53</v>
      </c>
      <c r="BY96" s="40" t="s">
        <v>55</v>
      </c>
      <c r="BZ96" s="41" t="s">
        <v>55</v>
      </c>
      <c r="CA96" s="42" t="s">
        <v>53</v>
      </c>
      <c r="CB96" s="40" t="s">
        <v>55</v>
      </c>
      <c r="CC96" s="41" t="s">
        <v>55</v>
      </c>
      <c r="CD96" s="42" t="s">
        <v>53</v>
      </c>
      <c r="CE96" s="40" t="s">
        <v>55</v>
      </c>
      <c r="CF96" s="41" t="s">
        <v>55</v>
      </c>
      <c r="CG96" s="42" t="s">
        <v>53</v>
      </c>
      <c r="CH96" s="40" t="s">
        <v>55</v>
      </c>
      <c r="CI96" s="41" t="s">
        <v>55</v>
      </c>
      <c r="CJ96" s="42" t="s">
        <v>53</v>
      </c>
      <c r="CK96" s="40" t="s">
        <v>55</v>
      </c>
      <c r="CL96" s="41" t="s">
        <v>55</v>
      </c>
      <c r="CM96" s="42" t="s">
        <v>53</v>
      </c>
      <c r="CN96" s="40" t="s">
        <v>55</v>
      </c>
      <c r="CO96" s="41" t="s">
        <v>55</v>
      </c>
      <c r="CP96" s="42" t="s">
        <v>53</v>
      </c>
      <c r="CQ96" s="40" t="s">
        <v>55</v>
      </c>
      <c r="CR96" s="41" t="s">
        <v>55</v>
      </c>
      <c r="CS96" s="42" t="s">
        <v>53</v>
      </c>
      <c r="CT96" s="40" t="s">
        <v>55</v>
      </c>
      <c r="CU96" s="41" t="s">
        <v>55</v>
      </c>
      <c r="CV96" s="42" t="s">
        <v>53</v>
      </c>
      <c r="CW96" s="40" t="s">
        <v>55</v>
      </c>
      <c r="CX96" s="41" t="s">
        <v>55</v>
      </c>
      <c r="CY96" s="42" t="s">
        <v>53</v>
      </c>
      <c r="CZ96" s="40" t="s">
        <v>55</v>
      </c>
      <c r="DA96" s="41" t="s">
        <v>55</v>
      </c>
      <c r="DB96" s="42" t="s">
        <v>53</v>
      </c>
      <c r="DC96" s="40" t="s">
        <v>55</v>
      </c>
      <c r="DD96" s="41" t="s">
        <v>55</v>
      </c>
      <c r="DE96" s="42" t="s">
        <v>53</v>
      </c>
      <c r="DF96" s="40" t="s">
        <v>55</v>
      </c>
      <c r="DG96" s="41" t="s">
        <v>55</v>
      </c>
      <c r="DH96" s="42" t="s">
        <v>53</v>
      </c>
      <c r="DI96" s="40" t="s">
        <v>55</v>
      </c>
      <c r="DJ96" s="41" t="s">
        <v>55</v>
      </c>
      <c r="DK96" s="43" t="s">
        <v>53</v>
      </c>
    </row>
    <row r="103" spans="1:115" x14ac:dyDescent="0.25">
      <c r="A103" t="s">
        <v>219</v>
      </c>
    </row>
    <row r="104" spans="1:115" x14ac:dyDescent="0.25">
      <c r="A104" s="33" t="s">
        <v>116</v>
      </c>
      <c r="B104" s="29"/>
      <c r="C104" s="29"/>
      <c r="D104" s="29"/>
      <c r="E104" s="29"/>
      <c r="F104" s="29"/>
      <c r="G104" s="29"/>
      <c r="H104" s="29"/>
      <c r="I104" s="29"/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9"/>
      <c r="AA104" s="29"/>
      <c r="AB104" s="29"/>
      <c r="AC104" s="29"/>
      <c r="AD104" s="29"/>
      <c r="AE104" s="29"/>
      <c r="AF104" s="29"/>
      <c r="AG104" s="29"/>
      <c r="AH104" s="29"/>
      <c r="AI104" s="29"/>
      <c r="AJ104" s="29"/>
      <c r="AK104" s="29"/>
      <c r="AL104" s="29"/>
      <c r="AM104" s="29"/>
      <c r="AN104" s="29"/>
      <c r="AO104" s="29"/>
      <c r="AP104" s="29"/>
      <c r="AQ104" s="29"/>
      <c r="AR104" s="29"/>
      <c r="AS104" s="29"/>
      <c r="AT104" s="29"/>
      <c r="AU104" s="29"/>
      <c r="AV104" s="29"/>
      <c r="AW104" s="29"/>
      <c r="AX104" s="29"/>
      <c r="AY104" s="29"/>
      <c r="AZ104" s="29"/>
      <c r="BA104" s="29"/>
      <c r="BB104" s="29"/>
      <c r="BC104" s="29"/>
      <c r="BD104" s="29"/>
      <c r="BE104" s="29"/>
      <c r="BF104" s="29"/>
      <c r="BG104" s="29"/>
      <c r="BH104" s="29"/>
      <c r="BI104" s="29"/>
      <c r="BJ104" s="29"/>
      <c r="BK104" s="29"/>
      <c r="BL104" s="29"/>
      <c r="BM104" s="29"/>
      <c r="BN104" s="29"/>
      <c r="BO104" s="29"/>
      <c r="BP104" s="29"/>
      <c r="BQ104" s="29"/>
      <c r="BR104" s="29"/>
      <c r="BS104" s="29"/>
      <c r="BT104" s="29"/>
      <c r="BU104" s="29"/>
      <c r="BV104" s="29"/>
      <c r="BW104" s="29"/>
      <c r="BX104" s="29"/>
      <c r="BY104" s="29"/>
      <c r="BZ104" s="29"/>
      <c r="CA104" s="29"/>
      <c r="CB104" s="29"/>
      <c r="CC104" s="29"/>
      <c r="CD104" s="29"/>
      <c r="CE104" s="29"/>
      <c r="CF104" s="29"/>
      <c r="CG104" s="29"/>
      <c r="CH104" s="29"/>
      <c r="CI104" s="29"/>
      <c r="CJ104" s="29"/>
      <c r="CK104" s="29"/>
      <c r="CL104" s="29"/>
      <c r="CM104" s="29"/>
      <c r="CN104" s="29"/>
      <c r="CO104" s="29"/>
      <c r="CP104" s="29"/>
      <c r="CQ104" s="29"/>
      <c r="CR104" s="29"/>
      <c r="CS104" s="29"/>
      <c r="CT104" s="29"/>
      <c r="CU104" s="29"/>
      <c r="CV104" s="29"/>
      <c r="CW104" s="29"/>
      <c r="CX104" s="29"/>
      <c r="CY104" s="29"/>
      <c r="CZ104" s="29"/>
      <c r="DA104" s="29"/>
      <c r="DB104" s="29"/>
      <c r="DC104" s="29"/>
      <c r="DD104" s="29"/>
      <c r="DE104" s="29"/>
      <c r="DF104" s="29"/>
      <c r="DG104" s="29"/>
      <c r="DH104" s="29"/>
      <c r="DI104" s="29"/>
      <c r="DJ104" s="29"/>
      <c r="DK104" s="29"/>
    </row>
    <row r="105" spans="1:115" x14ac:dyDescent="0.25">
      <c r="A105" s="27" t="s">
        <v>103</v>
      </c>
    </row>
    <row r="106" spans="1:115" x14ac:dyDescent="0.25">
      <c r="A106" s="27" t="s">
        <v>81</v>
      </c>
    </row>
    <row r="107" spans="1:115" x14ac:dyDescent="0.25">
      <c r="A107" s="27" t="s">
        <v>82</v>
      </c>
    </row>
    <row r="108" spans="1:115" x14ac:dyDescent="0.25">
      <c r="A108" s="27" t="s">
        <v>83</v>
      </c>
    </row>
    <row r="109" spans="1:115" x14ac:dyDescent="0.25">
      <c r="A109" s="27" t="s">
        <v>217</v>
      </c>
    </row>
    <row r="110" spans="1:115" x14ac:dyDescent="0.25">
      <c r="A110" t="s">
        <v>78</v>
      </c>
    </row>
    <row r="111" spans="1:115" x14ac:dyDescent="0.25">
      <c r="A111" s="27" t="s">
        <v>212</v>
      </c>
    </row>
  </sheetData>
  <mergeCells count="47">
    <mergeCell ref="CZ13:DB13"/>
    <mergeCell ref="DC13:DE13"/>
    <mergeCell ref="DF13:DH13"/>
    <mergeCell ref="DI13:DK13"/>
    <mergeCell ref="CH13:CJ13"/>
    <mergeCell ref="CK13:CM13"/>
    <mergeCell ref="CN13:CP13"/>
    <mergeCell ref="CQ13:CS13"/>
    <mergeCell ref="CT13:CV13"/>
    <mergeCell ref="CW13:CY13"/>
    <mergeCell ref="CE13:CG13"/>
    <mergeCell ref="AX13:AZ13"/>
    <mergeCell ref="BA13:BC13"/>
    <mergeCell ref="BD13:BF13"/>
    <mergeCell ref="BG13:BI13"/>
    <mergeCell ref="BJ13:BL13"/>
    <mergeCell ref="BM13:BO13"/>
    <mergeCell ref="BP13:BR13"/>
    <mergeCell ref="BS13:BU13"/>
    <mergeCell ref="BV13:BX13"/>
    <mergeCell ref="BY13:CA13"/>
    <mergeCell ref="CB13:CD13"/>
    <mergeCell ref="B13:D13"/>
    <mergeCell ref="E13:G13"/>
    <mergeCell ref="H13:J13"/>
    <mergeCell ref="K13:M13"/>
    <mergeCell ref="AF13:AH13"/>
    <mergeCell ref="N13:P13"/>
    <mergeCell ref="Q13:S13"/>
    <mergeCell ref="T13:V13"/>
    <mergeCell ref="W13:Y13"/>
    <mergeCell ref="B11:DB11"/>
    <mergeCell ref="DC11:DK12"/>
    <mergeCell ref="AF12:AT12"/>
    <mergeCell ref="AU12:BI12"/>
    <mergeCell ref="BJ12:BX12"/>
    <mergeCell ref="BY12:CM12"/>
    <mergeCell ref="CN12:DB12"/>
    <mergeCell ref="B12:P12"/>
    <mergeCell ref="Q12:AE12"/>
    <mergeCell ref="AU13:AW13"/>
    <mergeCell ref="Z13:AB13"/>
    <mergeCell ref="AC13:AE13"/>
    <mergeCell ref="AI13:AK13"/>
    <mergeCell ref="AL13:AN13"/>
    <mergeCell ref="AO13:AQ13"/>
    <mergeCell ref="AR13:AT13"/>
  </mergeCells>
  <conditionalFormatting sqref="N16:N96 AC16:AC96 AR16:AR96 BG16:BG96 BV16:BV96 CK16:CK96 CZ16:CZ96 DI16:DI96">
    <cfRule type="expression" dxfId="12" priority="8">
      <formula>ABS(N16/O16)&gt;1.96</formula>
    </cfRule>
  </conditionalFormatting>
  <hyperlinks>
    <hyperlink ref="A1" r:id="rId1" display="https://doi.org/10.1787/b5fd1b8f-en"/>
    <hyperlink ref="A4" r:id="rId2"/>
  </hyperlinks>
  <pageMargins left="0.7" right="0.7" top="0.75" bottom="0.75" header="0.3" footer="0.3"/>
  <pageSetup paperSize="9" orientation="portrait"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112"/>
  <sheetViews>
    <sheetView showGridLines="0" zoomScale="80" zoomScaleNormal="80" workbookViewId="0"/>
  </sheetViews>
  <sheetFormatPr defaultRowHeight="13.2" x14ac:dyDescent="0.25"/>
  <cols>
    <col min="1" max="1" width="28.33203125" customWidth="1"/>
    <col min="2" max="3" width="9" customWidth="1"/>
    <col min="4" max="4" width="2.44140625" customWidth="1"/>
    <col min="5" max="6" width="9" customWidth="1"/>
    <col min="7" max="7" width="2.44140625" customWidth="1"/>
    <col min="8" max="9" width="9" customWidth="1"/>
    <col min="10" max="10" width="2.44140625" customWidth="1"/>
    <col min="11" max="12" width="9" customWidth="1"/>
    <col min="13" max="13" width="2.44140625" customWidth="1"/>
    <col min="14" max="15" width="9" customWidth="1"/>
    <col min="16" max="16" width="2.44140625" customWidth="1"/>
    <col min="17" max="18" width="9" customWidth="1"/>
    <col min="19" max="19" width="2.44140625" customWidth="1"/>
    <col min="20" max="21" width="9" customWidth="1"/>
    <col min="22" max="22" width="2.44140625" customWidth="1"/>
    <col min="23" max="24" width="9" customWidth="1"/>
    <col min="25" max="25" width="2.44140625" customWidth="1"/>
    <col min="26" max="27" width="9" customWidth="1"/>
    <col min="28" max="28" width="2.44140625" customWidth="1"/>
    <col min="29" max="30" width="9" customWidth="1"/>
    <col min="31" max="31" width="2.44140625" customWidth="1"/>
    <col min="32" max="33" width="9" customWidth="1"/>
    <col min="34" max="34" width="2.44140625" customWidth="1"/>
    <col min="35" max="36" width="9" customWidth="1"/>
    <col min="37" max="37" width="2.44140625" customWidth="1"/>
    <col min="38" max="39" width="9" customWidth="1"/>
    <col min="40" max="40" width="2.44140625" customWidth="1"/>
    <col min="41" max="42" width="9" customWidth="1"/>
    <col min="43" max="43" width="2.44140625" customWidth="1"/>
    <col min="44" max="45" width="9" customWidth="1"/>
    <col min="46" max="46" width="2.44140625" customWidth="1"/>
    <col min="47" max="48" width="9" customWidth="1"/>
    <col min="49" max="49" width="2.44140625" customWidth="1"/>
    <col min="50" max="51" width="9" customWidth="1"/>
    <col min="52" max="52" width="2.44140625" customWidth="1"/>
    <col min="53" max="54" width="9" customWidth="1"/>
    <col min="55" max="55" width="2.44140625" customWidth="1"/>
  </cols>
  <sheetData>
    <row r="1" spans="1:55" s="115" customFormat="1" x14ac:dyDescent="0.25">
      <c r="A1" s="116" t="s">
        <v>232</v>
      </c>
    </row>
    <row r="2" spans="1:55" s="115" customFormat="1" x14ac:dyDescent="0.25">
      <c r="A2" s="115" t="s">
        <v>233</v>
      </c>
      <c r="B2" s="115" t="s">
        <v>234</v>
      </c>
    </row>
    <row r="3" spans="1:55" s="115" customFormat="1" x14ac:dyDescent="0.25">
      <c r="A3" s="115" t="s">
        <v>235</v>
      </c>
    </row>
    <row r="4" spans="1:55" s="115" customFormat="1" x14ac:dyDescent="0.25">
      <c r="A4" s="116" t="s">
        <v>236</v>
      </c>
    </row>
    <row r="5" spans="1:55" s="115" customFormat="1" x14ac:dyDescent="0.25"/>
    <row r="6" spans="1:55" x14ac:dyDescent="0.25">
      <c r="A6" s="2" t="s">
        <v>123</v>
      </c>
      <c r="B6" s="30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7"/>
      <c r="T6" s="1"/>
      <c r="U6" s="1"/>
      <c r="V6" s="1"/>
      <c r="W6" s="1"/>
      <c r="X6" s="1"/>
      <c r="Y6" s="1"/>
      <c r="Z6" s="1"/>
      <c r="AA6" s="1"/>
      <c r="AB6" s="1"/>
      <c r="AC6" s="30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</row>
    <row r="7" spans="1:55" x14ac:dyDescent="0.25">
      <c r="A7" s="35" t="s">
        <v>52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7"/>
      <c r="T7" s="4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</row>
    <row r="8" spans="1:55" x14ac:dyDescent="0.25">
      <c r="A8" s="28" t="s">
        <v>27</v>
      </c>
      <c r="B8" s="7"/>
      <c r="C8" s="7"/>
      <c r="D8" s="7"/>
      <c r="E8" s="7"/>
      <c r="G8" s="7"/>
      <c r="H8" s="7"/>
      <c r="I8" s="7"/>
      <c r="J8" s="7"/>
      <c r="K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26"/>
      <c r="AH8" s="7"/>
      <c r="AI8" s="7"/>
      <c r="AJ8" s="7"/>
      <c r="AK8" s="7"/>
      <c r="AL8" s="7"/>
      <c r="AM8" s="7"/>
      <c r="AN8" s="7"/>
      <c r="AO8" s="26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</row>
    <row r="9" spans="1:55" x14ac:dyDescent="0.25">
      <c r="A9" s="28"/>
      <c r="B9" s="7"/>
      <c r="C9" s="7"/>
      <c r="D9" s="7"/>
      <c r="E9" s="7"/>
      <c r="F9" s="7"/>
      <c r="G9" s="7"/>
      <c r="H9" s="7"/>
      <c r="I9" s="7"/>
      <c r="J9" s="7"/>
      <c r="K9" s="7"/>
      <c r="M9" s="7"/>
      <c r="N9" s="7"/>
      <c r="O9" s="7"/>
      <c r="P9" s="7"/>
      <c r="Q9" s="7"/>
      <c r="R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</row>
    <row r="10" spans="1:55" x14ac:dyDescent="0.25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</row>
    <row r="11" spans="1:55" ht="13.8" thickBot="1" x14ac:dyDescent="0.3"/>
    <row r="12" spans="1:55" ht="25.5" customHeight="1" x14ac:dyDescent="0.25">
      <c r="A12" s="8"/>
      <c r="B12" s="96" t="s">
        <v>40</v>
      </c>
      <c r="C12" s="91"/>
      <c r="D12" s="91"/>
      <c r="E12" s="91"/>
      <c r="F12" s="91"/>
      <c r="G12" s="91"/>
      <c r="H12" s="91"/>
      <c r="I12" s="91"/>
      <c r="J12" s="97"/>
      <c r="K12" s="96" t="s">
        <v>215</v>
      </c>
      <c r="L12" s="91"/>
      <c r="M12" s="91"/>
      <c r="N12" s="91"/>
      <c r="O12" s="91"/>
      <c r="P12" s="91"/>
      <c r="Q12" s="91"/>
      <c r="R12" s="91"/>
      <c r="S12" s="97"/>
      <c r="T12" s="96" t="s">
        <v>71</v>
      </c>
      <c r="U12" s="91"/>
      <c r="V12" s="91"/>
      <c r="W12" s="91"/>
      <c r="X12" s="91"/>
      <c r="Y12" s="91"/>
      <c r="Z12" s="91"/>
      <c r="AA12" s="91"/>
      <c r="AB12" s="97"/>
      <c r="AC12" s="91" t="s">
        <v>72</v>
      </c>
      <c r="AD12" s="91"/>
      <c r="AE12" s="91"/>
      <c r="AF12" s="91"/>
      <c r="AG12" s="91"/>
      <c r="AH12" s="91"/>
      <c r="AI12" s="91"/>
      <c r="AJ12" s="91"/>
      <c r="AK12" s="97"/>
      <c r="AL12" s="96" t="s">
        <v>73</v>
      </c>
      <c r="AM12" s="91"/>
      <c r="AN12" s="91"/>
      <c r="AO12" s="91"/>
      <c r="AP12" s="91"/>
      <c r="AQ12" s="91"/>
      <c r="AR12" s="91"/>
      <c r="AS12" s="91"/>
      <c r="AT12" s="97"/>
      <c r="AU12" s="91" t="s">
        <v>41</v>
      </c>
      <c r="AV12" s="91"/>
      <c r="AW12" s="91"/>
      <c r="AX12" s="91"/>
      <c r="AY12" s="91"/>
      <c r="AZ12" s="91"/>
      <c r="BA12" s="91"/>
      <c r="BB12" s="91"/>
      <c r="BC12" s="92"/>
    </row>
    <row r="13" spans="1:55" ht="77.25" customHeight="1" x14ac:dyDescent="0.25">
      <c r="A13" s="32"/>
      <c r="B13" s="82" t="s">
        <v>91</v>
      </c>
      <c r="C13" s="80"/>
      <c r="D13" s="81"/>
      <c r="E13" s="82" t="s">
        <v>129</v>
      </c>
      <c r="F13" s="80"/>
      <c r="G13" s="81"/>
      <c r="H13" s="80" t="s">
        <v>92</v>
      </c>
      <c r="I13" s="80"/>
      <c r="J13" s="81"/>
      <c r="K13" s="82" t="s">
        <v>91</v>
      </c>
      <c r="L13" s="80"/>
      <c r="M13" s="81"/>
      <c r="N13" s="82" t="s">
        <v>93</v>
      </c>
      <c r="O13" s="80"/>
      <c r="P13" s="81"/>
      <c r="Q13" s="80" t="s">
        <v>92</v>
      </c>
      <c r="R13" s="80"/>
      <c r="S13" s="81"/>
      <c r="T13" s="67" t="s">
        <v>91</v>
      </c>
      <c r="U13" s="68"/>
      <c r="V13" s="69"/>
      <c r="W13" s="67" t="s">
        <v>93</v>
      </c>
      <c r="X13" s="68"/>
      <c r="Y13" s="69"/>
      <c r="Z13" s="67" t="s">
        <v>92</v>
      </c>
      <c r="AA13" s="68"/>
      <c r="AB13" s="69"/>
      <c r="AC13" s="67" t="s">
        <v>91</v>
      </c>
      <c r="AD13" s="68"/>
      <c r="AE13" s="69"/>
      <c r="AF13" s="67" t="s">
        <v>93</v>
      </c>
      <c r="AG13" s="68"/>
      <c r="AH13" s="69"/>
      <c r="AI13" s="67" t="s">
        <v>92</v>
      </c>
      <c r="AJ13" s="68"/>
      <c r="AK13" s="69"/>
      <c r="AL13" s="67" t="s">
        <v>91</v>
      </c>
      <c r="AM13" s="68"/>
      <c r="AN13" s="69"/>
      <c r="AO13" s="67" t="s">
        <v>93</v>
      </c>
      <c r="AP13" s="68"/>
      <c r="AQ13" s="69"/>
      <c r="AR13" s="67" t="s">
        <v>92</v>
      </c>
      <c r="AS13" s="68"/>
      <c r="AT13" s="69"/>
      <c r="AU13" s="67" t="s">
        <v>91</v>
      </c>
      <c r="AV13" s="68"/>
      <c r="AW13" s="69"/>
      <c r="AX13" s="67" t="s">
        <v>93</v>
      </c>
      <c r="AY13" s="68"/>
      <c r="AZ13" s="69"/>
      <c r="BA13" s="67" t="s">
        <v>92</v>
      </c>
      <c r="BB13" s="68"/>
      <c r="BC13" s="70"/>
    </row>
    <row r="14" spans="1:55" ht="26.4" x14ac:dyDescent="0.25">
      <c r="A14" s="10"/>
      <c r="B14" s="11" t="s">
        <v>10</v>
      </c>
      <c r="C14" s="12" t="s">
        <v>1</v>
      </c>
      <c r="D14" s="12" t="s">
        <v>2</v>
      </c>
      <c r="E14" s="11" t="s">
        <v>10</v>
      </c>
      <c r="F14" s="12" t="s">
        <v>1</v>
      </c>
      <c r="G14" s="12" t="s">
        <v>2</v>
      </c>
      <c r="H14" s="11" t="s">
        <v>42</v>
      </c>
      <c r="I14" s="12" t="s">
        <v>1</v>
      </c>
      <c r="J14" s="12" t="s">
        <v>2</v>
      </c>
      <c r="K14" s="11" t="s">
        <v>10</v>
      </c>
      <c r="L14" s="12" t="s">
        <v>1</v>
      </c>
      <c r="M14" s="12" t="s">
        <v>2</v>
      </c>
      <c r="N14" s="11" t="s">
        <v>10</v>
      </c>
      <c r="O14" s="12" t="s">
        <v>1</v>
      </c>
      <c r="P14" s="12" t="s">
        <v>2</v>
      </c>
      <c r="Q14" s="11" t="s">
        <v>42</v>
      </c>
      <c r="R14" s="12" t="s">
        <v>1</v>
      </c>
      <c r="S14" s="12" t="s">
        <v>2</v>
      </c>
      <c r="T14" s="11" t="s">
        <v>10</v>
      </c>
      <c r="U14" s="12" t="s">
        <v>1</v>
      </c>
      <c r="V14" s="12" t="s">
        <v>2</v>
      </c>
      <c r="W14" s="11" t="s">
        <v>10</v>
      </c>
      <c r="X14" s="12" t="s">
        <v>1</v>
      </c>
      <c r="Y14" s="12" t="s">
        <v>2</v>
      </c>
      <c r="Z14" s="11" t="s">
        <v>42</v>
      </c>
      <c r="AA14" s="12" t="s">
        <v>1</v>
      </c>
      <c r="AB14" s="12" t="s">
        <v>2</v>
      </c>
      <c r="AC14" s="11" t="s">
        <v>10</v>
      </c>
      <c r="AD14" s="12" t="s">
        <v>1</v>
      </c>
      <c r="AE14" s="12" t="s">
        <v>2</v>
      </c>
      <c r="AF14" s="11" t="s">
        <v>10</v>
      </c>
      <c r="AG14" s="12" t="s">
        <v>1</v>
      </c>
      <c r="AH14" s="12" t="s">
        <v>2</v>
      </c>
      <c r="AI14" s="11" t="s">
        <v>42</v>
      </c>
      <c r="AJ14" s="12" t="s">
        <v>1</v>
      </c>
      <c r="AK14" s="12" t="s">
        <v>2</v>
      </c>
      <c r="AL14" s="11" t="s">
        <v>10</v>
      </c>
      <c r="AM14" s="12" t="s">
        <v>1</v>
      </c>
      <c r="AN14" s="12" t="s">
        <v>2</v>
      </c>
      <c r="AO14" s="11" t="s">
        <v>10</v>
      </c>
      <c r="AP14" s="12" t="s">
        <v>1</v>
      </c>
      <c r="AQ14" s="12" t="s">
        <v>2</v>
      </c>
      <c r="AR14" s="11" t="s">
        <v>42</v>
      </c>
      <c r="AS14" s="12" t="s">
        <v>1</v>
      </c>
      <c r="AT14" s="12" t="s">
        <v>2</v>
      </c>
      <c r="AU14" s="11" t="s">
        <v>0</v>
      </c>
      <c r="AV14" s="12" t="s">
        <v>1</v>
      </c>
      <c r="AW14" s="12" t="s">
        <v>2</v>
      </c>
      <c r="AX14" s="11" t="s">
        <v>0</v>
      </c>
      <c r="AY14" s="12" t="s">
        <v>1</v>
      </c>
      <c r="AZ14" s="12" t="s">
        <v>2</v>
      </c>
      <c r="BA14" s="11" t="s">
        <v>3</v>
      </c>
      <c r="BB14" s="12" t="s">
        <v>1</v>
      </c>
      <c r="BC14" s="34" t="s">
        <v>2</v>
      </c>
    </row>
    <row r="15" spans="1:55" ht="13.5" customHeight="1" x14ac:dyDescent="0.25">
      <c r="A15" s="51" t="s">
        <v>210</v>
      </c>
      <c r="B15" s="55"/>
      <c r="C15" s="54"/>
      <c r="D15" s="54"/>
      <c r="E15" s="55"/>
      <c r="F15" s="54"/>
      <c r="G15" s="54"/>
      <c r="H15" s="55"/>
      <c r="I15" s="54"/>
      <c r="J15" s="54"/>
      <c r="K15" s="55"/>
      <c r="L15" s="54"/>
      <c r="M15" s="54"/>
      <c r="N15" s="55"/>
      <c r="O15" s="54"/>
      <c r="P15" s="54"/>
      <c r="Q15" s="55"/>
      <c r="R15" s="54"/>
      <c r="S15" s="54"/>
      <c r="T15" s="55"/>
      <c r="U15" s="54"/>
      <c r="V15" s="54"/>
      <c r="W15" s="55"/>
      <c r="X15" s="54"/>
      <c r="Y15" s="54"/>
      <c r="Z15" s="55"/>
      <c r="AA15" s="54"/>
      <c r="AB15" s="54"/>
      <c r="AC15" s="55"/>
      <c r="AD15" s="54"/>
      <c r="AE15" s="54"/>
      <c r="AF15" s="55"/>
      <c r="AG15" s="54"/>
      <c r="AH15" s="54"/>
      <c r="AI15" s="55"/>
      <c r="AJ15" s="54"/>
      <c r="AK15" s="54"/>
      <c r="AL15" s="55"/>
      <c r="AM15" s="54"/>
      <c r="AN15" s="54"/>
      <c r="AO15" s="55"/>
      <c r="AP15" s="54"/>
      <c r="AQ15" s="54"/>
      <c r="AR15" s="55"/>
      <c r="AS15" s="54"/>
      <c r="AT15" s="54"/>
      <c r="AU15" s="55"/>
      <c r="AV15" s="54"/>
      <c r="AW15" s="54"/>
      <c r="AX15" s="55"/>
      <c r="AY15" s="54"/>
      <c r="AZ15" s="54"/>
      <c r="BA15" s="55"/>
      <c r="BB15" s="54"/>
      <c r="BC15" s="56"/>
    </row>
    <row r="16" spans="1:55" x14ac:dyDescent="0.25">
      <c r="A16" s="15" t="s">
        <v>130</v>
      </c>
      <c r="B16" s="16">
        <v>-0.20453036693294535</v>
      </c>
      <c r="C16" s="17">
        <v>2.3799826063309333E-2</v>
      </c>
      <c r="D16" s="38" t="s">
        <v>53</v>
      </c>
      <c r="E16" s="16">
        <v>0.44557622478263631</v>
      </c>
      <c r="F16" s="17">
        <v>3.8838935899064474E-2</v>
      </c>
      <c r="G16" s="38" t="s">
        <v>53</v>
      </c>
      <c r="H16" s="16">
        <v>0.65010659171558172</v>
      </c>
      <c r="I16" s="17">
        <v>4.5839842958897051E-2</v>
      </c>
      <c r="J16" s="38" t="s">
        <v>53</v>
      </c>
      <c r="K16" s="16">
        <v>2.2443802073401645E-2</v>
      </c>
      <c r="L16" s="17">
        <v>2.4346504131338303E-2</v>
      </c>
      <c r="M16" s="38" t="s">
        <v>53</v>
      </c>
      <c r="N16" s="16">
        <v>0.23259713166247742</v>
      </c>
      <c r="O16" s="17">
        <v>3.4579917718368672E-2</v>
      </c>
      <c r="P16" s="38" t="s">
        <v>53</v>
      </c>
      <c r="Q16" s="16">
        <v>0.21015332958907576</v>
      </c>
      <c r="R16" s="17">
        <v>4.4943650014168897E-2</v>
      </c>
      <c r="S16" s="38" t="s">
        <v>53</v>
      </c>
      <c r="T16" s="16">
        <v>0.16426358929088852</v>
      </c>
      <c r="U16" s="17">
        <v>2.4746283904101763E-2</v>
      </c>
      <c r="V16" s="38" t="s">
        <v>53</v>
      </c>
      <c r="W16" s="16">
        <v>0.295738448351824</v>
      </c>
      <c r="X16" s="17">
        <v>3.1288576064317036E-2</v>
      </c>
      <c r="Y16" s="38" t="s">
        <v>53</v>
      </c>
      <c r="Z16" s="16">
        <v>0.13147485906093551</v>
      </c>
      <c r="AA16" s="17">
        <v>3.8206732481293977E-2</v>
      </c>
      <c r="AB16" s="38" t="s">
        <v>53</v>
      </c>
      <c r="AC16" s="16">
        <v>3.941952700360031E-2</v>
      </c>
      <c r="AD16" s="17">
        <v>2.0916201561275775E-2</v>
      </c>
      <c r="AE16" s="38" t="s">
        <v>53</v>
      </c>
      <c r="AF16" s="16">
        <v>-0.1637078769553264</v>
      </c>
      <c r="AG16" s="17">
        <v>3.5530819311155704E-2</v>
      </c>
      <c r="AH16" s="38" t="s">
        <v>53</v>
      </c>
      <c r="AI16" s="16">
        <v>-0.20312740395892678</v>
      </c>
      <c r="AJ16" s="17">
        <v>4.0336679298682079E-2</v>
      </c>
      <c r="AK16" s="38" t="s">
        <v>53</v>
      </c>
      <c r="AL16" s="16" t="s">
        <v>55</v>
      </c>
      <c r="AM16" s="17" t="s">
        <v>55</v>
      </c>
      <c r="AN16" s="38" t="s">
        <v>53</v>
      </c>
      <c r="AO16" s="16" t="s">
        <v>55</v>
      </c>
      <c r="AP16" s="17" t="s">
        <v>55</v>
      </c>
      <c r="AQ16" s="38" t="s">
        <v>53</v>
      </c>
      <c r="AR16" s="16" t="s">
        <v>55</v>
      </c>
      <c r="AS16" s="17" t="s">
        <v>55</v>
      </c>
      <c r="AT16" s="38" t="s">
        <v>53</v>
      </c>
      <c r="AU16" s="36">
        <v>74.578908136202173</v>
      </c>
      <c r="AV16" s="37">
        <v>1.1114798509989277</v>
      </c>
      <c r="AW16" s="38" t="s">
        <v>53</v>
      </c>
      <c r="AX16" s="36">
        <v>94.404164296824362</v>
      </c>
      <c r="AY16" s="37">
        <v>0.94187473171017722</v>
      </c>
      <c r="AZ16" s="38" t="s">
        <v>53</v>
      </c>
      <c r="BA16" s="36">
        <v>19.825256160622196</v>
      </c>
      <c r="BB16" s="37">
        <v>1.5108785302598307</v>
      </c>
      <c r="BC16" s="39" t="s">
        <v>53</v>
      </c>
    </row>
    <row r="17" spans="1:55" x14ac:dyDescent="0.25">
      <c r="A17" s="15" t="s">
        <v>131</v>
      </c>
      <c r="B17" s="16">
        <v>-0.40508580988994852</v>
      </c>
      <c r="C17" s="17">
        <v>3.9804640422853629E-2</v>
      </c>
      <c r="D17" s="38" t="s">
        <v>53</v>
      </c>
      <c r="E17" s="16">
        <v>0.39439335853779367</v>
      </c>
      <c r="F17" s="17">
        <v>0.10085732556391284</v>
      </c>
      <c r="G17" s="38" t="s">
        <v>53</v>
      </c>
      <c r="H17" s="16">
        <v>0.79947916842774214</v>
      </c>
      <c r="I17" s="17">
        <v>0.11375700408268384</v>
      </c>
      <c r="J17" s="38" t="s">
        <v>53</v>
      </c>
      <c r="K17" s="16">
        <v>-4.4282333333107993E-3</v>
      </c>
      <c r="L17" s="17">
        <v>3.5336097219214921E-2</v>
      </c>
      <c r="M17" s="38" t="s">
        <v>53</v>
      </c>
      <c r="N17" s="16">
        <v>5.2698692975576E-3</v>
      </c>
      <c r="O17" s="17">
        <v>9.8737447577111573E-2</v>
      </c>
      <c r="P17" s="38" t="s">
        <v>53</v>
      </c>
      <c r="Q17" s="16">
        <v>9.698102630868401E-3</v>
      </c>
      <c r="R17" s="17">
        <v>0.10841602610498632</v>
      </c>
      <c r="S17" s="38" t="s">
        <v>53</v>
      </c>
      <c r="T17" s="16">
        <v>0.11832950417431481</v>
      </c>
      <c r="U17" s="17">
        <v>3.2254214233978354E-2</v>
      </c>
      <c r="V17" s="38" t="s">
        <v>53</v>
      </c>
      <c r="W17" s="16">
        <v>6.6983971333922268E-2</v>
      </c>
      <c r="X17" s="17">
        <v>7.7445490789547239E-2</v>
      </c>
      <c r="Y17" s="38" t="s">
        <v>53</v>
      </c>
      <c r="Z17" s="16">
        <v>-5.1345532840392533E-2</v>
      </c>
      <c r="AA17" s="17">
        <v>8.5702365175288897E-2</v>
      </c>
      <c r="AB17" s="38" t="s">
        <v>53</v>
      </c>
      <c r="AC17" s="16">
        <v>0.30587443138433301</v>
      </c>
      <c r="AD17" s="17">
        <v>3.6107471967034156E-2</v>
      </c>
      <c r="AE17" s="38" t="s">
        <v>53</v>
      </c>
      <c r="AF17" s="16">
        <v>-2.5951491255133009E-2</v>
      </c>
      <c r="AG17" s="17">
        <v>0.10265142585600509</v>
      </c>
      <c r="AH17" s="38" t="s">
        <v>53</v>
      </c>
      <c r="AI17" s="16">
        <v>-0.33182592263946609</v>
      </c>
      <c r="AJ17" s="17">
        <v>0.11436636192894567</v>
      </c>
      <c r="AK17" s="38" t="s">
        <v>53</v>
      </c>
      <c r="AL17" s="16">
        <v>5.0050108151695361E-2</v>
      </c>
      <c r="AM17" s="17">
        <v>3.4126446184072019E-2</v>
      </c>
      <c r="AN17" s="38" t="s">
        <v>53</v>
      </c>
      <c r="AO17" s="16">
        <v>-2.4070767950163097E-2</v>
      </c>
      <c r="AP17" s="17">
        <v>8.7902413345582311E-2</v>
      </c>
      <c r="AQ17" s="38" t="s">
        <v>53</v>
      </c>
      <c r="AR17" s="16">
        <v>-7.4120876101858468E-2</v>
      </c>
      <c r="AS17" s="17">
        <v>9.5333188867667826E-2</v>
      </c>
      <c r="AT17" s="38" t="s">
        <v>53</v>
      </c>
      <c r="AU17" s="36">
        <v>40.093466962505659</v>
      </c>
      <c r="AV17" s="37">
        <v>2.1927408260229693</v>
      </c>
      <c r="AW17" s="38" t="s">
        <v>53</v>
      </c>
      <c r="AX17" s="36">
        <v>76.474523306667734</v>
      </c>
      <c r="AY17" s="37">
        <v>4.2073132647907938</v>
      </c>
      <c r="AZ17" s="38" t="s">
        <v>53</v>
      </c>
      <c r="BA17" s="36">
        <v>36.381056344162076</v>
      </c>
      <c r="BB17" s="37">
        <v>4.8535463277253283</v>
      </c>
      <c r="BC17" s="39" t="s">
        <v>53</v>
      </c>
    </row>
    <row r="18" spans="1:55" ht="15.6" x14ac:dyDescent="0.25">
      <c r="A18" s="15" t="s">
        <v>218</v>
      </c>
      <c r="B18" s="16">
        <v>-0.35992741884972018</v>
      </c>
      <c r="C18" s="17">
        <v>3.5200781582239118E-2</v>
      </c>
      <c r="D18" s="38" t="s">
        <v>53</v>
      </c>
      <c r="E18" s="16">
        <v>0.38099001061804966</v>
      </c>
      <c r="F18" s="17">
        <v>9.204180759968715E-2</v>
      </c>
      <c r="G18" s="38" t="s">
        <v>53</v>
      </c>
      <c r="H18" s="16">
        <v>0.74091742946776984</v>
      </c>
      <c r="I18" s="17">
        <v>9.6436129172331561E-2</v>
      </c>
      <c r="J18" s="38" t="s">
        <v>53</v>
      </c>
      <c r="K18" s="16" t="s">
        <v>55</v>
      </c>
      <c r="L18" s="17" t="s">
        <v>55</v>
      </c>
      <c r="M18" s="38" t="s">
        <v>53</v>
      </c>
      <c r="N18" s="16" t="s">
        <v>55</v>
      </c>
      <c r="O18" s="17" t="s">
        <v>55</v>
      </c>
      <c r="P18" s="38" t="s">
        <v>53</v>
      </c>
      <c r="Q18" s="16" t="s">
        <v>55</v>
      </c>
      <c r="R18" s="17" t="s">
        <v>55</v>
      </c>
      <c r="S18" s="38" t="s">
        <v>53</v>
      </c>
      <c r="T18" s="16">
        <v>0.27546918583854935</v>
      </c>
      <c r="U18" s="17">
        <v>3.2979719215144428E-2</v>
      </c>
      <c r="V18" s="38" t="s">
        <v>53</v>
      </c>
      <c r="W18" s="16">
        <v>0.30372334969273118</v>
      </c>
      <c r="X18" s="17">
        <v>6.3900015753238656E-2</v>
      </c>
      <c r="Y18" s="38" t="s">
        <v>53</v>
      </c>
      <c r="Z18" s="16">
        <v>2.8254163854181887E-2</v>
      </c>
      <c r="AA18" s="17">
        <v>7.1726574101212595E-2</v>
      </c>
      <c r="AB18" s="38" t="s">
        <v>53</v>
      </c>
      <c r="AC18" s="16">
        <v>0.26243546728202538</v>
      </c>
      <c r="AD18" s="17">
        <v>4.7446641302199173E-2</v>
      </c>
      <c r="AE18" s="38"/>
      <c r="AF18" s="16">
        <v>-0.11872118737793749</v>
      </c>
      <c r="AG18" s="17">
        <v>0.11642482792908565</v>
      </c>
      <c r="AH18" s="38"/>
      <c r="AI18" s="16">
        <v>-0.38115665465996285</v>
      </c>
      <c r="AJ18" s="17">
        <v>0.12737582293002039</v>
      </c>
      <c r="AK18" s="38"/>
      <c r="AL18" s="16" t="s">
        <v>55</v>
      </c>
      <c r="AM18" s="17" t="s">
        <v>55</v>
      </c>
      <c r="AN18" s="38" t="s">
        <v>53</v>
      </c>
      <c r="AO18" s="16" t="s">
        <v>55</v>
      </c>
      <c r="AP18" s="17" t="s">
        <v>55</v>
      </c>
      <c r="AQ18" s="38" t="s">
        <v>53</v>
      </c>
      <c r="AR18" s="16" t="s">
        <v>55</v>
      </c>
      <c r="AS18" s="17" t="s">
        <v>55</v>
      </c>
      <c r="AT18" s="38" t="s">
        <v>53</v>
      </c>
      <c r="AU18" s="36">
        <v>61.29067427320556</v>
      </c>
      <c r="AV18" s="37">
        <v>2.0273122338171707</v>
      </c>
      <c r="AW18" s="38" t="s">
        <v>53</v>
      </c>
      <c r="AX18" s="36">
        <v>90.594377349931506</v>
      </c>
      <c r="AY18" s="37">
        <v>2.6940499193776977</v>
      </c>
      <c r="AZ18" s="38" t="s">
        <v>53</v>
      </c>
      <c r="BA18" s="36">
        <v>29.303703076725952</v>
      </c>
      <c r="BB18" s="37">
        <v>3.4199138016728865</v>
      </c>
      <c r="BC18" s="39" t="s">
        <v>53</v>
      </c>
    </row>
    <row r="19" spans="1:55" x14ac:dyDescent="0.25">
      <c r="A19" s="15" t="s">
        <v>133</v>
      </c>
      <c r="B19" s="16">
        <v>-4.3483988086160136E-2</v>
      </c>
      <c r="C19" s="17">
        <v>2.0830658715034145E-2</v>
      </c>
      <c r="D19" s="38" t="s">
        <v>53</v>
      </c>
      <c r="E19" s="16">
        <v>0.59251040599642357</v>
      </c>
      <c r="F19" s="17">
        <v>3.4255681729835313E-2</v>
      </c>
      <c r="G19" s="38" t="s">
        <v>53</v>
      </c>
      <c r="H19" s="16">
        <v>0.63599439408258363</v>
      </c>
      <c r="I19" s="17">
        <v>4.2881137106874405E-2</v>
      </c>
      <c r="J19" s="38" t="s">
        <v>53</v>
      </c>
      <c r="K19" s="16">
        <v>0.13548346803848019</v>
      </c>
      <c r="L19" s="17">
        <v>2.579288966293438E-2</v>
      </c>
      <c r="M19" s="38" t="s">
        <v>53</v>
      </c>
      <c r="N19" s="16">
        <v>0.28814735545043707</v>
      </c>
      <c r="O19" s="17">
        <v>3.9231719118280814E-2</v>
      </c>
      <c r="P19" s="38" t="s">
        <v>53</v>
      </c>
      <c r="Q19" s="16">
        <v>0.15266388741195691</v>
      </c>
      <c r="R19" s="17">
        <v>4.8770460898069315E-2</v>
      </c>
      <c r="S19" s="38" t="s">
        <v>53</v>
      </c>
      <c r="T19" s="16">
        <v>0.31454876311609042</v>
      </c>
      <c r="U19" s="17">
        <v>2.2372932747952511E-2</v>
      </c>
      <c r="V19" s="38" t="s">
        <v>53</v>
      </c>
      <c r="W19" s="16">
        <v>0.39058693437097164</v>
      </c>
      <c r="X19" s="17">
        <v>3.1747342688510254E-2</v>
      </c>
      <c r="Y19" s="38" t="s">
        <v>53</v>
      </c>
      <c r="Z19" s="16">
        <v>7.6038171254881257E-2</v>
      </c>
      <c r="AA19" s="17">
        <v>4.3427531547710188E-2</v>
      </c>
      <c r="AB19" s="38" t="s">
        <v>53</v>
      </c>
      <c r="AC19" s="16" t="s">
        <v>55</v>
      </c>
      <c r="AD19" s="17" t="s">
        <v>55</v>
      </c>
      <c r="AE19" s="38" t="s">
        <v>53</v>
      </c>
      <c r="AF19" s="16" t="s">
        <v>55</v>
      </c>
      <c r="AG19" s="17" t="s">
        <v>55</v>
      </c>
      <c r="AH19" s="38" t="s">
        <v>53</v>
      </c>
      <c r="AI19" s="16" t="s">
        <v>55</v>
      </c>
      <c r="AJ19" s="17" t="s">
        <v>55</v>
      </c>
      <c r="AK19" s="38" t="s">
        <v>53</v>
      </c>
      <c r="AL19" s="16">
        <v>2.2019697162952014E-2</v>
      </c>
      <c r="AM19" s="17">
        <v>2.5772890282179581E-2</v>
      </c>
      <c r="AN19" s="38" t="s">
        <v>53</v>
      </c>
      <c r="AO19" s="16">
        <v>-0.17412659841916875</v>
      </c>
      <c r="AP19" s="17">
        <v>4.3189606720477842E-2</v>
      </c>
      <c r="AQ19" s="38" t="s">
        <v>53</v>
      </c>
      <c r="AR19" s="16">
        <v>-0.19614629558212071</v>
      </c>
      <c r="AS19" s="17">
        <v>5.2539530569215891E-2</v>
      </c>
      <c r="AT19" s="38" t="s">
        <v>53</v>
      </c>
      <c r="AU19" s="36">
        <v>89.540069455857193</v>
      </c>
      <c r="AV19" s="37">
        <v>0.70584766731915616</v>
      </c>
      <c r="AW19" s="38" t="s">
        <v>53</v>
      </c>
      <c r="AX19" s="36">
        <v>97.116396691492355</v>
      </c>
      <c r="AY19" s="37">
        <v>0.62566099995581637</v>
      </c>
      <c r="AZ19" s="38" t="s">
        <v>53</v>
      </c>
      <c r="BA19" s="36">
        <v>7.5763272356351674</v>
      </c>
      <c r="BB19" s="37">
        <v>0.92090844406539063</v>
      </c>
      <c r="BC19" s="39" t="s">
        <v>53</v>
      </c>
    </row>
    <row r="20" spans="1:55" x14ac:dyDescent="0.25">
      <c r="A20" s="15" t="s">
        <v>134</v>
      </c>
      <c r="B20" s="16">
        <v>4.0489562330143974E-2</v>
      </c>
      <c r="C20" s="17">
        <v>6.954165809418035E-2</v>
      </c>
      <c r="D20" s="38" t="s">
        <v>53</v>
      </c>
      <c r="E20" s="16">
        <v>0.47937130975692233</v>
      </c>
      <c r="F20" s="17">
        <v>0.16578876509526635</v>
      </c>
      <c r="G20" s="38" t="s">
        <v>53</v>
      </c>
      <c r="H20" s="16">
        <v>0.43888174742677849</v>
      </c>
      <c r="I20" s="17">
        <v>0.17944912658186135</v>
      </c>
      <c r="J20" s="38" t="s">
        <v>53</v>
      </c>
      <c r="K20" s="16">
        <v>0.30273260708644084</v>
      </c>
      <c r="L20" s="17">
        <v>9.6738339765658599E-2</v>
      </c>
      <c r="M20" s="38" t="s">
        <v>53</v>
      </c>
      <c r="N20" s="16">
        <v>0.74974726504081646</v>
      </c>
      <c r="O20" s="17">
        <v>0.12765680487064526</v>
      </c>
      <c r="P20" s="38" t="s">
        <v>53</v>
      </c>
      <c r="Q20" s="16">
        <v>0.4470146579543755</v>
      </c>
      <c r="R20" s="17">
        <v>0.16278935500971597</v>
      </c>
      <c r="S20" s="38" t="s">
        <v>53</v>
      </c>
      <c r="T20" s="16">
        <v>0.42272836856622553</v>
      </c>
      <c r="U20" s="17">
        <v>0.11599094218115143</v>
      </c>
      <c r="V20" s="38" t="s">
        <v>53</v>
      </c>
      <c r="W20" s="16">
        <v>0.34699726703533429</v>
      </c>
      <c r="X20" s="17">
        <v>0.1656658445784196</v>
      </c>
      <c r="Y20" s="38" t="s">
        <v>53</v>
      </c>
      <c r="Z20" s="16">
        <v>-7.5731101530891298E-2</v>
      </c>
      <c r="AA20" s="17">
        <v>0.20119832283045716</v>
      </c>
      <c r="AB20" s="38" t="s">
        <v>53</v>
      </c>
      <c r="AC20" s="16">
        <v>0.30982656000331776</v>
      </c>
      <c r="AD20" s="17">
        <v>0.11495535367692976</v>
      </c>
      <c r="AE20" s="38" t="s">
        <v>53</v>
      </c>
      <c r="AF20" s="16">
        <v>0.28692905592522366</v>
      </c>
      <c r="AG20" s="17">
        <v>0.16027957252669206</v>
      </c>
      <c r="AH20" s="38" t="s">
        <v>53</v>
      </c>
      <c r="AI20" s="16">
        <v>-2.289750407809419E-2</v>
      </c>
      <c r="AJ20" s="17">
        <v>0.20036712682172203</v>
      </c>
      <c r="AK20" s="38" t="s">
        <v>53</v>
      </c>
      <c r="AL20" s="16">
        <v>0.18540866327094499</v>
      </c>
      <c r="AM20" s="17">
        <v>8.0996382184394464E-2</v>
      </c>
      <c r="AN20" s="38" t="s">
        <v>53</v>
      </c>
      <c r="AO20" s="16">
        <v>4.5229047770916301E-3</v>
      </c>
      <c r="AP20" s="17">
        <v>0.15283876933577006</v>
      </c>
      <c r="AQ20" s="38" t="s">
        <v>53</v>
      </c>
      <c r="AR20" s="16">
        <v>-0.18088575849385335</v>
      </c>
      <c r="AS20" s="17">
        <v>0.17617071810377535</v>
      </c>
      <c r="AT20" s="38" t="s">
        <v>53</v>
      </c>
      <c r="AU20" s="36">
        <v>76.123325197564611</v>
      </c>
      <c r="AV20" s="37">
        <v>3.4944905855164201</v>
      </c>
      <c r="AW20" s="38" t="s">
        <v>53</v>
      </c>
      <c r="AX20" s="36">
        <v>87.720561833329739</v>
      </c>
      <c r="AY20" s="37">
        <v>7.0573290013248107</v>
      </c>
      <c r="AZ20" s="38" t="s">
        <v>53</v>
      </c>
      <c r="BA20" s="36">
        <v>11.597236635765132</v>
      </c>
      <c r="BB20" s="37">
        <v>8.3254356598878037</v>
      </c>
      <c r="BC20" s="39" t="s">
        <v>53</v>
      </c>
    </row>
    <row r="21" spans="1:55" x14ac:dyDescent="0.25">
      <c r="A21" s="15" t="s">
        <v>135</v>
      </c>
      <c r="B21" s="16">
        <v>6.7719404205557582E-2</v>
      </c>
      <c r="C21" s="17">
        <v>0.1125565186877153</v>
      </c>
      <c r="D21" s="38" t="s">
        <v>53</v>
      </c>
      <c r="E21" s="16" t="s">
        <v>56</v>
      </c>
      <c r="F21" s="17" t="s">
        <v>56</v>
      </c>
      <c r="G21" s="38" t="s">
        <v>53</v>
      </c>
      <c r="H21" s="16" t="s">
        <v>56</v>
      </c>
      <c r="I21" s="17" t="s">
        <v>56</v>
      </c>
      <c r="J21" s="38" t="s">
        <v>53</v>
      </c>
      <c r="K21" s="16" t="s">
        <v>56</v>
      </c>
      <c r="L21" s="17" t="s">
        <v>56</v>
      </c>
      <c r="M21" s="38" t="s">
        <v>53</v>
      </c>
      <c r="N21" s="16" t="s">
        <v>56</v>
      </c>
      <c r="O21" s="17" t="s">
        <v>56</v>
      </c>
      <c r="P21" s="38" t="s">
        <v>53</v>
      </c>
      <c r="Q21" s="16" t="s">
        <v>56</v>
      </c>
      <c r="R21" s="17" t="s">
        <v>56</v>
      </c>
      <c r="S21" s="38" t="s">
        <v>53</v>
      </c>
      <c r="T21" s="16" t="s">
        <v>56</v>
      </c>
      <c r="U21" s="17" t="s">
        <v>56</v>
      </c>
      <c r="V21" s="38" t="s">
        <v>53</v>
      </c>
      <c r="W21" s="16" t="s">
        <v>56</v>
      </c>
      <c r="X21" s="17" t="s">
        <v>56</v>
      </c>
      <c r="Y21" s="38" t="s">
        <v>53</v>
      </c>
      <c r="Z21" s="16" t="s">
        <v>56</v>
      </c>
      <c r="AA21" s="17" t="s">
        <v>56</v>
      </c>
      <c r="AB21" s="38" t="s">
        <v>53</v>
      </c>
      <c r="AC21" s="16" t="s">
        <v>56</v>
      </c>
      <c r="AD21" s="17" t="s">
        <v>56</v>
      </c>
      <c r="AE21" s="38" t="s">
        <v>53</v>
      </c>
      <c r="AF21" s="16" t="s">
        <v>56</v>
      </c>
      <c r="AG21" s="17" t="s">
        <v>56</v>
      </c>
      <c r="AH21" s="38" t="s">
        <v>53</v>
      </c>
      <c r="AI21" s="16" t="s">
        <v>56</v>
      </c>
      <c r="AJ21" s="17" t="s">
        <v>56</v>
      </c>
      <c r="AK21" s="38" t="s">
        <v>53</v>
      </c>
      <c r="AL21" s="16" t="s">
        <v>56</v>
      </c>
      <c r="AM21" s="17" t="s">
        <v>56</v>
      </c>
      <c r="AN21" s="38" t="s">
        <v>53</v>
      </c>
      <c r="AO21" s="16" t="s">
        <v>56</v>
      </c>
      <c r="AP21" s="17" t="s">
        <v>56</v>
      </c>
      <c r="AQ21" s="38" t="s">
        <v>53</v>
      </c>
      <c r="AR21" s="16" t="s">
        <v>56</v>
      </c>
      <c r="AS21" s="17" t="s">
        <v>56</v>
      </c>
      <c r="AT21" s="38" t="s">
        <v>53</v>
      </c>
      <c r="AU21" s="36">
        <v>46.941447734086353</v>
      </c>
      <c r="AV21" s="37">
        <v>7.9848883751140853</v>
      </c>
      <c r="AW21" s="38" t="s">
        <v>53</v>
      </c>
      <c r="AX21" s="36" t="s">
        <v>55</v>
      </c>
      <c r="AY21" s="37" t="s">
        <v>55</v>
      </c>
      <c r="AZ21" s="38" t="s">
        <v>53</v>
      </c>
      <c r="BA21" s="36" t="s">
        <v>55</v>
      </c>
      <c r="BB21" s="37" t="s">
        <v>55</v>
      </c>
      <c r="BC21" s="39" t="s">
        <v>53</v>
      </c>
    </row>
    <row r="22" spans="1:55" x14ac:dyDescent="0.25">
      <c r="A22" s="15" t="s">
        <v>136</v>
      </c>
      <c r="B22" s="16">
        <v>-0.14326801494111105</v>
      </c>
      <c r="C22" s="17">
        <v>8.5000036413374905E-2</v>
      </c>
      <c r="D22" s="38" t="s">
        <v>53</v>
      </c>
      <c r="E22" s="16">
        <v>0.52958588191797451</v>
      </c>
      <c r="F22" s="17">
        <v>0.21505663822068502</v>
      </c>
      <c r="G22" s="38" t="s">
        <v>53</v>
      </c>
      <c r="H22" s="16">
        <v>0.67285389685908559</v>
      </c>
      <c r="I22" s="17">
        <v>0.24629002026645644</v>
      </c>
      <c r="J22" s="38" t="s">
        <v>53</v>
      </c>
      <c r="K22" s="16">
        <v>-0.5253705169776488</v>
      </c>
      <c r="L22" s="17">
        <v>8.5529460761069723E-2</v>
      </c>
      <c r="M22" s="38" t="s">
        <v>53</v>
      </c>
      <c r="N22" s="16">
        <v>-4.8899879588528823E-2</v>
      </c>
      <c r="O22" s="17">
        <v>0.16800403893441174</v>
      </c>
      <c r="P22" s="38" t="s">
        <v>53</v>
      </c>
      <c r="Q22" s="16">
        <v>0.47647063738911993</v>
      </c>
      <c r="R22" s="17">
        <v>0.20758111643760915</v>
      </c>
      <c r="S22" s="38" t="s">
        <v>53</v>
      </c>
      <c r="T22" s="16">
        <v>-0.29998632915174189</v>
      </c>
      <c r="U22" s="17">
        <v>0.11630487505908964</v>
      </c>
      <c r="V22" s="38" t="s">
        <v>53</v>
      </c>
      <c r="W22" s="16">
        <v>0.12783865447716888</v>
      </c>
      <c r="X22" s="17">
        <v>0.19167466334955716</v>
      </c>
      <c r="Y22" s="38" t="s">
        <v>53</v>
      </c>
      <c r="Z22" s="16">
        <v>0.4278249836289108</v>
      </c>
      <c r="AA22" s="17">
        <v>0.2320480578828216</v>
      </c>
      <c r="AB22" s="38" t="s">
        <v>53</v>
      </c>
      <c r="AC22" s="16">
        <v>-0.25483353054758789</v>
      </c>
      <c r="AD22" s="17">
        <v>8.1992422139695945E-2</v>
      </c>
      <c r="AE22" s="38" t="s">
        <v>53</v>
      </c>
      <c r="AF22" s="16">
        <v>-0.54283778680476669</v>
      </c>
      <c r="AG22" s="17">
        <v>0.17487101911540354</v>
      </c>
      <c r="AH22" s="38" t="s">
        <v>53</v>
      </c>
      <c r="AI22" s="16">
        <v>-0.28800425625717863</v>
      </c>
      <c r="AJ22" s="17">
        <v>0.2138308269762309</v>
      </c>
      <c r="AK22" s="38" t="s">
        <v>53</v>
      </c>
      <c r="AL22" s="16">
        <v>-0.49430197407840293</v>
      </c>
      <c r="AM22" s="17">
        <v>0.11423390212867059</v>
      </c>
      <c r="AN22" s="38" t="s">
        <v>53</v>
      </c>
      <c r="AO22" s="16">
        <v>-0.437476508133956</v>
      </c>
      <c r="AP22" s="17">
        <v>0.14231076460713771</v>
      </c>
      <c r="AQ22" s="38" t="s">
        <v>53</v>
      </c>
      <c r="AR22" s="16">
        <v>5.6825465944446929E-2</v>
      </c>
      <c r="AS22" s="17">
        <v>0.19132473026663913</v>
      </c>
      <c r="AT22" s="38" t="s">
        <v>53</v>
      </c>
      <c r="AU22" s="36">
        <v>57.733429472099814</v>
      </c>
      <c r="AV22" s="37">
        <v>4.0536750777988386</v>
      </c>
      <c r="AW22" s="38" t="s">
        <v>53</v>
      </c>
      <c r="AX22" s="36">
        <v>89.8940198167315</v>
      </c>
      <c r="AY22" s="37">
        <v>7.4198790655282165</v>
      </c>
      <c r="AZ22" s="38" t="s">
        <v>53</v>
      </c>
      <c r="BA22" s="36">
        <v>32.160590344631679</v>
      </c>
      <c r="BB22" s="37">
        <v>8.4840608612781097</v>
      </c>
      <c r="BC22" s="39" t="s">
        <v>53</v>
      </c>
    </row>
    <row r="23" spans="1:55" x14ac:dyDescent="0.25">
      <c r="A23" s="15" t="s">
        <v>137</v>
      </c>
      <c r="B23" s="16">
        <v>-0.19190968287038293</v>
      </c>
      <c r="C23" s="17">
        <v>3.8823077197510589E-2</v>
      </c>
      <c r="D23" s="38" t="s">
        <v>53</v>
      </c>
      <c r="E23" s="16">
        <v>0.21502216078455541</v>
      </c>
      <c r="F23" s="17">
        <v>0.1558398407373337</v>
      </c>
      <c r="G23" s="38" t="s">
        <v>53</v>
      </c>
      <c r="H23" s="16">
        <v>0.40693184365493829</v>
      </c>
      <c r="I23" s="17">
        <v>0.1589011303406592</v>
      </c>
      <c r="J23" s="38" t="s">
        <v>53</v>
      </c>
      <c r="K23" s="16">
        <v>2.7109706464304884E-2</v>
      </c>
      <c r="L23" s="17">
        <v>4.3945240037353964E-2</v>
      </c>
      <c r="M23" s="38" t="s">
        <v>53</v>
      </c>
      <c r="N23" s="16">
        <v>0.30862198685741254</v>
      </c>
      <c r="O23" s="17">
        <v>0.12456156298064534</v>
      </c>
      <c r="P23" s="38" t="s">
        <v>53</v>
      </c>
      <c r="Q23" s="16">
        <v>0.28151228039310766</v>
      </c>
      <c r="R23" s="17">
        <v>0.13501769491231205</v>
      </c>
      <c r="S23" s="38" t="s">
        <v>53</v>
      </c>
      <c r="T23" s="16">
        <v>0.50776666614185229</v>
      </c>
      <c r="U23" s="17">
        <v>3.8148317383892946E-2</v>
      </c>
      <c r="V23" s="38" t="s">
        <v>53</v>
      </c>
      <c r="W23" s="16">
        <v>0.72931896446453337</v>
      </c>
      <c r="X23" s="17">
        <v>0.10495744544093233</v>
      </c>
      <c r="Y23" s="38" t="s">
        <v>53</v>
      </c>
      <c r="Z23" s="16">
        <v>0.2215522983226812</v>
      </c>
      <c r="AA23" s="17">
        <v>0.11204356896854323</v>
      </c>
      <c r="AB23" s="38" t="s">
        <v>53</v>
      </c>
      <c r="AC23" s="16">
        <v>0.19383708623925075</v>
      </c>
      <c r="AD23" s="17">
        <v>4.1332578501801012E-2</v>
      </c>
      <c r="AE23" s="38" t="s">
        <v>53</v>
      </c>
      <c r="AF23" s="16">
        <v>-0.12699204187689239</v>
      </c>
      <c r="AG23" s="17">
        <v>0.15049833795768042</v>
      </c>
      <c r="AH23" s="38" t="s">
        <v>53</v>
      </c>
      <c r="AI23" s="16">
        <v>-0.32082912811614323</v>
      </c>
      <c r="AJ23" s="17">
        <v>0.15946493524429142</v>
      </c>
      <c r="AK23" s="38" t="s">
        <v>53</v>
      </c>
      <c r="AL23" s="16">
        <v>0.27997499844211671</v>
      </c>
      <c r="AM23" s="17">
        <v>4.5914730843846924E-2</v>
      </c>
      <c r="AN23" s="38" t="s">
        <v>53</v>
      </c>
      <c r="AO23" s="16">
        <v>0.32506712816402245</v>
      </c>
      <c r="AP23" s="17">
        <v>0.12281780351794318</v>
      </c>
      <c r="AQ23" s="38" t="s">
        <v>53</v>
      </c>
      <c r="AR23" s="16">
        <v>4.5092129721905704E-2</v>
      </c>
      <c r="AS23" s="17">
        <v>0.12835458459683685</v>
      </c>
      <c r="AT23" s="38" t="s">
        <v>53</v>
      </c>
      <c r="AU23" s="36">
        <v>55.72198291038719</v>
      </c>
      <c r="AV23" s="37">
        <v>2.1020645657466015</v>
      </c>
      <c r="AW23" s="38" t="s">
        <v>53</v>
      </c>
      <c r="AX23" s="36">
        <v>91.863242481790991</v>
      </c>
      <c r="AY23" s="37">
        <v>4.4317377390557651</v>
      </c>
      <c r="AZ23" s="38" t="s">
        <v>53</v>
      </c>
      <c r="BA23" s="36">
        <v>36.141259571403808</v>
      </c>
      <c r="BB23" s="37">
        <v>5.0837480450540946</v>
      </c>
      <c r="BC23" s="39" t="s">
        <v>53</v>
      </c>
    </row>
    <row r="24" spans="1:55" x14ac:dyDescent="0.25">
      <c r="A24" s="15" t="s">
        <v>138</v>
      </c>
      <c r="B24" s="16">
        <v>-2.4268846602430963E-2</v>
      </c>
      <c r="C24" s="17">
        <v>4.8954757662629911E-2</v>
      </c>
      <c r="D24" s="38" t="s">
        <v>53</v>
      </c>
      <c r="E24" s="16">
        <v>0.68776712903752724</v>
      </c>
      <c r="F24" s="17">
        <v>0.11154290073666023</v>
      </c>
      <c r="G24" s="38" t="s">
        <v>53</v>
      </c>
      <c r="H24" s="16">
        <v>0.71203597563995824</v>
      </c>
      <c r="I24" s="17">
        <v>0.12208567161785895</v>
      </c>
      <c r="J24" s="38" t="s">
        <v>53</v>
      </c>
      <c r="K24" s="16">
        <v>-0.36659247031156356</v>
      </c>
      <c r="L24" s="17">
        <v>4.7121442479282724E-2</v>
      </c>
      <c r="M24" s="38" t="s">
        <v>53</v>
      </c>
      <c r="N24" s="16">
        <v>-2.0696345413500811E-2</v>
      </c>
      <c r="O24" s="17">
        <v>0.1311216139606175</v>
      </c>
      <c r="P24" s="38" t="s">
        <v>53</v>
      </c>
      <c r="Q24" s="16">
        <v>0.34589612489806276</v>
      </c>
      <c r="R24" s="17">
        <v>0.14639336200822534</v>
      </c>
      <c r="S24" s="38" t="s">
        <v>53</v>
      </c>
      <c r="T24" s="16">
        <v>-0.54622036825555198</v>
      </c>
      <c r="U24" s="17">
        <v>5.3007322932110919E-2</v>
      </c>
      <c r="V24" s="38" t="s">
        <v>53</v>
      </c>
      <c r="W24" s="16">
        <v>-0.32008915096128748</v>
      </c>
      <c r="X24" s="17">
        <v>0.15432969946399105</v>
      </c>
      <c r="Y24" s="38" t="s">
        <v>53</v>
      </c>
      <c r="Z24" s="16">
        <v>0.22613121729426444</v>
      </c>
      <c r="AA24" s="17">
        <v>0.17626377924025449</v>
      </c>
      <c r="AB24" s="38" t="s">
        <v>53</v>
      </c>
      <c r="AC24" s="16">
        <v>4.3847172115679928E-2</v>
      </c>
      <c r="AD24" s="17">
        <v>4.7958241339179621E-2</v>
      </c>
      <c r="AE24" s="38" t="s">
        <v>53</v>
      </c>
      <c r="AF24" s="16">
        <v>-0.10714786311926611</v>
      </c>
      <c r="AG24" s="17">
        <v>0.13794754699113529</v>
      </c>
      <c r="AH24" s="38" t="s">
        <v>53</v>
      </c>
      <c r="AI24" s="16">
        <v>-0.15099503523494603</v>
      </c>
      <c r="AJ24" s="17">
        <v>0.14636683191106567</v>
      </c>
      <c r="AK24" s="38" t="s">
        <v>53</v>
      </c>
      <c r="AL24" s="16">
        <v>-0.16725381054997457</v>
      </c>
      <c r="AM24" s="17">
        <v>5.5503023192543383E-2</v>
      </c>
      <c r="AN24" s="38" t="s">
        <v>53</v>
      </c>
      <c r="AO24" s="16">
        <v>-8.38916083645906E-2</v>
      </c>
      <c r="AP24" s="17">
        <v>0.15446635105600312</v>
      </c>
      <c r="AQ24" s="38" t="s">
        <v>53</v>
      </c>
      <c r="AR24" s="16">
        <v>8.336220218538401E-2</v>
      </c>
      <c r="AS24" s="17">
        <v>0.16562614310396839</v>
      </c>
      <c r="AT24" s="38" t="s">
        <v>53</v>
      </c>
      <c r="AU24" s="36">
        <v>58.774339702440273</v>
      </c>
      <c r="AV24" s="37">
        <v>2.5187857691817745</v>
      </c>
      <c r="AW24" s="38" t="s">
        <v>53</v>
      </c>
      <c r="AX24" s="36">
        <v>90.693929554043677</v>
      </c>
      <c r="AY24" s="37">
        <v>4.2872303147109472</v>
      </c>
      <c r="AZ24" s="38" t="s">
        <v>53</v>
      </c>
      <c r="BA24" s="36">
        <v>31.919589851603401</v>
      </c>
      <c r="BB24" s="37">
        <v>5.2783668549914076</v>
      </c>
      <c r="BC24" s="39" t="s">
        <v>53</v>
      </c>
    </row>
    <row r="25" spans="1:55" x14ac:dyDescent="0.25">
      <c r="A25" s="15" t="s">
        <v>139</v>
      </c>
      <c r="B25" s="16">
        <v>-0.22424947538242057</v>
      </c>
      <c r="C25" s="17">
        <v>6.4135861644140979E-2</v>
      </c>
      <c r="D25" s="38" t="s">
        <v>53</v>
      </c>
      <c r="E25" s="16" t="s">
        <v>56</v>
      </c>
      <c r="F25" s="17" t="s">
        <v>56</v>
      </c>
      <c r="G25" s="38" t="s">
        <v>53</v>
      </c>
      <c r="H25" s="16" t="s">
        <v>56</v>
      </c>
      <c r="I25" s="17" t="s">
        <v>56</v>
      </c>
      <c r="J25" s="38" t="s">
        <v>53</v>
      </c>
      <c r="K25" s="16">
        <v>-0.33779830360982599</v>
      </c>
      <c r="L25" s="17">
        <v>6.0116351709546878E-2</v>
      </c>
      <c r="M25" s="38" t="s">
        <v>53</v>
      </c>
      <c r="N25" s="16" t="s">
        <v>56</v>
      </c>
      <c r="O25" s="17" t="s">
        <v>56</v>
      </c>
      <c r="P25" s="38" t="s">
        <v>53</v>
      </c>
      <c r="Q25" s="16" t="s">
        <v>56</v>
      </c>
      <c r="R25" s="17" t="s">
        <v>56</v>
      </c>
      <c r="S25" s="38" t="s">
        <v>53</v>
      </c>
      <c r="T25" s="16">
        <v>0.123855711830079</v>
      </c>
      <c r="U25" s="17">
        <v>7.3814076269372086E-2</v>
      </c>
      <c r="V25" s="38" t="s">
        <v>53</v>
      </c>
      <c r="W25" s="16" t="s">
        <v>56</v>
      </c>
      <c r="X25" s="17" t="s">
        <v>56</v>
      </c>
      <c r="Y25" s="38" t="s">
        <v>53</v>
      </c>
      <c r="Z25" s="16" t="s">
        <v>56</v>
      </c>
      <c r="AA25" s="17" t="s">
        <v>56</v>
      </c>
      <c r="AB25" s="38" t="s">
        <v>53</v>
      </c>
      <c r="AC25" s="16">
        <v>9.0131815391993914E-2</v>
      </c>
      <c r="AD25" s="17">
        <v>6.744804784241519E-2</v>
      </c>
      <c r="AE25" s="38" t="s">
        <v>53</v>
      </c>
      <c r="AF25" s="16" t="s">
        <v>56</v>
      </c>
      <c r="AG25" s="17" t="s">
        <v>56</v>
      </c>
      <c r="AH25" s="38" t="s">
        <v>53</v>
      </c>
      <c r="AI25" s="16" t="s">
        <v>56</v>
      </c>
      <c r="AJ25" s="17" t="s">
        <v>56</v>
      </c>
      <c r="AK25" s="38" t="s">
        <v>53</v>
      </c>
      <c r="AL25" s="16">
        <v>-0.2676545101638288</v>
      </c>
      <c r="AM25" s="17">
        <v>6.368643022263433E-2</v>
      </c>
      <c r="AN25" s="38" t="s">
        <v>53</v>
      </c>
      <c r="AO25" s="16" t="s">
        <v>56</v>
      </c>
      <c r="AP25" s="17" t="s">
        <v>56</v>
      </c>
      <c r="AQ25" s="38" t="s">
        <v>53</v>
      </c>
      <c r="AR25" s="16" t="s">
        <v>56</v>
      </c>
      <c r="AS25" s="17" t="s">
        <v>56</v>
      </c>
      <c r="AT25" s="38" t="s">
        <v>53</v>
      </c>
      <c r="AU25" s="36">
        <v>66.634886742978367</v>
      </c>
      <c r="AV25" s="37">
        <v>2.9646464445651848</v>
      </c>
      <c r="AW25" s="38" t="s">
        <v>53</v>
      </c>
      <c r="AX25" s="36" t="s">
        <v>55</v>
      </c>
      <c r="AY25" s="37" t="s">
        <v>55</v>
      </c>
      <c r="AZ25" s="38" t="s">
        <v>53</v>
      </c>
      <c r="BA25" s="36" t="s">
        <v>55</v>
      </c>
      <c r="BB25" s="37" t="s">
        <v>55</v>
      </c>
      <c r="BC25" s="39" t="s">
        <v>53</v>
      </c>
    </row>
    <row r="26" spans="1:55" x14ac:dyDescent="0.25">
      <c r="A26" s="15" t="s">
        <v>140</v>
      </c>
      <c r="B26" s="16">
        <v>-0.28645846431964805</v>
      </c>
      <c r="C26" s="17">
        <v>4.274051852829306E-2</v>
      </c>
      <c r="D26" s="38" t="s">
        <v>53</v>
      </c>
      <c r="E26" s="16">
        <v>0.35682622105192413</v>
      </c>
      <c r="F26" s="17">
        <v>0.12293206137491292</v>
      </c>
      <c r="G26" s="38" t="s">
        <v>53</v>
      </c>
      <c r="H26" s="16">
        <v>0.64328468537157213</v>
      </c>
      <c r="I26" s="17">
        <v>0.1313295961111651</v>
      </c>
      <c r="J26" s="38" t="s">
        <v>53</v>
      </c>
      <c r="K26" s="16">
        <v>-0.11313781202904467</v>
      </c>
      <c r="L26" s="17">
        <v>4.7093097890598332E-2</v>
      </c>
      <c r="M26" s="38" t="s">
        <v>53</v>
      </c>
      <c r="N26" s="16">
        <v>-7.652577319461995E-2</v>
      </c>
      <c r="O26" s="17">
        <v>9.4519162320392397E-2</v>
      </c>
      <c r="P26" s="38" t="s">
        <v>53</v>
      </c>
      <c r="Q26" s="16">
        <v>3.661203883442473E-2</v>
      </c>
      <c r="R26" s="17">
        <v>0.10870881242708069</v>
      </c>
      <c r="S26" s="38" t="s">
        <v>53</v>
      </c>
      <c r="T26" s="16">
        <v>-0.11653983342985069</v>
      </c>
      <c r="U26" s="17">
        <v>4.2602581920594185E-2</v>
      </c>
      <c r="V26" s="38" t="s">
        <v>53</v>
      </c>
      <c r="W26" s="16">
        <v>0.10653294690639664</v>
      </c>
      <c r="X26" s="17">
        <v>0.10580169798558664</v>
      </c>
      <c r="Y26" s="38" t="s">
        <v>53</v>
      </c>
      <c r="Z26" s="16">
        <v>0.22307278033624733</v>
      </c>
      <c r="AA26" s="17">
        <v>0.11007971492913698</v>
      </c>
      <c r="AB26" s="38" t="s">
        <v>53</v>
      </c>
      <c r="AC26" s="16">
        <v>0.23307525781273661</v>
      </c>
      <c r="AD26" s="17">
        <v>4.4427259642022883E-2</v>
      </c>
      <c r="AE26" s="38" t="s">
        <v>53</v>
      </c>
      <c r="AF26" s="16">
        <v>9.1528044224312329E-4</v>
      </c>
      <c r="AG26" s="17">
        <v>9.6176112976833067E-2</v>
      </c>
      <c r="AH26" s="38" t="s">
        <v>53</v>
      </c>
      <c r="AI26" s="16">
        <v>-0.23215997737049349</v>
      </c>
      <c r="AJ26" s="17">
        <v>0.11511210996607568</v>
      </c>
      <c r="AK26" s="38" t="s">
        <v>53</v>
      </c>
      <c r="AL26" s="16">
        <v>0.20522005924401743</v>
      </c>
      <c r="AM26" s="17">
        <v>4.4531268629371644E-2</v>
      </c>
      <c r="AN26" s="38" t="s">
        <v>53</v>
      </c>
      <c r="AO26" s="16">
        <v>0.22629934509060545</v>
      </c>
      <c r="AP26" s="17">
        <v>8.3179840472973943E-2</v>
      </c>
      <c r="AQ26" s="38" t="s">
        <v>53</v>
      </c>
      <c r="AR26" s="16">
        <v>2.1079285846588025E-2</v>
      </c>
      <c r="AS26" s="17">
        <v>9.4265021111726466E-2</v>
      </c>
      <c r="AT26" s="38" t="s">
        <v>53</v>
      </c>
      <c r="AU26" s="36">
        <v>73.524239310984697</v>
      </c>
      <c r="AV26" s="37">
        <v>2.0857221924038041</v>
      </c>
      <c r="AW26" s="38" t="s">
        <v>53</v>
      </c>
      <c r="AX26" s="36">
        <v>92.180975333384552</v>
      </c>
      <c r="AY26" s="37">
        <v>3.2730282166926283</v>
      </c>
      <c r="AZ26" s="38" t="s">
        <v>53</v>
      </c>
      <c r="BA26" s="36">
        <v>18.656736022399841</v>
      </c>
      <c r="BB26" s="37">
        <v>3.9795100650985931</v>
      </c>
      <c r="BC26" s="39" t="s">
        <v>53</v>
      </c>
    </row>
    <row r="27" spans="1:55" x14ac:dyDescent="0.25">
      <c r="A27" s="15" t="s">
        <v>141</v>
      </c>
      <c r="B27" s="16">
        <v>-0.40753853417095431</v>
      </c>
      <c r="C27" s="17">
        <v>3.5148143897025745E-2</v>
      </c>
      <c r="D27" s="38" t="s">
        <v>53</v>
      </c>
      <c r="E27" s="16">
        <v>0.25930146662017217</v>
      </c>
      <c r="F27" s="17">
        <v>0.11027922887348873</v>
      </c>
      <c r="G27" s="38" t="s">
        <v>53</v>
      </c>
      <c r="H27" s="16">
        <v>0.66684000079112649</v>
      </c>
      <c r="I27" s="17">
        <v>0.12153210751565272</v>
      </c>
      <c r="J27" s="38" t="s">
        <v>53</v>
      </c>
      <c r="K27" s="16">
        <v>-3.8068828584035208E-2</v>
      </c>
      <c r="L27" s="17">
        <v>4.1470456513526995E-2</v>
      </c>
      <c r="M27" s="38" t="s">
        <v>53</v>
      </c>
      <c r="N27" s="16">
        <v>0.22490415747144957</v>
      </c>
      <c r="O27" s="17">
        <v>7.2777765753549079E-2</v>
      </c>
      <c r="P27" s="38" t="s">
        <v>53</v>
      </c>
      <c r="Q27" s="16">
        <v>0.2629729860554848</v>
      </c>
      <c r="R27" s="17">
        <v>8.8982531767746509E-2</v>
      </c>
      <c r="S27" s="38" t="s">
        <v>53</v>
      </c>
      <c r="T27" s="16">
        <v>8.6341236568663104E-2</v>
      </c>
      <c r="U27" s="17">
        <v>4.0452443846110901E-2</v>
      </c>
      <c r="V27" s="38" t="s">
        <v>53</v>
      </c>
      <c r="W27" s="16">
        <v>0.22273523931669065</v>
      </c>
      <c r="X27" s="17">
        <v>8.7615703944219955E-2</v>
      </c>
      <c r="Y27" s="38" t="s">
        <v>53</v>
      </c>
      <c r="Z27" s="16">
        <v>0.13639400274802754</v>
      </c>
      <c r="AA27" s="17">
        <v>9.8233489195943546E-2</v>
      </c>
      <c r="AB27" s="38" t="s">
        <v>53</v>
      </c>
      <c r="AC27" s="16">
        <v>0.30186824054876044</v>
      </c>
      <c r="AD27" s="17">
        <v>4.2974620987113778E-2</v>
      </c>
      <c r="AE27" s="38" t="s">
        <v>53</v>
      </c>
      <c r="AF27" s="16">
        <v>4.3648480039268717E-2</v>
      </c>
      <c r="AG27" s="17">
        <v>9.9457348577844371E-2</v>
      </c>
      <c r="AH27" s="38" t="s">
        <v>53</v>
      </c>
      <c r="AI27" s="16">
        <v>-0.25821976050949175</v>
      </c>
      <c r="AJ27" s="17">
        <v>0.10920457316403158</v>
      </c>
      <c r="AK27" s="38" t="s">
        <v>53</v>
      </c>
      <c r="AL27" s="16">
        <v>7.450547505929124E-2</v>
      </c>
      <c r="AM27" s="17">
        <v>3.9472416614078347E-2</v>
      </c>
      <c r="AN27" s="38" t="s">
        <v>53</v>
      </c>
      <c r="AO27" s="16">
        <v>0.14474578201442923</v>
      </c>
      <c r="AP27" s="17">
        <v>8.4932873607953555E-2</v>
      </c>
      <c r="AQ27" s="38" t="s">
        <v>53</v>
      </c>
      <c r="AR27" s="16">
        <v>7.0240306955137985E-2</v>
      </c>
      <c r="AS27" s="17">
        <v>0.10109163578133674</v>
      </c>
      <c r="AT27" s="38" t="s">
        <v>53</v>
      </c>
      <c r="AU27" s="36">
        <v>22.139942518744636</v>
      </c>
      <c r="AV27" s="37">
        <v>1.9295269880028145</v>
      </c>
      <c r="AW27" s="38" t="s">
        <v>53</v>
      </c>
      <c r="AX27" s="36">
        <v>63.843662511668306</v>
      </c>
      <c r="AY27" s="37">
        <v>4.3320749221546544</v>
      </c>
      <c r="AZ27" s="38" t="s">
        <v>53</v>
      </c>
      <c r="BA27" s="36">
        <v>41.703719992923681</v>
      </c>
      <c r="BB27" s="37">
        <v>4.6471183118427248</v>
      </c>
      <c r="BC27" s="39" t="s">
        <v>53</v>
      </c>
    </row>
    <row r="28" spans="1:55" x14ac:dyDescent="0.25">
      <c r="A28" s="15" t="s">
        <v>142</v>
      </c>
      <c r="B28" s="16">
        <v>-2.8706190602627957E-2</v>
      </c>
      <c r="C28" s="17">
        <v>3.1062774834181538E-2</v>
      </c>
      <c r="D28" s="38" t="s">
        <v>53</v>
      </c>
      <c r="E28" s="16">
        <v>0.43260735100453868</v>
      </c>
      <c r="F28" s="17">
        <v>0.11170135234582092</v>
      </c>
      <c r="G28" s="38" t="s">
        <v>53</v>
      </c>
      <c r="H28" s="16">
        <v>0.46131354160716659</v>
      </c>
      <c r="I28" s="17">
        <v>0.11840867280364499</v>
      </c>
      <c r="J28" s="38" t="s">
        <v>53</v>
      </c>
      <c r="K28" s="16">
        <v>0.11218710080843897</v>
      </c>
      <c r="L28" s="17">
        <v>4.7927726171210001E-2</v>
      </c>
      <c r="M28" s="38" t="s">
        <v>53</v>
      </c>
      <c r="N28" s="16">
        <v>0.51105900866253673</v>
      </c>
      <c r="O28" s="17">
        <v>9.7990495133193495E-2</v>
      </c>
      <c r="P28" s="38" t="s">
        <v>53</v>
      </c>
      <c r="Q28" s="16">
        <v>0.39887190785409771</v>
      </c>
      <c r="R28" s="17">
        <v>0.10986623575039978</v>
      </c>
      <c r="S28" s="38" t="s">
        <v>53</v>
      </c>
      <c r="T28" s="16">
        <v>-0.19416108496839937</v>
      </c>
      <c r="U28" s="17">
        <v>4.2942943381516434E-2</v>
      </c>
      <c r="V28" s="38" t="s">
        <v>53</v>
      </c>
      <c r="W28" s="16">
        <v>8.4760544718012046E-2</v>
      </c>
      <c r="X28" s="17">
        <v>0.11403011470829766</v>
      </c>
      <c r="Y28" s="38" t="s">
        <v>53</v>
      </c>
      <c r="Z28" s="16">
        <v>0.27892162968641138</v>
      </c>
      <c r="AA28" s="17">
        <v>0.12733935956698086</v>
      </c>
      <c r="AB28" s="38" t="s">
        <v>53</v>
      </c>
      <c r="AC28" s="16">
        <v>3.4002264057299871E-2</v>
      </c>
      <c r="AD28" s="17">
        <v>3.5757923321757333E-2</v>
      </c>
      <c r="AE28" s="38" t="s">
        <v>53</v>
      </c>
      <c r="AF28" s="16">
        <v>-0.10951174372800782</v>
      </c>
      <c r="AG28" s="17">
        <v>0.12552056591453928</v>
      </c>
      <c r="AH28" s="38" t="s">
        <v>53</v>
      </c>
      <c r="AI28" s="16">
        <v>-0.14351400778530771</v>
      </c>
      <c r="AJ28" s="17">
        <v>0.1333898360503219</v>
      </c>
      <c r="AK28" s="38" t="s">
        <v>53</v>
      </c>
      <c r="AL28" s="16">
        <v>-0.10664924248582792</v>
      </c>
      <c r="AM28" s="17">
        <v>4.2565927563401794E-2</v>
      </c>
      <c r="AN28" s="38" t="s">
        <v>53</v>
      </c>
      <c r="AO28" s="16">
        <v>-8.6066234645646916E-2</v>
      </c>
      <c r="AP28" s="17">
        <v>0.11457170428233335</v>
      </c>
      <c r="AQ28" s="38" t="s">
        <v>53</v>
      </c>
      <c r="AR28" s="16">
        <v>2.0583007840181033E-2</v>
      </c>
      <c r="AS28" s="17">
        <v>0.12691114088796171</v>
      </c>
      <c r="AT28" s="38" t="s">
        <v>53</v>
      </c>
      <c r="AU28" s="36">
        <v>54.289032780383195</v>
      </c>
      <c r="AV28" s="37">
        <v>2.2967571708362016</v>
      </c>
      <c r="AW28" s="38" t="s">
        <v>53</v>
      </c>
      <c r="AX28" s="36">
        <v>91.340371681830106</v>
      </c>
      <c r="AY28" s="37">
        <v>3.9741224818846885</v>
      </c>
      <c r="AZ28" s="38" t="s">
        <v>53</v>
      </c>
      <c r="BA28" s="36">
        <v>37.051338901446911</v>
      </c>
      <c r="BB28" s="37">
        <v>4.7712866772718066</v>
      </c>
      <c r="BC28" s="39" t="s">
        <v>53</v>
      </c>
    </row>
    <row r="29" spans="1:55" x14ac:dyDescent="0.25">
      <c r="A29" s="15" t="s">
        <v>143</v>
      </c>
      <c r="B29" s="16">
        <v>-0.1697422057113655</v>
      </c>
      <c r="C29" s="17">
        <v>0.12005038180134887</v>
      </c>
      <c r="D29" s="38" t="s">
        <v>53</v>
      </c>
      <c r="E29" s="16">
        <v>0.81292633856229868</v>
      </c>
      <c r="F29" s="17">
        <v>0.17378236943914707</v>
      </c>
      <c r="G29" s="38" t="s">
        <v>53</v>
      </c>
      <c r="H29" s="16">
        <v>0.98266854427366435</v>
      </c>
      <c r="I29" s="17">
        <v>0.21856001359593083</v>
      </c>
      <c r="J29" s="38" t="s">
        <v>53</v>
      </c>
      <c r="K29" s="16">
        <v>-5.8462146268182219E-2</v>
      </c>
      <c r="L29" s="17">
        <v>0.12622588446504271</v>
      </c>
      <c r="M29" s="38" t="s">
        <v>53</v>
      </c>
      <c r="N29" s="16">
        <v>-2.0860100822161554E-2</v>
      </c>
      <c r="O29" s="17">
        <v>0.14996747331054319</v>
      </c>
      <c r="P29" s="38" t="s">
        <v>53</v>
      </c>
      <c r="Q29" s="16">
        <v>3.7602045446020659E-2</v>
      </c>
      <c r="R29" s="17">
        <v>0.18921653631668783</v>
      </c>
      <c r="S29" s="38" t="s">
        <v>53</v>
      </c>
      <c r="T29" s="16">
        <v>-0.30651704961357717</v>
      </c>
      <c r="U29" s="17">
        <v>0.16297064016255727</v>
      </c>
      <c r="V29" s="38" t="s">
        <v>53</v>
      </c>
      <c r="W29" s="16">
        <v>-0.16255216927559241</v>
      </c>
      <c r="X29" s="17">
        <v>0.19677189495086772</v>
      </c>
      <c r="Y29" s="38" t="s">
        <v>53</v>
      </c>
      <c r="Z29" s="16">
        <v>0.1439648803379848</v>
      </c>
      <c r="AA29" s="17">
        <v>0.2473591354210955</v>
      </c>
      <c r="AB29" s="38" t="s">
        <v>53</v>
      </c>
      <c r="AC29" s="16">
        <v>-7.8709615202973635E-2</v>
      </c>
      <c r="AD29" s="17">
        <v>0.11698490106957544</v>
      </c>
      <c r="AE29" s="38" t="s">
        <v>53</v>
      </c>
      <c r="AF29" s="16">
        <v>-0.55659687287509152</v>
      </c>
      <c r="AG29" s="17">
        <v>0.15510311719758926</v>
      </c>
      <c r="AH29" s="38" t="s">
        <v>53</v>
      </c>
      <c r="AI29" s="16">
        <v>-0.47788725767211782</v>
      </c>
      <c r="AJ29" s="17">
        <v>0.20341500284031103</v>
      </c>
      <c r="AK29" s="38" t="s">
        <v>53</v>
      </c>
      <c r="AL29" s="16">
        <v>0.3487451512425972</v>
      </c>
      <c r="AM29" s="17">
        <v>0.13498582218030816</v>
      </c>
      <c r="AN29" s="38" t="s">
        <v>53</v>
      </c>
      <c r="AO29" s="16">
        <v>0.15403652391323852</v>
      </c>
      <c r="AP29" s="17">
        <v>0.16036175691828281</v>
      </c>
      <c r="AQ29" s="38" t="s">
        <v>53</v>
      </c>
      <c r="AR29" s="16">
        <v>-0.1947086273293587</v>
      </c>
      <c r="AS29" s="17">
        <v>0.19855826321796008</v>
      </c>
      <c r="AT29" s="38" t="s">
        <v>53</v>
      </c>
      <c r="AU29" s="36">
        <v>50.550617135100651</v>
      </c>
      <c r="AV29" s="37">
        <v>5.9962216462819002</v>
      </c>
      <c r="AW29" s="38" t="s">
        <v>53</v>
      </c>
      <c r="AX29" s="36">
        <v>83.12035076131879</v>
      </c>
      <c r="AY29" s="37">
        <v>7.8996105239487218</v>
      </c>
      <c r="AZ29" s="38" t="s">
        <v>53</v>
      </c>
      <c r="BA29" s="36">
        <v>32.569733626218131</v>
      </c>
      <c r="BB29" s="37">
        <v>11.162354085151103</v>
      </c>
      <c r="BC29" s="39" t="s">
        <v>53</v>
      </c>
    </row>
    <row r="30" spans="1:55" x14ac:dyDescent="0.25">
      <c r="A30" s="15" t="s">
        <v>144</v>
      </c>
      <c r="B30" s="16">
        <v>-0.21105601141905514</v>
      </c>
      <c r="C30" s="17">
        <v>7.2923847212835305E-2</v>
      </c>
      <c r="D30" s="38" t="s">
        <v>53</v>
      </c>
      <c r="E30" s="16" t="s">
        <v>56</v>
      </c>
      <c r="F30" s="17" t="s">
        <v>56</v>
      </c>
      <c r="G30" s="38" t="s">
        <v>53</v>
      </c>
      <c r="H30" s="16" t="s">
        <v>56</v>
      </c>
      <c r="I30" s="17" t="s">
        <v>56</v>
      </c>
      <c r="J30" s="38" t="s">
        <v>53</v>
      </c>
      <c r="K30" s="16">
        <v>-0.37965024623918231</v>
      </c>
      <c r="L30" s="17">
        <v>8.4844989381650207E-2</v>
      </c>
      <c r="M30" s="38" t="s">
        <v>53</v>
      </c>
      <c r="N30" s="16" t="s">
        <v>56</v>
      </c>
      <c r="O30" s="17" t="s">
        <v>56</v>
      </c>
      <c r="P30" s="38" t="s">
        <v>53</v>
      </c>
      <c r="Q30" s="16" t="s">
        <v>56</v>
      </c>
      <c r="R30" s="17" t="s">
        <v>56</v>
      </c>
      <c r="S30" s="38" t="s">
        <v>53</v>
      </c>
      <c r="T30" s="16">
        <v>0.12038499293577061</v>
      </c>
      <c r="U30" s="17">
        <v>9.6292624231046273E-2</v>
      </c>
      <c r="V30" s="38" t="s">
        <v>53</v>
      </c>
      <c r="W30" s="16" t="s">
        <v>56</v>
      </c>
      <c r="X30" s="17" t="s">
        <v>56</v>
      </c>
      <c r="Y30" s="38" t="s">
        <v>53</v>
      </c>
      <c r="Z30" s="16" t="s">
        <v>56</v>
      </c>
      <c r="AA30" s="17" t="s">
        <v>56</v>
      </c>
      <c r="AB30" s="38" t="s">
        <v>53</v>
      </c>
      <c r="AC30" s="16">
        <v>-0.14344583709574624</v>
      </c>
      <c r="AD30" s="17">
        <v>8.8947874686096773E-2</v>
      </c>
      <c r="AE30" s="38" t="s">
        <v>53</v>
      </c>
      <c r="AF30" s="16" t="s">
        <v>56</v>
      </c>
      <c r="AG30" s="17" t="s">
        <v>56</v>
      </c>
      <c r="AH30" s="38" t="s">
        <v>53</v>
      </c>
      <c r="AI30" s="16" t="s">
        <v>56</v>
      </c>
      <c r="AJ30" s="17" t="s">
        <v>56</v>
      </c>
      <c r="AK30" s="38" t="s">
        <v>53</v>
      </c>
      <c r="AL30" s="16">
        <v>-0.38783022393900951</v>
      </c>
      <c r="AM30" s="17">
        <v>8.7112942857287545E-2</v>
      </c>
      <c r="AN30" s="38" t="s">
        <v>53</v>
      </c>
      <c r="AO30" s="16" t="s">
        <v>56</v>
      </c>
      <c r="AP30" s="17" t="s">
        <v>56</v>
      </c>
      <c r="AQ30" s="38" t="s">
        <v>53</v>
      </c>
      <c r="AR30" s="16" t="s">
        <v>56</v>
      </c>
      <c r="AS30" s="17" t="s">
        <v>56</v>
      </c>
      <c r="AT30" s="38" t="s">
        <v>53</v>
      </c>
      <c r="AU30" s="36">
        <v>52.769989649728025</v>
      </c>
      <c r="AV30" s="37">
        <v>3.953078279872356</v>
      </c>
      <c r="AW30" s="38" t="s">
        <v>53</v>
      </c>
      <c r="AX30" s="36" t="s">
        <v>55</v>
      </c>
      <c r="AY30" s="37" t="s">
        <v>55</v>
      </c>
      <c r="AZ30" s="38" t="s">
        <v>53</v>
      </c>
      <c r="BA30" s="36" t="s">
        <v>55</v>
      </c>
      <c r="BB30" s="37" t="s">
        <v>55</v>
      </c>
      <c r="BC30" s="39" t="s">
        <v>53</v>
      </c>
    </row>
    <row r="31" spans="1:55" x14ac:dyDescent="0.25">
      <c r="A31" s="15" t="s">
        <v>145</v>
      </c>
      <c r="B31" s="16">
        <v>-4.4281046634040054E-2</v>
      </c>
      <c r="C31" s="17">
        <v>4.4738231451168432E-2</v>
      </c>
      <c r="D31" s="38" t="s">
        <v>53</v>
      </c>
      <c r="E31" s="16">
        <v>0.79247853186977157</v>
      </c>
      <c r="F31" s="17">
        <v>8.4048165160372876E-2</v>
      </c>
      <c r="G31" s="38" t="s">
        <v>53</v>
      </c>
      <c r="H31" s="16">
        <v>0.83675957850381166</v>
      </c>
      <c r="I31" s="17">
        <v>0.10565678274949121</v>
      </c>
      <c r="J31" s="38" t="s">
        <v>53</v>
      </c>
      <c r="K31" s="16">
        <v>-5.0537519982402461E-2</v>
      </c>
      <c r="L31" s="17">
        <v>3.5091350935833543E-2</v>
      </c>
      <c r="M31" s="38" t="s">
        <v>53</v>
      </c>
      <c r="N31" s="16">
        <v>7.465850071480952E-2</v>
      </c>
      <c r="O31" s="17">
        <v>7.2431940198663794E-2</v>
      </c>
      <c r="P31" s="38" t="s">
        <v>53</v>
      </c>
      <c r="Q31" s="16">
        <v>0.125196020697212</v>
      </c>
      <c r="R31" s="17">
        <v>8.3426515746555463E-2</v>
      </c>
      <c r="S31" s="38" t="s">
        <v>53</v>
      </c>
      <c r="T31" s="16">
        <v>-2.780908141340149E-2</v>
      </c>
      <c r="U31" s="17">
        <v>4.0651393623468972E-2</v>
      </c>
      <c r="V31" s="38" t="s">
        <v>53</v>
      </c>
      <c r="W31" s="16">
        <v>0.17443579578338644</v>
      </c>
      <c r="X31" s="17">
        <v>7.1819370783911304E-2</v>
      </c>
      <c r="Y31" s="38" t="s">
        <v>53</v>
      </c>
      <c r="Z31" s="16">
        <v>0.20224487719678794</v>
      </c>
      <c r="AA31" s="17">
        <v>9.1133948821476282E-2</v>
      </c>
      <c r="AB31" s="38" t="s">
        <v>53</v>
      </c>
      <c r="AC31" s="16">
        <v>-3.8381141591364606E-3</v>
      </c>
      <c r="AD31" s="17">
        <v>4.3635989773743757E-2</v>
      </c>
      <c r="AE31" s="38" t="s">
        <v>53</v>
      </c>
      <c r="AF31" s="16">
        <v>-0.26272251698696869</v>
      </c>
      <c r="AG31" s="17">
        <v>7.5838461682329106E-2</v>
      </c>
      <c r="AH31" s="38" t="s">
        <v>53</v>
      </c>
      <c r="AI31" s="16">
        <v>-0.25888440282783226</v>
      </c>
      <c r="AJ31" s="17">
        <v>9.0504344274970838E-2</v>
      </c>
      <c r="AK31" s="38" t="s">
        <v>53</v>
      </c>
      <c r="AL31" s="16">
        <v>-7.5834194128410179E-2</v>
      </c>
      <c r="AM31" s="17">
        <v>4.8864693539246516E-2</v>
      </c>
      <c r="AN31" s="38" t="s">
        <v>53</v>
      </c>
      <c r="AO31" s="16">
        <v>-0.17488408893432705</v>
      </c>
      <c r="AP31" s="17">
        <v>7.5900631036550564E-2</v>
      </c>
      <c r="AQ31" s="38" t="s">
        <v>53</v>
      </c>
      <c r="AR31" s="16">
        <v>-9.904989480591686E-2</v>
      </c>
      <c r="AS31" s="17">
        <v>9.1249110219432814E-2</v>
      </c>
      <c r="AT31" s="38" t="s">
        <v>53</v>
      </c>
      <c r="AU31" s="36">
        <v>77.553781951930432</v>
      </c>
      <c r="AV31" s="37">
        <v>1.5643328990978922</v>
      </c>
      <c r="AW31" s="38" t="s">
        <v>53</v>
      </c>
      <c r="AX31" s="36">
        <v>95.719195279385488</v>
      </c>
      <c r="AY31" s="37">
        <v>1.7123657999159629</v>
      </c>
      <c r="AZ31" s="38" t="s">
        <v>53</v>
      </c>
      <c r="BA31" s="36">
        <v>18.165413327455024</v>
      </c>
      <c r="BB31" s="37">
        <v>2.4689809709035884</v>
      </c>
      <c r="BC31" s="39" t="s">
        <v>53</v>
      </c>
    </row>
    <row r="32" spans="1:55" x14ac:dyDescent="0.25">
      <c r="A32" s="15" t="s">
        <v>146</v>
      </c>
      <c r="B32" s="16">
        <v>-5.9457124538850138E-2</v>
      </c>
      <c r="C32" s="17">
        <v>4.276260678477483E-2</v>
      </c>
      <c r="D32" s="38" t="s">
        <v>53</v>
      </c>
      <c r="E32" s="16">
        <v>0.54211801908744339</v>
      </c>
      <c r="F32" s="17">
        <v>8.9498174202444949E-2</v>
      </c>
      <c r="G32" s="38" t="s">
        <v>53</v>
      </c>
      <c r="H32" s="16">
        <v>0.60157514362629372</v>
      </c>
      <c r="I32" s="17">
        <v>0.10026288355011941</v>
      </c>
      <c r="J32" s="38" t="s">
        <v>53</v>
      </c>
      <c r="K32" s="16">
        <v>0.20573312220538298</v>
      </c>
      <c r="L32" s="17">
        <v>4.4222140215386931E-2</v>
      </c>
      <c r="M32" s="38" t="s">
        <v>53</v>
      </c>
      <c r="N32" s="16">
        <v>0.53508434652770009</v>
      </c>
      <c r="O32" s="17">
        <v>6.7309023627387873E-2</v>
      </c>
      <c r="P32" s="38" t="s">
        <v>53</v>
      </c>
      <c r="Q32" s="16">
        <v>0.32935122432231717</v>
      </c>
      <c r="R32" s="17">
        <v>8.2330681639153136E-2</v>
      </c>
      <c r="S32" s="38" t="s">
        <v>53</v>
      </c>
      <c r="T32" s="16">
        <v>0.27521630436906552</v>
      </c>
      <c r="U32" s="17">
        <v>5.0132309554867714E-2</v>
      </c>
      <c r="V32" s="38" t="s">
        <v>53</v>
      </c>
      <c r="W32" s="16">
        <v>0.39111885418025855</v>
      </c>
      <c r="X32" s="17">
        <v>7.4135100017622232E-2</v>
      </c>
      <c r="Y32" s="38" t="s">
        <v>53</v>
      </c>
      <c r="Z32" s="16">
        <v>0.11590254981119302</v>
      </c>
      <c r="AA32" s="17">
        <v>9.0354486106803716E-2</v>
      </c>
      <c r="AB32" s="38" t="s">
        <v>53</v>
      </c>
      <c r="AC32" s="16" t="s">
        <v>55</v>
      </c>
      <c r="AD32" s="17" t="s">
        <v>55</v>
      </c>
      <c r="AE32" s="38" t="s">
        <v>53</v>
      </c>
      <c r="AF32" s="16" t="s">
        <v>55</v>
      </c>
      <c r="AG32" s="17" t="s">
        <v>55</v>
      </c>
      <c r="AH32" s="38" t="s">
        <v>53</v>
      </c>
      <c r="AI32" s="16" t="s">
        <v>55</v>
      </c>
      <c r="AJ32" s="17" t="s">
        <v>55</v>
      </c>
      <c r="AK32" s="38" t="s">
        <v>53</v>
      </c>
      <c r="AL32" s="16" t="s">
        <v>55</v>
      </c>
      <c r="AM32" s="17" t="s">
        <v>55</v>
      </c>
      <c r="AN32" s="38" t="s">
        <v>53</v>
      </c>
      <c r="AO32" s="16" t="s">
        <v>55</v>
      </c>
      <c r="AP32" s="17" t="s">
        <v>55</v>
      </c>
      <c r="AQ32" s="38" t="s">
        <v>53</v>
      </c>
      <c r="AR32" s="16" t="s">
        <v>55</v>
      </c>
      <c r="AS32" s="17" t="s">
        <v>55</v>
      </c>
      <c r="AT32" s="38" t="s">
        <v>53</v>
      </c>
      <c r="AU32" s="36">
        <v>70.777914344352183</v>
      </c>
      <c r="AV32" s="37">
        <v>2.4123659523080474</v>
      </c>
      <c r="AW32" s="38" t="s">
        <v>53</v>
      </c>
      <c r="AX32" s="36">
        <v>89.443963269118456</v>
      </c>
      <c r="AY32" s="37">
        <v>2.4346237621407689</v>
      </c>
      <c r="AZ32" s="38" t="s">
        <v>53</v>
      </c>
      <c r="BA32" s="36">
        <v>18.666048924766265</v>
      </c>
      <c r="BB32" s="37">
        <v>3.5465771727547848</v>
      </c>
      <c r="BC32" s="39" t="s">
        <v>53</v>
      </c>
    </row>
    <row r="33" spans="1:55" x14ac:dyDescent="0.25">
      <c r="A33" s="15" t="s">
        <v>147</v>
      </c>
      <c r="B33" s="16">
        <v>-5.9567814588090108E-2</v>
      </c>
      <c r="C33" s="17">
        <v>5.0770377726280319E-2</v>
      </c>
      <c r="D33" s="38" t="s">
        <v>53</v>
      </c>
      <c r="E33" s="16">
        <v>0.35836929533943707</v>
      </c>
      <c r="F33" s="17">
        <v>0.13599814291556972</v>
      </c>
      <c r="G33" s="38" t="s">
        <v>53</v>
      </c>
      <c r="H33" s="16">
        <v>0.41793710992752714</v>
      </c>
      <c r="I33" s="17">
        <v>0.15581858140146471</v>
      </c>
      <c r="J33" s="38" t="s">
        <v>53</v>
      </c>
      <c r="K33" s="16">
        <v>0.24537143244329465</v>
      </c>
      <c r="L33" s="17">
        <v>6.0984827794275095E-2</v>
      </c>
      <c r="M33" s="38" t="s">
        <v>53</v>
      </c>
      <c r="N33" s="16">
        <v>0.70141408121700688</v>
      </c>
      <c r="O33" s="17">
        <v>9.4431888236480951E-2</v>
      </c>
      <c r="P33" s="38" t="s">
        <v>53</v>
      </c>
      <c r="Q33" s="16">
        <v>0.45604264877371237</v>
      </c>
      <c r="R33" s="17">
        <v>0.11349013039979057</v>
      </c>
      <c r="S33" s="38" t="s">
        <v>53</v>
      </c>
      <c r="T33" s="16">
        <v>-0.30318448802756365</v>
      </c>
      <c r="U33" s="17">
        <v>5.4134338554390475E-2</v>
      </c>
      <c r="V33" s="38" t="s">
        <v>53</v>
      </c>
      <c r="W33" s="16">
        <v>-0.14287483966979353</v>
      </c>
      <c r="X33" s="17">
        <v>0.11050624410448269</v>
      </c>
      <c r="Y33" s="38" t="s">
        <v>53</v>
      </c>
      <c r="Z33" s="16">
        <v>0.16030964835777006</v>
      </c>
      <c r="AA33" s="17">
        <v>0.13307990010384479</v>
      </c>
      <c r="AB33" s="38" t="s">
        <v>53</v>
      </c>
      <c r="AC33" s="16">
        <v>-0.14763859060710735</v>
      </c>
      <c r="AD33" s="17">
        <v>4.7709047462058035E-2</v>
      </c>
      <c r="AE33" s="38" t="s">
        <v>53</v>
      </c>
      <c r="AF33" s="16">
        <v>-0.26901355299559299</v>
      </c>
      <c r="AG33" s="17">
        <v>0.10172993508345378</v>
      </c>
      <c r="AH33" s="38" t="s">
        <v>53</v>
      </c>
      <c r="AI33" s="16">
        <v>-0.12137496238848562</v>
      </c>
      <c r="AJ33" s="17">
        <v>0.10983493017939541</v>
      </c>
      <c r="AK33" s="38" t="s">
        <v>53</v>
      </c>
      <c r="AL33" s="16" t="s">
        <v>55</v>
      </c>
      <c r="AM33" s="17" t="s">
        <v>55</v>
      </c>
      <c r="AN33" s="38" t="s">
        <v>53</v>
      </c>
      <c r="AO33" s="16" t="s">
        <v>55</v>
      </c>
      <c r="AP33" s="17" t="s">
        <v>55</v>
      </c>
      <c r="AQ33" s="38" t="s">
        <v>53</v>
      </c>
      <c r="AR33" s="16" t="s">
        <v>55</v>
      </c>
      <c r="AS33" s="17" t="s">
        <v>55</v>
      </c>
      <c r="AT33" s="38" t="s">
        <v>53</v>
      </c>
      <c r="AU33" s="36">
        <v>44.817161909420157</v>
      </c>
      <c r="AV33" s="37">
        <v>2.7219328120470849</v>
      </c>
      <c r="AW33" s="38" t="s">
        <v>53</v>
      </c>
      <c r="AX33" s="36">
        <v>80.843279171125218</v>
      </c>
      <c r="AY33" s="37">
        <v>4.6301742507036492</v>
      </c>
      <c r="AZ33" s="38" t="s">
        <v>53</v>
      </c>
      <c r="BA33" s="36">
        <v>36.02611726170506</v>
      </c>
      <c r="BB33" s="37">
        <v>5.5485135469411526</v>
      </c>
      <c r="BC33" s="39" t="s">
        <v>53</v>
      </c>
    </row>
    <row r="34" spans="1:55" x14ac:dyDescent="0.25">
      <c r="A34" s="15" t="s">
        <v>148</v>
      </c>
      <c r="B34" s="16" t="s">
        <v>128</v>
      </c>
      <c r="C34" s="17" t="s">
        <v>128</v>
      </c>
      <c r="D34" s="38" t="s">
        <v>53</v>
      </c>
      <c r="E34" s="16" t="s">
        <v>128</v>
      </c>
      <c r="F34" s="17" t="s">
        <v>128</v>
      </c>
      <c r="G34" s="38" t="s">
        <v>53</v>
      </c>
      <c r="H34" s="16" t="s">
        <v>128</v>
      </c>
      <c r="I34" s="17" t="s">
        <v>128</v>
      </c>
      <c r="J34" s="38" t="s">
        <v>53</v>
      </c>
      <c r="K34" s="16" t="s">
        <v>128</v>
      </c>
      <c r="L34" s="17" t="s">
        <v>128</v>
      </c>
      <c r="M34" s="38" t="s">
        <v>53</v>
      </c>
      <c r="N34" s="16" t="s">
        <v>128</v>
      </c>
      <c r="O34" s="17" t="s">
        <v>128</v>
      </c>
      <c r="P34" s="38" t="s">
        <v>53</v>
      </c>
      <c r="Q34" s="16" t="s">
        <v>128</v>
      </c>
      <c r="R34" s="17" t="s">
        <v>128</v>
      </c>
      <c r="S34" s="38" t="s">
        <v>53</v>
      </c>
      <c r="T34" s="16" t="s">
        <v>128</v>
      </c>
      <c r="U34" s="17" t="s">
        <v>128</v>
      </c>
      <c r="V34" s="38" t="s">
        <v>53</v>
      </c>
      <c r="W34" s="16" t="s">
        <v>128</v>
      </c>
      <c r="X34" s="17" t="s">
        <v>128</v>
      </c>
      <c r="Y34" s="38" t="s">
        <v>53</v>
      </c>
      <c r="Z34" s="16" t="s">
        <v>128</v>
      </c>
      <c r="AA34" s="17" t="s">
        <v>128</v>
      </c>
      <c r="AB34" s="38" t="s">
        <v>53</v>
      </c>
      <c r="AC34" s="16" t="s">
        <v>128</v>
      </c>
      <c r="AD34" s="17" t="s">
        <v>128</v>
      </c>
      <c r="AE34" s="38" t="s">
        <v>53</v>
      </c>
      <c r="AF34" s="16" t="s">
        <v>128</v>
      </c>
      <c r="AG34" s="17" t="s">
        <v>128</v>
      </c>
      <c r="AH34" s="38" t="s">
        <v>53</v>
      </c>
      <c r="AI34" s="16" t="s">
        <v>128</v>
      </c>
      <c r="AJ34" s="17" t="s">
        <v>128</v>
      </c>
      <c r="AK34" s="38" t="s">
        <v>53</v>
      </c>
      <c r="AL34" s="16" t="s">
        <v>128</v>
      </c>
      <c r="AM34" s="17" t="s">
        <v>128</v>
      </c>
      <c r="AN34" s="38" t="s">
        <v>53</v>
      </c>
      <c r="AO34" s="16" t="s">
        <v>128</v>
      </c>
      <c r="AP34" s="17" t="s">
        <v>128</v>
      </c>
      <c r="AQ34" s="38" t="s">
        <v>53</v>
      </c>
      <c r="AR34" s="16" t="s">
        <v>128</v>
      </c>
      <c r="AS34" s="17" t="s">
        <v>128</v>
      </c>
      <c r="AT34" s="38" t="s">
        <v>53</v>
      </c>
      <c r="AU34" s="36" t="s">
        <v>128</v>
      </c>
      <c r="AV34" s="37" t="s">
        <v>128</v>
      </c>
      <c r="AW34" s="38" t="s">
        <v>53</v>
      </c>
      <c r="AX34" s="36" t="s">
        <v>128</v>
      </c>
      <c r="AY34" s="37" t="s">
        <v>128</v>
      </c>
      <c r="AZ34" s="38" t="s">
        <v>53</v>
      </c>
      <c r="BA34" s="36" t="s">
        <v>128</v>
      </c>
      <c r="BB34" s="37" t="s">
        <v>128</v>
      </c>
      <c r="BC34" s="39" t="s">
        <v>53</v>
      </c>
    </row>
    <row r="35" spans="1:55" x14ac:dyDescent="0.25">
      <c r="A35" s="15" t="s">
        <v>149</v>
      </c>
      <c r="B35" s="16" t="s">
        <v>56</v>
      </c>
      <c r="C35" s="17" t="s">
        <v>56</v>
      </c>
      <c r="D35" s="38" t="s">
        <v>53</v>
      </c>
      <c r="E35" s="16" t="s">
        <v>56</v>
      </c>
      <c r="F35" s="17" t="s">
        <v>56</v>
      </c>
      <c r="G35" s="38" t="s">
        <v>53</v>
      </c>
      <c r="H35" s="16" t="s">
        <v>55</v>
      </c>
      <c r="I35" s="17" t="s">
        <v>55</v>
      </c>
      <c r="J35" s="38" t="s">
        <v>53</v>
      </c>
      <c r="K35" s="16" t="s">
        <v>56</v>
      </c>
      <c r="L35" s="17" t="s">
        <v>56</v>
      </c>
      <c r="M35" s="38" t="s">
        <v>53</v>
      </c>
      <c r="N35" s="16" t="s">
        <v>56</v>
      </c>
      <c r="O35" s="17" t="s">
        <v>56</v>
      </c>
      <c r="P35" s="38" t="s">
        <v>53</v>
      </c>
      <c r="Q35" s="16" t="s">
        <v>55</v>
      </c>
      <c r="R35" s="17" t="s">
        <v>55</v>
      </c>
      <c r="S35" s="38" t="s">
        <v>53</v>
      </c>
      <c r="T35" s="16" t="s">
        <v>56</v>
      </c>
      <c r="U35" s="17" t="s">
        <v>56</v>
      </c>
      <c r="V35" s="38" t="s">
        <v>53</v>
      </c>
      <c r="W35" s="16" t="s">
        <v>56</v>
      </c>
      <c r="X35" s="17" t="s">
        <v>56</v>
      </c>
      <c r="Y35" s="38" t="s">
        <v>53</v>
      </c>
      <c r="Z35" s="16" t="s">
        <v>55</v>
      </c>
      <c r="AA35" s="17" t="s">
        <v>55</v>
      </c>
      <c r="AB35" s="38" t="s">
        <v>53</v>
      </c>
      <c r="AC35" s="16" t="s">
        <v>56</v>
      </c>
      <c r="AD35" s="17" t="s">
        <v>56</v>
      </c>
      <c r="AE35" s="38" t="s">
        <v>53</v>
      </c>
      <c r="AF35" s="16" t="s">
        <v>56</v>
      </c>
      <c r="AG35" s="17" t="s">
        <v>56</v>
      </c>
      <c r="AH35" s="38" t="s">
        <v>53</v>
      </c>
      <c r="AI35" s="16" t="s">
        <v>55</v>
      </c>
      <c r="AJ35" s="17" t="s">
        <v>55</v>
      </c>
      <c r="AK35" s="38" t="s">
        <v>53</v>
      </c>
      <c r="AL35" s="16" t="s">
        <v>56</v>
      </c>
      <c r="AM35" s="17" t="s">
        <v>56</v>
      </c>
      <c r="AN35" s="38" t="s">
        <v>53</v>
      </c>
      <c r="AO35" s="16" t="s">
        <v>56</v>
      </c>
      <c r="AP35" s="17" t="s">
        <v>56</v>
      </c>
      <c r="AQ35" s="38" t="s">
        <v>53</v>
      </c>
      <c r="AR35" s="16" t="s">
        <v>55</v>
      </c>
      <c r="AS35" s="17" t="s">
        <v>55</v>
      </c>
      <c r="AT35" s="38" t="s">
        <v>53</v>
      </c>
      <c r="AU35" s="36" t="s">
        <v>55</v>
      </c>
      <c r="AV35" s="37" t="s">
        <v>55</v>
      </c>
      <c r="AW35" s="38" t="s">
        <v>53</v>
      </c>
      <c r="AX35" s="36" t="s">
        <v>55</v>
      </c>
      <c r="AY35" s="37" t="s">
        <v>55</v>
      </c>
      <c r="AZ35" s="38" t="s">
        <v>53</v>
      </c>
      <c r="BA35" s="36" t="s">
        <v>55</v>
      </c>
      <c r="BB35" s="37" t="s">
        <v>55</v>
      </c>
      <c r="BC35" s="39" t="s">
        <v>53</v>
      </c>
    </row>
    <row r="36" spans="1:55" x14ac:dyDescent="0.25">
      <c r="A36" s="15" t="s">
        <v>150</v>
      </c>
      <c r="B36" s="16">
        <v>-5.089108417993024E-2</v>
      </c>
      <c r="C36" s="17">
        <v>6.3569078470989818E-2</v>
      </c>
      <c r="D36" s="38" t="s">
        <v>53</v>
      </c>
      <c r="E36" s="16">
        <v>0.6832050547739339</v>
      </c>
      <c r="F36" s="17">
        <v>0.1123042691246478</v>
      </c>
      <c r="G36" s="38" t="s">
        <v>53</v>
      </c>
      <c r="H36" s="16">
        <v>0.73409613895386405</v>
      </c>
      <c r="I36" s="17">
        <v>0.13315201024384132</v>
      </c>
      <c r="J36" s="38" t="s">
        <v>53</v>
      </c>
      <c r="K36" s="16">
        <v>-0.39109033225895939</v>
      </c>
      <c r="L36" s="17">
        <v>8.0794568314677392E-2</v>
      </c>
      <c r="M36" s="38" t="s">
        <v>53</v>
      </c>
      <c r="N36" s="16">
        <v>-7.0583609638286762E-2</v>
      </c>
      <c r="O36" s="17">
        <v>0.13395904714184562</v>
      </c>
      <c r="P36" s="38" t="s">
        <v>53</v>
      </c>
      <c r="Q36" s="16">
        <v>0.32050672262067259</v>
      </c>
      <c r="R36" s="17">
        <v>0.15944530610942148</v>
      </c>
      <c r="S36" s="38" t="s">
        <v>53</v>
      </c>
      <c r="T36" s="16">
        <v>-0.68445784992603409</v>
      </c>
      <c r="U36" s="17">
        <v>8.4165424274501702E-2</v>
      </c>
      <c r="V36" s="38" t="s">
        <v>53</v>
      </c>
      <c r="W36" s="16">
        <v>-0.61284366285986724</v>
      </c>
      <c r="X36" s="17">
        <v>0.12257476231584595</v>
      </c>
      <c r="Y36" s="38" t="s">
        <v>53</v>
      </c>
      <c r="Z36" s="16">
        <v>7.1614187066166846E-2</v>
      </c>
      <c r="AA36" s="17">
        <v>0.14937524273660621</v>
      </c>
      <c r="AB36" s="38" t="s">
        <v>53</v>
      </c>
      <c r="AC36" s="16">
        <v>-0.11370119740396803</v>
      </c>
      <c r="AD36" s="17">
        <v>7.8232034729898883E-2</v>
      </c>
      <c r="AE36" s="38" t="s">
        <v>53</v>
      </c>
      <c r="AF36" s="16">
        <v>-0.25464071448674319</v>
      </c>
      <c r="AG36" s="17">
        <v>0.14540416973061102</v>
      </c>
      <c r="AH36" s="38" t="s">
        <v>53</v>
      </c>
      <c r="AI36" s="16">
        <v>-0.14093951708277511</v>
      </c>
      <c r="AJ36" s="17">
        <v>0.1750730366560396</v>
      </c>
      <c r="AK36" s="38" t="s">
        <v>53</v>
      </c>
      <c r="AL36" s="16">
        <v>-2.7316804289966093E-2</v>
      </c>
      <c r="AM36" s="17">
        <v>9.0944706123445684E-2</v>
      </c>
      <c r="AN36" s="38" t="s">
        <v>53</v>
      </c>
      <c r="AO36" s="16">
        <v>-9.2683209497288005E-2</v>
      </c>
      <c r="AP36" s="17">
        <v>0.15471574410896807</v>
      </c>
      <c r="AQ36" s="38" t="s">
        <v>53</v>
      </c>
      <c r="AR36" s="16">
        <v>-6.5366405207321926E-2</v>
      </c>
      <c r="AS36" s="17">
        <v>0.2072911082469921</v>
      </c>
      <c r="AT36" s="38" t="s">
        <v>53</v>
      </c>
      <c r="AU36" s="36">
        <v>51.086942815986504</v>
      </c>
      <c r="AV36" s="37">
        <v>3.9955607156217527</v>
      </c>
      <c r="AW36" s="38" t="s">
        <v>53</v>
      </c>
      <c r="AX36" s="36">
        <v>82.611292480820879</v>
      </c>
      <c r="AY36" s="37">
        <v>6.7507754013081627</v>
      </c>
      <c r="AZ36" s="38" t="s">
        <v>53</v>
      </c>
      <c r="BA36" s="36">
        <v>31.524349664834372</v>
      </c>
      <c r="BB36" s="37">
        <v>8.3708916808910363</v>
      </c>
      <c r="BC36" s="39" t="s">
        <v>53</v>
      </c>
    </row>
    <row r="37" spans="1:55" x14ac:dyDescent="0.25">
      <c r="A37" s="15" t="s">
        <v>151</v>
      </c>
      <c r="B37" s="16">
        <v>-0.17263418247222154</v>
      </c>
      <c r="C37" s="17">
        <v>0.11113641162660684</v>
      </c>
      <c r="D37" s="38" t="s">
        <v>53</v>
      </c>
      <c r="E37" s="16" t="s">
        <v>56</v>
      </c>
      <c r="F37" s="17" t="s">
        <v>56</v>
      </c>
      <c r="G37" s="38" t="s">
        <v>53</v>
      </c>
      <c r="H37" s="16" t="s">
        <v>56</v>
      </c>
      <c r="I37" s="17" t="s">
        <v>56</v>
      </c>
      <c r="J37" s="38" t="s">
        <v>53</v>
      </c>
      <c r="K37" s="16">
        <v>-0.28084576050623711</v>
      </c>
      <c r="L37" s="17">
        <v>0.14782516030586385</v>
      </c>
      <c r="M37" s="38" t="s">
        <v>53</v>
      </c>
      <c r="N37" s="16" t="s">
        <v>56</v>
      </c>
      <c r="O37" s="17" t="s">
        <v>56</v>
      </c>
      <c r="P37" s="38" t="s">
        <v>53</v>
      </c>
      <c r="Q37" s="16" t="s">
        <v>56</v>
      </c>
      <c r="R37" s="17" t="s">
        <v>56</v>
      </c>
      <c r="S37" s="38" t="s">
        <v>53</v>
      </c>
      <c r="T37" s="16">
        <v>-0.41161977776296316</v>
      </c>
      <c r="U37" s="17">
        <v>0.15773384632871515</v>
      </c>
      <c r="V37" s="38" t="s">
        <v>53</v>
      </c>
      <c r="W37" s="16" t="s">
        <v>56</v>
      </c>
      <c r="X37" s="17" t="s">
        <v>56</v>
      </c>
      <c r="Y37" s="38" t="s">
        <v>53</v>
      </c>
      <c r="Z37" s="16" t="s">
        <v>56</v>
      </c>
      <c r="AA37" s="17" t="s">
        <v>56</v>
      </c>
      <c r="AB37" s="38" t="s">
        <v>53</v>
      </c>
      <c r="AC37" s="16">
        <v>0.19104088474622866</v>
      </c>
      <c r="AD37" s="17">
        <v>0.14234006084250655</v>
      </c>
      <c r="AE37" s="38" t="s">
        <v>53</v>
      </c>
      <c r="AF37" s="16" t="s">
        <v>56</v>
      </c>
      <c r="AG37" s="17" t="s">
        <v>56</v>
      </c>
      <c r="AH37" s="38" t="s">
        <v>53</v>
      </c>
      <c r="AI37" s="16" t="s">
        <v>56</v>
      </c>
      <c r="AJ37" s="17" t="s">
        <v>56</v>
      </c>
      <c r="AK37" s="38" t="s">
        <v>53</v>
      </c>
      <c r="AL37" s="16">
        <v>7.2893359467148561E-2</v>
      </c>
      <c r="AM37" s="17">
        <v>0.12505581264156743</v>
      </c>
      <c r="AN37" s="38" t="s">
        <v>53</v>
      </c>
      <c r="AO37" s="16" t="s">
        <v>56</v>
      </c>
      <c r="AP37" s="17" t="s">
        <v>56</v>
      </c>
      <c r="AQ37" s="38" t="s">
        <v>53</v>
      </c>
      <c r="AR37" s="16" t="s">
        <v>56</v>
      </c>
      <c r="AS37" s="17" t="s">
        <v>56</v>
      </c>
      <c r="AT37" s="38" t="s">
        <v>53</v>
      </c>
      <c r="AU37" s="36">
        <v>70.917787487814053</v>
      </c>
      <c r="AV37" s="37">
        <v>4.8471261260252376</v>
      </c>
      <c r="AW37" s="38" t="s">
        <v>53</v>
      </c>
      <c r="AX37" s="36" t="s">
        <v>55</v>
      </c>
      <c r="AY37" s="37" t="s">
        <v>55</v>
      </c>
      <c r="AZ37" s="38" t="s">
        <v>53</v>
      </c>
      <c r="BA37" s="36" t="s">
        <v>55</v>
      </c>
      <c r="BB37" s="37" t="s">
        <v>55</v>
      </c>
      <c r="BC37" s="39" t="s">
        <v>53</v>
      </c>
    </row>
    <row r="38" spans="1:55" x14ac:dyDescent="0.25">
      <c r="A38" s="15" t="s">
        <v>152</v>
      </c>
      <c r="B38" s="16">
        <v>-0.39076485987731469</v>
      </c>
      <c r="C38" s="17">
        <v>2.0890442187419488E-2</v>
      </c>
      <c r="D38" s="38" t="s">
        <v>53</v>
      </c>
      <c r="E38" s="16">
        <v>0.50366359375901892</v>
      </c>
      <c r="F38" s="17">
        <v>4.314549863518654E-2</v>
      </c>
      <c r="G38" s="38" t="s">
        <v>53</v>
      </c>
      <c r="H38" s="16">
        <v>0.89442845363633361</v>
      </c>
      <c r="I38" s="17">
        <v>4.6963604395416671E-2</v>
      </c>
      <c r="J38" s="38" t="s">
        <v>53</v>
      </c>
      <c r="K38" s="16">
        <v>-0.31843234797810305</v>
      </c>
      <c r="L38" s="17">
        <v>2.4031727419054672E-2</v>
      </c>
      <c r="M38" s="38" t="s">
        <v>53</v>
      </c>
      <c r="N38" s="16">
        <v>-2.4290356884697412E-2</v>
      </c>
      <c r="O38" s="17">
        <v>4.2195567263315713E-2</v>
      </c>
      <c r="P38" s="38" t="s">
        <v>53</v>
      </c>
      <c r="Q38" s="16">
        <v>0.29414199109340561</v>
      </c>
      <c r="R38" s="17">
        <v>4.9844015770968295E-2</v>
      </c>
      <c r="S38" s="38" t="s">
        <v>53</v>
      </c>
      <c r="T38" s="16">
        <v>-7.1055313005078641E-2</v>
      </c>
      <c r="U38" s="17">
        <v>2.5382445072698854E-2</v>
      </c>
      <c r="V38" s="38" t="s">
        <v>53</v>
      </c>
      <c r="W38" s="16">
        <v>7.4949089717332509E-2</v>
      </c>
      <c r="X38" s="17">
        <v>4.8899291014362488E-2</v>
      </c>
      <c r="Y38" s="38" t="s">
        <v>53</v>
      </c>
      <c r="Z38" s="16">
        <v>0.14600440272241114</v>
      </c>
      <c r="AA38" s="17">
        <v>5.7511703989222097E-2</v>
      </c>
      <c r="AB38" s="38" t="s">
        <v>53</v>
      </c>
      <c r="AC38" s="16">
        <v>9.0015362397964691E-2</v>
      </c>
      <c r="AD38" s="17">
        <v>2.2281607486634516E-2</v>
      </c>
      <c r="AE38" s="38" t="s">
        <v>53</v>
      </c>
      <c r="AF38" s="16">
        <v>-9.7642002553105872E-2</v>
      </c>
      <c r="AG38" s="17">
        <v>4.7681169581816903E-2</v>
      </c>
      <c r="AH38" s="38" t="s">
        <v>53</v>
      </c>
      <c r="AI38" s="16">
        <v>-0.18765736495107058</v>
      </c>
      <c r="AJ38" s="17">
        <v>5.2983039005509408E-2</v>
      </c>
      <c r="AK38" s="38" t="s">
        <v>53</v>
      </c>
      <c r="AL38" s="16">
        <v>5.1691019411982689E-2</v>
      </c>
      <c r="AM38" s="17">
        <v>2.4847044619796029E-2</v>
      </c>
      <c r="AN38" s="38" t="s">
        <v>53</v>
      </c>
      <c r="AO38" s="16">
        <v>-1.8094883305101794E-2</v>
      </c>
      <c r="AP38" s="17">
        <v>4.2456202300030624E-2</v>
      </c>
      <c r="AQ38" s="38" t="s">
        <v>53</v>
      </c>
      <c r="AR38" s="16">
        <v>-6.97859027170845E-2</v>
      </c>
      <c r="AS38" s="17">
        <v>4.9606885714842015E-2</v>
      </c>
      <c r="AT38" s="38" t="s">
        <v>53</v>
      </c>
      <c r="AU38" s="36">
        <v>52.114702650705269</v>
      </c>
      <c r="AV38" s="37">
        <v>1.0431795426170181</v>
      </c>
      <c r="AW38" s="38" t="s">
        <v>53</v>
      </c>
      <c r="AX38" s="36">
        <v>85.267999478397172</v>
      </c>
      <c r="AY38" s="37">
        <v>1.5835173052088054</v>
      </c>
      <c r="AZ38" s="38" t="s">
        <v>53</v>
      </c>
      <c r="BA38" s="36">
        <v>33.153296827691911</v>
      </c>
      <c r="BB38" s="37">
        <v>2.052357125207759</v>
      </c>
      <c r="BC38" s="39" t="s">
        <v>53</v>
      </c>
    </row>
    <row r="39" spans="1:55" x14ac:dyDescent="0.25">
      <c r="A39" s="15" t="s">
        <v>153</v>
      </c>
      <c r="B39" s="16">
        <v>0.24321918987941712</v>
      </c>
      <c r="C39" s="17">
        <v>8.3056333492890558E-2</v>
      </c>
      <c r="D39" s="38" t="s">
        <v>53</v>
      </c>
      <c r="E39" s="16" t="s">
        <v>56</v>
      </c>
      <c r="F39" s="17" t="s">
        <v>56</v>
      </c>
      <c r="G39" s="38" t="s">
        <v>53</v>
      </c>
      <c r="H39" s="16" t="s">
        <v>56</v>
      </c>
      <c r="I39" s="17" t="s">
        <v>56</v>
      </c>
      <c r="J39" s="38" t="s">
        <v>53</v>
      </c>
      <c r="K39" s="16">
        <v>-0.23645852298234882</v>
      </c>
      <c r="L39" s="17">
        <v>0.21111715803744679</v>
      </c>
      <c r="M39" s="38" t="s">
        <v>54</v>
      </c>
      <c r="N39" s="16" t="s">
        <v>56</v>
      </c>
      <c r="O39" s="17" t="s">
        <v>56</v>
      </c>
      <c r="P39" s="38" t="s">
        <v>53</v>
      </c>
      <c r="Q39" s="16" t="s">
        <v>56</v>
      </c>
      <c r="R39" s="17" t="s">
        <v>56</v>
      </c>
      <c r="S39" s="38" t="s">
        <v>53</v>
      </c>
      <c r="T39" s="16">
        <v>0.27215511791936686</v>
      </c>
      <c r="U39" s="17">
        <v>0.19786785718535074</v>
      </c>
      <c r="V39" s="38" t="s">
        <v>54</v>
      </c>
      <c r="W39" s="16" t="s">
        <v>56</v>
      </c>
      <c r="X39" s="17" t="s">
        <v>56</v>
      </c>
      <c r="Y39" s="38" t="s">
        <v>53</v>
      </c>
      <c r="Z39" s="16" t="s">
        <v>56</v>
      </c>
      <c r="AA39" s="17" t="s">
        <v>56</v>
      </c>
      <c r="AB39" s="38" t="s">
        <v>53</v>
      </c>
      <c r="AC39" s="16">
        <v>0.38807524187414461</v>
      </c>
      <c r="AD39" s="17">
        <v>0.15159781809468284</v>
      </c>
      <c r="AE39" s="38" t="s">
        <v>54</v>
      </c>
      <c r="AF39" s="16" t="s">
        <v>56</v>
      </c>
      <c r="AG39" s="17" t="s">
        <v>56</v>
      </c>
      <c r="AH39" s="38" t="s">
        <v>53</v>
      </c>
      <c r="AI39" s="16" t="s">
        <v>56</v>
      </c>
      <c r="AJ39" s="17" t="s">
        <v>56</v>
      </c>
      <c r="AK39" s="38" t="s">
        <v>53</v>
      </c>
      <c r="AL39" s="16">
        <v>0.11251300970435529</v>
      </c>
      <c r="AM39" s="17">
        <v>0.22429306721024492</v>
      </c>
      <c r="AN39" s="38" t="s">
        <v>54</v>
      </c>
      <c r="AO39" s="16" t="s">
        <v>56</v>
      </c>
      <c r="AP39" s="17" t="s">
        <v>56</v>
      </c>
      <c r="AQ39" s="38" t="s">
        <v>53</v>
      </c>
      <c r="AR39" s="16" t="s">
        <v>56</v>
      </c>
      <c r="AS39" s="17" t="s">
        <v>56</v>
      </c>
      <c r="AT39" s="38" t="s">
        <v>53</v>
      </c>
      <c r="AU39" s="36">
        <v>75.287525116497761</v>
      </c>
      <c r="AV39" s="37">
        <v>7.8777717267412273</v>
      </c>
      <c r="AW39" s="38" t="s">
        <v>53</v>
      </c>
      <c r="AX39" s="36" t="s">
        <v>55</v>
      </c>
      <c r="AY39" s="37" t="s">
        <v>55</v>
      </c>
      <c r="AZ39" s="38" t="s">
        <v>53</v>
      </c>
      <c r="BA39" s="36" t="s">
        <v>55</v>
      </c>
      <c r="BB39" s="37" t="s">
        <v>55</v>
      </c>
      <c r="BC39" s="39" t="s">
        <v>53</v>
      </c>
    </row>
    <row r="40" spans="1:55" x14ac:dyDescent="0.25">
      <c r="A40" s="15" t="s">
        <v>226</v>
      </c>
      <c r="B40" s="16">
        <v>-0.42261494295024155</v>
      </c>
      <c r="C40" s="17">
        <v>4.7893785313355072E-2</v>
      </c>
      <c r="D40" s="38" t="s">
        <v>53</v>
      </c>
      <c r="E40" s="16">
        <v>9.8052910341388383E-2</v>
      </c>
      <c r="F40" s="17">
        <v>0.13094426341422066</v>
      </c>
      <c r="G40" s="38" t="s">
        <v>53</v>
      </c>
      <c r="H40" s="16">
        <v>0.52066785329163012</v>
      </c>
      <c r="I40" s="17">
        <v>0.14459392811292532</v>
      </c>
      <c r="J40" s="38" t="s">
        <v>53</v>
      </c>
      <c r="K40" s="16">
        <v>-0.18972117250215112</v>
      </c>
      <c r="L40" s="17">
        <v>4.3324905949474427E-2</v>
      </c>
      <c r="M40" s="38" t="s">
        <v>54</v>
      </c>
      <c r="N40" s="16">
        <v>-0.22295503810064746</v>
      </c>
      <c r="O40" s="17">
        <v>0.13119707783810117</v>
      </c>
      <c r="P40" s="38" t="s">
        <v>53</v>
      </c>
      <c r="Q40" s="16">
        <v>-3.3233865598496413E-2</v>
      </c>
      <c r="R40" s="17">
        <v>0.14602679518139267</v>
      </c>
      <c r="S40" s="38" t="s">
        <v>54</v>
      </c>
      <c r="T40" s="16">
        <v>0.21833017472736846</v>
      </c>
      <c r="U40" s="17">
        <v>4.1490401290296727E-2</v>
      </c>
      <c r="V40" s="38" t="s">
        <v>54</v>
      </c>
      <c r="W40" s="16">
        <v>-1.5875900549861238E-2</v>
      </c>
      <c r="X40" s="17">
        <v>0.12025170144856834</v>
      </c>
      <c r="Y40" s="38" t="s">
        <v>53</v>
      </c>
      <c r="Z40" s="16">
        <v>-0.2342060752772297</v>
      </c>
      <c r="AA40" s="17">
        <v>0.13508902201696862</v>
      </c>
      <c r="AB40" s="38" t="s">
        <v>54</v>
      </c>
      <c r="AC40" s="16">
        <v>0.13652840293131649</v>
      </c>
      <c r="AD40" s="17">
        <v>4.5085041523880716E-2</v>
      </c>
      <c r="AE40" s="38" t="s">
        <v>54</v>
      </c>
      <c r="AF40" s="16">
        <v>-0.13171925777906268</v>
      </c>
      <c r="AG40" s="17">
        <v>0.15075452101810216</v>
      </c>
      <c r="AH40" s="38" t="s">
        <v>53</v>
      </c>
      <c r="AI40" s="16">
        <v>-0.2682476607103792</v>
      </c>
      <c r="AJ40" s="17">
        <v>0.15319494778820911</v>
      </c>
      <c r="AK40" s="38" t="s">
        <v>54</v>
      </c>
      <c r="AL40" s="16">
        <v>-2.6933887643758804E-3</v>
      </c>
      <c r="AM40" s="17">
        <v>4.5858882976171682E-2</v>
      </c>
      <c r="AN40" s="38" t="s">
        <v>54</v>
      </c>
      <c r="AO40" s="16">
        <v>-0.20403123270345286</v>
      </c>
      <c r="AP40" s="17">
        <v>0.14943592817341983</v>
      </c>
      <c r="AQ40" s="38" t="s">
        <v>53</v>
      </c>
      <c r="AR40" s="16">
        <v>-0.20133784393907694</v>
      </c>
      <c r="AS40" s="17">
        <v>0.15988450729190043</v>
      </c>
      <c r="AT40" s="38" t="s">
        <v>54</v>
      </c>
      <c r="AU40" s="36">
        <v>71.3992176661326</v>
      </c>
      <c r="AV40" s="37">
        <v>2.9828698461868828</v>
      </c>
      <c r="AW40" s="38" t="s">
        <v>54</v>
      </c>
      <c r="AX40" s="36">
        <v>94.691243678461902</v>
      </c>
      <c r="AY40" s="37">
        <v>3.6276309918036418</v>
      </c>
      <c r="AZ40" s="38" t="s">
        <v>53</v>
      </c>
      <c r="BA40" s="36">
        <v>23.292026012329327</v>
      </c>
      <c r="BB40" s="37">
        <v>4.4412283001091142</v>
      </c>
      <c r="BC40" s="39" t="s">
        <v>54</v>
      </c>
    </row>
    <row r="41" spans="1:55" x14ac:dyDescent="0.25">
      <c r="A41" s="15" t="s">
        <v>154</v>
      </c>
      <c r="B41" s="16">
        <v>-0.1181985147981286</v>
      </c>
      <c r="C41" s="17">
        <v>3.0196188142451157E-2</v>
      </c>
      <c r="D41" s="38" t="s">
        <v>53</v>
      </c>
      <c r="E41" s="16">
        <v>0.59359952739474975</v>
      </c>
      <c r="F41" s="17">
        <v>6.7701073574747209E-2</v>
      </c>
      <c r="G41" s="38" t="s">
        <v>53</v>
      </c>
      <c r="H41" s="16">
        <v>0.71179804219287834</v>
      </c>
      <c r="I41" s="17">
        <v>7.4287150768434826E-2</v>
      </c>
      <c r="J41" s="38" t="s">
        <v>53</v>
      </c>
      <c r="K41" s="16">
        <v>3.3045312401822208E-2</v>
      </c>
      <c r="L41" s="17">
        <v>3.2410372687917903E-2</v>
      </c>
      <c r="M41" s="38" t="s">
        <v>53</v>
      </c>
      <c r="N41" s="16">
        <v>0.23715962139473146</v>
      </c>
      <c r="O41" s="17">
        <v>4.4473730654282992E-2</v>
      </c>
      <c r="P41" s="38" t="s">
        <v>53</v>
      </c>
      <c r="Q41" s="16">
        <v>0.20411430899290922</v>
      </c>
      <c r="R41" s="17">
        <v>5.6446830365722817E-2</v>
      </c>
      <c r="S41" s="38" t="s">
        <v>53</v>
      </c>
      <c r="T41" s="16">
        <v>0.25323784164144975</v>
      </c>
      <c r="U41" s="17">
        <v>3.304535562066948E-2</v>
      </c>
      <c r="V41" s="38" t="s">
        <v>53</v>
      </c>
      <c r="W41" s="16">
        <v>0.34976194011738243</v>
      </c>
      <c r="X41" s="17">
        <v>4.5298547011089992E-2</v>
      </c>
      <c r="Y41" s="38" t="s">
        <v>53</v>
      </c>
      <c r="Z41" s="16">
        <v>9.652409847593256E-2</v>
      </c>
      <c r="AA41" s="17">
        <v>6.2327319633316572E-2</v>
      </c>
      <c r="AB41" s="38" t="s">
        <v>53</v>
      </c>
      <c r="AC41" s="16" t="s">
        <v>55</v>
      </c>
      <c r="AD41" s="17" t="s">
        <v>55</v>
      </c>
      <c r="AE41" s="38" t="s">
        <v>53</v>
      </c>
      <c r="AF41" s="16" t="s">
        <v>55</v>
      </c>
      <c r="AG41" s="17" t="s">
        <v>55</v>
      </c>
      <c r="AH41" s="38" t="s">
        <v>53</v>
      </c>
      <c r="AI41" s="16" t="s">
        <v>55</v>
      </c>
      <c r="AJ41" s="17" t="s">
        <v>55</v>
      </c>
      <c r="AK41" s="38" t="s">
        <v>53</v>
      </c>
      <c r="AL41" s="16" t="s">
        <v>55</v>
      </c>
      <c r="AM41" s="17" t="s">
        <v>55</v>
      </c>
      <c r="AN41" s="38" t="s">
        <v>53</v>
      </c>
      <c r="AO41" s="16" t="s">
        <v>55</v>
      </c>
      <c r="AP41" s="17" t="s">
        <v>55</v>
      </c>
      <c r="AQ41" s="38" t="s">
        <v>53</v>
      </c>
      <c r="AR41" s="16" t="s">
        <v>55</v>
      </c>
      <c r="AS41" s="17" t="s">
        <v>55</v>
      </c>
      <c r="AT41" s="38" t="s">
        <v>53</v>
      </c>
      <c r="AU41" s="36">
        <v>66.970402846393483</v>
      </c>
      <c r="AV41" s="37">
        <v>1.448242219586676</v>
      </c>
      <c r="AW41" s="38" t="s">
        <v>53</v>
      </c>
      <c r="AX41" s="36">
        <v>87.329996004422512</v>
      </c>
      <c r="AY41" s="37">
        <v>1.9608870508578882</v>
      </c>
      <c r="AZ41" s="38" t="s">
        <v>53</v>
      </c>
      <c r="BA41" s="36">
        <v>20.359593158029003</v>
      </c>
      <c r="BB41" s="37">
        <v>2.3401421078651117</v>
      </c>
      <c r="BC41" s="39" t="s">
        <v>53</v>
      </c>
    </row>
    <row r="42" spans="1:55" x14ac:dyDescent="0.25">
      <c r="A42" s="15" t="s">
        <v>155</v>
      </c>
      <c r="B42" s="16">
        <v>-0.31114045795589601</v>
      </c>
      <c r="C42" s="17">
        <v>4.724206096888256E-2</v>
      </c>
      <c r="D42" s="38" t="s">
        <v>53</v>
      </c>
      <c r="E42" s="16">
        <v>0.35591459335887599</v>
      </c>
      <c r="F42" s="17">
        <v>0.11663210091036792</v>
      </c>
      <c r="G42" s="38" t="s">
        <v>53</v>
      </c>
      <c r="H42" s="16">
        <v>0.66705505131477205</v>
      </c>
      <c r="I42" s="17">
        <v>0.12712919894600286</v>
      </c>
      <c r="J42" s="38" t="s">
        <v>53</v>
      </c>
      <c r="K42" s="16">
        <v>-7.0446604876347879E-3</v>
      </c>
      <c r="L42" s="17">
        <v>4.4024971721258389E-2</v>
      </c>
      <c r="M42" s="38" t="s">
        <v>53</v>
      </c>
      <c r="N42" s="16">
        <v>0.27074627383616889</v>
      </c>
      <c r="O42" s="17">
        <v>0.1020695831606442</v>
      </c>
      <c r="P42" s="38" t="s">
        <v>53</v>
      </c>
      <c r="Q42" s="16">
        <v>0.2777909343238037</v>
      </c>
      <c r="R42" s="17">
        <v>0.1129172604694222</v>
      </c>
      <c r="S42" s="38" t="s">
        <v>53</v>
      </c>
      <c r="T42" s="16">
        <v>0.4535973782065475</v>
      </c>
      <c r="U42" s="17">
        <v>4.8772462785453517E-2</v>
      </c>
      <c r="V42" s="38" t="s">
        <v>53</v>
      </c>
      <c r="W42" s="16">
        <v>0.8658462953496997</v>
      </c>
      <c r="X42" s="17">
        <v>0.10803583463431179</v>
      </c>
      <c r="Y42" s="38" t="s">
        <v>53</v>
      </c>
      <c r="Z42" s="16">
        <v>0.41224891714315215</v>
      </c>
      <c r="AA42" s="17">
        <v>0.13069145667029167</v>
      </c>
      <c r="AB42" s="38" t="s">
        <v>53</v>
      </c>
      <c r="AC42" s="16" t="s">
        <v>55</v>
      </c>
      <c r="AD42" s="17" t="s">
        <v>55</v>
      </c>
      <c r="AE42" s="38" t="s">
        <v>53</v>
      </c>
      <c r="AF42" s="16" t="s">
        <v>55</v>
      </c>
      <c r="AG42" s="17" t="s">
        <v>55</v>
      </c>
      <c r="AH42" s="38" t="s">
        <v>53</v>
      </c>
      <c r="AI42" s="16" t="s">
        <v>55</v>
      </c>
      <c r="AJ42" s="17" t="s">
        <v>55</v>
      </c>
      <c r="AK42" s="38" t="s">
        <v>53</v>
      </c>
      <c r="AL42" s="16" t="s">
        <v>55</v>
      </c>
      <c r="AM42" s="17" t="s">
        <v>55</v>
      </c>
      <c r="AN42" s="38" t="s">
        <v>53</v>
      </c>
      <c r="AO42" s="16" t="s">
        <v>55</v>
      </c>
      <c r="AP42" s="17" t="s">
        <v>55</v>
      </c>
      <c r="AQ42" s="38" t="s">
        <v>53</v>
      </c>
      <c r="AR42" s="16" t="s">
        <v>55</v>
      </c>
      <c r="AS42" s="17" t="s">
        <v>55</v>
      </c>
      <c r="AT42" s="38" t="s">
        <v>53</v>
      </c>
      <c r="AU42" s="36">
        <v>74.94309943597375</v>
      </c>
      <c r="AV42" s="37">
        <v>2.1334223641080912</v>
      </c>
      <c r="AW42" s="38" t="s">
        <v>53</v>
      </c>
      <c r="AX42" s="36">
        <v>93.395728708292353</v>
      </c>
      <c r="AY42" s="37">
        <v>3.200518585654164</v>
      </c>
      <c r="AZ42" s="38" t="s">
        <v>53</v>
      </c>
      <c r="BA42" s="36">
        <v>18.452629272318607</v>
      </c>
      <c r="BB42" s="37">
        <v>3.8333291140883281</v>
      </c>
      <c r="BC42" s="39" t="s">
        <v>53</v>
      </c>
    </row>
    <row r="43" spans="1:55" x14ac:dyDescent="0.25">
      <c r="A43" s="15" t="s">
        <v>156</v>
      </c>
      <c r="B43" s="16" t="s">
        <v>56</v>
      </c>
      <c r="C43" s="17" t="s">
        <v>56</v>
      </c>
      <c r="D43" s="38" t="s">
        <v>53</v>
      </c>
      <c r="E43" s="16" t="s">
        <v>56</v>
      </c>
      <c r="F43" s="17" t="s">
        <v>56</v>
      </c>
      <c r="G43" s="38" t="s">
        <v>53</v>
      </c>
      <c r="H43" s="16" t="s">
        <v>56</v>
      </c>
      <c r="I43" s="17" t="s">
        <v>56</v>
      </c>
      <c r="J43" s="38" t="s">
        <v>53</v>
      </c>
      <c r="K43" s="16" t="s">
        <v>56</v>
      </c>
      <c r="L43" s="17" t="s">
        <v>56</v>
      </c>
      <c r="M43" s="38" t="s">
        <v>53</v>
      </c>
      <c r="N43" s="16" t="s">
        <v>56</v>
      </c>
      <c r="O43" s="17" t="s">
        <v>56</v>
      </c>
      <c r="P43" s="38" t="s">
        <v>53</v>
      </c>
      <c r="Q43" s="16" t="s">
        <v>56</v>
      </c>
      <c r="R43" s="17" t="s">
        <v>56</v>
      </c>
      <c r="S43" s="38" t="s">
        <v>53</v>
      </c>
      <c r="T43" s="16" t="s">
        <v>56</v>
      </c>
      <c r="U43" s="17" t="s">
        <v>56</v>
      </c>
      <c r="V43" s="38" t="s">
        <v>53</v>
      </c>
      <c r="W43" s="16" t="s">
        <v>56</v>
      </c>
      <c r="X43" s="17" t="s">
        <v>56</v>
      </c>
      <c r="Y43" s="38" t="s">
        <v>53</v>
      </c>
      <c r="Z43" s="16" t="s">
        <v>56</v>
      </c>
      <c r="AA43" s="17" t="s">
        <v>56</v>
      </c>
      <c r="AB43" s="38" t="s">
        <v>53</v>
      </c>
      <c r="AC43" s="16" t="s">
        <v>56</v>
      </c>
      <c r="AD43" s="17" t="s">
        <v>56</v>
      </c>
      <c r="AE43" s="38" t="s">
        <v>53</v>
      </c>
      <c r="AF43" s="16" t="s">
        <v>56</v>
      </c>
      <c r="AG43" s="17" t="s">
        <v>56</v>
      </c>
      <c r="AH43" s="38" t="s">
        <v>53</v>
      </c>
      <c r="AI43" s="16" t="s">
        <v>56</v>
      </c>
      <c r="AJ43" s="17" t="s">
        <v>56</v>
      </c>
      <c r="AK43" s="38" t="s">
        <v>53</v>
      </c>
      <c r="AL43" s="16" t="s">
        <v>56</v>
      </c>
      <c r="AM43" s="17" t="s">
        <v>56</v>
      </c>
      <c r="AN43" s="38" t="s">
        <v>53</v>
      </c>
      <c r="AO43" s="16" t="s">
        <v>56</v>
      </c>
      <c r="AP43" s="17" t="s">
        <v>56</v>
      </c>
      <c r="AQ43" s="38" t="s">
        <v>53</v>
      </c>
      <c r="AR43" s="16" t="s">
        <v>56</v>
      </c>
      <c r="AS43" s="17" t="s">
        <v>56</v>
      </c>
      <c r="AT43" s="38" t="s">
        <v>53</v>
      </c>
      <c r="AU43" s="36" t="s">
        <v>55</v>
      </c>
      <c r="AV43" s="37" t="s">
        <v>55</v>
      </c>
      <c r="AW43" s="38" t="s">
        <v>53</v>
      </c>
      <c r="AX43" s="36" t="s">
        <v>55</v>
      </c>
      <c r="AY43" s="37" t="s">
        <v>55</v>
      </c>
      <c r="AZ43" s="38" t="s">
        <v>53</v>
      </c>
      <c r="BA43" s="36" t="s">
        <v>55</v>
      </c>
      <c r="BB43" s="37" t="s">
        <v>55</v>
      </c>
      <c r="BC43" s="39" t="s">
        <v>53</v>
      </c>
    </row>
    <row r="44" spans="1:55" x14ac:dyDescent="0.25">
      <c r="A44" s="15" t="s">
        <v>227</v>
      </c>
      <c r="B44" s="16">
        <v>2.4935673735328241E-2</v>
      </c>
      <c r="C44" s="17">
        <v>5.8259847164846466E-2</v>
      </c>
      <c r="D44" s="38" t="s">
        <v>53</v>
      </c>
      <c r="E44" s="16">
        <v>0.54039825499482619</v>
      </c>
      <c r="F44" s="17">
        <v>0.18569836354190966</v>
      </c>
      <c r="G44" s="38" t="s">
        <v>53</v>
      </c>
      <c r="H44" s="16">
        <v>0.51546258125949806</v>
      </c>
      <c r="I44" s="17">
        <v>0.2084644303177263</v>
      </c>
      <c r="J44" s="38" t="s">
        <v>53</v>
      </c>
      <c r="K44" s="16">
        <v>-4.0087521782800083E-2</v>
      </c>
      <c r="L44" s="17">
        <v>6.7970839544326075E-2</v>
      </c>
      <c r="M44" s="38" t="s">
        <v>53</v>
      </c>
      <c r="N44" s="16">
        <v>0.27885223037766427</v>
      </c>
      <c r="O44" s="17">
        <v>0.14431752473683646</v>
      </c>
      <c r="P44" s="38" t="s">
        <v>53</v>
      </c>
      <c r="Q44" s="16">
        <v>0.31893975216046427</v>
      </c>
      <c r="R44" s="17">
        <v>0.1509886210977506</v>
      </c>
      <c r="S44" s="38" t="s">
        <v>53</v>
      </c>
      <c r="T44" s="16">
        <v>-6.8421773963457833E-2</v>
      </c>
      <c r="U44" s="17">
        <v>6.3671460016842651E-2</v>
      </c>
      <c r="V44" s="38" t="s">
        <v>53</v>
      </c>
      <c r="W44" s="16">
        <v>0.30126410622770539</v>
      </c>
      <c r="X44" s="17">
        <v>0.12584048772785042</v>
      </c>
      <c r="Y44" s="38" t="s">
        <v>53</v>
      </c>
      <c r="Z44" s="16">
        <v>0.36968588019116327</v>
      </c>
      <c r="AA44" s="17">
        <v>0.15022340949892193</v>
      </c>
      <c r="AB44" s="38" t="s">
        <v>53</v>
      </c>
      <c r="AC44" s="16">
        <v>0.26467637980341024</v>
      </c>
      <c r="AD44" s="17">
        <v>6.3726894903931644E-2</v>
      </c>
      <c r="AE44" s="38" t="s">
        <v>53</v>
      </c>
      <c r="AF44" s="16">
        <v>6.9521166587820954E-2</v>
      </c>
      <c r="AG44" s="17">
        <v>0.13917150486720645</v>
      </c>
      <c r="AH44" s="38" t="s">
        <v>53</v>
      </c>
      <c r="AI44" s="16">
        <v>-0.19515521321558935</v>
      </c>
      <c r="AJ44" s="17">
        <v>0.16947868841413558</v>
      </c>
      <c r="AK44" s="38" t="s">
        <v>53</v>
      </c>
      <c r="AL44" s="16">
        <v>0.19977686970764244</v>
      </c>
      <c r="AM44" s="17">
        <v>7.3847683707616393E-2</v>
      </c>
      <c r="AN44" s="38" t="s">
        <v>53</v>
      </c>
      <c r="AO44" s="16">
        <v>2.6107933989095045E-2</v>
      </c>
      <c r="AP44" s="17">
        <v>0.15247607400601756</v>
      </c>
      <c r="AQ44" s="38" t="s">
        <v>53</v>
      </c>
      <c r="AR44" s="16">
        <v>-0.17366893571854736</v>
      </c>
      <c r="AS44" s="17">
        <v>0.17966889907030495</v>
      </c>
      <c r="AT44" s="38" t="s">
        <v>53</v>
      </c>
      <c r="AU44" s="36">
        <v>59.719076070733358</v>
      </c>
      <c r="AV44" s="37">
        <v>3.8494134024863889</v>
      </c>
      <c r="AW44" s="38" t="s">
        <v>53</v>
      </c>
      <c r="AX44" s="36">
        <v>99.020420186727392</v>
      </c>
      <c r="AY44" s="37">
        <v>2.2687519515309016</v>
      </c>
      <c r="AZ44" s="38" t="s">
        <v>53</v>
      </c>
      <c r="BA44" s="36">
        <v>39.301344115994056</v>
      </c>
      <c r="BB44" s="37">
        <v>4.5070917215373107</v>
      </c>
      <c r="BC44" s="39" t="s">
        <v>53</v>
      </c>
    </row>
    <row r="45" spans="1:55" x14ac:dyDescent="0.25">
      <c r="A45" s="15" t="s">
        <v>157</v>
      </c>
      <c r="B45" s="16">
        <v>-0.21108562474691772</v>
      </c>
      <c r="C45" s="17">
        <v>0.15890350475934295</v>
      </c>
      <c r="D45" s="38" t="s">
        <v>53</v>
      </c>
      <c r="E45" s="16" t="s">
        <v>56</v>
      </c>
      <c r="F45" s="17" t="s">
        <v>56</v>
      </c>
      <c r="G45" s="38" t="s">
        <v>53</v>
      </c>
      <c r="H45" s="16" t="s">
        <v>56</v>
      </c>
      <c r="I45" s="17" t="s">
        <v>56</v>
      </c>
      <c r="J45" s="38" t="s">
        <v>53</v>
      </c>
      <c r="K45" s="16">
        <v>-0.48863632765340026</v>
      </c>
      <c r="L45" s="17">
        <v>0.18018806683406774</v>
      </c>
      <c r="M45" s="38" t="s">
        <v>53</v>
      </c>
      <c r="N45" s="16" t="s">
        <v>56</v>
      </c>
      <c r="O45" s="17" t="s">
        <v>56</v>
      </c>
      <c r="P45" s="38" t="s">
        <v>53</v>
      </c>
      <c r="Q45" s="16" t="s">
        <v>56</v>
      </c>
      <c r="R45" s="17" t="s">
        <v>56</v>
      </c>
      <c r="S45" s="38" t="s">
        <v>53</v>
      </c>
      <c r="T45" s="16">
        <v>-0.61738688566582323</v>
      </c>
      <c r="U45" s="17">
        <v>0.16592967341989304</v>
      </c>
      <c r="V45" s="38" t="s">
        <v>53</v>
      </c>
      <c r="W45" s="16" t="s">
        <v>56</v>
      </c>
      <c r="X45" s="17" t="s">
        <v>56</v>
      </c>
      <c r="Y45" s="38" t="s">
        <v>53</v>
      </c>
      <c r="Z45" s="16" t="s">
        <v>56</v>
      </c>
      <c r="AA45" s="17" t="s">
        <v>56</v>
      </c>
      <c r="AB45" s="38" t="s">
        <v>53</v>
      </c>
      <c r="AC45" s="16">
        <v>0.19198878746955353</v>
      </c>
      <c r="AD45" s="17">
        <v>0.17284332437297076</v>
      </c>
      <c r="AE45" s="38" t="s">
        <v>53</v>
      </c>
      <c r="AF45" s="16" t="s">
        <v>56</v>
      </c>
      <c r="AG45" s="17" t="s">
        <v>56</v>
      </c>
      <c r="AH45" s="38" t="s">
        <v>53</v>
      </c>
      <c r="AI45" s="16" t="s">
        <v>56</v>
      </c>
      <c r="AJ45" s="17" t="s">
        <v>56</v>
      </c>
      <c r="AK45" s="38" t="s">
        <v>53</v>
      </c>
      <c r="AL45" s="16">
        <v>2.0736081426259906E-2</v>
      </c>
      <c r="AM45" s="17">
        <v>0.1880603043506143</v>
      </c>
      <c r="AN45" s="38" t="s">
        <v>53</v>
      </c>
      <c r="AO45" s="16" t="s">
        <v>56</v>
      </c>
      <c r="AP45" s="17" t="s">
        <v>56</v>
      </c>
      <c r="AQ45" s="38" t="s">
        <v>53</v>
      </c>
      <c r="AR45" s="16" t="s">
        <v>56</v>
      </c>
      <c r="AS45" s="17" t="s">
        <v>56</v>
      </c>
      <c r="AT45" s="38" t="s">
        <v>53</v>
      </c>
      <c r="AU45" s="36">
        <v>48.958693406768127</v>
      </c>
      <c r="AV45" s="37">
        <v>6.9085902484284878</v>
      </c>
      <c r="AW45" s="38" t="s">
        <v>53</v>
      </c>
      <c r="AX45" s="36" t="s">
        <v>55</v>
      </c>
      <c r="AY45" s="37" t="s">
        <v>55</v>
      </c>
      <c r="AZ45" s="38" t="s">
        <v>53</v>
      </c>
      <c r="BA45" s="36" t="s">
        <v>55</v>
      </c>
      <c r="BB45" s="37" t="s">
        <v>55</v>
      </c>
      <c r="BC45" s="39" t="s">
        <v>53</v>
      </c>
    </row>
    <row r="46" spans="1:55" x14ac:dyDescent="0.25">
      <c r="A46" s="15" t="s">
        <v>158</v>
      </c>
      <c r="B46" s="16">
        <v>-0.3435714301843521</v>
      </c>
      <c r="C46" s="17">
        <v>5.1452589792667952E-2</v>
      </c>
      <c r="D46" s="38" t="s">
        <v>53</v>
      </c>
      <c r="E46" s="16">
        <v>0.65089538677116332</v>
      </c>
      <c r="F46" s="17">
        <v>0.27688293014684023</v>
      </c>
      <c r="G46" s="38" t="s">
        <v>53</v>
      </c>
      <c r="H46" s="16">
        <v>0.99446681695551542</v>
      </c>
      <c r="I46" s="17">
        <v>0.28325368540528811</v>
      </c>
      <c r="J46" s="38" t="s">
        <v>53</v>
      </c>
      <c r="K46" s="16">
        <v>0.34590274644809693</v>
      </c>
      <c r="L46" s="17">
        <v>5.6738656562012629E-2</v>
      </c>
      <c r="M46" s="38" t="s">
        <v>53</v>
      </c>
      <c r="N46" s="16">
        <v>0.8050594455337422</v>
      </c>
      <c r="O46" s="17">
        <v>0.18605614289901709</v>
      </c>
      <c r="P46" s="38" t="s">
        <v>53</v>
      </c>
      <c r="Q46" s="16">
        <v>0.45915669908564527</v>
      </c>
      <c r="R46" s="17">
        <v>0.20204807085322246</v>
      </c>
      <c r="S46" s="38" t="s">
        <v>53</v>
      </c>
      <c r="T46" s="16">
        <v>-0.20992335473714691</v>
      </c>
      <c r="U46" s="17">
        <v>5.7258894142231426E-2</v>
      </c>
      <c r="V46" s="38" t="s">
        <v>53</v>
      </c>
      <c r="W46" s="16">
        <v>-9.5871809080702308E-2</v>
      </c>
      <c r="X46" s="17">
        <v>0.22025065434416152</v>
      </c>
      <c r="Y46" s="38" t="s">
        <v>53</v>
      </c>
      <c r="Z46" s="16">
        <v>0.1140515456564446</v>
      </c>
      <c r="AA46" s="17">
        <v>0.23974008805283831</v>
      </c>
      <c r="AB46" s="38" t="s">
        <v>53</v>
      </c>
      <c r="AC46" s="16">
        <v>0.12262263391362416</v>
      </c>
      <c r="AD46" s="17">
        <v>5.4155778995448191E-2</v>
      </c>
      <c r="AE46" s="38" t="s">
        <v>53</v>
      </c>
      <c r="AF46" s="16">
        <v>-3.807920344543831E-2</v>
      </c>
      <c r="AG46" s="17">
        <v>0.19708036613282762</v>
      </c>
      <c r="AH46" s="38" t="s">
        <v>53</v>
      </c>
      <c r="AI46" s="16">
        <v>-0.16070183735906249</v>
      </c>
      <c r="AJ46" s="17">
        <v>0.21474088542762429</v>
      </c>
      <c r="AK46" s="38" t="s">
        <v>53</v>
      </c>
      <c r="AL46" s="16">
        <v>-0.44601032755805836</v>
      </c>
      <c r="AM46" s="17">
        <v>5.2516836561345863E-2</v>
      </c>
      <c r="AN46" s="38" t="s">
        <v>53</v>
      </c>
      <c r="AO46" s="16">
        <v>-0.48459376124737336</v>
      </c>
      <c r="AP46" s="17">
        <v>0.2118998790821571</v>
      </c>
      <c r="AQ46" s="38" t="s">
        <v>53</v>
      </c>
      <c r="AR46" s="16">
        <v>-3.8583433689314994E-2</v>
      </c>
      <c r="AS46" s="17">
        <v>0.22865168949299164</v>
      </c>
      <c r="AT46" s="38" t="s">
        <v>53</v>
      </c>
      <c r="AU46" s="36">
        <v>51.245927120236956</v>
      </c>
      <c r="AV46" s="37">
        <v>3.1440712754574598</v>
      </c>
      <c r="AW46" s="38" t="s">
        <v>53</v>
      </c>
      <c r="AX46" s="36">
        <v>86.738539224002523</v>
      </c>
      <c r="AY46" s="37">
        <v>7.5929907887927373</v>
      </c>
      <c r="AZ46" s="38" t="s">
        <v>53</v>
      </c>
      <c r="BA46" s="36">
        <v>35.492612103765588</v>
      </c>
      <c r="BB46" s="37">
        <v>8.460685566084468</v>
      </c>
      <c r="BC46" s="39" t="s">
        <v>53</v>
      </c>
    </row>
    <row r="47" spans="1:55" x14ac:dyDescent="0.25">
      <c r="A47" s="15" t="s">
        <v>159</v>
      </c>
      <c r="B47" s="16" t="s">
        <v>55</v>
      </c>
      <c r="C47" s="17" t="s">
        <v>55</v>
      </c>
      <c r="D47" s="38" t="s">
        <v>53</v>
      </c>
      <c r="E47" s="16" t="s">
        <v>55</v>
      </c>
      <c r="F47" s="17" t="s">
        <v>55</v>
      </c>
      <c r="G47" s="38" t="s">
        <v>53</v>
      </c>
      <c r="H47" s="16" t="s">
        <v>55</v>
      </c>
      <c r="I47" s="17" t="s">
        <v>55</v>
      </c>
      <c r="J47" s="38" t="s">
        <v>53</v>
      </c>
      <c r="K47" s="16" t="s">
        <v>55</v>
      </c>
      <c r="L47" s="17" t="s">
        <v>55</v>
      </c>
      <c r="M47" s="38" t="s">
        <v>53</v>
      </c>
      <c r="N47" s="16" t="s">
        <v>55</v>
      </c>
      <c r="O47" s="17" t="s">
        <v>55</v>
      </c>
      <c r="P47" s="38" t="s">
        <v>53</v>
      </c>
      <c r="Q47" s="16" t="s">
        <v>55</v>
      </c>
      <c r="R47" s="17" t="s">
        <v>55</v>
      </c>
      <c r="S47" s="38" t="s">
        <v>53</v>
      </c>
      <c r="T47" s="16" t="s">
        <v>55</v>
      </c>
      <c r="U47" s="17" t="s">
        <v>55</v>
      </c>
      <c r="V47" s="38" t="s">
        <v>53</v>
      </c>
      <c r="W47" s="16" t="s">
        <v>55</v>
      </c>
      <c r="X47" s="17" t="s">
        <v>55</v>
      </c>
      <c r="Y47" s="38" t="s">
        <v>53</v>
      </c>
      <c r="Z47" s="16" t="s">
        <v>55</v>
      </c>
      <c r="AA47" s="17" t="s">
        <v>55</v>
      </c>
      <c r="AB47" s="38" t="s">
        <v>53</v>
      </c>
      <c r="AC47" s="16" t="s">
        <v>55</v>
      </c>
      <c r="AD47" s="17" t="s">
        <v>55</v>
      </c>
      <c r="AE47" s="38" t="s">
        <v>53</v>
      </c>
      <c r="AF47" s="16" t="s">
        <v>55</v>
      </c>
      <c r="AG47" s="17" t="s">
        <v>55</v>
      </c>
      <c r="AH47" s="38" t="s">
        <v>53</v>
      </c>
      <c r="AI47" s="16" t="s">
        <v>55</v>
      </c>
      <c r="AJ47" s="17" t="s">
        <v>55</v>
      </c>
      <c r="AK47" s="38" t="s">
        <v>53</v>
      </c>
      <c r="AL47" s="16" t="s">
        <v>55</v>
      </c>
      <c r="AM47" s="17" t="s">
        <v>55</v>
      </c>
      <c r="AN47" s="38" t="s">
        <v>53</v>
      </c>
      <c r="AO47" s="16" t="s">
        <v>55</v>
      </c>
      <c r="AP47" s="17" t="s">
        <v>55</v>
      </c>
      <c r="AQ47" s="38" t="s">
        <v>53</v>
      </c>
      <c r="AR47" s="16" t="s">
        <v>55</v>
      </c>
      <c r="AS47" s="17" t="s">
        <v>55</v>
      </c>
      <c r="AT47" s="38" t="s">
        <v>53</v>
      </c>
      <c r="AU47" s="36" t="s">
        <v>55</v>
      </c>
      <c r="AV47" s="37" t="s">
        <v>55</v>
      </c>
      <c r="AW47" s="38" t="s">
        <v>53</v>
      </c>
      <c r="AX47" s="36" t="s">
        <v>55</v>
      </c>
      <c r="AY47" s="37" t="s">
        <v>55</v>
      </c>
      <c r="AZ47" s="38" t="s">
        <v>53</v>
      </c>
      <c r="BA47" s="36" t="s">
        <v>55</v>
      </c>
      <c r="BB47" s="37" t="s">
        <v>55</v>
      </c>
      <c r="BC47" s="39" t="s">
        <v>53</v>
      </c>
    </row>
    <row r="48" spans="1:55" x14ac:dyDescent="0.25">
      <c r="A48" s="15" t="s">
        <v>160</v>
      </c>
      <c r="B48" s="16">
        <v>-0.14336914697810574</v>
      </c>
      <c r="C48" s="17">
        <v>3.497929487554003E-2</v>
      </c>
      <c r="D48" s="38" t="s">
        <v>53</v>
      </c>
      <c r="E48" s="16">
        <v>0.4216504519481804</v>
      </c>
      <c r="F48" s="17">
        <v>0.13060917873011907</v>
      </c>
      <c r="G48" s="38" t="s">
        <v>53</v>
      </c>
      <c r="H48" s="16">
        <v>0.56501959892628617</v>
      </c>
      <c r="I48" s="17">
        <v>0.13678138556496072</v>
      </c>
      <c r="J48" s="38" t="s">
        <v>53</v>
      </c>
      <c r="K48" s="16">
        <v>-8.4237556863944241E-2</v>
      </c>
      <c r="L48" s="17">
        <v>4.6625315849310789E-2</v>
      </c>
      <c r="M48" s="38" t="s">
        <v>53</v>
      </c>
      <c r="N48" s="16">
        <v>4.7348037867173016E-2</v>
      </c>
      <c r="O48" s="17">
        <v>0.10832528384005934</v>
      </c>
      <c r="P48" s="38" t="s">
        <v>53</v>
      </c>
      <c r="Q48" s="16">
        <v>0.13158559473111728</v>
      </c>
      <c r="R48" s="17">
        <v>0.119336508981326</v>
      </c>
      <c r="S48" s="38" t="s">
        <v>53</v>
      </c>
      <c r="T48" s="16">
        <v>0.39084245969994685</v>
      </c>
      <c r="U48" s="17">
        <v>4.276805340821354E-2</v>
      </c>
      <c r="V48" s="38" t="s">
        <v>53</v>
      </c>
      <c r="W48" s="16">
        <v>0.49399028493404357</v>
      </c>
      <c r="X48" s="17">
        <v>0.11125678561243314</v>
      </c>
      <c r="Y48" s="38" t="s">
        <v>53</v>
      </c>
      <c r="Z48" s="16">
        <v>0.10314782523409677</v>
      </c>
      <c r="AA48" s="17">
        <v>0.11715242222082881</v>
      </c>
      <c r="AB48" s="38" t="s">
        <v>53</v>
      </c>
      <c r="AC48" s="16">
        <v>0.18790986849975316</v>
      </c>
      <c r="AD48" s="17">
        <v>4.1320671755488557E-2</v>
      </c>
      <c r="AE48" s="38" t="s">
        <v>53</v>
      </c>
      <c r="AF48" s="16">
        <v>-0.12146207704906112</v>
      </c>
      <c r="AG48" s="17">
        <v>0.1065278430931927</v>
      </c>
      <c r="AH48" s="38" t="s">
        <v>53</v>
      </c>
      <c r="AI48" s="16">
        <v>-0.30937194554881425</v>
      </c>
      <c r="AJ48" s="17">
        <v>0.11669651904831396</v>
      </c>
      <c r="AK48" s="38" t="s">
        <v>53</v>
      </c>
      <c r="AL48" s="16">
        <v>-4.5451142410752245E-2</v>
      </c>
      <c r="AM48" s="17">
        <v>4.0445342901291995E-2</v>
      </c>
      <c r="AN48" s="38" t="s">
        <v>53</v>
      </c>
      <c r="AO48" s="16">
        <v>-3.1810085376146151E-2</v>
      </c>
      <c r="AP48" s="17">
        <v>0.12546261480210794</v>
      </c>
      <c r="AQ48" s="38" t="s">
        <v>53</v>
      </c>
      <c r="AR48" s="16">
        <v>1.364105703460608E-2</v>
      </c>
      <c r="AS48" s="17">
        <v>0.13575713477473275</v>
      </c>
      <c r="AT48" s="38" t="s">
        <v>53</v>
      </c>
      <c r="AU48" s="36">
        <v>70.498993231642885</v>
      </c>
      <c r="AV48" s="37">
        <v>1.6019705518995553</v>
      </c>
      <c r="AW48" s="38" t="s">
        <v>53</v>
      </c>
      <c r="AX48" s="36">
        <v>93.083963474082452</v>
      </c>
      <c r="AY48" s="37">
        <v>3.5427155810343876</v>
      </c>
      <c r="AZ48" s="38" t="s">
        <v>53</v>
      </c>
      <c r="BA48" s="36">
        <v>22.584970242439539</v>
      </c>
      <c r="BB48" s="37">
        <v>3.6556382082682699</v>
      </c>
      <c r="BC48" s="39" t="s">
        <v>53</v>
      </c>
    </row>
    <row r="49" spans="1:55" x14ac:dyDescent="0.25">
      <c r="A49" s="15" t="s">
        <v>161</v>
      </c>
      <c r="B49" s="16">
        <v>-0.49749799620171875</v>
      </c>
      <c r="C49" s="17">
        <v>3.0837551028086874E-2</v>
      </c>
      <c r="D49" s="38" t="s">
        <v>53</v>
      </c>
      <c r="E49" s="16">
        <v>0.48951328563544427</v>
      </c>
      <c r="F49" s="17">
        <v>7.7979750330910619E-2</v>
      </c>
      <c r="G49" s="38" t="s">
        <v>53</v>
      </c>
      <c r="H49" s="16">
        <v>0.98701128183716291</v>
      </c>
      <c r="I49" s="17">
        <v>8.5918637610487722E-2</v>
      </c>
      <c r="J49" s="38" t="s">
        <v>53</v>
      </c>
      <c r="K49" s="16">
        <v>-0.13013583818656327</v>
      </c>
      <c r="L49" s="17">
        <v>2.9549229602782077E-2</v>
      </c>
      <c r="M49" s="38" t="s">
        <v>53</v>
      </c>
      <c r="N49" s="16">
        <v>-2.8440001858679162E-2</v>
      </c>
      <c r="O49" s="17">
        <v>6.5548801178025487E-2</v>
      </c>
      <c r="P49" s="38" t="s">
        <v>53</v>
      </c>
      <c r="Q49" s="16">
        <v>0.10169583632788413</v>
      </c>
      <c r="R49" s="17">
        <v>7.3923808688155138E-2</v>
      </c>
      <c r="S49" s="38" t="s">
        <v>53</v>
      </c>
      <c r="T49" s="16">
        <v>-8.4052095189101001E-4</v>
      </c>
      <c r="U49" s="17">
        <v>2.3970124528356288E-2</v>
      </c>
      <c r="V49" s="38" t="s">
        <v>53</v>
      </c>
      <c r="W49" s="16">
        <v>8.8599253972731634E-2</v>
      </c>
      <c r="X49" s="17">
        <v>6.6426444172825158E-2</v>
      </c>
      <c r="Y49" s="38" t="s">
        <v>53</v>
      </c>
      <c r="Z49" s="16">
        <v>8.9439774924622628E-2</v>
      </c>
      <c r="AA49" s="17">
        <v>7.1230536875119058E-2</v>
      </c>
      <c r="AB49" s="38" t="s">
        <v>53</v>
      </c>
      <c r="AC49" s="16">
        <v>0.27799712190176956</v>
      </c>
      <c r="AD49" s="17">
        <v>2.838650853314947E-2</v>
      </c>
      <c r="AE49" s="38" t="s">
        <v>53</v>
      </c>
      <c r="AF49" s="16">
        <v>-5.6883033719940614E-2</v>
      </c>
      <c r="AG49" s="17">
        <v>6.4856285519986567E-2</v>
      </c>
      <c r="AH49" s="38" t="s">
        <v>53</v>
      </c>
      <c r="AI49" s="16">
        <v>-0.33488015562171025</v>
      </c>
      <c r="AJ49" s="17">
        <v>7.4553749466139768E-2</v>
      </c>
      <c r="AK49" s="38" t="s">
        <v>53</v>
      </c>
      <c r="AL49" s="16">
        <v>0.20812041380780727</v>
      </c>
      <c r="AM49" s="17">
        <v>2.4670401409113529E-2</v>
      </c>
      <c r="AN49" s="38" t="s">
        <v>53</v>
      </c>
      <c r="AO49" s="16">
        <v>0.12252594002838656</v>
      </c>
      <c r="AP49" s="17">
        <v>7.5194439275185751E-2</v>
      </c>
      <c r="AQ49" s="38" t="s">
        <v>53</v>
      </c>
      <c r="AR49" s="16">
        <v>-8.5594473779420699E-2</v>
      </c>
      <c r="AS49" s="17">
        <v>8.0901758470810783E-2</v>
      </c>
      <c r="AT49" s="38" t="s">
        <v>53</v>
      </c>
      <c r="AU49" s="36">
        <v>45.060222596907266</v>
      </c>
      <c r="AV49" s="37">
        <v>1.6086489961694559</v>
      </c>
      <c r="AW49" s="38" t="s">
        <v>53</v>
      </c>
      <c r="AX49" s="36">
        <v>76.738581065029166</v>
      </c>
      <c r="AY49" s="37">
        <v>3.3099481011156349</v>
      </c>
      <c r="AZ49" s="38" t="s">
        <v>53</v>
      </c>
      <c r="BA49" s="36">
        <v>31.678358468121903</v>
      </c>
      <c r="BB49" s="37">
        <v>3.6572463342012953</v>
      </c>
      <c r="BC49" s="39" t="s">
        <v>53</v>
      </c>
    </row>
    <row r="50" spans="1:55" x14ac:dyDescent="0.25">
      <c r="A50" s="15" t="s">
        <v>162</v>
      </c>
      <c r="B50" s="16">
        <v>0.39801214855103462</v>
      </c>
      <c r="C50" s="17">
        <v>0.14782246874534594</v>
      </c>
      <c r="D50" s="38" t="s">
        <v>53</v>
      </c>
      <c r="E50" s="16" t="s">
        <v>56</v>
      </c>
      <c r="F50" s="17" t="s">
        <v>56</v>
      </c>
      <c r="G50" s="38" t="s">
        <v>53</v>
      </c>
      <c r="H50" s="16" t="s">
        <v>56</v>
      </c>
      <c r="I50" s="17" t="s">
        <v>56</v>
      </c>
      <c r="J50" s="38" t="s">
        <v>53</v>
      </c>
      <c r="K50" s="16">
        <v>-0.22845079836882537</v>
      </c>
      <c r="L50" s="17">
        <v>0.21818763588932966</v>
      </c>
      <c r="M50" s="38" t="s">
        <v>53</v>
      </c>
      <c r="N50" s="16" t="s">
        <v>56</v>
      </c>
      <c r="O50" s="17" t="s">
        <v>56</v>
      </c>
      <c r="P50" s="38" t="s">
        <v>53</v>
      </c>
      <c r="Q50" s="16" t="s">
        <v>56</v>
      </c>
      <c r="R50" s="17" t="s">
        <v>56</v>
      </c>
      <c r="S50" s="38" t="s">
        <v>53</v>
      </c>
      <c r="T50" s="16">
        <v>7.8081783573665797E-2</v>
      </c>
      <c r="U50" s="17">
        <v>0.18293886119490077</v>
      </c>
      <c r="V50" s="38" t="s">
        <v>53</v>
      </c>
      <c r="W50" s="16" t="s">
        <v>56</v>
      </c>
      <c r="X50" s="17" t="s">
        <v>56</v>
      </c>
      <c r="Y50" s="38" t="s">
        <v>53</v>
      </c>
      <c r="Z50" s="16" t="s">
        <v>56</v>
      </c>
      <c r="AA50" s="17" t="s">
        <v>56</v>
      </c>
      <c r="AB50" s="38" t="s">
        <v>53</v>
      </c>
      <c r="AC50" s="16">
        <v>-7.9442955045664843E-2</v>
      </c>
      <c r="AD50" s="17">
        <v>0.17864956294203668</v>
      </c>
      <c r="AE50" s="38" t="s">
        <v>53</v>
      </c>
      <c r="AF50" s="16" t="s">
        <v>56</v>
      </c>
      <c r="AG50" s="17" t="s">
        <v>56</v>
      </c>
      <c r="AH50" s="38" t="s">
        <v>53</v>
      </c>
      <c r="AI50" s="16" t="s">
        <v>56</v>
      </c>
      <c r="AJ50" s="17" t="s">
        <v>56</v>
      </c>
      <c r="AK50" s="38" t="s">
        <v>53</v>
      </c>
      <c r="AL50" s="16">
        <v>-0.43062876416606227</v>
      </c>
      <c r="AM50" s="17">
        <v>0.17031163753922829</v>
      </c>
      <c r="AN50" s="38" t="s">
        <v>53</v>
      </c>
      <c r="AO50" s="16" t="s">
        <v>56</v>
      </c>
      <c r="AP50" s="17" t="s">
        <v>56</v>
      </c>
      <c r="AQ50" s="38" t="s">
        <v>53</v>
      </c>
      <c r="AR50" s="16" t="s">
        <v>56</v>
      </c>
      <c r="AS50" s="17" t="s">
        <v>56</v>
      </c>
      <c r="AT50" s="38" t="s">
        <v>53</v>
      </c>
      <c r="AU50" s="36">
        <v>84.470269359799602</v>
      </c>
      <c r="AV50" s="37">
        <v>4.6294542599702462</v>
      </c>
      <c r="AW50" s="38" t="s">
        <v>53</v>
      </c>
      <c r="AX50" s="36" t="s">
        <v>55</v>
      </c>
      <c r="AY50" s="37" t="s">
        <v>55</v>
      </c>
      <c r="AZ50" s="38" t="s">
        <v>53</v>
      </c>
      <c r="BA50" s="36" t="s">
        <v>55</v>
      </c>
      <c r="BB50" s="37" t="s">
        <v>55</v>
      </c>
      <c r="BC50" s="39" t="s">
        <v>53</v>
      </c>
    </row>
    <row r="51" spans="1:55" x14ac:dyDescent="0.25">
      <c r="A51" s="15" t="s">
        <v>163</v>
      </c>
      <c r="B51" s="16">
        <v>-5.316163371573121E-2</v>
      </c>
      <c r="C51" s="17">
        <v>3.3973583480471158E-2</v>
      </c>
      <c r="D51" s="38" t="s">
        <v>53</v>
      </c>
      <c r="E51" s="16">
        <v>0.51221540658429821</v>
      </c>
      <c r="F51" s="17">
        <v>6.788259753341068E-2</v>
      </c>
      <c r="G51" s="38" t="s">
        <v>53</v>
      </c>
      <c r="H51" s="16">
        <v>0.56537704030002944</v>
      </c>
      <c r="I51" s="17">
        <v>7.4844502097760196E-2</v>
      </c>
      <c r="J51" s="38" t="s">
        <v>53</v>
      </c>
      <c r="K51" s="16">
        <v>-3.690137703275638E-2</v>
      </c>
      <c r="L51" s="17">
        <v>3.6691524380718626E-2</v>
      </c>
      <c r="M51" s="38" t="s">
        <v>53</v>
      </c>
      <c r="N51" s="16">
        <v>0.12242138362462814</v>
      </c>
      <c r="O51" s="17">
        <v>7.0423246987353777E-2</v>
      </c>
      <c r="P51" s="38" t="s">
        <v>53</v>
      </c>
      <c r="Q51" s="16">
        <v>0.15932276065738454</v>
      </c>
      <c r="R51" s="17">
        <v>8.0976808760386446E-2</v>
      </c>
      <c r="S51" s="38" t="s">
        <v>53</v>
      </c>
      <c r="T51" s="16">
        <v>0.1846895208896186</v>
      </c>
      <c r="U51" s="17">
        <v>3.503079836996012E-2</v>
      </c>
      <c r="V51" s="38" t="s">
        <v>53</v>
      </c>
      <c r="W51" s="16">
        <v>0.36498143411914707</v>
      </c>
      <c r="X51" s="17">
        <v>7.2925126271717933E-2</v>
      </c>
      <c r="Y51" s="38" t="s">
        <v>53</v>
      </c>
      <c r="Z51" s="16">
        <v>0.18029191322952842</v>
      </c>
      <c r="AA51" s="17">
        <v>7.7300446229485412E-2</v>
      </c>
      <c r="AB51" s="38" t="s">
        <v>53</v>
      </c>
      <c r="AC51" s="16">
        <v>1.8694120901890109E-2</v>
      </c>
      <c r="AD51" s="17">
        <v>3.5569927844368909E-2</v>
      </c>
      <c r="AE51" s="38" t="s">
        <v>53</v>
      </c>
      <c r="AF51" s="16">
        <v>-0.26520195605713864</v>
      </c>
      <c r="AG51" s="17">
        <v>7.4710895327536303E-2</v>
      </c>
      <c r="AH51" s="38" t="s">
        <v>53</v>
      </c>
      <c r="AI51" s="16">
        <v>-0.28389607695902874</v>
      </c>
      <c r="AJ51" s="17">
        <v>8.1111212392583634E-2</v>
      </c>
      <c r="AK51" s="38" t="s">
        <v>53</v>
      </c>
      <c r="AL51" s="16">
        <v>-0.16407947991520161</v>
      </c>
      <c r="AM51" s="17">
        <v>4.0236005414639439E-2</v>
      </c>
      <c r="AN51" s="38" t="s">
        <v>53</v>
      </c>
      <c r="AO51" s="16">
        <v>-0.30146359967495218</v>
      </c>
      <c r="AP51" s="17">
        <v>7.2014027295161764E-2</v>
      </c>
      <c r="AQ51" s="38" t="s">
        <v>53</v>
      </c>
      <c r="AR51" s="16">
        <v>-0.13738411975975054</v>
      </c>
      <c r="AS51" s="17">
        <v>8.0631847140320609E-2</v>
      </c>
      <c r="AT51" s="38" t="s">
        <v>53</v>
      </c>
      <c r="AU51" s="36">
        <v>72.887964013324407</v>
      </c>
      <c r="AV51" s="37">
        <v>1.5834068612338326</v>
      </c>
      <c r="AW51" s="38" t="s">
        <v>53</v>
      </c>
      <c r="AX51" s="36">
        <v>93.366773663005191</v>
      </c>
      <c r="AY51" s="37">
        <v>1.794313001965564</v>
      </c>
      <c r="AZ51" s="38" t="s">
        <v>53</v>
      </c>
      <c r="BA51" s="36">
        <v>20.478809649680773</v>
      </c>
      <c r="BB51" s="37">
        <v>2.035374373528323</v>
      </c>
      <c r="BC51" s="39" t="s">
        <v>53</v>
      </c>
    </row>
    <row r="52" spans="1:55" x14ac:dyDescent="0.25">
      <c r="A52" s="15" t="s">
        <v>228</v>
      </c>
      <c r="B52" s="16">
        <v>-0.1377625729982431</v>
      </c>
      <c r="C52" s="17">
        <v>3.9745954889177551E-2</v>
      </c>
      <c r="D52" s="38" t="s">
        <v>53</v>
      </c>
      <c r="E52" s="16">
        <v>0.38724456953639219</v>
      </c>
      <c r="F52" s="17">
        <v>8.5938770752130259E-2</v>
      </c>
      <c r="G52" s="38" t="s">
        <v>53</v>
      </c>
      <c r="H52" s="16">
        <v>0.52500714253463521</v>
      </c>
      <c r="I52" s="17">
        <v>9.1305543651701737E-2</v>
      </c>
      <c r="J52" s="38" t="s">
        <v>53</v>
      </c>
      <c r="K52" s="16">
        <v>0.10260263877062499</v>
      </c>
      <c r="L52" s="17">
        <v>4.2312319277208972E-2</v>
      </c>
      <c r="M52" s="38" t="s">
        <v>53</v>
      </c>
      <c r="N52" s="16">
        <v>0.35181479024249646</v>
      </c>
      <c r="O52" s="17">
        <v>5.6306114499152807E-2</v>
      </c>
      <c r="P52" s="38" t="s">
        <v>53</v>
      </c>
      <c r="Q52" s="16">
        <v>0.24921215147187148</v>
      </c>
      <c r="R52" s="17">
        <v>7.0150697735331849E-2</v>
      </c>
      <c r="S52" s="38" t="s">
        <v>53</v>
      </c>
      <c r="T52" s="16">
        <v>0.35400037264610951</v>
      </c>
      <c r="U52" s="17">
        <v>4.1037346173737312E-2</v>
      </c>
      <c r="V52" s="38" t="s">
        <v>53</v>
      </c>
      <c r="W52" s="16">
        <v>0.36991525179253049</v>
      </c>
      <c r="X52" s="17">
        <v>7.058029615948283E-2</v>
      </c>
      <c r="Y52" s="38" t="s">
        <v>53</v>
      </c>
      <c r="Z52" s="16">
        <v>1.5914879146420934E-2</v>
      </c>
      <c r="AA52" s="17">
        <v>8.4328779152073166E-2</v>
      </c>
      <c r="AB52" s="38" t="s">
        <v>53</v>
      </c>
      <c r="AC52" s="16">
        <v>0.11602265740199363</v>
      </c>
      <c r="AD52" s="17">
        <v>3.8174049680489451E-2</v>
      </c>
      <c r="AE52" s="38" t="s">
        <v>53</v>
      </c>
      <c r="AF52" s="16">
        <v>-0.19818153359417368</v>
      </c>
      <c r="AG52" s="17">
        <v>8.3235439275657783E-2</v>
      </c>
      <c r="AH52" s="38" t="s">
        <v>53</v>
      </c>
      <c r="AI52" s="16">
        <v>-0.31420419099616737</v>
      </c>
      <c r="AJ52" s="17">
        <v>9.8225800112460737E-2</v>
      </c>
      <c r="AK52" s="38" t="s">
        <v>53</v>
      </c>
      <c r="AL52" s="16">
        <v>-0.1984991465491085</v>
      </c>
      <c r="AM52" s="17">
        <v>4.2857111177374306E-2</v>
      </c>
      <c r="AN52" s="38" t="s">
        <v>53</v>
      </c>
      <c r="AO52" s="16">
        <v>-0.20400579731013138</v>
      </c>
      <c r="AP52" s="17">
        <v>7.3085430007446703E-2</v>
      </c>
      <c r="AQ52" s="38" t="s">
        <v>53</v>
      </c>
      <c r="AR52" s="16">
        <v>-5.5066507610228915E-3</v>
      </c>
      <c r="AS52" s="17">
        <v>9.2334889141770377E-2</v>
      </c>
      <c r="AT52" s="38" t="s">
        <v>53</v>
      </c>
      <c r="AU52" s="36">
        <v>85.689277549441897</v>
      </c>
      <c r="AV52" s="37">
        <v>1.2561507778061585</v>
      </c>
      <c r="AW52" s="38" t="s">
        <v>53</v>
      </c>
      <c r="AX52" s="36">
        <v>97.026028469109605</v>
      </c>
      <c r="AY52" s="37">
        <v>1.5246058936217364</v>
      </c>
      <c r="AZ52" s="38" t="s">
        <v>53</v>
      </c>
      <c r="BA52" s="36">
        <v>11.336750919667704</v>
      </c>
      <c r="BB52" s="37">
        <v>1.9735184840626048</v>
      </c>
      <c r="BC52" s="39" t="s">
        <v>53</v>
      </c>
    </row>
    <row r="53" spans="1:55" x14ac:dyDescent="0.25">
      <c r="A53" s="15" t="s">
        <v>166</v>
      </c>
      <c r="B53" s="16">
        <v>-0.14975295345142639</v>
      </c>
      <c r="C53" s="17">
        <v>1.18899239997864E-2</v>
      </c>
      <c r="D53" s="38" t="s">
        <v>53</v>
      </c>
      <c r="E53" s="16">
        <v>0.48139218231022068</v>
      </c>
      <c r="F53" s="17">
        <v>2.5261870927294601E-2</v>
      </c>
      <c r="G53" s="38" t="s">
        <v>53</v>
      </c>
      <c r="H53" s="16">
        <v>0.66722960202223858</v>
      </c>
      <c r="I53" s="17">
        <v>2.7861142401610198E-2</v>
      </c>
      <c r="J53" s="38" t="s">
        <v>53</v>
      </c>
      <c r="K53" s="16">
        <v>-8.9466979264472002E-2</v>
      </c>
      <c r="L53" s="17">
        <v>1.56612334465327E-2</v>
      </c>
      <c r="M53" s="38" t="s">
        <v>53</v>
      </c>
      <c r="N53" s="16">
        <v>0.20926617521110749</v>
      </c>
      <c r="O53" s="17">
        <v>2.1304299164790499E-2</v>
      </c>
      <c r="P53" s="38" t="s">
        <v>53</v>
      </c>
      <c r="Q53" s="16">
        <v>0.24213163112465991</v>
      </c>
      <c r="R53" s="17">
        <v>2.4644798948811501E-2</v>
      </c>
      <c r="S53" s="38" t="s">
        <v>53</v>
      </c>
      <c r="T53" s="16">
        <v>2.36161019144716E-2</v>
      </c>
      <c r="U53" s="17">
        <v>1.52696298631174E-2</v>
      </c>
      <c r="V53" s="38" t="s">
        <v>53</v>
      </c>
      <c r="W53" s="16">
        <v>0.1846142728640269</v>
      </c>
      <c r="X53" s="17">
        <v>2.24788012817939E-2</v>
      </c>
      <c r="Y53" s="38" t="s">
        <v>53</v>
      </c>
      <c r="Z53" s="16">
        <v>0.1388356452319886</v>
      </c>
      <c r="AA53" s="17">
        <v>2.6196118934184599E-2</v>
      </c>
      <c r="AB53" s="38" t="s">
        <v>53</v>
      </c>
      <c r="AC53" s="16">
        <v>0.1063671229863737</v>
      </c>
      <c r="AD53" s="17">
        <v>1.55378195080967E-2</v>
      </c>
      <c r="AE53" s="38" t="s">
        <v>53</v>
      </c>
      <c r="AF53" s="16">
        <v>-0.1384544877120496</v>
      </c>
      <c r="AG53" s="17">
        <v>2.6142259497236999E-2</v>
      </c>
      <c r="AH53" s="38" t="s">
        <v>53</v>
      </c>
      <c r="AI53" s="16">
        <v>-0.24481501072468381</v>
      </c>
      <c r="AJ53" s="17">
        <v>2.9993895394550701E-2</v>
      </c>
      <c r="AK53" s="38" t="s">
        <v>53</v>
      </c>
      <c r="AL53" s="16">
        <v>-3.77903116500065E-2</v>
      </c>
      <c r="AM53" s="17">
        <v>1.80177412254173E-2</v>
      </c>
      <c r="AN53" s="38" t="s">
        <v>53</v>
      </c>
      <c r="AO53" s="16">
        <v>-6.5694640879271501E-2</v>
      </c>
      <c r="AP53" s="17">
        <v>2.73417221215701E-2</v>
      </c>
      <c r="AQ53" s="38" t="s">
        <v>53</v>
      </c>
      <c r="AR53" s="16">
        <v>-6.0565788117819902E-2</v>
      </c>
      <c r="AS53" s="17">
        <v>3.1698540198760602E-2</v>
      </c>
      <c r="AT53" s="38" t="s">
        <v>53</v>
      </c>
      <c r="AU53" s="36">
        <v>62.275918532009968</v>
      </c>
      <c r="AV53" s="37">
        <v>0.62432134254790184</v>
      </c>
      <c r="AW53" s="38" t="s">
        <v>53</v>
      </c>
      <c r="AX53" s="36">
        <v>88.635522298884382</v>
      </c>
      <c r="AY53" s="37">
        <v>0.83760913583910745</v>
      </c>
      <c r="AZ53" s="38" t="s">
        <v>53</v>
      </c>
      <c r="BA53" s="36">
        <v>26.746110296628348</v>
      </c>
      <c r="BB53" s="37">
        <v>1.0237489906734101</v>
      </c>
      <c r="BC53" s="39" t="s">
        <v>53</v>
      </c>
    </row>
    <row r="54" spans="1:55" x14ac:dyDescent="0.25">
      <c r="A54" s="57" t="s">
        <v>211</v>
      </c>
      <c r="B54" s="16"/>
      <c r="C54" s="17"/>
      <c r="D54" s="38"/>
      <c r="E54" s="16"/>
      <c r="F54" s="17"/>
      <c r="G54" s="38"/>
      <c r="H54" s="16"/>
      <c r="I54" s="17"/>
      <c r="J54" s="38"/>
      <c r="K54" s="16"/>
      <c r="L54" s="17"/>
      <c r="M54" s="38"/>
      <c r="N54" s="16"/>
      <c r="O54" s="17"/>
      <c r="P54" s="38"/>
      <c r="Q54" s="16"/>
      <c r="R54" s="17"/>
      <c r="S54" s="38"/>
      <c r="T54" s="16"/>
      <c r="U54" s="17"/>
      <c r="V54" s="38"/>
      <c r="W54" s="16"/>
      <c r="X54" s="17"/>
      <c r="Y54" s="38"/>
      <c r="Z54" s="16"/>
      <c r="AA54" s="17"/>
      <c r="AB54" s="38"/>
      <c r="AC54" s="16"/>
      <c r="AD54" s="17"/>
      <c r="AE54" s="38"/>
      <c r="AF54" s="16"/>
      <c r="AG54" s="17"/>
      <c r="AH54" s="38"/>
      <c r="AI54" s="16"/>
      <c r="AJ54" s="17"/>
      <c r="AK54" s="38"/>
      <c r="AL54" s="16"/>
      <c r="AM54" s="17"/>
      <c r="AN54" s="38"/>
      <c r="AO54" s="16"/>
      <c r="AP54" s="17"/>
      <c r="AQ54" s="38"/>
      <c r="AR54" s="16"/>
      <c r="AS54" s="17"/>
      <c r="AT54" s="38"/>
      <c r="AU54" s="36"/>
      <c r="AV54" s="37"/>
      <c r="AW54" s="38"/>
      <c r="AX54" s="36"/>
      <c r="AY54" s="37"/>
      <c r="AZ54" s="38"/>
      <c r="BA54" s="36"/>
      <c r="BB54" s="37"/>
      <c r="BC54" s="39"/>
    </row>
    <row r="55" spans="1:55" x14ac:dyDescent="0.25">
      <c r="A55" s="15" t="s">
        <v>169</v>
      </c>
      <c r="B55" s="16">
        <v>0.48696153913516782</v>
      </c>
      <c r="C55" s="17">
        <v>0.14367834618074032</v>
      </c>
      <c r="D55" s="38" t="s">
        <v>53</v>
      </c>
      <c r="E55" s="16" t="s">
        <v>56</v>
      </c>
      <c r="F55" s="17" t="s">
        <v>56</v>
      </c>
      <c r="G55" s="38" t="s">
        <v>53</v>
      </c>
      <c r="H55" s="16" t="s">
        <v>56</v>
      </c>
      <c r="I55" s="17" t="s">
        <v>56</v>
      </c>
      <c r="J55" s="38" t="s">
        <v>53</v>
      </c>
      <c r="K55" s="16">
        <v>0.41943774348712459</v>
      </c>
      <c r="L55" s="17">
        <v>0.21673396446268459</v>
      </c>
      <c r="M55" s="38" t="s">
        <v>53</v>
      </c>
      <c r="N55" s="16" t="s">
        <v>56</v>
      </c>
      <c r="O55" s="17" t="s">
        <v>56</v>
      </c>
      <c r="P55" s="38" t="s">
        <v>53</v>
      </c>
      <c r="Q55" s="16" t="s">
        <v>56</v>
      </c>
      <c r="R55" s="17" t="s">
        <v>56</v>
      </c>
      <c r="S55" s="38" t="s">
        <v>53</v>
      </c>
      <c r="T55" s="16">
        <v>0.28953350314671467</v>
      </c>
      <c r="U55" s="17">
        <v>0.30655737431351154</v>
      </c>
      <c r="V55" s="38" t="s">
        <v>53</v>
      </c>
      <c r="W55" s="16" t="s">
        <v>56</v>
      </c>
      <c r="X55" s="17" t="s">
        <v>56</v>
      </c>
      <c r="Y55" s="38" t="s">
        <v>53</v>
      </c>
      <c r="Z55" s="16" t="s">
        <v>56</v>
      </c>
      <c r="AA55" s="17" t="s">
        <v>56</v>
      </c>
      <c r="AB55" s="38" t="s">
        <v>53</v>
      </c>
      <c r="AC55" s="16">
        <v>0.65522561772713872</v>
      </c>
      <c r="AD55" s="17">
        <v>0.20092509414877946</v>
      </c>
      <c r="AE55" s="38" t="s">
        <v>53</v>
      </c>
      <c r="AF55" s="16" t="s">
        <v>56</v>
      </c>
      <c r="AG55" s="17" t="s">
        <v>56</v>
      </c>
      <c r="AH55" s="38" t="s">
        <v>53</v>
      </c>
      <c r="AI55" s="16" t="s">
        <v>56</v>
      </c>
      <c r="AJ55" s="17" t="s">
        <v>56</v>
      </c>
      <c r="AK55" s="38" t="s">
        <v>53</v>
      </c>
      <c r="AL55" s="16">
        <v>0.73189250864859634</v>
      </c>
      <c r="AM55" s="17">
        <v>0.10934786805092354</v>
      </c>
      <c r="AN55" s="38" t="s">
        <v>53</v>
      </c>
      <c r="AO55" s="16" t="s">
        <v>56</v>
      </c>
      <c r="AP55" s="17" t="s">
        <v>56</v>
      </c>
      <c r="AQ55" s="38" t="s">
        <v>53</v>
      </c>
      <c r="AR55" s="16" t="s">
        <v>56</v>
      </c>
      <c r="AS55" s="17" t="s">
        <v>56</v>
      </c>
      <c r="AT55" s="38" t="s">
        <v>53</v>
      </c>
      <c r="AU55" s="36">
        <v>49.985990019563062</v>
      </c>
      <c r="AV55" s="37">
        <v>11.016779936164257</v>
      </c>
      <c r="AW55" s="38" t="s">
        <v>53</v>
      </c>
      <c r="AX55" s="36" t="s">
        <v>55</v>
      </c>
      <c r="AY55" s="37" t="s">
        <v>55</v>
      </c>
      <c r="AZ55" s="38" t="s">
        <v>53</v>
      </c>
      <c r="BA55" s="36" t="s">
        <v>55</v>
      </c>
      <c r="BB55" s="37" t="s">
        <v>55</v>
      </c>
      <c r="BC55" s="39" t="s">
        <v>53</v>
      </c>
    </row>
    <row r="56" spans="1:55" x14ac:dyDescent="0.25">
      <c r="A56" s="15" t="s">
        <v>170</v>
      </c>
      <c r="B56" s="16">
        <v>-4.1611968086522053E-2</v>
      </c>
      <c r="C56" s="17">
        <v>5.7376826000098267E-2</v>
      </c>
      <c r="D56" s="38" t="s">
        <v>53</v>
      </c>
      <c r="E56" s="16">
        <v>0.59496486022382411</v>
      </c>
      <c r="F56" s="17">
        <v>0.11957663993230272</v>
      </c>
      <c r="G56" s="38" t="s">
        <v>53</v>
      </c>
      <c r="H56" s="16">
        <v>0.63657682831034623</v>
      </c>
      <c r="I56" s="17">
        <v>0.14664538018581391</v>
      </c>
      <c r="J56" s="38" t="s">
        <v>53</v>
      </c>
      <c r="K56" s="16">
        <v>0.2935608860862805</v>
      </c>
      <c r="L56" s="17">
        <v>6.5897343842588454E-2</v>
      </c>
      <c r="M56" s="38" t="s">
        <v>53</v>
      </c>
      <c r="N56" s="16">
        <v>0.57375352556728987</v>
      </c>
      <c r="O56" s="17">
        <v>0.12068197801357355</v>
      </c>
      <c r="P56" s="38" t="s">
        <v>53</v>
      </c>
      <c r="Q56" s="16">
        <v>0.28019263948100931</v>
      </c>
      <c r="R56" s="17">
        <v>0.15505416809043587</v>
      </c>
      <c r="S56" s="38" t="s">
        <v>53</v>
      </c>
      <c r="T56" s="16">
        <v>-0.30605837413688342</v>
      </c>
      <c r="U56" s="17">
        <v>7.5225897301473818E-2</v>
      </c>
      <c r="V56" s="38" t="s">
        <v>53</v>
      </c>
      <c r="W56" s="16">
        <v>4.8572605731405483E-2</v>
      </c>
      <c r="X56" s="17">
        <v>0.14362663234895573</v>
      </c>
      <c r="Y56" s="38" t="s">
        <v>53</v>
      </c>
      <c r="Z56" s="16">
        <v>0.3546309798682889</v>
      </c>
      <c r="AA56" s="17">
        <v>0.17070190176829231</v>
      </c>
      <c r="AB56" s="38" t="s">
        <v>53</v>
      </c>
      <c r="AC56" s="16">
        <v>0.21720394447708069</v>
      </c>
      <c r="AD56" s="17">
        <v>6.2754370262094933E-2</v>
      </c>
      <c r="AE56" s="38" t="s">
        <v>53</v>
      </c>
      <c r="AF56" s="16">
        <v>-2.2304520401899869E-2</v>
      </c>
      <c r="AG56" s="17">
        <v>0.12499316650149797</v>
      </c>
      <c r="AH56" s="38" t="s">
        <v>53</v>
      </c>
      <c r="AI56" s="16">
        <v>-0.23950846487898048</v>
      </c>
      <c r="AJ56" s="17">
        <v>0.13310301155631107</v>
      </c>
      <c r="AK56" s="38" t="s">
        <v>53</v>
      </c>
      <c r="AL56" s="16">
        <v>-0.12096818192583476</v>
      </c>
      <c r="AM56" s="17">
        <v>7.0619882471367412E-2</v>
      </c>
      <c r="AN56" s="38" t="s">
        <v>53</v>
      </c>
      <c r="AO56" s="16">
        <v>-4.4586477250268854E-2</v>
      </c>
      <c r="AP56" s="17">
        <v>0.11250502978285161</v>
      </c>
      <c r="AQ56" s="38" t="s">
        <v>53</v>
      </c>
      <c r="AR56" s="16">
        <v>7.6381704675565917E-2</v>
      </c>
      <c r="AS56" s="17">
        <v>0.13623592707458992</v>
      </c>
      <c r="AT56" s="38" t="s">
        <v>53</v>
      </c>
      <c r="AU56" s="36">
        <v>62.365991176777733</v>
      </c>
      <c r="AV56" s="37">
        <v>3.6443965474050142</v>
      </c>
      <c r="AW56" s="38" t="s">
        <v>53</v>
      </c>
      <c r="AX56" s="36">
        <v>89.61273048979028</v>
      </c>
      <c r="AY56" s="37">
        <v>3.8628006123297411</v>
      </c>
      <c r="AZ56" s="38" t="s">
        <v>53</v>
      </c>
      <c r="BA56" s="36">
        <v>27.246739313012519</v>
      </c>
      <c r="BB56" s="37">
        <v>5.5330498126212726</v>
      </c>
      <c r="BC56" s="39" t="s">
        <v>53</v>
      </c>
    </row>
    <row r="57" spans="1:55" x14ac:dyDescent="0.25">
      <c r="A57" s="15" t="s">
        <v>171</v>
      </c>
      <c r="B57" s="16">
        <v>0.37543273327783927</v>
      </c>
      <c r="C57" s="17">
        <v>5.2297267390901091E-2</v>
      </c>
      <c r="D57" s="38" t="s">
        <v>53</v>
      </c>
      <c r="E57" s="16">
        <v>0.72379308872960169</v>
      </c>
      <c r="F57" s="17">
        <v>0.12608540499219659</v>
      </c>
      <c r="G57" s="38" t="s">
        <v>53</v>
      </c>
      <c r="H57" s="16">
        <v>0.34836035545176247</v>
      </c>
      <c r="I57" s="17">
        <v>0.14824271479349235</v>
      </c>
      <c r="J57" s="38" t="s">
        <v>53</v>
      </c>
      <c r="K57" s="16">
        <v>-1.8457191127954953E-2</v>
      </c>
      <c r="L57" s="17">
        <v>0.10719578613701382</v>
      </c>
      <c r="M57" s="38" t="s">
        <v>54</v>
      </c>
      <c r="N57" s="16">
        <v>0.4202073102944397</v>
      </c>
      <c r="O57" s="17">
        <v>0.15118063136308607</v>
      </c>
      <c r="P57" s="38" t="s">
        <v>53</v>
      </c>
      <c r="Q57" s="16">
        <v>0.43866450142239466</v>
      </c>
      <c r="R57" s="17">
        <v>0.18387182984246064</v>
      </c>
      <c r="S57" s="38" t="s">
        <v>54</v>
      </c>
      <c r="T57" s="16">
        <v>0.47641868378196972</v>
      </c>
      <c r="U57" s="17">
        <v>9.0484448420640809E-2</v>
      </c>
      <c r="V57" s="38" t="s">
        <v>54</v>
      </c>
      <c r="W57" s="16">
        <v>0.64797190923574055</v>
      </c>
      <c r="X57" s="17">
        <v>0.11875371012179894</v>
      </c>
      <c r="Y57" s="38" t="s">
        <v>53</v>
      </c>
      <c r="Z57" s="16">
        <v>0.17155322545377083</v>
      </c>
      <c r="AA57" s="17">
        <v>0.15487905207025618</v>
      </c>
      <c r="AB57" s="38" t="s">
        <v>54</v>
      </c>
      <c r="AC57" s="16">
        <v>0.261070431923136</v>
      </c>
      <c r="AD57" s="17">
        <v>8.386493502708077E-2</v>
      </c>
      <c r="AE57" s="38" t="s">
        <v>54</v>
      </c>
      <c r="AF57" s="16">
        <v>0.41399194028652392</v>
      </c>
      <c r="AG57" s="17">
        <v>0.15307950279514937</v>
      </c>
      <c r="AH57" s="38" t="s">
        <v>53</v>
      </c>
      <c r="AI57" s="16">
        <v>0.15292150836338789</v>
      </c>
      <c r="AJ57" s="17">
        <v>0.17703482336642745</v>
      </c>
      <c r="AK57" s="38" t="s">
        <v>54</v>
      </c>
      <c r="AL57" s="16">
        <v>-5.3772376392916488E-2</v>
      </c>
      <c r="AM57" s="17">
        <v>9.166435516090321E-2</v>
      </c>
      <c r="AN57" s="38" t="s">
        <v>53</v>
      </c>
      <c r="AO57" s="16">
        <v>0.14011753533452917</v>
      </c>
      <c r="AP57" s="17">
        <v>0.13249102044070646</v>
      </c>
      <c r="AQ57" s="38" t="s">
        <v>53</v>
      </c>
      <c r="AR57" s="16">
        <v>0.19388991172744566</v>
      </c>
      <c r="AS57" s="17">
        <v>0.17943736626326068</v>
      </c>
      <c r="AT57" s="38" t="s">
        <v>53</v>
      </c>
      <c r="AU57" s="36">
        <v>58.120697898219888</v>
      </c>
      <c r="AV57" s="37">
        <v>3.3267875197219117</v>
      </c>
      <c r="AW57" s="38" t="s">
        <v>53</v>
      </c>
      <c r="AX57" s="36">
        <v>79.35058300078542</v>
      </c>
      <c r="AY57" s="37">
        <v>5.8624977922984325</v>
      </c>
      <c r="AZ57" s="38" t="s">
        <v>53</v>
      </c>
      <c r="BA57" s="36">
        <v>21.22988510256554</v>
      </c>
      <c r="BB57" s="37">
        <v>7.2425026352087087</v>
      </c>
      <c r="BC57" s="39" t="s">
        <v>53</v>
      </c>
    </row>
    <row r="58" spans="1:55" x14ac:dyDescent="0.25">
      <c r="A58" s="15" t="s">
        <v>172</v>
      </c>
      <c r="B58" s="16">
        <v>0.13209662224162411</v>
      </c>
      <c r="C58" s="17">
        <v>6.0638674684111313E-2</v>
      </c>
      <c r="D58" s="38" t="s">
        <v>53</v>
      </c>
      <c r="E58" s="16">
        <v>0.78019499061037323</v>
      </c>
      <c r="F58" s="17">
        <v>0.10561855120791602</v>
      </c>
      <c r="G58" s="38" t="s">
        <v>53</v>
      </c>
      <c r="H58" s="16">
        <v>0.64809836836874912</v>
      </c>
      <c r="I58" s="17">
        <v>0.12788442180275247</v>
      </c>
      <c r="J58" s="38" t="s">
        <v>53</v>
      </c>
      <c r="K58" s="16">
        <v>-0.14455008304327691</v>
      </c>
      <c r="L58" s="17">
        <v>5.4071625812004642E-2</v>
      </c>
      <c r="M58" s="38" t="s">
        <v>53</v>
      </c>
      <c r="N58" s="16">
        <v>-0.39068932937280859</v>
      </c>
      <c r="O58" s="17">
        <v>0.10816820124446254</v>
      </c>
      <c r="P58" s="38" t="s">
        <v>53</v>
      </c>
      <c r="Q58" s="16">
        <v>-0.2461392463295316</v>
      </c>
      <c r="R58" s="17">
        <v>0.13081963302813407</v>
      </c>
      <c r="S58" s="38" t="s">
        <v>53</v>
      </c>
      <c r="T58" s="16">
        <v>-6.1478872620825409E-2</v>
      </c>
      <c r="U58" s="17">
        <v>8.7800702073036765E-2</v>
      </c>
      <c r="V58" s="38" t="s">
        <v>53</v>
      </c>
      <c r="W58" s="16">
        <v>-0.1746945504287549</v>
      </c>
      <c r="X58" s="17">
        <v>0.14490394305232776</v>
      </c>
      <c r="Y58" s="38" t="s">
        <v>53</v>
      </c>
      <c r="Z58" s="16">
        <v>-0.11321567780792946</v>
      </c>
      <c r="AA58" s="17">
        <v>0.18828698797817503</v>
      </c>
      <c r="AB58" s="38" t="s">
        <v>53</v>
      </c>
      <c r="AC58" s="16">
        <v>0.43392462580210983</v>
      </c>
      <c r="AD58" s="17">
        <v>7.1580993344187424E-2</v>
      </c>
      <c r="AE58" s="38" t="s">
        <v>53</v>
      </c>
      <c r="AF58" s="16">
        <v>0.10122561602508742</v>
      </c>
      <c r="AG58" s="17">
        <v>0.14124533852676635</v>
      </c>
      <c r="AH58" s="38" t="s">
        <v>53</v>
      </c>
      <c r="AI58" s="16">
        <v>-0.33269900977702244</v>
      </c>
      <c r="AJ58" s="17">
        <v>0.16771979332200371</v>
      </c>
      <c r="AK58" s="38" t="s">
        <v>53</v>
      </c>
      <c r="AL58" s="16">
        <v>1.8578069995953735E-2</v>
      </c>
      <c r="AM58" s="17">
        <v>9.7364421444655291E-2</v>
      </c>
      <c r="AN58" s="38" t="s">
        <v>53</v>
      </c>
      <c r="AO58" s="16">
        <v>-0.26146571376077077</v>
      </c>
      <c r="AP58" s="17">
        <v>0.15872968916375368</v>
      </c>
      <c r="AQ58" s="38" t="s">
        <v>53</v>
      </c>
      <c r="AR58" s="16">
        <v>-0.28004378375672445</v>
      </c>
      <c r="AS58" s="17">
        <v>0.20082385844593817</v>
      </c>
      <c r="AT58" s="38" t="s">
        <v>53</v>
      </c>
      <c r="AU58" s="36">
        <v>67.779254498347129</v>
      </c>
      <c r="AV58" s="37">
        <v>3.4028974286214813</v>
      </c>
      <c r="AW58" s="38" t="s">
        <v>53</v>
      </c>
      <c r="AX58" s="36">
        <v>93.123371896037099</v>
      </c>
      <c r="AY58" s="37">
        <v>4.177026047574758</v>
      </c>
      <c r="AZ58" s="38" t="s">
        <v>53</v>
      </c>
      <c r="BA58" s="36">
        <v>25.344117397689963</v>
      </c>
      <c r="BB58" s="37">
        <v>5.7561354794583037</v>
      </c>
      <c r="BC58" s="39" t="s">
        <v>53</v>
      </c>
    </row>
    <row r="59" spans="1:55" x14ac:dyDescent="0.25">
      <c r="A59" s="15" t="s">
        <v>173</v>
      </c>
      <c r="B59" s="16">
        <v>-0.17777252228475571</v>
      </c>
      <c r="C59" s="17">
        <v>7.2445461831549568E-2</v>
      </c>
      <c r="D59" s="38" t="s">
        <v>53</v>
      </c>
      <c r="E59" s="16">
        <v>0.25885925541816207</v>
      </c>
      <c r="F59" s="17">
        <v>0.22520465218946675</v>
      </c>
      <c r="G59" s="38" t="s">
        <v>53</v>
      </c>
      <c r="H59" s="16">
        <v>0.43663177770291783</v>
      </c>
      <c r="I59" s="17">
        <v>0.25054589823953544</v>
      </c>
      <c r="J59" s="38" t="s">
        <v>53</v>
      </c>
      <c r="K59" s="16">
        <v>-2.0257506022357142E-2</v>
      </c>
      <c r="L59" s="17">
        <v>0.13677805117159469</v>
      </c>
      <c r="M59" s="38" t="s">
        <v>53</v>
      </c>
      <c r="N59" s="16">
        <v>0.41785775537085784</v>
      </c>
      <c r="O59" s="17">
        <v>0.16067235169572838</v>
      </c>
      <c r="P59" s="38" t="s">
        <v>53</v>
      </c>
      <c r="Q59" s="16">
        <v>0.43811526139321511</v>
      </c>
      <c r="R59" s="17">
        <v>0.21600707758138665</v>
      </c>
      <c r="S59" s="38" t="s">
        <v>53</v>
      </c>
      <c r="T59" s="16">
        <v>5.5219552853718337E-2</v>
      </c>
      <c r="U59" s="17">
        <v>0.12354098359634216</v>
      </c>
      <c r="V59" s="38" t="s">
        <v>53</v>
      </c>
      <c r="W59" s="16">
        <v>0.30094554604005042</v>
      </c>
      <c r="X59" s="17">
        <v>0.19853039304979228</v>
      </c>
      <c r="Y59" s="38" t="s">
        <v>53</v>
      </c>
      <c r="Z59" s="16">
        <v>0.24572599318633209</v>
      </c>
      <c r="AA59" s="17">
        <v>0.24511461993832184</v>
      </c>
      <c r="AB59" s="38" t="s">
        <v>53</v>
      </c>
      <c r="AC59" s="16">
        <v>0.45515284394267363</v>
      </c>
      <c r="AD59" s="17">
        <v>9.9647627740046651E-2</v>
      </c>
      <c r="AE59" s="38" t="s">
        <v>53</v>
      </c>
      <c r="AF59" s="16">
        <v>0.48657996634571998</v>
      </c>
      <c r="AG59" s="17">
        <v>0.17219681807649748</v>
      </c>
      <c r="AH59" s="38" t="s">
        <v>53</v>
      </c>
      <c r="AI59" s="16">
        <v>3.1427122403046397E-2</v>
      </c>
      <c r="AJ59" s="17">
        <v>0.19764048067613485</v>
      </c>
      <c r="AK59" s="38" t="s">
        <v>53</v>
      </c>
      <c r="AL59" s="16">
        <v>0.2530205941302856</v>
      </c>
      <c r="AM59" s="17">
        <v>0.11909878980809503</v>
      </c>
      <c r="AN59" s="38" t="s">
        <v>53</v>
      </c>
      <c r="AO59" s="16">
        <v>0.33211065475197599</v>
      </c>
      <c r="AP59" s="17">
        <v>0.15171667654322435</v>
      </c>
      <c r="AQ59" s="38" t="s">
        <v>53</v>
      </c>
      <c r="AR59" s="16">
        <v>7.9090060621690342E-2</v>
      </c>
      <c r="AS59" s="17">
        <v>0.21088792666739947</v>
      </c>
      <c r="AT59" s="38" t="s">
        <v>53</v>
      </c>
      <c r="AU59" s="36">
        <v>62.327457968425549</v>
      </c>
      <c r="AV59" s="37">
        <v>4.2819308870848269</v>
      </c>
      <c r="AW59" s="38" t="s">
        <v>53</v>
      </c>
      <c r="AX59" s="36">
        <v>85.517365499860702</v>
      </c>
      <c r="AY59" s="37">
        <v>7.2847731844400379</v>
      </c>
      <c r="AZ59" s="38" t="s">
        <v>53</v>
      </c>
      <c r="BA59" s="36">
        <v>23.189907531435161</v>
      </c>
      <c r="BB59" s="37">
        <v>7.9619451733681252</v>
      </c>
      <c r="BC59" s="39" t="s">
        <v>53</v>
      </c>
    </row>
    <row r="60" spans="1:55" x14ac:dyDescent="0.25">
      <c r="A60" s="15" t="s">
        <v>174</v>
      </c>
      <c r="B60" s="16">
        <v>0.53942312356969413</v>
      </c>
      <c r="C60" s="17">
        <v>0.17276548809581427</v>
      </c>
      <c r="D60" s="38" t="s">
        <v>53</v>
      </c>
      <c r="E60" s="16" t="s">
        <v>56</v>
      </c>
      <c r="F60" s="17" t="s">
        <v>56</v>
      </c>
      <c r="G60" s="38" t="s">
        <v>53</v>
      </c>
      <c r="H60" s="16" t="s">
        <v>56</v>
      </c>
      <c r="I60" s="17" t="s">
        <v>56</v>
      </c>
      <c r="J60" s="38" t="s">
        <v>53</v>
      </c>
      <c r="K60" s="16">
        <v>-2.1159191167167912E-2</v>
      </c>
      <c r="L60" s="17">
        <v>0.22937315953095036</v>
      </c>
      <c r="M60" s="38" t="s">
        <v>54</v>
      </c>
      <c r="N60" s="16" t="s">
        <v>56</v>
      </c>
      <c r="O60" s="17" t="s">
        <v>56</v>
      </c>
      <c r="P60" s="38" t="s">
        <v>53</v>
      </c>
      <c r="Q60" s="16" t="s">
        <v>56</v>
      </c>
      <c r="R60" s="17" t="s">
        <v>56</v>
      </c>
      <c r="S60" s="38" t="s">
        <v>53</v>
      </c>
      <c r="T60" s="16">
        <v>0.11063283006073699</v>
      </c>
      <c r="U60" s="17">
        <v>0.1924958844015372</v>
      </c>
      <c r="V60" s="38" t="s">
        <v>54</v>
      </c>
      <c r="W60" s="16" t="s">
        <v>56</v>
      </c>
      <c r="X60" s="17" t="s">
        <v>56</v>
      </c>
      <c r="Y60" s="38" t="s">
        <v>53</v>
      </c>
      <c r="Z60" s="16" t="s">
        <v>56</v>
      </c>
      <c r="AA60" s="17" t="s">
        <v>56</v>
      </c>
      <c r="AB60" s="38" t="s">
        <v>53</v>
      </c>
      <c r="AC60" s="16">
        <v>1.0747509897341172E-2</v>
      </c>
      <c r="AD60" s="17">
        <v>0.1376856915909721</v>
      </c>
      <c r="AE60" s="38" t="s">
        <v>54</v>
      </c>
      <c r="AF60" s="16" t="s">
        <v>56</v>
      </c>
      <c r="AG60" s="17" t="s">
        <v>56</v>
      </c>
      <c r="AH60" s="38" t="s">
        <v>53</v>
      </c>
      <c r="AI60" s="16" t="s">
        <v>56</v>
      </c>
      <c r="AJ60" s="17" t="s">
        <v>56</v>
      </c>
      <c r="AK60" s="38" t="s">
        <v>53</v>
      </c>
      <c r="AL60" s="16">
        <v>-0.58817191521804713</v>
      </c>
      <c r="AM60" s="17">
        <v>0.21418067306394661</v>
      </c>
      <c r="AN60" s="38" t="s">
        <v>54</v>
      </c>
      <c r="AO60" s="16" t="s">
        <v>56</v>
      </c>
      <c r="AP60" s="17" t="s">
        <v>56</v>
      </c>
      <c r="AQ60" s="38" t="s">
        <v>53</v>
      </c>
      <c r="AR60" s="16" t="s">
        <v>56</v>
      </c>
      <c r="AS60" s="17" t="s">
        <v>56</v>
      </c>
      <c r="AT60" s="38" t="s">
        <v>53</v>
      </c>
      <c r="AU60" s="36">
        <v>46.93820382532251</v>
      </c>
      <c r="AV60" s="37">
        <v>9.0606380458562548</v>
      </c>
      <c r="AW60" s="38" t="s">
        <v>53</v>
      </c>
      <c r="AX60" s="36" t="s">
        <v>55</v>
      </c>
      <c r="AY60" s="37" t="s">
        <v>55</v>
      </c>
      <c r="AZ60" s="38" t="s">
        <v>53</v>
      </c>
      <c r="BA60" s="36" t="s">
        <v>55</v>
      </c>
      <c r="BB60" s="37" t="s">
        <v>55</v>
      </c>
      <c r="BC60" s="39" t="s">
        <v>53</v>
      </c>
    </row>
    <row r="61" spans="1:55" x14ac:dyDescent="0.25">
      <c r="A61" s="15" t="s">
        <v>175</v>
      </c>
      <c r="B61" s="16">
        <v>8.4024025863917315E-2</v>
      </c>
      <c r="C61" s="17">
        <v>4.7709794573290915E-2</v>
      </c>
      <c r="D61" s="38" t="s">
        <v>53</v>
      </c>
      <c r="E61" s="16">
        <v>0.61045026752397202</v>
      </c>
      <c r="F61" s="17">
        <v>6.0719990861034814E-2</v>
      </c>
      <c r="G61" s="38" t="s">
        <v>53</v>
      </c>
      <c r="H61" s="16">
        <v>0.52642624166005469</v>
      </c>
      <c r="I61" s="17">
        <v>7.5542664256341069E-2</v>
      </c>
      <c r="J61" s="38" t="s">
        <v>53</v>
      </c>
      <c r="K61" s="16">
        <v>3.9624714506862627E-2</v>
      </c>
      <c r="L61" s="17">
        <v>6.1048390156860775E-2</v>
      </c>
      <c r="M61" s="38" t="s">
        <v>53</v>
      </c>
      <c r="N61" s="16">
        <v>0.19533978990096193</v>
      </c>
      <c r="O61" s="17">
        <v>4.9889586463454677E-2</v>
      </c>
      <c r="P61" s="38" t="s">
        <v>53</v>
      </c>
      <c r="Q61" s="16">
        <v>0.15571507539409926</v>
      </c>
      <c r="R61" s="17">
        <v>8.7075111067862448E-2</v>
      </c>
      <c r="S61" s="38" t="s">
        <v>53</v>
      </c>
      <c r="T61" s="16">
        <v>9.1509840403296207E-3</v>
      </c>
      <c r="U61" s="17">
        <v>6.8743752871992386E-2</v>
      </c>
      <c r="V61" s="38" t="s">
        <v>53</v>
      </c>
      <c r="W61" s="16">
        <v>0.128676283337643</v>
      </c>
      <c r="X61" s="17">
        <v>4.8617699385605735E-2</v>
      </c>
      <c r="Y61" s="38" t="s">
        <v>53</v>
      </c>
      <c r="Z61" s="16">
        <v>0.11952529929731337</v>
      </c>
      <c r="AA61" s="17">
        <v>9.5966178161722801E-2</v>
      </c>
      <c r="AB61" s="38" t="s">
        <v>53</v>
      </c>
      <c r="AC61" s="16">
        <v>4.7227579440247282E-2</v>
      </c>
      <c r="AD61" s="17">
        <v>6.5106927458900593E-2</v>
      </c>
      <c r="AE61" s="38" t="s">
        <v>53</v>
      </c>
      <c r="AF61" s="16">
        <v>-0.21646134440409481</v>
      </c>
      <c r="AG61" s="17">
        <v>6.8925544064717806E-2</v>
      </c>
      <c r="AH61" s="38" t="s">
        <v>53</v>
      </c>
      <c r="AI61" s="16">
        <v>-0.26368892384434212</v>
      </c>
      <c r="AJ61" s="17">
        <v>9.7248954137868729E-2</v>
      </c>
      <c r="AK61" s="38" t="s">
        <v>53</v>
      </c>
      <c r="AL61" s="16">
        <v>-0.11980763530542049</v>
      </c>
      <c r="AM61" s="17">
        <v>6.6672115198087814E-2</v>
      </c>
      <c r="AN61" s="38" t="s">
        <v>53</v>
      </c>
      <c r="AO61" s="16">
        <v>-0.16042659989856245</v>
      </c>
      <c r="AP61" s="17">
        <v>6.0787080516489782E-2</v>
      </c>
      <c r="AQ61" s="38" t="s">
        <v>53</v>
      </c>
      <c r="AR61" s="16">
        <v>-4.0618964593141939E-2</v>
      </c>
      <c r="AS61" s="17">
        <v>9.0744626126562603E-2</v>
      </c>
      <c r="AT61" s="38" t="s">
        <v>53</v>
      </c>
      <c r="AU61" s="36">
        <v>63.347758935880393</v>
      </c>
      <c r="AV61" s="37">
        <v>3.1305645768381423</v>
      </c>
      <c r="AW61" s="38" t="s">
        <v>53</v>
      </c>
      <c r="AX61" s="36">
        <v>83.59165375134188</v>
      </c>
      <c r="AY61" s="37">
        <v>2.2660843363378591</v>
      </c>
      <c r="AZ61" s="38" t="s">
        <v>53</v>
      </c>
      <c r="BA61" s="36">
        <v>20.243894815461498</v>
      </c>
      <c r="BB61" s="37">
        <v>3.7416314066746699</v>
      </c>
      <c r="BC61" s="39" t="s">
        <v>53</v>
      </c>
    </row>
    <row r="62" spans="1:55" x14ac:dyDescent="0.25">
      <c r="A62" s="15" t="s">
        <v>176</v>
      </c>
      <c r="B62" s="16" t="s">
        <v>56</v>
      </c>
      <c r="C62" s="17" t="s">
        <v>56</v>
      </c>
      <c r="D62" s="38" t="s">
        <v>53</v>
      </c>
      <c r="E62" s="16" t="s">
        <v>56</v>
      </c>
      <c r="F62" s="17" t="s">
        <v>56</v>
      </c>
      <c r="G62" s="38" t="s">
        <v>53</v>
      </c>
      <c r="H62" s="16" t="s">
        <v>55</v>
      </c>
      <c r="I62" s="17" t="s">
        <v>55</v>
      </c>
      <c r="J62" s="38" t="s">
        <v>53</v>
      </c>
      <c r="K62" s="16" t="s">
        <v>56</v>
      </c>
      <c r="L62" s="17" t="s">
        <v>56</v>
      </c>
      <c r="M62" s="38" t="s">
        <v>53</v>
      </c>
      <c r="N62" s="16" t="s">
        <v>56</v>
      </c>
      <c r="O62" s="17" t="s">
        <v>56</v>
      </c>
      <c r="P62" s="38" t="s">
        <v>53</v>
      </c>
      <c r="Q62" s="16" t="s">
        <v>55</v>
      </c>
      <c r="R62" s="17" t="s">
        <v>55</v>
      </c>
      <c r="S62" s="38" t="s">
        <v>53</v>
      </c>
      <c r="T62" s="16" t="s">
        <v>56</v>
      </c>
      <c r="U62" s="17" t="s">
        <v>56</v>
      </c>
      <c r="V62" s="38" t="s">
        <v>53</v>
      </c>
      <c r="W62" s="16" t="s">
        <v>56</v>
      </c>
      <c r="X62" s="17" t="s">
        <v>56</v>
      </c>
      <c r="Y62" s="38" t="s">
        <v>53</v>
      </c>
      <c r="Z62" s="16" t="s">
        <v>55</v>
      </c>
      <c r="AA62" s="17" t="s">
        <v>55</v>
      </c>
      <c r="AB62" s="38" t="s">
        <v>53</v>
      </c>
      <c r="AC62" s="16" t="s">
        <v>56</v>
      </c>
      <c r="AD62" s="17" t="s">
        <v>56</v>
      </c>
      <c r="AE62" s="38" t="s">
        <v>53</v>
      </c>
      <c r="AF62" s="16" t="s">
        <v>56</v>
      </c>
      <c r="AG62" s="17" t="s">
        <v>56</v>
      </c>
      <c r="AH62" s="38" t="s">
        <v>53</v>
      </c>
      <c r="AI62" s="16" t="s">
        <v>55</v>
      </c>
      <c r="AJ62" s="17" t="s">
        <v>55</v>
      </c>
      <c r="AK62" s="38" t="s">
        <v>53</v>
      </c>
      <c r="AL62" s="16" t="s">
        <v>56</v>
      </c>
      <c r="AM62" s="17" t="s">
        <v>56</v>
      </c>
      <c r="AN62" s="38" t="s">
        <v>53</v>
      </c>
      <c r="AO62" s="16" t="s">
        <v>56</v>
      </c>
      <c r="AP62" s="17" t="s">
        <v>56</v>
      </c>
      <c r="AQ62" s="38" t="s">
        <v>53</v>
      </c>
      <c r="AR62" s="16" t="s">
        <v>55</v>
      </c>
      <c r="AS62" s="17" t="s">
        <v>55</v>
      </c>
      <c r="AT62" s="38" t="s">
        <v>53</v>
      </c>
      <c r="AU62" s="36" t="s">
        <v>55</v>
      </c>
      <c r="AV62" s="37" t="s">
        <v>55</v>
      </c>
      <c r="AW62" s="38" t="s">
        <v>53</v>
      </c>
      <c r="AX62" s="36" t="s">
        <v>55</v>
      </c>
      <c r="AY62" s="37" t="s">
        <v>55</v>
      </c>
      <c r="AZ62" s="38" t="s">
        <v>53</v>
      </c>
      <c r="BA62" s="36" t="s">
        <v>55</v>
      </c>
      <c r="BB62" s="37" t="s">
        <v>55</v>
      </c>
      <c r="BC62" s="39" t="s">
        <v>53</v>
      </c>
    </row>
    <row r="63" spans="1:55" x14ac:dyDescent="0.25">
      <c r="A63" s="15" t="s">
        <v>177</v>
      </c>
      <c r="B63" s="16">
        <v>-7.9592478693164114E-3</v>
      </c>
      <c r="C63" s="17">
        <v>7.0742974995207458E-2</v>
      </c>
      <c r="D63" s="38" t="s">
        <v>53</v>
      </c>
      <c r="E63" s="16" t="s">
        <v>56</v>
      </c>
      <c r="F63" s="17" t="s">
        <v>56</v>
      </c>
      <c r="G63" s="38" t="s">
        <v>53</v>
      </c>
      <c r="H63" s="16" t="s">
        <v>56</v>
      </c>
      <c r="I63" s="17" t="s">
        <v>56</v>
      </c>
      <c r="J63" s="38" t="s">
        <v>53</v>
      </c>
      <c r="K63" s="16">
        <v>-0.957583511034097</v>
      </c>
      <c r="L63" s="17">
        <v>0.13370968313809808</v>
      </c>
      <c r="M63" s="38" t="s">
        <v>53</v>
      </c>
      <c r="N63" s="16" t="s">
        <v>56</v>
      </c>
      <c r="O63" s="17" t="s">
        <v>56</v>
      </c>
      <c r="P63" s="38" t="s">
        <v>53</v>
      </c>
      <c r="Q63" s="16" t="s">
        <v>56</v>
      </c>
      <c r="R63" s="17" t="s">
        <v>56</v>
      </c>
      <c r="S63" s="38" t="s">
        <v>53</v>
      </c>
      <c r="T63" s="16">
        <v>-0.65704022116460992</v>
      </c>
      <c r="U63" s="17">
        <v>0.23474040747422367</v>
      </c>
      <c r="V63" s="38" t="s">
        <v>53</v>
      </c>
      <c r="W63" s="16" t="s">
        <v>56</v>
      </c>
      <c r="X63" s="17" t="s">
        <v>56</v>
      </c>
      <c r="Y63" s="38" t="s">
        <v>53</v>
      </c>
      <c r="Z63" s="16" t="s">
        <v>56</v>
      </c>
      <c r="AA63" s="17" t="s">
        <v>56</v>
      </c>
      <c r="AB63" s="38" t="s">
        <v>53</v>
      </c>
      <c r="AC63" s="16">
        <v>-0.27587820879012048</v>
      </c>
      <c r="AD63" s="17">
        <v>0.19115099621211723</v>
      </c>
      <c r="AE63" s="38" t="s">
        <v>53</v>
      </c>
      <c r="AF63" s="16" t="s">
        <v>56</v>
      </c>
      <c r="AG63" s="17" t="s">
        <v>56</v>
      </c>
      <c r="AH63" s="38" t="s">
        <v>53</v>
      </c>
      <c r="AI63" s="16" t="s">
        <v>56</v>
      </c>
      <c r="AJ63" s="17" t="s">
        <v>56</v>
      </c>
      <c r="AK63" s="38" t="s">
        <v>53</v>
      </c>
      <c r="AL63" s="16">
        <v>-0.80692666007062952</v>
      </c>
      <c r="AM63" s="17">
        <v>0.21847520148593719</v>
      </c>
      <c r="AN63" s="38" t="s">
        <v>54</v>
      </c>
      <c r="AO63" s="16" t="s">
        <v>56</v>
      </c>
      <c r="AP63" s="17" t="s">
        <v>56</v>
      </c>
      <c r="AQ63" s="38" t="s">
        <v>53</v>
      </c>
      <c r="AR63" s="16" t="s">
        <v>56</v>
      </c>
      <c r="AS63" s="17" t="s">
        <v>56</v>
      </c>
      <c r="AT63" s="38" t="s">
        <v>53</v>
      </c>
      <c r="AU63" s="36">
        <v>66.958322326083788</v>
      </c>
      <c r="AV63" s="37">
        <v>6.1911771026128086</v>
      </c>
      <c r="AW63" s="38" t="s">
        <v>53</v>
      </c>
      <c r="AX63" s="36" t="s">
        <v>55</v>
      </c>
      <c r="AY63" s="37" t="s">
        <v>55</v>
      </c>
      <c r="AZ63" s="38" t="s">
        <v>53</v>
      </c>
      <c r="BA63" s="36" t="s">
        <v>55</v>
      </c>
      <c r="BB63" s="37" t="s">
        <v>55</v>
      </c>
      <c r="BC63" s="39" t="s">
        <v>53</v>
      </c>
    </row>
    <row r="64" spans="1:55" x14ac:dyDescent="0.25">
      <c r="A64" s="15" t="s">
        <v>178</v>
      </c>
      <c r="B64" s="16">
        <v>5.0447744823917055E-2</v>
      </c>
      <c r="C64" s="17">
        <v>3.7316280102998964E-2</v>
      </c>
      <c r="D64" s="38" t="s">
        <v>53</v>
      </c>
      <c r="E64" s="16">
        <v>0.36132451686431266</v>
      </c>
      <c r="F64" s="17">
        <v>0.10521964163279358</v>
      </c>
      <c r="G64" s="38" t="s">
        <v>53</v>
      </c>
      <c r="H64" s="16">
        <v>0.31087677204039554</v>
      </c>
      <c r="I64" s="17">
        <v>0.1138904629439584</v>
      </c>
      <c r="J64" s="38" t="s">
        <v>53</v>
      </c>
      <c r="K64" s="16">
        <v>0.59132947460175755</v>
      </c>
      <c r="L64" s="17">
        <v>5.4140519770224167E-2</v>
      </c>
      <c r="M64" s="38" t="s">
        <v>53</v>
      </c>
      <c r="N64" s="16">
        <v>0.63058276814195935</v>
      </c>
      <c r="O64" s="17">
        <v>9.6103906592392277E-2</v>
      </c>
      <c r="P64" s="38" t="s">
        <v>53</v>
      </c>
      <c r="Q64" s="16">
        <v>3.9253293540201843E-2</v>
      </c>
      <c r="R64" s="17">
        <v>0.11704197777269967</v>
      </c>
      <c r="S64" s="38" t="s">
        <v>53</v>
      </c>
      <c r="T64" s="16">
        <v>0.50016636256675173</v>
      </c>
      <c r="U64" s="17">
        <v>5.0520260255785134E-2</v>
      </c>
      <c r="V64" s="38" t="s">
        <v>53</v>
      </c>
      <c r="W64" s="16">
        <v>0.40714005816655496</v>
      </c>
      <c r="X64" s="17">
        <v>9.6569997210660757E-2</v>
      </c>
      <c r="Y64" s="38" t="s">
        <v>53</v>
      </c>
      <c r="Z64" s="16">
        <v>-9.302630440019688E-2</v>
      </c>
      <c r="AA64" s="17">
        <v>0.12407450294738304</v>
      </c>
      <c r="AB64" s="38" t="s">
        <v>53</v>
      </c>
      <c r="AC64" s="16">
        <v>0.49005452077127543</v>
      </c>
      <c r="AD64" s="17">
        <v>4.5629446961569578E-2</v>
      </c>
      <c r="AE64" s="38" t="s">
        <v>53</v>
      </c>
      <c r="AF64" s="16">
        <v>0.21044078043521219</v>
      </c>
      <c r="AG64" s="17">
        <v>0.11367711177061275</v>
      </c>
      <c r="AH64" s="38" t="s">
        <v>53</v>
      </c>
      <c r="AI64" s="16">
        <v>-0.27961374033606323</v>
      </c>
      <c r="AJ64" s="17">
        <v>0.12979408932076819</v>
      </c>
      <c r="AK64" s="38" t="s">
        <v>53</v>
      </c>
      <c r="AL64" s="16">
        <v>0.28758735557955423</v>
      </c>
      <c r="AM64" s="17">
        <v>4.251029495684315E-2</v>
      </c>
      <c r="AN64" s="38" t="s">
        <v>53</v>
      </c>
      <c r="AO64" s="16">
        <v>0.20351247894965621</v>
      </c>
      <c r="AP64" s="17">
        <v>0.11460719477637268</v>
      </c>
      <c r="AQ64" s="38" t="s">
        <v>53</v>
      </c>
      <c r="AR64" s="16">
        <v>-8.4074876629898015E-2</v>
      </c>
      <c r="AS64" s="17">
        <v>0.12491011360921819</v>
      </c>
      <c r="AT64" s="38" t="s">
        <v>53</v>
      </c>
      <c r="AU64" s="36">
        <v>77.698505077296915</v>
      </c>
      <c r="AV64" s="37">
        <v>2.0319783113744396</v>
      </c>
      <c r="AW64" s="38" t="s">
        <v>53</v>
      </c>
      <c r="AX64" s="36">
        <v>94.709476241405824</v>
      </c>
      <c r="AY64" s="37">
        <v>2.6522438418371714</v>
      </c>
      <c r="AZ64" s="38" t="s">
        <v>53</v>
      </c>
      <c r="BA64" s="36">
        <v>17.010971164108891</v>
      </c>
      <c r="BB64" s="37">
        <v>3.3214515392724477</v>
      </c>
      <c r="BC64" s="39" t="s">
        <v>53</v>
      </c>
    </row>
    <row r="65" spans="1:55" x14ac:dyDescent="0.25">
      <c r="A65" s="15" t="s">
        <v>179</v>
      </c>
      <c r="B65" s="16">
        <v>-0.38287458150888659</v>
      </c>
      <c r="C65" s="17">
        <v>4.9520514546861599E-2</v>
      </c>
      <c r="D65" s="38" t="s">
        <v>53</v>
      </c>
      <c r="E65" s="16">
        <v>0.16576488831657632</v>
      </c>
      <c r="F65" s="17">
        <v>0.1266507558040435</v>
      </c>
      <c r="G65" s="38" t="s">
        <v>53</v>
      </c>
      <c r="H65" s="16">
        <v>0.54863946982546297</v>
      </c>
      <c r="I65" s="17">
        <v>0.14291527283288308</v>
      </c>
      <c r="J65" s="38" t="s">
        <v>53</v>
      </c>
      <c r="K65" s="16">
        <v>0.16797473446789432</v>
      </c>
      <c r="L65" s="17">
        <v>4.6234901413547559E-2</v>
      </c>
      <c r="M65" s="38" t="s">
        <v>53</v>
      </c>
      <c r="N65" s="16">
        <v>0.3848641175873217</v>
      </c>
      <c r="O65" s="17">
        <v>8.9980032425517179E-2</v>
      </c>
      <c r="P65" s="38" t="s">
        <v>53</v>
      </c>
      <c r="Q65" s="16">
        <v>0.21688938311942738</v>
      </c>
      <c r="R65" s="17">
        <v>0.11121134171827038</v>
      </c>
      <c r="S65" s="38" t="s">
        <v>53</v>
      </c>
      <c r="T65" s="16">
        <v>-5.6955692472107557E-2</v>
      </c>
      <c r="U65" s="17">
        <v>5.5921735580371314E-2</v>
      </c>
      <c r="V65" s="38" t="s">
        <v>53</v>
      </c>
      <c r="W65" s="16">
        <v>-1.4306235049343788E-2</v>
      </c>
      <c r="X65" s="17">
        <v>0.12151031508603147</v>
      </c>
      <c r="Y65" s="38" t="s">
        <v>53</v>
      </c>
      <c r="Z65" s="16">
        <v>4.2649457422763763E-2</v>
      </c>
      <c r="AA65" s="17">
        <v>0.13797050303745018</v>
      </c>
      <c r="AB65" s="38" t="s">
        <v>53</v>
      </c>
      <c r="AC65" s="16">
        <v>0.23190661247959629</v>
      </c>
      <c r="AD65" s="17">
        <v>5.0497183333981371E-2</v>
      </c>
      <c r="AE65" s="38" t="s">
        <v>53</v>
      </c>
      <c r="AF65" s="16">
        <v>0.19572814853509385</v>
      </c>
      <c r="AG65" s="17">
        <v>0.13263753702223308</v>
      </c>
      <c r="AH65" s="38" t="s">
        <v>53</v>
      </c>
      <c r="AI65" s="16">
        <v>-3.6178463944502436E-2</v>
      </c>
      <c r="AJ65" s="17">
        <v>0.14245855672685623</v>
      </c>
      <c r="AK65" s="38" t="s">
        <v>53</v>
      </c>
      <c r="AL65" s="16">
        <v>0.32060044409251953</v>
      </c>
      <c r="AM65" s="17">
        <v>4.6598759948383785E-2</v>
      </c>
      <c r="AN65" s="38" t="s">
        <v>53</v>
      </c>
      <c r="AO65" s="16">
        <v>0.34999152895221647</v>
      </c>
      <c r="AP65" s="17">
        <v>0.10001139762274575</v>
      </c>
      <c r="AQ65" s="38" t="s">
        <v>53</v>
      </c>
      <c r="AR65" s="16">
        <v>2.939108485969702E-2</v>
      </c>
      <c r="AS65" s="17">
        <v>0.11447744590763477</v>
      </c>
      <c r="AT65" s="38" t="s">
        <v>53</v>
      </c>
      <c r="AU65" s="36">
        <v>43.18537899281516</v>
      </c>
      <c r="AV65" s="37">
        <v>2.5804622673138291</v>
      </c>
      <c r="AW65" s="38" t="s">
        <v>53</v>
      </c>
      <c r="AX65" s="36">
        <v>77.676281661886918</v>
      </c>
      <c r="AY65" s="37">
        <v>4.6843805369583258</v>
      </c>
      <c r="AZ65" s="38" t="s">
        <v>53</v>
      </c>
      <c r="BA65" s="36">
        <v>34.490902669071758</v>
      </c>
      <c r="BB65" s="37">
        <v>5.5621769029242527</v>
      </c>
      <c r="BC65" s="39" t="s">
        <v>53</v>
      </c>
    </row>
    <row r="66" spans="1:55" x14ac:dyDescent="0.25">
      <c r="A66" s="15" t="s">
        <v>180</v>
      </c>
      <c r="B66" s="16">
        <v>-0.22980366700527607</v>
      </c>
      <c r="C66" s="17">
        <v>3.883988503794808E-2</v>
      </c>
      <c r="D66" s="38" t="s">
        <v>53</v>
      </c>
      <c r="E66" s="16">
        <v>0.39999903267948561</v>
      </c>
      <c r="F66" s="17">
        <v>7.6277100506092543E-2</v>
      </c>
      <c r="G66" s="38" t="s">
        <v>53</v>
      </c>
      <c r="H66" s="16">
        <v>0.62980269968476188</v>
      </c>
      <c r="I66" s="17">
        <v>8.5387924498903353E-2</v>
      </c>
      <c r="J66" s="38" t="s">
        <v>53</v>
      </c>
      <c r="K66" s="16">
        <v>-0.1630558995702675</v>
      </c>
      <c r="L66" s="17">
        <v>5.2839148498963803E-2</v>
      </c>
      <c r="M66" s="38" t="s">
        <v>53</v>
      </c>
      <c r="N66" s="16">
        <v>0.32797471589729732</v>
      </c>
      <c r="O66" s="17">
        <v>6.4626551839089608E-2</v>
      </c>
      <c r="P66" s="38" t="s">
        <v>53</v>
      </c>
      <c r="Q66" s="16">
        <v>0.49103061546756477</v>
      </c>
      <c r="R66" s="17">
        <v>8.7841537555787122E-2</v>
      </c>
      <c r="S66" s="38" t="s">
        <v>53</v>
      </c>
      <c r="T66" s="16">
        <v>-0.12090818585656596</v>
      </c>
      <c r="U66" s="17">
        <v>6.3323978688408541E-2</v>
      </c>
      <c r="V66" s="38" t="s">
        <v>53</v>
      </c>
      <c r="W66" s="16">
        <v>0.20518343364862363</v>
      </c>
      <c r="X66" s="17">
        <v>7.4203476979065153E-2</v>
      </c>
      <c r="Y66" s="38" t="s">
        <v>53</v>
      </c>
      <c r="Z66" s="16">
        <v>0.32609161950518956</v>
      </c>
      <c r="AA66" s="17">
        <v>0.10003411639181774</v>
      </c>
      <c r="AB66" s="38" t="s">
        <v>53</v>
      </c>
      <c r="AC66" s="16">
        <v>1.7974872773098283E-2</v>
      </c>
      <c r="AD66" s="17">
        <v>4.0972340258747943E-2</v>
      </c>
      <c r="AE66" s="38" t="s">
        <v>53</v>
      </c>
      <c r="AF66" s="16">
        <v>-0.11671163182874117</v>
      </c>
      <c r="AG66" s="17">
        <v>8.8937915692388403E-2</v>
      </c>
      <c r="AH66" s="38" t="s">
        <v>53</v>
      </c>
      <c r="AI66" s="16">
        <v>-0.13468650460183942</v>
      </c>
      <c r="AJ66" s="17">
        <v>0.10506329895470311</v>
      </c>
      <c r="AK66" s="38" t="s">
        <v>53</v>
      </c>
      <c r="AL66" s="16">
        <v>-0.33641575631506215</v>
      </c>
      <c r="AM66" s="17">
        <v>5.553417942365739E-2</v>
      </c>
      <c r="AN66" s="38" t="s">
        <v>53</v>
      </c>
      <c r="AO66" s="16">
        <v>-0.20408962103472988</v>
      </c>
      <c r="AP66" s="17">
        <v>7.6207883591089889E-2</v>
      </c>
      <c r="AQ66" s="38" t="s">
        <v>53</v>
      </c>
      <c r="AR66" s="16">
        <v>0.13232613528033219</v>
      </c>
      <c r="AS66" s="17">
        <v>9.8245579137736808E-2</v>
      </c>
      <c r="AT66" s="38" t="s">
        <v>53</v>
      </c>
      <c r="AU66" s="36">
        <v>70.063101832977452</v>
      </c>
      <c r="AV66" s="37">
        <v>2.2388007085041415</v>
      </c>
      <c r="AW66" s="38" t="s">
        <v>53</v>
      </c>
      <c r="AX66" s="36">
        <v>91.804537017495988</v>
      </c>
      <c r="AY66" s="37">
        <v>2.3671763538360038</v>
      </c>
      <c r="AZ66" s="38" t="s">
        <v>53</v>
      </c>
      <c r="BA66" s="36">
        <v>21.741435184518558</v>
      </c>
      <c r="BB66" s="37">
        <v>3.4023819857582827</v>
      </c>
      <c r="BC66" s="39" t="s">
        <v>53</v>
      </c>
    </row>
    <row r="67" spans="1:55" x14ac:dyDescent="0.25">
      <c r="A67" s="15" t="s">
        <v>181</v>
      </c>
      <c r="B67" s="16">
        <v>0.34078228501274027</v>
      </c>
      <c r="C67" s="17">
        <v>8.335122693885913E-2</v>
      </c>
      <c r="D67" s="38" t="s">
        <v>54</v>
      </c>
      <c r="E67" s="16">
        <v>0.68943934819456376</v>
      </c>
      <c r="F67" s="17">
        <v>0.24055731079077844</v>
      </c>
      <c r="G67" s="38" t="s">
        <v>53</v>
      </c>
      <c r="H67" s="16">
        <v>0.3486570631818236</v>
      </c>
      <c r="I67" s="17">
        <v>0.26674197414596929</v>
      </c>
      <c r="J67" s="38" t="s">
        <v>54</v>
      </c>
      <c r="K67" s="16">
        <v>-0.39569730965309891</v>
      </c>
      <c r="L67" s="17">
        <v>0.21340792656921742</v>
      </c>
      <c r="M67" s="38" t="s">
        <v>57</v>
      </c>
      <c r="N67" s="16" t="s">
        <v>56</v>
      </c>
      <c r="O67" s="17" t="s">
        <v>56</v>
      </c>
      <c r="P67" s="38" t="s">
        <v>53</v>
      </c>
      <c r="Q67" s="16" t="s">
        <v>56</v>
      </c>
      <c r="R67" s="17" t="s">
        <v>56</v>
      </c>
      <c r="S67" s="38" t="s">
        <v>53</v>
      </c>
      <c r="T67" s="16">
        <v>7.7562493185724057E-2</v>
      </c>
      <c r="U67" s="17">
        <v>0.22361094174602628</v>
      </c>
      <c r="V67" s="38" t="s">
        <v>57</v>
      </c>
      <c r="W67" s="16" t="s">
        <v>56</v>
      </c>
      <c r="X67" s="17" t="s">
        <v>56</v>
      </c>
      <c r="Y67" s="38" t="s">
        <v>53</v>
      </c>
      <c r="Z67" s="16" t="s">
        <v>56</v>
      </c>
      <c r="AA67" s="17" t="s">
        <v>56</v>
      </c>
      <c r="AB67" s="38" t="s">
        <v>53</v>
      </c>
      <c r="AC67" s="16">
        <v>0.3849113010446264</v>
      </c>
      <c r="AD67" s="17">
        <v>0.18841276346485586</v>
      </c>
      <c r="AE67" s="38" t="s">
        <v>57</v>
      </c>
      <c r="AF67" s="16" t="s">
        <v>56</v>
      </c>
      <c r="AG67" s="17" t="s">
        <v>56</v>
      </c>
      <c r="AH67" s="38" t="s">
        <v>53</v>
      </c>
      <c r="AI67" s="16" t="s">
        <v>56</v>
      </c>
      <c r="AJ67" s="17" t="s">
        <v>56</v>
      </c>
      <c r="AK67" s="38" t="s">
        <v>53</v>
      </c>
      <c r="AL67" s="16">
        <v>0.18064347928423485</v>
      </c>
      <c r="AM67" s="17">
        <v>0.23202579502720991</v>
      </c>
      <c r="AN67" s="38" t="s">
        <v>57</v>
      </c>
      <c r="AO67" s="16" t="s">
        <v>56</v>
      </c>
      <c r="AP67" s="17" t="s">
        <v>56</v>
      </c>
      <c r="AQ67" s="38" t="s">
        <v>53</v>
      </c>
      <c r="AR67" s="16" t="s">
        <v>56</v>
      </c>
      <c r="AS67" s="17" t="s">
        <v>56</v>
      </c>
      <c r="AT67" s="38" t="s">
        <v>53</v>
      </c>
      <c r="AU67" s="36">
        <v>48.172960812812583</v>
      </c>
      <c r="AV67" s="37">
        <v>6.5488628197411787</v>
      </c>
      <c r="AW67" s="38" t="s">
        <v>53</v>
      </c>
      <c r="AX67" s="36">
        <v>68.593905507711739</v>
      </c>
      <c r="AY67" s="37">
        <v>11.725208839978636</v>
      </c>
      <c r="AZ67" s="38" t="s">
        <v>53</v>
      </c>
      <c r="BA67" s="36">
        <v>20.420944694899152</v>
      </c>
      <c r="BB67" s="37">
        <v>12.611832177222041</v>
      </c>
      <c r="BC67" s="39" t="s">
        <v>53</v>
      </c>
    </row>
    <row r="68" spans="1:55" x14ac:dyDescent="0.25">
      <c r="A68" s="15" t="s">
        <v>182</v>
      </c>
      <c r="B68" s="16">
        <v>0.10439188568641328</v>
      </c>
      <c r="C68" s="17">
        <v>8.5874262401274451E-2</v>
      </c>
      <c r="D68" s="38" t="s">
        <v>54</v>
      </c>
      <c r="E68" s="16" t="s">
        <v>56</v>
      </c>
      <c r="F68" s="17" t="s">
        <v>56</v>
      </c>
      <c r="G68" s="38" t="s">
        <v>53</v>
      </c>
      <c r="H68" s="16" t="s">
        <v>56</v>
      </c>
      <c r="I68" s="17" t="s">
        <v>56</v>
      </c>
      <c r="J68" s="38" t="s">
        <v>53</v>
      </c>
      <c r="K68" s="16">
        <v>-0.17538443356040326</v>
      </c>
      <c r="L68" s="17">
        <v>0.19748970124204829</v>
      </c>
      <c r="M68" s="38" t="s">
        <v>54</v>
      </c>
      <c r="N68" s="16" t="s">
        <v>56</v>
      </c>
      <c r="O68" s="17" t="s">
        <v>56</v>
      </c>
      <c r="P68" s="38" t="s">
        <v>53</v>
      </c>
      <c r="Q68" s="16" t="s">
        <v>56</v>
      </c>
      <c r="R68" s="17" t="s">
        <v>56</v>
      </c>
      <c r="S68" s="38" t="s">
        <v>53</v>
      </c>
      <c r="T68" s="16">
        <v>7.0054850096884932E-2</v>
      </c>
      <c r="U68" s="17">
        <v>0.24095146082647614</v>
      </c>
      <c r="V68" s="38" t="s">
        <v>54</v>
      </c>
      <c r="W68" s="16" t="s">
        <v>56</v>
      </c>
      <c r="X68" s="17" t="s">
        <v>56</v>
      </c>
      <c r="Y68" s="38" t="s">
        <v>53</v>
      </c>
      <c r="Z68" s="16" t="s">
        <v>56</v>
      </c>
      <c r="AA68" s="17" t="s">
        <v>56</v>
      </c>
      <c r="AB68" s="38" t="s">
        <v>53</v>
      </c>
      <c r="AC68" s="16">
        <v>-0.10408025493378098</v>
      </c>
      <c r="AD68" s="17">
        <v>0.20897453821661216</v>
      </c>
      <c r="AE68" s="38" t="s">
        <v>54</v>
      </c>
      <c r="AF68" s="16" t="s">
        <v>56</v>
      </c>
      <c r="AG68" s="17" t="s">
        <v>56</v>
      </c>
      <c r="AH68" s="38" t="s">
        <v>53</v>
      </c>
      <c r="AI68" s="16" t="s">
        <v>56</v>
      </c>
      <c r="AJ68" s="17" t="s">
        <v>56</v>
      </c>
      <c r="AK68" s="38" t="s">
        <v>53</v>
      </c>
      <c r="AL68" s="16">
        <v>-0.24255105521333384</v>
      </c>
      <c r="AM68" s="17">
        <v>0.22533248719571511</v>
      </c>
      <c r="AN68" s="38" t="s">
        <v>53</v>
      </c>
      <c r="AO68" s="16" t="s">
        <v>56</v>
      </c>
      <c r="AP68" s="17" t="s">
        <v>56</v>
      </c>
      <c r="AQ68" s="38" t="s">
        <v>53</v>
      </c>
      <c r="AR68" s="16" t="s">
        <v>56</v>
      </c>
      <c r="AS68" s="17" t="s">
        <v>56</v>
      </c>
      <c r="AT68" s="38" t="s">
        <v>53</v>
      </c>
      <c r="AU68" s="36">
        <v>56.948861961700736</v>
      </c>
      <c r="AV68" s="37">
        <v>7.2093841747761118</v>
      </c>
      <c r="AW68" s="38" t="s">
        <v>53</v>
      </c>
      <c r="AX68" s="36" t="s">
        <v>55</v>
      </c>
      <c r="AY68" s="37" t="s">
        <v>55</v>
      </c>
      <c r="AZ68" s="38" t="s">
        <v>53</v>
      </c>
      <c r="BA68" s="36" t="s">
        <v>55</v>
      </c>
      <c r="BB68" s="37" t="s">
        <v>55</v>
      </c>
      <c r="BC68" s="39" t="s">
        <v>53</v>
      </c>
    </row>
    <row r="69" spans="1:55" x14ac:dyDescent="0.25">
      <c r="A69" s="15" t="s">
        <v>229</v>
      </c>
      <c r="B69" s="16">
        <v>0.22540654029851331</v>
      </c>
      <c r="C69" s="17">
        <v>2.5119930004682243E-2</v>
      </c>
      <c r="D69" s="38" t="s">
        <v>53</v>
      </c>
      <c r="E69" s="16">
        <v>0.67261873682575446</v>
      </c>
      <c r="F69" s="17">
        <v>4.2789992213227601E-2</v>
      </c>
      <c r="G69" s="38" t="s">
        <v>53</v>
      </c>
      <c r="H69" s="16">
        <v>0.4472121965272412</v>
      </c>
      <c r="I69" s="17">
        <v>5.35526920449233E-2</v>
      </c>
      <c r="J69" s="38" t="s">
        <v>53</v>
      </c>
      <c r="K69" s="16">
        <v>-2.597699550897492E-2</v>
      </c>
      <c r="L69" s="17">
        <v>2.6672952383158061E-2</v>
      </c>
      <c r="M69" s="38" t="s">
        <v>53</v>
      </c>
      <c r="N69" s="16">
        <v>3.8459829370278725E-2</v>
      </c>
      <c r="O69" s="17">
        <v>4.2440918338089544E-2</v>
      </c>
      <c r="P69" s="38" t="s">
        <v>53</v>
      </c>
      <c r="Q69" s="16">
        <v>6.443682487925366E-2</v>
      </c>
      <c r="R69" s="17">
        <v>4.858518368614282E-2</v>
      </c>
      <c r="S69" s="38" t="s">
        <v>53</v>
      </c>
      <c r="T69" s="16">
        <v>-8.6740213265420987E-2</v>
      </c>
      <c r="U69" s="17">
        <v>2.8088959121107236E-2</v>
      </c>
      <c r="V69" s="38" t="s">
        <v>53</v>
      </c>
      <c r="W69" s="16">
        <v>9.9197128569843418E-2</v>
      </c>
      <c r="X69" s="17">
        <v>4.4899560944683593E-2</v>
      </c>
      <c r="Y69" s="38" t="s">
        <v>53</v>
      </c>
      <c r="Z69" s="16">
        <v>0.18593734183526442</v>
      </c>
      <c r="AA69" s="17">
        <v>5.4553401729169032E-2</v>
      </c>
      <c r="AB69" s="38" t="s">
        <v>53</v>
      </c>
      <c r="AC69" s="16">
        <v>-7.2287525516025978E-4</v>
      </c>
      <c r="AD69" s="17">
        <v>2.77515945237687E-2</v>
      </c>
      <c r="AE69" s="38" t="s">
        <v>53</v>
      </c>
      <c r="AF69" s="16">
        <v>-0.11471522551580277</v>
      </c>
      <c r="AG69" s="17">
        <v>4.537667341568162E-2</v>
      </c>
      <c r="AH69" s="38" t="s">
        <v>53</v>
      </c>
      <c r="AI69" s="16">
        <v>-0.1139923502606425</v>
      </c>
      <c r="AJ69" s="17">
        <v>5.4435260817599897E-2</v>
      </c>
      <c r="AK69" s="38" t="s">
        <v>53</v>
      </c>
      <c r="AL69" s="16">
        <v>-3.5594129463119836E-2</v>
      </c>
      <c r="AM69" s="17">
        <v>3.0795318115851275E-2</v>
      </c>
      <c r="AN69" s="38" t="s">
        <v>53</v>
      </c>
      <c r="AO69" s="16">
        <v>1.6280619196936841E-2</v>
      </c>
      <c r="AP69" s="17">
        <v>4.4632665166945314E-2</v>
      </c>
      <c r="AQ69" s="38" t="s">
        <v>53</v>
      </c>
      <c r="AR69" s="16">
        <v>5.1874748660056681E-2</v>
      </c>
      <c r="AS69" s="17">
        <v>5.5116674369475822E-2</v>
      </c>
      <c r="AT69" s="38" t="s">
        <v>53</v>
      </c>
      <c r="AU69" s="36">
        <v>69.346250971879357</v>
      </c>
      <c r="AV69" s="37">
        <v>1.6743902111198601</v>
      </c>
      <c r="AW69" s="38" t="s">
        <v>53</v>
      </c>
      <c r="AX69" s="36">
        <v>91.596880114230217</v>
      </c>
      <c r="AY69" s="37">
        <v>1.2059542688522997</v>
      </c>
      <c r="AZ69" s="38" t="s">
        <v>53</v>
      </c>
      <c r="BA69" s="36">
        <v>22.250629142350881</v>
      </c>
      <c r="BB69" s="37">
        <v>2.0807855202660526</v>
      </c>
      <c r="BC69" s="39" t="s">
        <v>53</v>
      </c>
    </row>
    <row r="70" spans="1:55" x14ac:dyDescent="0.25">
      <c r="A70" s="15" t="s">
        <v>183</v>
      </c>
      <c r="B70" s="16">
        <v>0.17807204632238563</v>
      </c>
      <c r="C70" s="17">
        <v>0.1016063822526652</v>
      </c>
      <c r="D70" s="38" t="s">
        <v>53</v>
      </c>
      <c r="E70" s="16" t="s">
        <v>56</v>
      </c>
      <c r="F70" s="17" t="s">
        <v>56</v>
      </c>
      <c r="G70" s="38" t="s">
        <v>53</v>
      </c>
      <c r="H70" s="16" t="s">
        <v>55</v>
      </c>
      <c r="I70" s="17" t="s">
        <v>55</v>
      </c>
      <c r="J70" s="38" t="s">
        <v>53</v>
      </c>
      <c r="K70" s="16">
        <v>-0.10032362669041298</v>
      </c>
      <c r="L70" s="17">
        <v>0.28753542699529522</v>
      </c>
      <c r="M70" s="38" t="s">
        <v>53</v>
      </c>
      <c r="N70" s="16" t="s">
        <v>56</v>
      </c>
      <c r="O70" s="17" t="s">
        <v>56</v>
      </c>
      <c r="P70" s="38" t="s">
        <v>53</v>
      </c>
      <c r="Q70" s="16" t="s">
        <v>55</v>
      </c>
      <c r="R70" s="17" t="s">
        <v>55</v>
      </c>
      <c r="S70" s="38" t="s">
        <v>53</v>
      </c>
      <c r="T70" s="16" t="s">
        <v>56</v>
      </c>
      <c r="U70" s="17" t="s">
        <v>56</v>
      </c>
      <c r="V70" s="38" t="s">
        <v>53</v>
      </c>
      <c r="W70" s="16" t="s">
        <v>56</v>
      </c>
      <c r="X70" s="17" t="s">
        <v>56</v>
      </c>
      <c r="Y70" s="38" t="s">
        <v>53</v>
      </c>
      <c r="Z70" s="16" t="s">
        <v>55</v>
      </c>
      <c r="AA70" s="17" t="s">
        <v>55</v>
      </c>
      <c r="AB70" s="38" t="s">
        <v>53</v>
      </c>
      <c r="AC70" s="16" t="s">
        <v>56</v>
      </c>
      <c r="AD70" s="17" t="s">
        <v>56</v>
      </c>
      <c r="AE70" s="38" t="s">
        <v>53</v>
      </c>
      <c r="AF70" s="16" t="s">
        <v>56</v>
      </c>
      <c r="AG70" s="17" t="s">
        <v>56</v>
      </c>
      <c r="AH70" s="38" t="s">
        <v>53</v>
      </c>
      <c r="AI70" s="16" t="s">
        <v>55</v>
      </c>
      <c r="AJ70" s="17" t="s">
        <v>55</v>
      </c>
      <c r="AK70" s="38" t="s">
        <v>53</v>
      </c>
      <c r="AL70" s="16" t="s">
        <v>56</v>
      </c>
      <c r="AM70" s="17" t="s">
        <v>56</v>
      </c>
      <c r="AN70" s="38" t="s">
        <v>53</v>
      </c>
      <c r="AO70" s="16" t="s">
        <v>56</v>
      </c>
      <c r="AP70" s="17" t="s">
        <v>56</v>
      </c>
      <c r="AQ70" s="38" t="s">
        <v>53</v>
      </c>
      <c r="AR70" s="16" t="s">
        <v>55</v>
      </c>
      <c r="AS70" s="17" t="s">
        <v>55</v>
      </c>
      <c r="AT70" s="38" t="s">
        <v>53</v>
      </c>
      <c r="AU70" s="36">
        <v>41.331296547136347</v>
      </c>
      <c r="AV70" s="37">
        <v>13.197499036723201</v>
      </c>
      <c r="AW70" s="38" t="s">
        <v>53</v>
      </c>
      <c r="AX70" s="36" t="s">
        <v>55</v>
      </c>
      <c r="AY70" s="37" t="s">
        <v>55</v>
      </c>
      <c r="AZ70" s="38" t="s">
        <v>53</v>
      </c>
      <c r="BA70" s="36" t="s">
        <v>55</v>
      </c>
      <c r="BB70" s="37" t="s">
        <v>55</v>
      </c>
      <c r="BC70" s="39" t="s">
        <v>53</v>
      </c>
    </row>
    <row r="71" spans="1:55" x14ac:dyDescent="0.25">
      <c r="A71" s="15" t="s">
        <v>184</v>
      </c>
      <c r="B71" s="16">
        <v>0.43185876566210402</v>
      </c>
      <c r="C71" s="17">
        <v>3.0817702020082945E-2</v>
      </c>
      <c r="D71" s="38" t="s">
        <v>53</v>
      </c>
      <c r="E71" s="16">
        <v>0.73554641030837498</v>
      </c>
      <c r="F71" s="17">
        <v>7.1141542869246344E-2</v>
      </c>
      <c r="G71" s="38" t="s">
        <v>53</v>
      </c>
      <c r="H71" s="16">
        <v>0.30368764464627085</v>
      </c>
      <c r="I71" s="17">
        <v>8.1575504270551949E-2</v>
      </c>
      <c r="J71" s="38" t="s">
        <v>53</v>
      </c>
      <c r="K71" s="16">
        <v>0.25931303990726823</v>
      </c>
      <c r="L71" s="17">
        <v>6.1107708550066586E-2</v>
      </c>
      <c r="M71" s="38" t="s">
        <v>53</v>
      </c>
      <c r="N71" s="16">
        <v>0.87395471264833147</v>
      </c>
      <c r="O71" s="17">
        <v>8.3925235272450285E-2</v>
      </c>
      <c r="P71" s="38" t="s">
        <v>53</v>
      </c>
      <c r="Q71" s="16">
        <v>0.61464167274106307</v>
      </c>
      <c r="R71" s="17">
        <v>9.1873167302387787E-2</v>
      </c>
      <c r="S71" s="38" t="s">
        <v>53</v>
      </c>
      <c r="T71" s="16">
        <v>0.51283731724838966</v>
      </c>
      <c r="U71" s="17">
        <v>5.1870559666531535E-2</v>
      </c>
      <c r="V71" s="38" t="s">
        <v>53</v>
      </c>
      <c r="W71" s="16">
        <v>0.78568071250152616</v>
      </c>
      <c r="X71" s="17">
        <v>5.8351241807601616E-2</v>
      </c>
      <c r="Y71" s="38" t="s">
        <v>53</v>
      </c>
      <c r="Z71" s="16">
        <v>0.2728433952531365</v>
      </c>
      <c r="AA71" s="17">
        <v>8.3306075883792477E-2</v>
      </c>
      <c r="AB71" s="38" t="s">
        <v>53</v>
      </c>
      <c r="AC71" s="16">
        <v>0.39089811056123414</v>
      </c>
      <c r="AD71" s="17">
        <v>4.1690928523754979E-2</v>
      </c>
      <c r="AE71" s="38" t="s">
        <v>53</v>
      </c>
      <c r="AF71" s="16">
        <v>0.53159697832910024</v>
      </c>
      <c r="AG71" s="17">
        <v>5.8292691291664978E-2</v>
      </c>
      <c r="AH71" s="38" t="s">
        <v>53</v>
      </c>
      <c r="AI71" s="16">
        <v>0.14069886776786614</v>
      </c>
      <c r="AJ71" s="17">
        <v>6.9745235008275064E-2</v>
      </c>
      <c r="AK71" s="38" t="s">
        <v>53</v>
      </c>
      <c r="AL71" s="16">
        <v>-0.29883455576606677</v>
      </c>
      <c r="AM71" s="17">
        <v>5.0369395968963934E-2</v>
      </c>
      <c r="AN71" s="38" t="s">
        <v>53</v>
      </c>
      <c r="AO71" s="16">
        <v>0.13632138454166284</v>
      </c>
      <c r="AP71" s="17">
        <v>6.1193666265501552E-2</v>
      </c>
      <c r="AQ71" s="38" t="s">
        <v>53</v>
      </c>
      <c r="AR71" s="16">
        <v>0.43515594030772969</v>
      </c>
      <c r="AS71" s="17">
        <v>8.4728679986186745E-2</v>
      </c>
      <c r="AT71" s="38" t="s">
        <v>53</v>
      </c>
      <c r="AU71" s="36">
        <v>52.711465094368151</v>
      </c>
      <c r="AV71" s="37">
        <v>2.1727011388171844</v>
      </c>
      <c r="AW71" s="38" t="s">
        <v>53</v>
      </c>
      <c r="AX71" s="36">
        <v>81.929580127484726</v>
      </c>
      <c r="AY71" s="37">
        <v>3.0881226286892871</v>
      </c>
      <c r="AZ71" s="38" t="s">
        <v>53</v>
      </c>
      <c r="BA71" s="36">
        <v>29.218115033116582</v>
      </c>
      <c r="BB71" s="37">
        <v>3.943906524717042</v>
      </c>
      <c r="BC71" s="39" t="s">
        <v>53</v>
      </c>
    </row>
    <row r="72" spans="1:55" x14ac:dyDescent="0.25">
      <c r="A72" s="15" t="s">
        <v>185</v>
      </c>
      <c r="B72" s="16">
        <v>0.53629898827217726</v>
      </c>
      <c r="C72" s="17">
        <v>2.557529947106113E-2</v>
      </c>
      <c r="D72" s="38" t="s">
        <v>53</v>
      </c>
      <c r="E72" s="16">
        <v>0.55602612510443794</v>
      </c>
      <c r="F72" s="17">
        <v>5.3137898396807659E-2</v>
      </c>
      <c r="G72" s="38" t="s">
        <v>53</v>
      </c>
      <c r="H72" s="16">
        <v>1.9727136832260597E-2</v>
      </c>
      <c r="I72" s="17">
        <v>6.6180653562792249E-2</v>
      </c>
      <c r="J72" s="38" t="s">
        <v>53</v>
      </c>
      <c r="K72" s="16">
        <v>3.5421902779816314E-2</v>
      </c>
      <c r="L72" s="17">
        <v>4.5616754868998084E-2</v>
      </c>
      <c r="M72" s="38" t="s">
        <v>53</v>
      </c>
      <c r="N72" s="16">
        <v>2.3518048651199195E-2</v>
      </c>
      <c r="O72" s="17">
        <v>7.0784722070267203E-2</v>
      </c>
      <c r="P72" s="38" t="s">
        <v>53</v>
      </c>
      <c r="Q72" s="16">
        <v>-1.1903854128617121E-2</v>
      </c>
      <c r="R72" s="17">
        <v>9.3894898181903066E-2</v>
      </c>
      <c r="S72" s="38" t="s">
        <v>53</v>
      </c>
      <c r="T72" s="16">
        <v>0.57810893057208779</v>
      </c>
      <c r="U72" s="17">
        <v>5.0111478906650353E-2</v>
      </c>
      <c r="V72" s="38" t="s">
        <v>53</v>
      </c>
      <c r="W72" s="16">
        <v>0.38174010230472616</v>
      </c>
      <c r="X72" s="17">
        <v>6.9883685711553539E-2</v>
      </c>
      <c r="Y72" s="38" t="s">
        <v>53</v>
      </c>
      <c r="Z72" s="16">
        <v>-0.19636882826736149</v>
      </c>
      <c r="AA72" s="17">
        <v>9.1002997323283624E-2</v>
      </c>
      <c r="AB72" s="38" t="s">
        <v>53</v>
      </c>
      <c r="AC72" s="16">
        <v>0.46280461064622946</v>
      </c>
      <c r="AD72" s="17">
        <v>3.4743689336697824E-2</v>
      </c>
      <c r="AE72" s="38" t="s">
        <v>53</v>
      </c>
      <c r="AF72" s="16">
        <v>0.34197147629552882</v>
      </c>
      <c r="AG72" s="17">
        <v>8.1231052907063728E-2</v>
      </c>
      <c r="AH72" s="38" t="s">
        <v>53</v>
      </c>
      <c r="AI72" s="16">
        <v>-0.12083313435070063</v>
      </c>
      <c r="AJ72" s="17">
        <v>9.1828942662200166E-2</v>
      </c>
      <c r="AK72" s="38" t="s">
        <v>53</v>
      </c>
      <c r="AL72" s="16">
        <v>0.5805226254721827</v>
      </c>
      <c r="AM72" s="17">
        <v>4.8514072317506533E-2</v>
      </c>
      <c r="AN72" s="38" t="s">
        <v>53</v>
      </c>
      <c r="AO72" s="16">
        <v>0.40135911118840301</v>
      </c>
      <c r="AP72" s="17">
        <v>6.1403660745583497E-2</v>
      </c>
      <c r="AQ72" s="38" t="s">
        <v>53</v>
      </c>
      <c r="AR72" s="16">
        <v>-0.17916351428377963</v>
      </c>
      <c r="AS72" s="17">
        <v>7.8763659092916799E-2</v>
      </c>
      <c r="AT72" s="38" t="s">
        <v>53</v>
      </c>
      <c r="AU72" s="36">
        <v>52.063471610664678</v>
      </c>
      <c r="AV72" s="37">
        <v>2.2900411078031051</v>
      </c>
      <c r="AW72" s="38" t="s">
        <v>53</v>
      </c>
      <c r="AX72" s="36">
        <v>72.935846567429024</v>
      </c>
      <c r="AY72" s="37">
        <v>3.0700893091569958</v>
      </c>
      <c r="AZ72" s="38" t="s">
        <v>53</v>
      </c>
      <c r="BA72" s="36">
        <v>20.87237495676435</v>
      </c>
      <c r="BB72" s="37">
        <v>3.9050277884284919</v>
      </c>
      <c r="BC72" s="39" t="s">
        <v>53</v>
      </c>
    </row>
    <row r="73" spans="1:55" x14ac:dyDescent="0.25">
      <c r="A73" s="15" t="s">
        <v>186</v>
      </c>
      <c r="B73" s="16">
        <v>0.45147668214833658</v>
      </c>
      <c r="C73" s="17">
        <v>0.10436340671671297</v>
      </c>
      <c r="D73" s="38" t="s">
        <v>53</v>
      </c>
      <c r="E73" s="16" t="s">
        <v>56</v>
      </c>
      <c r="F73" s="17" t="s">
        <v>56</v>
      </c>
      <c r="G73" s="38" t="s">
        <v>53</v>
      </c>
      <c r="H73" s="16" t="s">
        <v>56</v>
      </c>
      <c r="I73" s="17" t="s">
        <v>56</v>
      </c>
      <c r="J73" s="38" t="s">
        <v>53</v>
      </c>
      <c r="K73" s="16">
        <v>0.27554223458735427</v>
      </c>
      <c r="L73" s="17">
        <v>0.17449035245965475</v>
      </c>
      <c r="M73" s="38" t="s">
        <v>53</v>
      </c>
      <c r="N73" s="16" t="s">
        <v>56</v>
      </c>
      <c r="O73" s="17" t="s">
        <v>56</v>
      </c>
      <c r="P73" s="38" t="s">
        <v>53</v>
      </c>
      <c r="Q73" s="16" t="s">
        <v>56</v>
      </c>
      <c r="R73" s="17" t="s">
        <v>56</v>
      </c>
      <c r="S73" s="38" t="s">
        <v>53</v>
      </c>
      <c r="T73" s="16">
        <v>0.52915395125622455</v>
      </c>
      <c r="U73" s="17">
        <v>0.15852837303384551</v>
      </c>
      <c r="V73" s="38" t="s">
        <v>53</v>
      </c>
      <c r="W73" s="16" t="s">
        <v>56</v>
      </c>
      <c r="X73" s="17" t="s">
        <v>56</v>
      </c>
      <c r="Y73" s="38" t="s">
        <v>53</v>
      </c>
      <c r="Z73" s="16" t="s">
        <v>56</v>
      </c>
      <c r="AA73" s="17" t="s">
        <v>56</v>
      </c>
      <c r="AB73" s="38" t="s">
        <v>53</v>
      </c>
      <c r="AC73" s="16">
        <v>0.637457406887738</v>
      </c>
      <c r="AD73" s="17">
        <v>0.13559018521982746</v>
      </c>
      <c r="AE73" s="38" t="s">
        <v>53</v>
      </c>
      <c r="AF73" s="16" t="s">
        <v>56</v>
      </c>
      <c r="AG73" s="17" t="s">
        <v>56</v>
      </c>
      <c r="AH73" s="38" t="s">
        <v>53</v>
      </c>
      <c r="AI73" s="16" t="s">
        <v>56</v>
      </c>
      <c r="AJ73" s="17" t="s">
        <v>56</v>
      </c>
      <c r="AK73" s="38" t="s">
        <v>53</v>
      </c>
      <c r="AL73" s="16">
        <v>0.54004912268258776</v>
      </c>
      <c r="AM73" s="17">
        <v>0.11422619514553783</v>
      </c>
      <c r="AN73" s="38" t="s">
        <v>53</v>
      </c>
      <c r="AO73" s="16" t="s">
        <v>56</v>
      </c>
      <c r="AP73" s="17" t="s">
        <v>56</v>
      </c>
      <c r="AQ73" s="38" t="s">
        <v>53</v>
      </c>
      <c r="AR73" s="16" t="s">
        <v>56</v>
      </c>
      <c r="AS73" s="17" t="s">
        <v>56</v>
      </c>
      <c r="AT73" s="38" t="s">
        <v>53</v>
      </c>
      <c r="AU73" s="36">
        <v>61.583560431173943</v>
      </c>
      <c r="AV73" s="37">
        <v>7.7257439608445253</v>
      </c>
      <c r="AW73" s="38" t="s">
        <v>53</v>
      </c>
      <c r="AX73" s="36" t="s">
        <v>55</v>
      </c>
      <c r="AY73" s="37" t="s">
        <v>55</v>
      </c>
      <c r="AZ73" s="38" t="s">
        <v>53</v>
      </c>
      <c r="BA73" s="36" t="s">
        <v>55</v>
      </c>
      <c r="BB73" s="37" t="s">
        <v>55</v>
      </c>
      <c r="BC73" s="39" t="s">
        <v>53</v>
      </c>
    </row>
    <row r="74" spans="1:55" x14ac:dyDescent="0.25">
      <c r="A74" s="15" t="s">
        <v>187</v>
      </c>
      <c r="B74" s="16" t="s">
        <v>55</v>
      </c>
      <c r="C74" s="17" t="s">
        <v>55</v>
      </c>
      <c r="D74" s="38" t="s">
        <v>53</v>
      </c>
      <c r="E74" s="16" t="s">
        <v>55</v>
      </c>
      <c r="F74" s="17" t="s">
        <v>55</v>
      </c>
      <c r="G74" s="38" t="s">
        <v>53</v>
      </c>
      <c r="H74" s="16" t="s">
        <v>55</v>
      </c>
      <c r="I74" s="17" t="s">
        <v>55</v>
      </c>
      <c r="J74" s="38" t="s">
        <v>53</v>
      </c>
      <c r="K74" s="16">
        <v>-0.20903201856385356</v>
      </c>
      <c r="L74" s="17">
        <v>0.1068117846208551</v>
      </c>
      <c r="M74" s="38" t="s">
        <v>53</v>
      </c>
      <c r="N74" s="16">
        <v>0.30193465782479162</v>
      </c>
      <c r="O74" s="17">
        <v>0.17779892675299061</v>
      </c>
      <c r="P74" s="38" t="s">
        <v>53</v>
      </c>
      <c r="Q74" s="16">
        <v>0.51096667638864524</v>
      </c>
      <c r="R74" s="17">
        <v>0.22866394634035603</v>
      </c>
      <c r="S74" s="38" t="s">
        <v>53</v>
      </c>
      <c r="T74" s="16" t="s">
        <v>55</v>
      </c>
      <c r="U74" s="17" t="s">
        <v>55</v>
      </c>
      <c r="V74" s="38" t="s">
        <v>53</v>
      </c>
      <c r="W74" s="16" t="s">
        <v>55</v>
      </c>
      <c r="X74" s="17" t="s">
        <v>55</v>
      </c>
      <c r="Y74" s="38" t="s">
        <v>53</v>
      </c>
      <c r="Z74" s="16" t="s">
        <v>55</v>
      </c>
      <c r="AA74" s="17" t="s">
        <v>55</v>
      </c>
      <c r="AB74" s="38" t="s">
        <v>53</v>
      </c>
      <c r="AC74" s="16">
        <v>-9.9324031455312711E-2</v>
      </c>
      <c r="AD74" s="17">
        <v>9.1195326655388639E-2</v>
      </c>
      <c r="AE74" s="38" t="s">
        <v>53</v>
      </c>
      <c r="AF74" s="16">
        <v>0.63043621957906826</v>
      </c>
      <c r="AG74" s="17">
        <v>0.15848616416729061</v>
      </c>
      <c r="AH74" s="38" t="s">
        <v>53</v>
      </c>
      <c r="AI74" s="16">
        <v>0.72976025103438102</v>
      </c>
      <c r="AJ74" s="17">
        <v>0.18952416399388844</v>
      </c>
      <c r="AK74" s="38" t="s">
        <v>53</v>
      </c>
      <c r="AL74" s="16">
        <v>-0.85470436834212515</v>
      </c>
      <c r="AM74" s="17">
        <v>8.9742028942710106E-2</v>
      </c>
      <c r="AN74" s="38" t="s">
        <v>53</v>
      </c>
      <c r="AO74" s="16">
        <v>0.15568444794505193</v>
      </c>
      <c r="AP74" s="17">
        <v>0.1527895212614046</v>
      </c>
      <c r="AQ74" s="38" t="s">
        <v>53</v>
      </c>
      <c r="AR74" s="16">
        <v>1.010388816287177</v>
      </c>
      <c r="AS74" s="17">
        <v>0.19544253695344527</v>
      </c>
      <c r="AT74" s="38" t="s">
        <v>53</v>
      </c>
      <c r="AU74" s="36">
        <v>42.241166029896426</v>
      </c>
      <c r="AV74" s="37">
        <v>3.95208523095449</v>
      </c>
      <c r="AW74" s="38" t="s">
        <v>53</v>
      </c>
      <c r="AX74" s="36">
        <v>69.874015682719076</v>
      </c>
      <c r="AY74" s="37">
        <v>8.1517396123946106</v>
      </c>
      <c r="AZ74" s="38" t="s">
        <v>53</v>
      </c>
      <c r="BA74" s="36">
        <v>27.63284965282266</v>
      </c>
      <c r="BB74" s="37">
        <v>9.9093369394856357</v>
      </c>
      <c r="BC74" s="39" t="s">
        <v>53</v>
      </c>
    </row>
    <row r="75" spans="1:55" x14ac:dyDescent="0.25">
      <c r="A75" s="15" t="s">
        <v>188</v>
      </c>
      <c r="B75" s="16">
        <v>0.18891965982996201</v>
      </c>
      <c r="C75" s="17">
        <v>2.1300762141778382E-2</v>
      </c>
      <c r="D75" s="38" t="s">
        <v>53</v>
      </c>
      <c r="E75" s="16">
        <v>0.69204567454892618</v>
      </c>
      <c r="F75" s="17">
        <v>3.2346884275634209E-2</v>
      </c>
      <c r="G75" s="38" t="s">
        <v>53</v>
      </c>
      <c r="H75" s="16">
        <v>0.50312601471896412</v>
      </c>
      <c r="I75" s="17">
        <v>4.0330424645958672E-2</v>
      </c>
      <c r="J75" s="38" t="s">
        <v>53</v>
      </c>
      <c r="K75" s="16">
        <v>-1.465156040103318E-2</v>
      </c>
      <c r="L75" s="17">
        <v>2.1390970168771752E-2</v>
      </c>
      <c r="M75" s="38" t="s">
        <v>53</v>
      </c>
      <c r="N75" s="16">
        <v>0.13832164630072749</v>
      </c>
      <c r="O75" s="17">
        <v>3.6135923996218358E-2</v>
      </c>
      <c r="P75" s="38" t="s">
        <v>53</v>
      </c>
      <c r="Q75" s="16">
        <v>0.15297320670176068</v>
      </c>
      <c r="R75" s="17">
        <v>4.7202821057625237E-2</v>
      </c>
      <c r="S75" s="38" t="s">
        <v>53</v>
      </c>
      <c r="T75" s="16">
        <v>-0.25494251325094752</v>
      </c>
      <c r="U75" s="17">
        <v>2.2118239859403716E-2</v>
      </c>
      <c r="V75" s="38" t="s">
        <v>53</v>
      </c>
      <c r="W75" s="16">
        <v>5.5567363839207365E-2</v>
      </c>
      <c r="X75" s="17">
        <v>3.7970501484910324E-2</v>
      </c>
      <c r="Y75" s="38" t="s">
        <v>53</v>
      </c>
      <c r="Z75" s="16">
        <v>0.31050987709015482</v>
      </c>
      <c r="AA75" s="17">
        <v>4.4863862343990757E-2</v>
      </c>
      <c r="AB75" s="38" t="s">
        <v>53</v>
      </c>
      <c r="AC75" s="16">
        <v>-0.18917723919497526</v>
      </c>
      <c r="AD75" s="17">
        <v>2.4485460246869852E-2</v>
      </c>
      <c r="AE75" s="38" t="s">
        <v>53</v>
      </c>
      <c r="AF75" s="16">
        <v>-0.37354162568566934</v>
      </c>
      <c r="AG75" s="17">
        <v>3.8835260455445123E-2</v>
      </c>
      <c r="AH75" s="38" t="s">
        <v>53</v>
      </c>
      <c r="AI75" s="16">
        <v>-0.18436438649069409</v>
      </c>
      <c r="AJ75" s="17">
        <v>4.7293228085687748E-2</v>
      </c>
      <c r="AK75" s="38" t="s">
        <v>53</v>
      </c>
      <c r="AL75" s="16">
        <v>-7.0773078279669721E-2</v>
      </c>
      <c r="AM75" s="17">
        <v>2.8350467461307125E-2</v>
      </c>
      <c r="AN75" s="38" t="s">
        <v>53</v>
      </c>
      <c r="AO75" s="16">
        <v>-3.7391285327910521E-2</v>
      </c>
      <c r="AP75" s="17">
        <v>3.9623252408063865E-2</v>
      </c>
      <c r="AQ75" s="38" t="s">
        <v>53</v>
      </c>
      <c r="AR75" s="16">
        <v>3.33817929517592E-2</v>
      </c>
      <c r="AS75" s="17">
        <v>4.9677437728317488E-2</v>
      </c>
      <c r="AT75" s="38" t="s">
        <v>53</v>
      </c>
      <c r="AU75" s="36">
        <v>73.269388996387647</v>
      </c>
      <c r="AV75" s="37">
        <v>1.1244428880549118</v>
      </c>
      <c r="AW75" s="38" t="s">
        <v>53</v>
      </c>
      <c r="AX75" s="36">
        <v>92.041631977784405</v>
      </c>
      <c r="AY75" s="37">
        <v>1.188354230906526</v>
      </c>
      <c r="AZ75" s="38" t="s">
        <v>53</v>
      </c>
      <c r="BA75" s="36">
        <v>18.772242981396769</v>
      </c>
      <c r="BB75" s="37">
        <v>1.7098010861696618</v>
      </c>
      <c r="BC75" s="39" t="s">
        <v>53</v>
      </c>
    </row>
    <row r="76" spans="1:55" x14ac:dyDescent="0.25">
      <c r="A76" s="15" t="s">
        <v>189</v>
      </c>
      <c r="B76" s="16">
        <v>0.39182109690661354</v>
      </c>
      <c r="C76" s="17">
        <v>8.0877153238620492E-2</v>
      </c>
      <c r="D76" s="38" t="s">
        <v>53</v>
      </c>
      <c r="E76" s="16" t="s">
        <v>56</v>
      </c>
      <c r="F76" s="17" t="s">
        <v>56</v>
      </c>
      <c r="G76" s="38" t="s">
        <v>53</v>
      </c>
      <c r="H76" s="16" t="s">
        <v>56</v>
      </c>
      <c r="I76" s="17" t="s">
        <v>56</v>
      </c>
      <c r="J76" s="38" t="s">
        <v>53</v>
      </c>
      <c r="K76" s="16">
        <v>0.16656224723344817</v>
      </c>
      <c r="L76" s="17">
        <v>0.12094221139888719</v>
      </c>
      <c r="M76" s="38" t="s">
        <v>53</v>
      </c>
      <c r="N76" s="16" t="s">
        <v>56</v>
      </c>
      <c r="O76" s="17" t="s">
        <v>56</v>
      </c>
      <c r="P76" s="38" t="s">
        <v>53</v>
      </c>
      <c r="Q76" s="16" t="s">
        <v>56</v>
      </c>
      <c r="R76" s="17" t="s">
        <v>56</v>
      </c>
      <c r="S76" s="38" t="s">
        <v>53</v>
      </c>
      <c r="T76" s="16">
        <v>0.21704088160589763</v>
      </c>
      <c r="U76" s="17">
        <v>0.140473751543191</v>
      </c>
      <c r="V76" s="38" t="s">
        <v>53</v>
      </c>
      <c r="W76" s="16" t="s">
        <v>56</v>
      </c>
      <c r="X76" s="17" t="s">
        <v>56</v>
      </c>
      <c r="Y76" s="38" t="s">
        <v>53</v>
      </c>
      <c r="Z76" s="16" t="s">
        <v>56</v>
      </c>
      <c r="AA76" s="17" t="s">
        <v>56</v>
      </c>
      <c r="AB76" s="38" t="s">
        <v>53</v>
      </c>
      <c r="AC76" s="16">
        <v>4.669711049603914E-2</v>
      </c>
      <c r="AD76" s="17">
        <v>0.11547215035555801</v>
      </c>
      <c r="AE76" s="38" t="s">
        <v>53</v>
      </c>
      <c r="AF76" s="16" t="s">
        <v>56</v>
      </c>
      <c r="AG76" s="17" t="s">
        <v>56</v>
      </c>
      <c r="AH76" s="38" t="s">
        <v>53</v>
      </c>
      <c r="AI76" s="16" t="s">
        <v>56</v>
      </c>
      <c r="AJ76" s="17" t="s">
        <v>56</v>
      </c>
      <c r="AK76" s="38" t="s">
        <v>53</v>
      </c>
      <c r="AL76" s="16">
        <v>-4.6545940580322603E-2</v>
      </c>
      <c r="AM76" s="17">
        <v>0.14362999407604329</v>
      </c>
      <c r="AN76" s="38" t="s">
        <v>53</v>
      </c>
      <c r="AO76" s="16" t="s">
        <v>56</v>
      </c>
      <c r="AP76" s="17" t="s">
        <v>56</v>
      </c>
      <c r="AQ76" s="38" t="s">
        <v>53</v>
      </c>
      <c r="AR76" s="16" t="s">
        <v>56</v>
      </c>
      <c r="AS76" s="17" t="s">
        <v>56</v>
      </c>
      <c r="AT76" s="38" t="s">
        <v>53</v>
      </c>
      <c r="AU76" s="36">
        <v>66.450778167257113</v>
      </c>
      <c r="AV76" s="37">
        <v>5.6264134497453799</v>
      </c>
      <c r="AW76" s="38" t="s">
        <v>53</v>
      </c>
      <c r="AX76" s="36" t="s">
        <v>55</v>
      </c>
      <c r="AY76" s="37" t="s">
        <v>55</v>
      </c>
      <c r="AZ76" s="38" t="s">
        <v>53</v>
      </c>
      <c r="BA76" s="36" t="s">
        <v>55</v>
      </c>
      <c r="BB76" s="37" t="s">
        <v>55</v>
      </c>
      <c r="BC76" s="39" t="s">
        <v>53</v>
      </c>
    </row>
    <row r="77" spans="1:55" x14ac:dyDescent="0.25">
      <c r="A77" s="15" t="s">
        <v>190</v>
      </c>
      <c r="B77" s="16">
        <v>-9.3822338902375735E-2</v>
      </c>
      <c r="C77" s="17">
        <v>7.1648806394382217E-2</v>
      </c>
      <c r="D77" s="38" t="s">
        <v>53</v>
      </c>
      <c r="E77" s="16">
        <v>0.69481834266003872</v>
      </c>
      <c r="F77" s="17">
        <v>0.13490430957407559</v>
      </c>
      <c r="G77" s="38" t="s">
        <v>53</v>
      </c>
      <c r="H77" s="16">
        <v>0.78864068156241451</v>
      </c>
      <c r="I77" s="17">
        <v>0.16747919162251731</v>
      </c>
      <c r="J77" s="38" t="s">
        <v>53</v>
      </c>
      <c r="K77" s="16">
        <v>7.5658970238997609E-3</v>
      </c>
      <c r="L77" s="17">
        <v>9.0490048038279064E-2</v>
      </c>
      <c r="M77" s="38" t="s">
        <v>53</v>
      </c>
      <c r="N77" s="16">
        <v>0.27347486834027679</v>
      </c>
      <c r="O77" s="17">
        <v>0.10237118457510071</v>
      </c>
      <c r="P77" s="38" t="s">
        <v>53</v>
      </c>
      <c r="Q77" s="16">
        <v>0.26590897131637703</v>
      </c>
      <c r="R77" s="17">
        <v>0.13383792730144997</v>
      </c>
      <c r="S77" s="38" t="s">
        <v>53</v>
      </c>
      <c r="T77" s="16">
        <v>-8.3627397599759859E-2</v>
      </c>
      <c r="U77" s="17">
        <v>9.102539008114531E-2</v>
      </c>
      <c r="V77" s="38" t="s">
        <v>53</v>
      </c>
      <c r="W77" s="16">
        <v>0.13563283547229305</v>
      </c>
      <c r="X77" s="17">
        <v>0.11213834582757946</v>
      </c>
      <c r="Y77" s="38" t="s">
        <v>53</v>
      </c>
      <c r="Z77" s="16">
        <v>0.21926023307205292</v>
      </c>
      <c r="AA77" s="17">
        <v>0.1454856765232706</v>
      </c>
      <c r="AB77" s="38" t="s">
        <v>53</v>
      </c>
      <c r="AC77" s="16">
        <v>7.5697069066725964E-2</v>
      </c>
      <c r="AD77" s="17">
        <v>9.5453246635124014E-2</v>
      </c>
      <c r="AE77" s="38" t="s">
        <v>53</v>
      </c>
      <c r="AF77" s="16">
        <v>-0.36873897998707822</v>
      </c>
      <c r="AG77" s="17">
        <v>0.12637610028768573</v>
      </c>
      <c r="AH77" s="38" t="s">
        <v>53</v>
      </c>
      <c r="AI77" s="16">
        <v>-0.44443604905380413</v>
      </c>
      <c r="AJ77" s="17">
        <v>0.17973077659416337</v>
      </c>
      <c r="AK77" s="38" t="s">
        <v>53</v>
      </c>
      <c r="AL77" s="16">
        <v>-0.16417501135878637</v>
      </c>
      <c r="AM77" s="17">
        <v>0.10527435728143751</v>
      </c>
      <c r="AN77" s="38" t="s">
        <v>53</v>
      </c>
      <c r="AO77" s="16">
        <v>-0.26705023432244607</v>
      </c>
      <c r="AP77" s="17">
        <v>0.12731228020574714</v>
      </c>
      <c r="AQ77" s="38" t="s">
        <v>53</v>
      </c>
      <c r="AR77" s="16">
        <v>-0.1028752229636597</v>
      </c>
      <c r="AS77" s="17">
        <v>0.17171618239984443</v>
      </c>
      <c r="AT77" s="38" t="s">
        <v>53</v>
      </c>
      <c r="AU77" s="36">
        <v>53.926453333362012</v>
      </c>
      <c r="AV77" s="37">
        <v>3.5781342677921284</v>
      </c>
      <c r="AW77" s="38" t="s">
        <v>53</v>
      </c>
      <c r="AX77" s="36">
        <v>77.602206287855495</v>
      </c>
      <c r="AY77" s="37">
        <v>5.4120603661369922</v>
      </c>
      <c r="AZ77" s="38" t="s">
        <v>53</v>
      </c>
      <c r="BA77" s="36">
        <v>23.675752954493483</v>
      </c>
      <c r="BB77" s="37">
        <v>7.1974590644863072</v>
      </c>
      <c r="BC77" s="39" t="s">
        <v>53</v>
      </c>
    </row>
    <row r="78" spans="1:55" x14ac:dyDescent="0.25">
      <c r="A78" s="15" t="s">
        <v>191</v>
      </c>
      <c r="B78" s="16">
        <v>6.4294197727102362E-2</v>
      </c>
      <c r="C78" s="17">
        <v>0.14070477258206424</v>
      </c>
      <c r="D78" s="38" t="s">
        <v>53</v>
      </c>
      <c r="E78" s="16" t="s">
        <v>56</v>
      </c>
      <c r="F78" s="17" t="s">
        <v>56</v>
      </c>
      <c r="G78" s="38" t="s">
        <v>53</v>
      </c>
      <c r="H78" s="16" t="s">
        <v>56</v>
      </c>
      <c r="I78" s="17" t="s">
        <v>56</v>
      </c>
      <c r="J78" s="38" t="s">
        <v>53</v>
      </c>
      <c r="K78" s="16">
        <v>-9.1297046579717225E-2</v>
      </c>
      <c r="L78" s="17">
        <v>0.16042175253538343</v>
      </c>
      <c r="M78" s="38" t="s">
        <v>53</v>
      </c>
      <c r="N78" s="16" t="s">
        <v>56</v>
      </c>
      <c r="O78" s="17" t="s">
        <v>56</v>
      </c>
      <c r="P78" s="38" t="s">
        <v>53</v>
      </c>
      <c r="Q78" s="16" t="s">
        <v>56</v>
      </c>
      <c r="R78" s="17" t="s">
        <v>56</v>
      </c>
      <c r="S78" s="38" t="s">
        <v>53</v>
      </c>
      <c r="T78" s="16">
        <v>-0.17203622091152093</v>
      </c>
      <c r="U78" s="17">
        <v>0.17215631214471433</v>
      </c>
      <c r="V78" s="38" t="s">
        <v>53</v>
      </c>
      <c r="W78" s="16" t="s">
        <v>56</v>
      </c>
      <c r="X78" s="17" t="s">
        <v>56</v>
      </c>
      <c r="Y78" s="38" t="s">
        <v>53</v>
      </c>
      <c r="Z78" s="16" t="s">
        <v>56</v>
      </c>
      <c r="AA78" s="17" t="s">
        <v>56</v>
      </c>
      <c r="AB78" s="38" t="s">
        <v>53</v>
      </c>
      <c r="AC78" s="16">
        <v>0.14516791880619112</v>
      </c>
      <c r="AD78" s="17">
        <v>0.15695760887948779</v>
      </c>
      <c r="AE78" s="38" t="s">
        <v>53</v>
      </c>
      <c r="AF78" s="16" t="s">
        <v>56</v>
      </c>
      <c r="AG78" s="17" t="s">
        <v>56</v>
      </c>
      <c r="AH78" s="38" t="s">
        <v>53</v>
      </c>
      <c r="AI78" s="16" t="s">
        <v>56</v>
      </c>
      <c r="AJ78" s="17" t="s">
        <v>56</v>
      </c>
      <c r="AK78" s="38" t="s">
        <v>53</v>
      </c>
      <c r="AL78" s="16">
        <v>7.8496266214385907E-2</v>
      </c>
      <c r="AM78" s="17">
        <v>0.17724589623287676</v>
      </c>
      <c r="AN78" s="38" t="s">
        <v>53</v>
      </c>
      <c r="AO78" s="16" t="s">
        <v>56</v>
      </c>
      <c r="AP78" s="17" t="s">
        <v>56</v>
      </c>
      <c r="AQ78" s="38" t="s">
        <v>53</v>
      </c>
      <c r="AR78" s="16" t="s">
        <v>56</v>
      </c>
      <c r="AS78" s="17" t="s">
        <v>56</v>
      </c>
      <c r="AT78" s="38" t="s">
        <v>53</v>
      </c>
      <c r="AU78" s="36">
        <v>39.579595090016134</v>
      </c>
      <c r="AV78" s="37">
        <v>7.8987424437561362</v>
      </c>
      <c r="AW78" s="38" t="s">
        <v>53</v>
      </c>
      <c r="AX78" s="36" t="s">
        <v>55</v>
      </c>
      <c r="AY78" s="37" t="s">
        <v>55</v>
      </c>
      <c r="AZ78" s="38" t="s">
        <v>53</v>
      </c>
      <c r="BA78" s="36" t="s">
        <v>55</v>
      </c>
      <c r="BB78" s="37" t="s">
        <v>55</v>
      </c>
      <c r="BC78" s="39" t="s">
        <v>53</v>
      </c>
    </row>
    <row r="79" spans="1:55" x14ac:dyDescent="0.25">
      <c r="A79" s="15" t="s">
        <v>192</v>
      </c>
      <c r="B79" s="16">
        <v>-3.7093602293035405E-2</v>
      </c>
      <c r="C79" s="17">
        <v>6.0157702737047153E-2</v>
      </c>
      <c r="D79" s="38" t="s">
        <v>53</v>
      </c>
      <c r="E79" s="16">
        <v>0.57798564070876735</v>
      </c>
      <c r="F79" s="17">
        <v>0.11965268783777341</v>
      </c>
      <c r="G79" s="38" t="s">
        <v>53</v>
      </c>
      <c r="H79" s="16">
        <v>0.61507924300180294</v>
      </c>
      <c r="I79" s="17">
        <v>0.14162948279613588</v>
      </c>
      <c r="J79" s="38" t="s">
        <v>53</v>
      </c>
      <c r="K79" s="16">
        <v>-0.19657099423719515</v>
      </c>
      <c r="L79" s="17">
        <v>7.753772776726521E-2</v>
      </c>
      <c r="M79" s="38" t="s">
        <v>53</v>
      </c>
      <c r="N79" s="16">
        <v>6.6233423824545057E-2</v>
      </c>
      <c r="O79" s="17">
        <v>8.611192506497263E-2</v>
      </c>
      <c r="P79" s="38" t="s">
        <v>53</v>
      </c>
      <c r="Q79" s="16">
        <v>0.26280441806174021</v>
      </c>
      <c r="R79" s="17">
        <v>0.12540048115617813</v>
      </c>
      <c r="S79" s="38" t="s">
        <v>53</v>
      </c>
      <c r="T79" s="16">
        <v>9.9684088680079622E-2</v>
      </c>
      <c r="U79" s="17">
        <v>9.3490432349898109E-2</v>
      </c>
      <c r="V79" s="38" t="s">
        <v>53</v>
      </c>
      <c r="W79" s="16">
        <v>0.48472191143601973</v>
      </c>
      <c r="X79" s="17">
        <v>9.2932040753126208E-2</v>
      </c>
      <c r="Y79" s="38" t="s">
        <v>53</v>
      </c>
      <c r="Z79" s="16">
        <v>0.38503782275594006</v>
      </c>
      <c r="AA79" s="17">
        <v>0.13049967094769385</v>
      </c>
      <c r="AB79" s="38" t="s">
        <v>53</v>
      </c>
      <c r="AC79" s="16">
        <v>0.27845058469912776</v>
      </c>
      <c r="AD79" s="17">
        <v>7.7617574451294982E-2</v>
      </c>
      <c r="AE79" s="38" t="s">
        <v>53</v>
      </c>
      <c r="AF79" s="16">
        <v>5.7974117331687836E-2</v>
      </c>
      <c r="AG79" s="17">
        <v>0.11740840801940716</v>
      </c>
      <c r="AH79" s="38" t="s">
        <v>53</v>
      </c>
      <c r="AI79" s="16">
        <v>-0.22047646736743989</v>
      </c>
      <c r="AJ79" s="17">
        <v>0.15038391598122317</v>
      </c>
      <c r="AK79" s="38" t="s">
        <v>53</v>
      </c>
      <c r="AL79" s="16">
        <v>0.15723049668804867</v>
      </c>
      <c r="AM79" s="17">
        <v>9.1653400108105562E-2</v>
      </c>
      <c r="AN79" s="38" t="s">
        <v>53</v>
      </c>
      <c r="AO79" s="16">
        <v>0.13280098236896354</v>
      </c>
      <c r="AP79" s="17">
        <v>0.11235320284083483</v>
      </c>
      <c r="AQ79" s="38" t="s">
        <v>53</v>
      </c>
      <c r="AR79" s="16">
        <v>-2.4429514319085119E-2</v>
      </c>
      <c r="AS79" s="17">
        <v>0.15005518347848024</v>
      </c>
      <c r="AT79" s="38" t="s">
        <v>53</v>
      </c>
      <c r="AU79" s="36">
        <v>71.995335150017155</v>
      </c>
      <c r="AV79" s="37">
        <v>3.0992603696427059</v>
      </c>
      <c r="AW79" s="38" t="s">
        <v>53</v>
      </c>
      <c r="AX79" s="36">
        <v>96.083851787648996</v>
      </c>
      <c r="AY79" s="37">
        <v>2.1600438707541842</v>
      </c>
      <c r="AZ79" s="38" t="s">
        <v>53</v>
      </c>
      <c r="BA79" s="36">
        <v>24.088516637631873</v>
      </c>
      <c r="BB79" s="37">
        <v>3.9753819636541476</v>
      </c>
      <c r="BC79" s="39" t="s">
        <v>53</v>
      </c>
    </row>
    <row r="80" spans="1:55" x14ac:dyDescent="0.25">
      <c r="A80" s="15" t="s">
        <v>193</v>
      </c>
      <c r="B80" s="16">
        <v>4.7555401087203922E-2</v>
      </c>
      <c r="C80" s="17">
        <v>0.16691983061081012</v>
      </c>
      <c r="D80" s="38" t="s">
        <v>53</v>
      </c>
      <c r="E80" s="16" t="s">
        <v>56</v>
      </c>
      <c r="F80" s="17" t="s">
        <v>56</v>
      </c>
      <c r="G80" s="38" t="s">
        <v>53</v>
      </c>
      <c r="H80" s="16" t="s">
        <v>56</v>
      </c>
      <c r="I80" s="17" t="s">
        <v>56</v>
      </c>
      <c r="J80" s="38" t="s">
        <v>53</v>
      </c>
      <c r="K80" s="16">
        <v>-0.47552984115613062</v>
      </c>
      <c r="L80" s="17">
        <v>0.1808033300856447</v>
      </c>
      <c r="M80" s="38" t="s">
        <v>53</v>
      </c>
      <c r="N80" s="16" t="s">
        <v>56</v>
      </c>
      <c r="O80" s="17" t="s">
        <v>56</v>
      </c>
      <c r="P80" s="38" t="s">
        <v>53</v>
      </c>
      <c r="Q80" s="16" t="s">
        <v>56</v>
      </c>
      <c r="R80" s="17" t="s">
        <v>56</v>
      </c>
      <c r="S80" s="38" t="s">
        <v>53</v>
      </c>
      <c r="T80" s="16">
        <v>-0.2330551687403157</v>
      </c>
      <c r="U80" s="17">
        <v>0.17888000608227439</v>
      </c>
      <c r="V80" s="38" t="s">
        <v>54</v>
      </c>
      <c r="W80" s="16" t="s">
        <v>56</v>
      </c>
      <c r="X80" s="17" t="s">
        <v>56</v>
      </c>
      <c r="Y80" s="38" t="s">
        <v>53</v>
      </c>
      <c r="Z80" s="16" t="s">
        <v>56</v>
      </c>
      <c r="AA80" s="17" t="s">
        <v>56</v>
      </c>
      <c r="AB80" s="38" t="s">
        <v>53</v>
      </c>
      <c r="AC80" s="16">
        <v>1.6422976408923002E-2</v>
      </c>
      <c r="AD80" s="17">
        <v>0.15029047084081626</v>
      </c>
      <c r="AE80" s="38" t="s">
        <v>54</v>
      </c>
      <c r="AF80" s="16" t="s">
        <v>56</v>
      </c>
      <c r="AG80" s="17" t="s">
        <v>56</v>
      </c>
      <c r="AH80" s="38" t="s">
        <v>53</v>
      </c>
      <c r="AI80" s="16" t="s">
        <v>56</v>
      </c>
      <c r="AJ80" s="17" t="s">
        <v>56</v>
      </c>
      <c r="AK80" s="38" t="s">
        <v>53</v>
      </c>
      <c r="AL80" s="16" t="s">
        <v>55</v>
      </c>
      <c r="AM80" s="17" t="s">
        <v>55</v>
      </c>
      <c r="AN80" s="38" t="s">
        <v>53</v>
      </c>
      <c r="AO80" s="16" t="s">
        <v>55</v>
      </c>
      <c r="AP80" s="17" t="s">
        <v>55</v>
      </c>
      <c r="AQ80" s="38" t="s">
        <v>53</v>
      </c>
      <c r="AR80" s="16" t="s">
        <v>55</v>
      </c>
      <c r="AS80" s="17" t="s">
        <v>55</v>
      </c>
      <c r="AT80" s="38" t="s">
        <v>53</v>
      </c>
      <c r="AU80" s="36">
        <v>48.348872864697526</v>
      </c>
      <c r="AV80" s="37">
        <v>6.4495060121064984</v>
      </c>
      <c r="AW80" s="38" t="s">
        <v>53</v>
      </c>
      <c r="AX80" s="36" t="s">
        <v>55</v>
      </c>
      <c r="AY80" s="37" t="s">
        <v>55</v>
      </c>
      <c r="AZ80" s="38" t="s">
        <v>53</v>
      </c>
      <c r="BA80" s="36" t="s">
        <v>55</v>
      </c>
      <c r="BB80" s="37" t="s">
        <v>55</v>
      </c>
      <c r="BC80" s="39" t="s">
        <v>53</v>
      </c>
    </row>
    <row r="81" spans="1:55" x14ac:dyDescent="0.25">
      <c r="A81" s="15" t="s">
        <v>194</v>
      </c>
      <c r="B81" s="16" t="s">
        <v>55</v>
      </c>
      <c r="C81" s="17" t="s">
        <v>55</v>
      </c>
      <c r="D81" s="38" t="s">
        <v>53</v>
      </c>
      <c r="E81" s="16" t="s">
        <v>55</v>
      </c>
      <c r="F81" s="17" t="s">
        <v>55</v>
      </c>
      <c r="G81" s="38" t="s">
        <v>53</v>
      </c>
      <c r="H81" s="16" t="s">
        <v>55</v>
      </c>
      <c r="I81" s="17" t="s">
        <v>55</v>
      </c>
      <c r="J81" s="38" t="s">
        <v>53</v>
      </c>
      <c r="K81" s="16">
        <v>0.39380834350674104</v>
      </c>
      <c r="L81" s="17">
        <v>0.21132599197558607</v>
      </c>
      <c r="M81" s="38" t="s">
        <v>53</v>
      </c>
      <c r="N81" s="16" t="s">
        <v>56</v>
      </c>
      <c r="O81" s="17" t="s">
        <v>56</v>
      </c>
      <c r="P81" s="38" t="s">
        <v>53</v>
      </c>
      <c r="Q81" s="16" t="s">
        <v>56</v>
      </c>
      <c r="R81" s="17" t="s">
        <v>56</v>
      </c>
      <c r="S81" s="38" t="s">
        <v>53</v>
      </c>
      <c r="T81" s="16" t="s">
        <v>55</v>
      </c>
      <c r="U81" s="17" t="s">
        <v>55</v>
      </c>
      <c r="V81" s="38" t="s">
        <v>53</v>
      </c>
      <c r="W81" s="16" t="s">
        <v>55</v>
      </c>
      <c r="X81" s="17" t="s">
        <v>55</v>
      </c>
      <c r="Y81" s="38" t="s">
        <v>53</v>
      </c>
      <c r="Z81" s="16" t="s">
        <v>55</v>
      </c>
      <c r="AA81" s="17" t="s">
        <v>55</v>
      </c>
      <c r="AB81" s="38" t="s">
        <v>53</v>
      </c>
      <c r="AC81" s="16">
        <v>0.70905425237717901</v>
      </c>
      <c r="AD81" s="17">
        <v>0.15184246665544102</v>
      </c>
      <c r="AE81" s="38" t="s">
        <v>53</v>
      </c>
      <c r="AF81" s="16" t="s">
        <v>56</v>
      </c>
      <c r="AG81" s="17" t="s">
        <v>56</v>
      </c>
      <c r="AH81" s="38" t="s">
        <v>53</v>
      </c>
      <c r="AI81" s="16" t="s">
        <v>56</v>
      </c>
      <c r="AJ81" s="17" t="s">
        <v>56</v>
      </c>
      <c r="AK81" s="38" t="s">
        <v>53</v>
      </c>
      <c r="AL81" s="16">
        <v>0.17803680343729208</v>
      </c>
      <c r="AM81" s="17">
        <v>0.16224437977873032</v>
      </c>
      <c r="AN81" s="38" t="s">
        <v>53</v>
      </c>
      <c r="AO81" s="16" t="s">
        <v>56</v>
      </c>
      <c r="AP81" s="17" t="s">
        <v>56</v>
      </c>
      <c r="AQ81" s="38" t="s">
        <v>53</v>
      </c>
      <c r="AR81" s="16" t="s">
        <v>56</v>
      </c>
      <c r="AS81" s="17" t="s">
        <v>56</v>
      </c>
      <c r="AT81" s="38" t="s">
        <v>53</v>
      </c>
      <c r="AU81" s="36">
        <v>46.070382704106159</v>
      </c>
      <c r="AV81" s="37">
        <v>7.9140497867333295</v>
      </c>
      <c r="AW81" s="38" t="s">
        <v>53</v>
      </c>
      <c r="AX81" s="36" t="s">
        <v>55</v>
      </c>
      <c r="AY81" s="37" t="s">
        <v>55</v>
      </c>
      <c r="AZ81" s="38" t="s">
        <v>53</v>
      </c>
      <c r="BA81" s="36" t="s">
        <v>55</v>
      </c>
      <c r="BB81" s="37" t="s">
        <v>55</v>
      </c>
      <c r="BC81" s="39" t="s">
        <v>53</v>
      </c>
    </row>
    <row r="82" spans="1:55" x14ac:dyDescent="0.25">
      <c r="A82" s="15" t="s">
        <v>195</v>
      </c>
      <c r="B82" s="16">
        <v>0.11288379406646061</v>
      </c>
      <c r="C82" s="17">
        <v>7.1717721608917387E-2</v>
      </c>
      <c r="D82" s="38" t="s">
        <v>53</v>
      </c>
      <c r="E82" s="16">
        <v>0.65906889900915111</v>
      </c>
      <c r="F82" s="17">
        <v>9.4836828620552316E-2</v>
      </c>
      <c r="G82" s="38" t="s">
        <v>53</v>
      </c>
      <c r="H82" s="16">
        <v>0.54618510494269057</v>
      </c>
      <c r="I82" s="17">
        <v>0.13174396019889417</v>
      </c>
      <c r="J82" s="38" t="s">
        <v>53</v>
      </c>
      <c r="K82" s="16">
        <v>6.147891826521204E-2</v>
      </c>
      <c r="L82" s="17">
        <v>0.12139254413596057</v>
      </c>
      <c r="M82" s="38" t="s">
        <v>54</v>
      </c>
      <c r="N82" s="16">
        <v>0.54705892379273013</v>
      </c>
      <c r="O82" s="17">
        <v>7.7818612931945419E-2</v>
      </c>
      <c r="P82" s="38" t="s">
        <v>53</v>
      </c>
      <c r="Q82" s="16">
        <v>0.48558000552751812</v>
      </c>
      <c r="R82" s="17">
        <v>0.16433889235055987</v>
      </c>
      <c r="S82" s="38" t="s">
        <v>54</v>
      </c>
      <c r="T82" s="16">
        <v>0.29489109688426041</v>
      </c>
      <c r="U82" s="17">
        <v>0.14347767746289219</v>
      </c>
      <c r="V82" s="38" t="s">
        <v>54</v>
      </c>
      <c r="W82" s="16">
        <v>0.28622873528586412</v>
      </c>
      <c r="X82" s="17">
        <v>0.11056923339125577</v>
      </c>
      <c r="Y82" s="38" t="s">
        <v>53</v>
      </c>
      <c r="Z82" s="16">
        <v>-8.6623615983962982E-3</v>
      </c>
      <c r="AA82" s="17">
        <v>0.18886778556206898</v>
      </c>
      <c r="AB82" s="38" t="s">
        <v>54</v>
      </c>
      <c r="AC82" s="16">
        <v>0.29751620847220517</v>
      </c>
      <c r="AD82" s="17">
        <v>0.12459617130598821</v>
      </c>
      <c r="AE82" s="38" t="s">
        <v>54</v>
      </c>
      <c r="AF82" s="16">
        <v>0.25431664130525616</v>
      </c>
      <c r="AG82" s="17">
        <v>0.1360323251719614</v>
      </c>
      <c r="AH82" s="38" t="s">
        <v>53</v>
      </c>
      <c r="AI82" s="16">
        <v>-4.319956716694906E-2</v>
      </c>
      <c r="AJ82" s="17">
        <v>0.14872198390610039</v>
      </c>
      <c r="AK82" s="38" t="s">
        <v>54</v>
      </c>
      <c r="AL82" s="16">
        <v>3.3861108439795697E-3</v>
      </c>
      <c r="AM82" s="17">
        <v>0.13423306156389914</v>
      </c>
      <c r="AN82" s="38" t="s">
        <v>54</v>
      </c>
      <c r="AO82" s="16">
        <v>0.15538896054729578</v>
      </c>
      <c r="AP82" s="17">
        <v>8.5403134260858091E-2</v>
      </c>
      <c r="AQ82" s="38" t="s">
        <v>53</v>
      </c>
      <c r="AR82" s="16">
        <v>0.15200284970331623</v>
      </c>
      <c r="AS82" s="17">
        <v>0.15333381164262039</v>
      </c>
      <c r="AT82" s="38" t="s">
        <v>54</v>
      </c>
      <c r="AU82" s="36">
        <v>69.571431102376152</v>
      </c>
      <c r="AV82" s="37">
        <v>4.2097212531551573</v>
      </c>
      <c r="AW82" s="38" t="s">
        <v>53</v>
      </c>
      <c r="AX82" s="36">
        <v>92.609039586176166</v>
      </c>
      <c r="AY82" s="37">
        <v>2.3482119143767615</v>
      </c>
      <c r="AZ82" s="38" t="s">
        <v>53</v>
      </c>
      <c r="BA82" s="36">
        <v>23.037608483800007</v>
      </c>
      <c r="BB82" s="37">
        <v>4.6267818441071995</v>
      </c>
      <c r="BC82" s="39" t="s">
        <v>53</v>
      </c>
    </row>
    <row r="83" spans="1:55" x14ac:dyDescent="0.25">
      <c r="A83" s="15" t="s">
        <v>196</v>
      </c>
      <c r="B83" s="16" t="s">
        <v>56</v>
      </c>
      <c r="C83" s="17" t="s">
        <v>56</v>
      </c>
      <c r="D83" s="38" t="s">
        <v>53</v>
      </c>
      <c r="E83" s="16" t="s">
        <v>56</v>
      </c>
      <c r="F83" s="17" t="s">
        <v>56</v>
      </c>
      <c r="G83" s="38" t="s">
        <v>53</v>
      </c>
      <c r="H83" s="16" t="s">
        <v>56</v>
      </c>
      <c r="I83" s="17" t="s">
        <v>56</v>
      </c>
      <c r="J83" s="38" t="s">
        <v>53</v>
      </c>
      <c r="K83" s="16" t="s">
        <v>56</v>
      </c>
      <c r="L83" s="17" t="s">
        <v>56</v>
      </c>
      <c r="M83" s="38" t="s">
        <v>53</v>
      </c>
      <c r="N83" s="16" t="s">
        <v>56</v>
      </c>
      <c r="O83" s="17" t="s">
        <v>56</v>
      </c>
      <c r="P83" s="38" t="s">
        <v>53</v>
      </c>
      <c r="Q83" s="16" t="s">
        <v>56</v>
      </c>
      <c r="R83" s="17" t="s">
        <v>56</v>
      </c>
      <c r="S83" s="38" t="s">
        <v>53</v>
      </c>
      <c r="T83" s="16" t="s">
        <v>56</v>
      </c>
      <c r="U83" s="17" t="s">
        <v>56</v>
      </c>
      <c r="V83" s="38" t="s">
        <v>53</v>
      </c>
      <c r="W83" s="16" t="s">
        <v>56</v>
      </c>
      <c r="X83" s="17" t="s">
        <v>56</v>
      </c>
      <c r="Y83" s="38" t="s">
        <v>53</v>
      </c>
      <c r="Z83" s="16" t="s">
        <v>56</v>
      </c>
      <c r="AA83" s="17" t="s">
        <v>56</v>
      </c>
      <c r="AB83" s="38" t="s">
        <v>53</v>
      </c>
      <c r="AC83" s="16" t="s">
        <v>56</v>
      </c>
      <c r="AD83" s="17" t="s">
        <v>56</v>
      </c>
      <c r="AE83" s="38" t="s">
        <v>53</v>
      </c>
      <c r="AF83" s="16" t="s">
        <v>56</v>
      </c>
      <c r="AG83" s="17" t="s">
        <v>56</v>
      </c>
      <c r="AH83" s="38" t="s">
        <v>53</v>
      </c>
      <c r="AI83" s="16" t="s">
        <v>56</v>
      </c>
      <c r="AJ83" s="17" t="s">
        <v>56</v>
      </c>
      <c r="AK83" s="38" t="s">
        <v>53</v>
      </c>
      <c r="AL83" s="16" t="s">
        <v>56</v>
      </c>
      <c r="AM83" s="17" t="s">
        <v>56</v>
      </c>
      <c r="AN83" s="38" t="s">
        <v>53</v>
      </c>
      <c r="AO83" s="16" t="s">
        <v>56</v>
      </c>
      <c r="AP83" s="17" t="s">
        <v>56</v>
      </c>
      <c r="AQ83" s="38" t="s">
        <v>53</v>
      </c>
      <c r="AR83" s="16" t="s">
        <v>56</v>
      </c>
      <c r="AS83" s="17" t="s">
        <v>56</v>
      </c>
      <c r="AT83" s="38" t="s">
        <v>53</v>
      </c>
      <c r="AU83" s="36" t="s">
        <v>55</v>
      </c>
      <c r="AV83" s="37" t="s">
        <v>55</v>
      </c>
      <c r="AW83" s="38" t="s">
        <v>53</v>
      </c>
      <c r="AX83" s="36" t="s">
        <v>55</v>
      </c>
      <c r="AY83" s="37" t="s">
        <v>55</v>
      </c>
      <c r="AZ83" s="38" t="s">
        <v>53</v>
      </c>
      <c r="BA83" s="36" t="s">
        <v>55</v>
      </c>
      <c r="BB83" s="37" t="s">
        <v>55</v>
      </c>
      <c r="BC83" s="39" t="s">
        <v>53</v>
      </c>
    </row>
    <row r="84" spans="1:55" x14ac:dyDescent="0.25">
      <c r="A84" s="15" t="s">
        <v>197</v>
      </c>
      <c r="B84" s="16">
        <v>8.7817626466311485E-2</v>
      </c>
      <c r="C84" s="17">
        <v>7.5107989164287917E-2</v>
      </c>
      <c r="D84" s="38" t="s">
        <v>53</v>
      </c>
      <c r="E84" s="16" t="s">
        <v>56</v>
      </c>
      <c r="F84" s="17" t="s">
        <v>56</v>
      </c>
      <c r="G84" s="38" t="s">
        <v>53</v>
      </c>
      <c r="H84" s="16" t="s">
        <v>56</v>
      </c>
      <c r="I84" s="17" t="s">
        <v>56</v>
      </c>
      <c r="J84" s="38" t="s">
        <v>53</v>
      </c>
      <c r="K84" s="16">
        <v>-1.0506217867133827</v>
      </c>
      <c r="L84" s="17">
        <v>0.14551624129570492</v>
      </c>
      <c r="M84" s="38" t="s">
        <v>53</v>
      </c>
      <c r="N84" s="16" t="s">
        <v>56</v>
      </c>
      <c r="O84" s="17" t="s">
        <v>56</v>
      </c>
      <c r="P84" s="38" t="s">
        <v>53</v>
      </c>
      <c r="Q84" s="16" t="s">
        <v>56</v>
      </c>
      <c r="R84" s="17" t="s">
        <v>56</v>
      </c>
      <c r="S84" s="38" t="s">
        <v>53</v>
      </c>
      <c r="T84" s="16">
        <v>-0.49887940584093526</v>
      </c>
      <c r="U84" s="17">
        <v>0.10488842721395672</v>
      </c>
      <c r="V84" s="38" t="s">
        <v>53</v>
      </c>
      <c r="W84" s="16" t="s">
        <v>56</v>
      </c>
      <c r="X84" s="17" t="s">
        <v>56</v>
      </c>
      <c r="Y84" s="38" t="s">
        <v>53</v>
      </c>
      <c r="Z84" s="16" t="s">
        <v>56</v>
      </c>
      <c r="AA84" s="17" t="s">
        <v>56</v>
      </c>
      <c r="AB84" s="38" t="s">
        <v>53</v>
      </c>
      <c r="AC84" s="16">
        <v>-0.35633721728099721</v>
      </c>
      <c r="AD84" s="17">
        <v>0.10933103703074369</v>
      </c>
      <c r="AE84" s="38" t="s">
        <v>53</v>
      </c>
      <c r="AF84" s="16" t="s">
        <v>56</v>
      </c>
      <c r="AG84" s="17" t="s">
        <v>56</v>
      </c>
      <c r="AH84" s="38" t="s">
        <v>53</v>
      </c>
      <c r="AI84" s="16" t="s">
        <v>56</v>
      </c>
      <c r="AJ84" s="17" t="s">
        <v>56</v>
      </c>
      <c r="AK84" s="38" t="s">
        <v>53</v>
      </c>
      <c r="AL84" s="16">
        <v>-0.39304548409372186</v>
      </c>
      <c r="AM84" s="17">
        <v>0.15606807167828776</v>
      </c>
      <c r="AN84" s="38" t="s">
        <v>53</v>
      </c>
      <c r="AO84" s="16" t="s">
        <v>56</v>
      </c>
      <c r="AP84" s="17" t="s">
        <v>56</v>
      </c>
      <c r="AQ84" s="38" t="s">
        <v>53</v>
      </c>
      <c r="AR84" s="16" t="s">
        <v>56</v>
      </c>
      <c r="AS84" s="17" t="s">
        <v>56</v>
      </c>
      <c r="AT84" s="38" t="s">
        <v>53</v>
      </c>
      <c r="AU84" s="36">
        <v>33.280364880298954</v>
      </c>
      <c r="AV84" s="37">
        <v>6.7987743730533801</v>
      </c>
      <c r="AW84" s="38" t="s">
        <v>53</v>
      </c>
      <c r="AX84" s="36" t="s">
        <v>55</v>
      </c>
      <c r="AY84" s="37" t="s">
        <v>55</v>
      </c>
      <c r="AZ84" s="38" t="s">
        <v>53</v>
      </c>
      <c r="BA84" s="36" t="s">
        <v>55</v>
      </c>
      <c r="BB84" s="37" t="s">
        <v>55</v>
      </c>
      <c r="BC84" s="39" t="s">
        <v>53</v>
      </c>
    </row>
    <row r="85" spans="1:55" x14ac:dyDescent="0.25">
      <c r="A85" s="15" t="s">
        <v>198</v>
      </c>
      <c r="B85" s="16">
        <v>0.19365875751125203</v>
      </c>
      <c r="C85" s="17">
        <v>1.3689064141817033E-2</v>
      </c>
      <c r="D85" s="38" t="s">
        <v>53</v>
      </c>
      <c r="E85" s="16">
        <v>0.68702237539854338</v>
      </c>
      <c r="F85" s="17">
        <v>2.1741829226594324E-2</v>
      </c>
      <c r="G85" s="38" t="s">
        <v>53</v>
      </c>
      <c r="H85" s="16">
        <v>0.49336361788729138</v>
      </c>
      <c r="I85" s="17">
        <v>2.7289571214273122E-2</v>
      </c>
      <c r="J85" s="38" t="s">
        <v>53</v>
      </c>
      <c r="K85" s="16">
        <v>0.28264964867382203</v>
      </c>
      <c r="L85" s="17">
        <v>1.9550583801429017E-2</v>
      </c>
      <c r="M85" s="38" t="s">
        <v>53</v>
      </c>
      <c r="N85" s="16">
        <v>0.51227824653648668</v>
      </c>
      <c r="O85" s="17">
        <v>2.092251261176532E-2</v>
      </c>
      <c r="P85" s="38" t="s">
        <v>53</v>
      </c>
      <c r="Q85" s="16">
        <v>0.22962859786266454</v>
      </c>
      <c r="R85" s="17">
        <v>2.7863697520890587E-2</v>
      </c>
      <c r="S85" s="38" t="s">
        <v>53</v>
      </c>
      <c r="T85" s="16">
        <v>0.35266516775993267</v>
      </c>
      <c r="U85" s="17">
        <v>1.8984874768358511E-2</v>
      </c>
      <c r="V85" s="38" t="s">
        <v>53</v>
      </c>
      <c r="W85" s="16">
        <v>0.41667819131370359</v>
      </c>
      <c r="X85" s="17">
        <v>2.2406156861736092E-2</v>
      </c>
      <c r="Y85" s="38" t="s">
        <v>53</v>
      </c>
      <c r="Z85" s="16">
        <v>6.4013023553770851E-2</v>
      </c>
      <c r="AA85" s="17">
        <v>2.9205334339348615E-2</v>
      </c>
      <c r="AB85" s="38" t="s">
        <v>53</v>
      </c>
      <c r="AC85" s="16">
        <v>0.30961365814246972</v>
      </c>
      <c r="AD85" s="17">
        <v>1.6731002050662896E-2</v>
      </c>
      <c r="AE85" s="38" t="s">
        <v>53</v>
      </c>
      <c r="AF85" s="16">
        <v>0.14883245156465194</v>
      </c>
      <c r="AG85" s="17">
        <v>2.1385328645751454E-2</v>
      </c>
      <c r="AH85" s="38" t="s">
        <v>53</v>
      </c>
      <c r="AI85" s="16">
        <v>-0.16078120657781775</v>
      </c>
      <c r="AJ85" s="17">
        <v>2.7260728897626801E-2</v>
      </c>
      <c r="AK85" s="38" t="s">
        <v>53</v>
      </c>
      <c r="AL85" s="16">
        <v>2.9053515534065901E-3</v>
      </c>
      <c r="AM85" s="17">
        <v>1.7210895064077539E-2</v>
      </c>
      <c r="AN85" s="38" t="s">
        <v>53</v>
      </c>
      <c r="AO85" s="16">
        <v>4.1273288852986471E-2</v>
      </c>
      <c r="AP85" s="17">
        <v>2.4729908388605198E-2</v>
      </c>
      <c r="AQ85" s="38" t="s">
        <v>53</v>
      </c>
      <c r="AR85" s="16">
        <v>3.836793729957988E-2</v>
      </c>
      <c r="AS85" s="17">
        <v>3.0009070326019582E-2</v>
      </c>
      <c r="AT85" s="38" t="s">
        <v>53</v>
      </c>
      <c r="AU85" s="36">
        <v>77.31396778871769</v>
      </c>
      <c r="AV85" s="37">
        <v>0.63614363744239999</v>
      </c>
      <c r="AW85" s="38" t="s">
        <v>53</v>
      </c>
      <c r="AX85" s="36">
        <v>94.670216795516637</v>
      </c>
      <c r="AY85" s="37">
        <v>0.41717397375273019</v>
      </c>
      <c r="AZ85" s="38" t="s">
        <v>53</v>
      </c>
      <c r="BA85" s="36">
        <v>17.356249006798961</v>
      </c>
      <c r="BB85" s="37">
        <v>0.76395031227847743</v>
      </c>
      <c r="BC85" s="39" t="s">
        <v>53</v>
      </c>
    </row>
    <row r="86" spans="1:55" x14ac:dyDescent="0.25">
      <c r="A86" s="15" t="s">
        <v>199</v>
      </c>
      <c r="B86" s="16" t="s">
        <v>56</v>
      </c>
      <c r="C86" s="17" t="s">
        <v>56</v>
      </c>
      <c r="D86" s="38" t="s">
        <v>53</v>
      </c>
      <c r="E86" s="16" t="s">
        <v>56</v>
      </c>
      <c r="F86" s="17" t="s">
        <v>56</v>
      </c>
      <c r="G86" s="38" t="s">
        <v>53</v>
      </c>
      <c r="H86" s="16" t="s">
        <v>56</v>
      </c>
      <c r="I86" s="17" t="s">
        <v>56</v>
      </c>
      <c r="J86" s="38" t="s">
        <v>53</v>
      </c>
      <c r="K86" s="16" t="s">
        <v>56</v>
      </c>
      <c r="L86" s="17" t="s">
        <v>56</v>
      </c>
      <c r="M86" s="38" t="s">
        <v>53</v>
      </c>
      <c r="N86" s="16" t="s">
        <v>56</v>
      </c>
      <c r="O86" s="17" t="s">
        <v>56</v>
      </c>
      <c r="P86" s="38" t="s">
        <v>53</v>
      </c>
      <c r="Q86" s="16" t="s">
        <v>56</v>
      </c>
      <c r="R86" s="17" t="s">
        <v>56</v>
      </c>
      <c r="S86" s="38" t="s">
        <v>53</v>
      </c>
      <c r="T86" s="16" t="s">
        <v>56</v>
      </c>
      <c r="U86" s="17" t="s">
        <v>56</v>
      </c>
      <c r="V86" s="38" t="s">
        <v>53</v>
      </c>
      <c r="W86" s="16" t="s">
        <v>56</v>
      </c>
      <c r="X86" s="17" t="s">
        <v>56</v>
      </c>
      <c r="Y86" s="38" t="s">
        <v>53</v>
      </c>
      <c r="Z86" s="16" t="s">
        <v>56</v>
      </c>
      <c r="AA86" s="17" t="s">
        <v>56</v>
      </c>
      <c r="AB86" s="38" t="s">
        <v>53</v>
      </c>
      <c r="AC86" s="16" t="s">
        <v>56</v>
      </c>
      <c r="AD86" s="17" t="s">
        <v>56</v>
      </c>
      <c r="AE86" s="38" t="s">
        <v>53</v>
      </c>
      <c r="AF86" s="16" t="s">
        <v>56</v>
      </c>
      <c r="AG86" s="17" t="s">
        <v>56</v>
      </c>
      <c r="AH86" s="38" t="s">
        <v>53</v>
      </c>
      <c r="AI86" s="16" t="s">
        <v>56</v>
      </c>
      <c r="AJ86" s="17" t="s">
        <v>56</v>
      </c>
      <c r="AK86" s="38" t="s">
        <v>53</v>
      </c>
      <c r="AL86" s="16" t="s">
        <v>56</v>
      </c>
      <c r="AM86" s="17" t="s">
        <v>56</v>
      </c>
      <c r="AN86" s="38" t="s">
        <v>53</v>
      </c>
      <c r="AO86" s="16" t="s">
        <v>56</v>
      </c>
      <c r="AP86" s="17" t="s">
        <v>56</v>
      </c>
      <c r="AQ86" s="38" t="s">
        <v>53</v>
      </c>
      <c r="AR86" s="16" t="s">
        <v>56</v>
      </c>
      <c r="AS86" s="17" t="s">
        <v>56</v>
      </c>
      <c r="AT86" s="38" t="s">
        <v>53</v>
      </c>
      <c r="AU86" s="36" t="s">
        <v>55</v>
      </c>
      <c r="AV86" s="37" t="s">
        <v>55</v>
      </c>
      <c r="AW86" s="38" t="s">
        <v>53</v>
      </c>
      <c r="AX86" s="36" t="s">
        <v>55</v>
      </c>
      <c r="AY86" s="37" t="s">
        <v>55</v>
      </c>
      <c r="AZ86" s="38" t="s">
        <v>53</v>
      </c>
      <c r="BA86" s="36" t="s">
        <v>55</v>
      </c>
      <c r="BB86" s="37" t="s">
        <v>55</v>
      </c>
      <c r="BC86" s="39" t="s">
        <v>53</v>
      </c>
    </row>
    <row r="87" spans="1:55" x14ac:dyDescent="0.25">
      <c r="A87" s="15" t="s">
        <v>200</v>
      </c>
      <c r="B87" s="16">
        <v>0.24372404242179124</v>
      </c>
      <c r="C87" s="17">
        <v>5.4278875628290389E-2</v>
      </c>
      <c r="D87" s="38" t="s">
        <v>53</v>
      </c>
      <c r="E87" s="16">
        <v>0.64296945545825868</v>
      </c>
      <c r="F87" s="17">
        <v>9.8086045197486968E-2</v>
      </c>
      <c r="G87" s="38" t="s">
        <v>53</v>
      </c>
      <c r="H87" s="16">
        <v>0.39924541303646743</v>
      </c>
      <c r="I87" s="17">
        <v>0.11951861898074194</v>
      </c>
      <c r="J87" s="38" t="s">
        <v>53</v>
      </c>
      <c r="K87" s="16">
        <v>-0.26759112621194303</v>
      </c>
      <c r="L87" s="17">
        <v>6.0169330696923776E-2</v>
      </c>
      <c r="M87" s="38" t="s">
        <v>53</v>
      </c>
      <c r="N87" s="16">
        <v>-0.11374450703719896</v>
      </c>
      <c r="O87" s="17">
        <v>0.13020347443205732</v>
      </c>
      <c r="P87" s="38" t="s">
        <v>53</v>
      </c>
      <c r="Q87" s="16">
        <v>0.15384661917474413</v>
      </c>
      <c r="R87" s="17">
        <v>0.14971544581851501</v>
      </c>
      <c r="S87" s="38" t="s">
        <v>53</v>
      </c>
      <c r="T87" s="16">
        <v>-0.14190119558577308</v>
      </c>
      <c r="U87" s="17">
        <v>6.2262356154620516E-2</v>
      </c>
      <c r="V87" s="38" t="s">
        <v>53</v>
      </c>
      <c r="W87" s="16">
        <v>-0.20146699399756632</v>
      </c>
      <c r="X87" s="17">
        <v>0.10170452762669231</v>
      </c>
      <c r="Y87" s="38" t="s">
        <v>53</v>
      </c>
      <c r="Z87" s="16">
        <v>-5.9565798411793248E-2</v>
      </c>
      <c r="AA87" s="17">
        <v>0.12722931801565868</v>
      </c>
      <c r="AB87" s="38" t="s">
        <v>53</v>
      </c>
      <c r="AC87" s="16">
        <v>0.14040138781321906</v>
      </c>
      <c r="AD87" s="17">
        <v>6.6202051328038358E-2</v>
      </c>
      <c r="AE87" s="38" t="s">
        <v>53</v>
      </c>
      <c r="AF87" s="16">
        <v>-3.7072161666543502E-3</v>
      </c>
      <c r="AG87" s="17">
        <v>9.1656721542545588E-2</v>
      </c>
      <c r="AH87" s="38" t="s">
        <v>53</v>
      </c>
      <c r="AI87" s="16">
        <v>-0.14410860397987341</v>
      </c>
      <c r="AJ87" s="17">
        <v>0.1189011387175871</v>
      </c>
      <c r="AK87" s="38" t="s">
        <v>53</v>
      </c>
      <c r="AL87" s="16">
        <v>-0.1079992873419373</v>
      </c>
      <c r="AM87" s="17">
        <v>7.707574815661053E-2</v>
      </c>
      <c r="AN87" s="38" t="s">
        <v>53</v>
      </c>
      <c r="AO87" s="16">
        <v>-0.18798762063810556</v>
      </c>
      <c r="AP87" s="17">
        <v>0.10112435503107471</v>
      </c>
      <c r="AQ87" s="38" t="s">
        <v>53</v>
      </c>
      <c r="AR87" s="16">
        <v>-7.9988333296168265E-2</v>
      </c>
      <c r="AS87" s="17">
        <v>0.13495912834882942</v>
      </c>
      <c r="AT87" s="38" t="s">
        <v>53</v>
      </c>
      <c r="AU87" s="36">
        <v>60.117658533882555</v>
      </c>
      <c r="AV87" s="37">
        <v>3.2433849046815282</v>
      </c>
      <c r="AW87" s="38" t="s">
        <v>53</v>
      </c>
      <c r="AX87" s="36">
        <v>90.797533352107735</v>
      </c>
      <c r="AY87" s="37">
        <v>3.4503046383068767</v>
      </c>
      <c r="AZ87" s="38" t="s">
        <v>53</v>
      </c>
      <c r="BA87" s="36">
        <v>30.679874818225191</v>
      </c>
      <c r="BB87" s="37">
        <v>4.9945016396796138</v>
      </c>
      <c r="BC87" s="39" t="s">
        <v>53</v>
      </c>
    </row>
    <row r="88" spans="1:55" x14ac:dyDescent="0.25">
      <c r="A88" s="15" t="s">
        <v>201</v>
      </c>
      <c r="B88" s="16">
        <v>0.2890311444845195</v>
      </c>
      <c r="C88" s="17">
        <v>4.273585644783981E-2</v>
      </c>
      <c r="D88" s="38" t="s">
        <v>53</v>
      </c>
      <c r="E88" s="16">
        <v>0.80451606321624536</v>
      </c>
      <c r="F88" s="17">
        <v>6.9606673233507318E-2</v>
      </c>
      <c r="G88" s="38" t="s">
        <v>53</v>
      </c>
      <c r="H88" s="16">
        <v>0.51548491873172575</v>
      </c>
      <c r="I88" s="17">
        <v>8.0758845646096589E-2</v>
      </c>
      <c r="J88" s="38" t="s">
        <v>53</v>
      </c>
      <c r="K88" s="16">
        <v>0.30127097810212705</v>
      </c>
      <c r="L88" s="17">
        <v>5.3864683739092624E-2</v>
      </c>
      <c r="M88" s="38" t="s">
        <v>53</v>
      </c>
      <c r="N88" s="16">
        <v>0.6101240094725644</v>
      </c>
      <c r="O88" s="17">
        <v>6.0685866959044335E-2</v>
      </c>
      <c r="P88" s="38" t="s">
        <v>53</v>
      </c>
      <c r="Q88" s="16">
        <v>0.30885303137043724</v>
      </c>
      <c r="R88" s="17">
        <v>8.8045337107770197E-2</v>
      </c>
      <c r="S88" s="38" t="s">
        <v>53</v>
      </c>
      <c r="T88" s="16">
        <v>0.58184604652710126</v>
      </c>
      <c r="U88" s="17">
        <v>5.8819595188478235E-2</v>
      </c>
      <c r="V88" s="38" t="s">
        <v>53</v>
      </c>
      <c r="W88" s="16">
        <v>0.70573056381640953</v>
      </c>
      <c r="X88" s="17">
        <v>6.66088475997276E-2</v>
      </c>
      <c r="Y88" s="38" t="s">
        <v>53</v>
      </c>
      <c r="Z88" s="16">
        <v>0.1238845172893083</v>
      </c>
      <c r="AA88" s="17">
        <v>0.10416752628054871</v>
      </c>
      <c r="AB88" s="38" t="s">
        <v>53</v>
      </c>
      <c r="AC88" s="16">
        <v>0.43727085661895426</v>
      </c>
      <c r="AD88" s="17">
        <v>4.6650510002884941E-2</v>
      </c>
      <c r="AE88" s="38" t="s">
        <v>53</v>
      </c>
      <c r="AF88" s="16">
        <v>0.52589999669715415</v>
      </c>
      <c r="AG88" s="17">
        <v>6.0674861668631792E-2</v>
      </c>
      <c r="AH88" s="38" t="s">
        <v>53</v>
      </c>
      <c r="AI88" s="16">
        <v>8.8629140078199983E-2</v>
      </c>
      <c r="AJ88" s="17">
        <v>8.592686244868164E-2</v>
      </c>
      <c r="AK88" s="38" t="s">
        <v>53</v>
      </c>
      <c r="AL88" s="16">
        <v>7.7947492331547102E-2</v>
      </c>
      <c r="AM88" s="17">
        <v>5.1356781907379405E-2</v>
      </c>
      <c r="AN88" s="38" t="s">
        <v>53</v>
      </c>
      <c r="AO88" s="16">
        <v>0.21416103991176338</v>
      </c>
      <c r="AP88" s="17">
        <v>5.2939451582006393E-2</v>
      </c>
      <c r="AQ88" s="38" t="s">
        <v>53</v>
      </c>
      <c r="AR88" s="16">
        <v>0.13621354758021628</v>
      </c>
      <c r="AS88" s="17">
        <v>7.4430456220739363E-2</v>
      </c>
      <c r="AT88" s="38" t="s">
        <v>53</v>
      </c>
      <c r="AU88" s="36">
        <v>64.501291531817955</v>
      </c>
      <c r="AV88" s="37">
        <v>2.7342725989900143</v>
      </c>
      <c r="AW88" s="38" t="s">
        <v>53</v>
      </c>
      <c r="AX88" s="36">
        <v>82.211941118069873</v>
      </c>
      <c r="AY88" s="37">
        <v>2.7776972767295902</v>
      </c>
      <c r="AZ88" s="38" t="s">
        <v>53</v>
      </c>
      <c r="BA88" s="36">
        <v>17.710649586251922</v>
      </c>
      <c r="BB88" s="37">
        <v>3.84168151130228</v>
      </c>
      <c r="BC88" s="39" t="s">
        <v>53</v>
      </c>
    </row>
    <row r="89" spans="1:55" x14ac:dyDescent="0.25">
      <c r="A89" s="15" t="s">
        <v>202</v>
      </c>
      <c r="B89" s="16">
        <v>-0.13495054053624075</v>
      </c>
      <c r="C89" s="17">
        <v>4.7016610935359714E-2</v>
      </c>
      <c r="D89" s="38" t="s">
        <v>53</v>
      </c>
      <c r="E89" s="16">
        <v>0.38684979502976519</v>
      </c>
      <c r="F89" s="17">
        <v>9.7324604915705562E-2</v>
      </c>
      <c r="G89" s="38" t="s">
        <v>53</v>
      </c>
      <c r="H89" s="16">
        <v>0.52180033556600602</v>
      </c>
      <c r="I89" s="17">
        <v>0.11652863771598021</v>
      </c>
      <c r="J89" s="38" t="s">
        <v>53</v>
      </c>
      <c r="K89" s="16">
        <v>1.4544925296177406E-2</v>
      </c>
      <c r="L89" s="17">
        <v>5.9806518606123717E-2</v>
      </c>
      <c r="M89" s="38" t="s">
        <v>53</v>
      </c>
      <c r="N89" s="16">
        <v>0.30472015250727791</v>
      </c>
      <c r="O89" s="17">
        <v>0.12429179820123472</v>
      </c>
      <c r="P89" s="38" t="s">
        <v>53</v>
      </c>
      <c r="Q89" s="16">
        <v>0.29017522721110056</v>
      </c>
      <c r="R89" s="17">
        <v>0.13830856932283678</v>
      </c>
      <c r="S89" s="38" t="s">
        <v>53</v>
      </c>
      <c r="T89" s="16">
        <v>2.6350875701319956E-2</v>
      </c>
      <c r="U89" s="17">
        <v>6.7009391131087878E-2</v>
      </c>
      <c r="V89" s="38" t="s">
        <v>53</v>
      </c>
      <c r="W89" s="16">
        <v>0.13106807280657998</v>
      </c>
      <c r="X89" s="17">
        <v>8.7225208597009551E-2</v>
      </c>
      <c r="Y89" s="38" t="s">
        <v>53</v>
      </c>
      <c r="Z89" s="16">
        <v>0.10471719710526002</v>
      </c>
      <c r="AA89" s="17">
        <v>0.11758148645213504</v>
      </c>
      <c r="AB89" s="38" t="s">
        <v>53</v>
      </c>
      <c r="AC89" s="16">
        <v>0.13270244406484219</v>
      </c>
      <c r="AD89" s="17">
        <v>6.7266228096758376E-2</v>
      </c>
      <c r="AE89" s="38" t="s">
        <v>53</v>
      </c>
      <c r="AF89" s="16">
        <v>9.8739799633526096E-2</v>
      </c>
      <c r="AG89" s="17">
        <v>0.10227813530656529</v>
      </c>
      <c r="AH89" s="38" t="s">
        <v>53</v>
      </c>
      <c r="AI89" s="16">
        <v>-3.3962644431316066E-2</v>
      </c>
      <c r="AJ89" s="17">
        <v>0.13184162843014316</v>
      </c>
      <c r="AK89" s="38" t="s">
        <v>53</v>
      </c>
      <c r="AL89" s="16">
        <v>0.1130373317433602</v>
      </c>
      <c r="AM89" s="17">
        <v>5.9597786131047784E-2</v>
      </c>
      <c r="AN89" s="38" t="s">
        <v>53</v>
      </c>
      <c r="AO89" s="16">
        <v>0.11610192089795078</v>
      </c>
      <c r="AP89" s="17">
        <v>9.3305739470258109E-2</v>
      </c>
      <c r="AQ89" s="38" t="s">
        <v>53</v>
      </c>
      <c r="AR89" s="16">
        <v>3.0645891545905829E-3</v>
      </c>
      <c r="AS89" s="17">
        <v>0.11667397073336824</v>
      </c>
      <c r="AT89" s="38" t="s">
        <v>53</v>
      </c>
      <c r="AU89" s="36">
        <v>73.056934154463576</v>
      </c>
      <c r="AV89" s="37">
        <v>2.402870299754019</v>
      </c>
      <c r="AW89" s="38" t="s">
        <v>53</v>
      </c>
      <c r="AX89" s="36">
        <v>93.428997608470397</v>
      </c>
      <c r="AY89" s="37">
        <v>2.2978867455693406</v>
      </c>
      <c r="AZ89" s="38" t="s">
        <v>53</v>
      </c>
      <c r="BA89" s="36">
        <v>20.372063454006827</v>
      </c>
      <c r="BB89" s="37">
        <v>3.1725669766235525</v>
      </c>
      <c r="BC89" s="39" t="s">
        <v>53</v>
      </c>
    </row>
    <row r="90" spans="1:55" x14ac:dyDescent="0.25">
      <c r="A90" s="15" t="s">
        <v>203</v>
      </c>
      <c r="B90" s="16">
        <v>0.2096200821972754</v>
      </c>
      <c r="C90" s="17">
        <v>3.7607092535292458E-2</v>
      </c>
      <c r="D90" s="38" t="s">
        <v>53</v>
      </c>
      <c r="E90" s="16">
        <v>0.85379658656856605</v>
      </c>
      <c r="F90" s="17">
        <v>6.1331107527855151E-2</v>
      </c>
      <c r="G90" s="38" t="s">
        <v>53</v>
      </c>
      <c r="H90" s="16">
        <v>0.64417650437129059</v>
      </c>
      <c r="I90" s="17">
        <v>6.6999148263480482E-2</v>
      </c>
      <c r="J90" s="38" t="s">
        <v>53</v>
      </c>
      <c r="K90" s="16">
        <v>0.27682837280836298</v>
      </c>
      <c r="L90" s="17">
        <v>3.3747295338475668E-2</v>
      </c>
      <c r="M90" s="38" t="s">
        <v>53</v>
      </c>
      <c r="N90" s="16">
        <v>0.36597080843496582</v>
      </c>
      <c r="O90" s="17">
        <v>5.0208296223494112E-2</v>
      </c>
      <c r="P90" s="38" t="s">
        <v>53</v>
      </c>
      <c r="Q90" s="16">
        <v>8.9142435626602803E-2</v>
      </c>
      <c r="R90" s="17">
        <v>6.3390589940684708E-2</v>
      </c>
      <c r="S90" s="38" t="s">
        <v>53</v>
      </c>
      <c r="T90" s="16">
        <v>0.33773244041361772</v>
      </c>
      <c r="U90" s="17">
        <v>2.7242823310179187E-2</v>
      </c>
      <c r="V90" s="38" t="s">
        <v>53</v>
      </c>
      <c r="W90" s="16">
        <v>0.46257282785202786</v>
      </c>
      <c r="X90" s="17">
        <v>4.7364039752521854E-2</v>
      </c>
      <c r="Y90" s="38" t="s">
        <v>53</v>
      </c>
      <c r="Z90" s="16">
        <v>0.12484038743841018</v>
      </c>
      <c r="AA90" s="17">
        <v>5.9768873198322747E-2</v>
      </c>
      <c r="AB90" s="38" t="s">
        <v>53</v>
      </c>
      <c r="AC90" s="16" t="s">
        <v>55</v>
      </c>
      <c r="AD90" s="17" t="s">
        <v>55</v>
      </c>
      <c r="AE90" s="38" t="s">
        <v>53</v>
      </c>
      <c r="AF90" s="16" t="s">
        <v>55</v>
      </c>
      <c r="AG90" s="17" t="s">
        <v>55</v>
      </c>
      <c r="AH90" s="38" t="s">
        <v>53</v>
      </c>
      <c r="AI90" s="16" t="s">
        <v>55</v>
      </c>
      <c r="AJ90" s="17" t="s">
        <v>55</v>
      </c>
      <c r="AK90" s="38" t="s">
        <v>53</v>
      </c>
      <c r="AL90" s="16" t="s">
        <v>55</v>
      </c>
      <c r="AM90" s="17" t="s">
        <v>55</v>
      </c>
      <c r="AN90" s="38" t="s">
        <v>53</v>
      </c>
      <c r="AO90" s="16" t="s">
        <v>55</v>
      </c>
      <c r="AP90" s="17" t="s">
        <v>55</v>
      </c>
      <c r="AQ90" s="38" t="s">
        <v>53</v>
      </c>
      <c r="AR90" s="16" t="s">
        <v>55</v>
      </c>
      <c r="AS90" s="17" t="s">
        <v>55</v>
      </c>
      <c r="AT90" s="38" t="s">
        <v>53</v>
      </c>
      <c r="AU90" s="36">
        <v>95.900981512541179</v>
      </c>
      <c r="AV90" s="37">
        <v>0.60845410244688281</v>
      </c>
      <c r="AW90" s="38" t="s">
        <v>53</v>
      </c>
      <c r="AX90" s="36">
        <v>97.822452815937183</v>
      </c>
      <c r="AY90" s="37">
        <v>0.81338069538673208</v>
      </c>
      <c r="AZ90" s="38" t="s">
        <v>53</v>
      </c>
      <c r="BA90" s="36">
        <v>1.9214713033960242</v>
      </c>
      <c r="BB90" s="37">
        <v>1.0777823740196795</v>
      </c>
      <c r="BC90" s="39" t="s">
        <v>53</v>
      </c>
    </row>
    <row r="91" spans="1:55" x14ac:dyDescent="0.25">
      <c r="A91" s="15" t="s">
        <v>204</v>
      </c>
      <c r="B91" s="16">
        <v>6.2799028201196455E-2</v>
      </c>
      <c r="C91" s="17">
        <v>0.1082281714157981</v>
      </c>
      <c r="D91" s="38" t="s">
        <v>53</v>
      </c>
      <c r="E91" s="16" t="s">
        <v>56</v>
      </c>
      <c r="F91" s="17" t="s">
        <v>56</v>
      </c>
      <c r="G91" s="38" t="s">
        <v>53</v>
      </c>
      <c r="H91" s="16" t="s">
        <v>56</v>
      </c>
      <c r="I91" s="17" t="s">
        <v>56</v>
      </c>
      <c r="J91" s="38" t="s">
        <v>53</v>
      </c>
      <c r="K91" s="16">
        <v>-5.0286139507591934E-2</v>
      </c>
      <c r="L91" s="17">
        <v>0.22917383136201336</v>
      </c>
      <c r="M91" s="38" t="s">
        <v>53</v>
      </c>
      <c r="N91" s="16" t="s">
        <v>56</v>
      </c>
      <c r="O91" s="17" t="s">
        <v>56</v>
      </c>
      <c r="P91" s="38" t="s">
        <v>53</v>
      </c>
      <c r="Q91" s="16" t="s">
        <v>56</v>
      </c>
      <c r="R91" s="17" t="s">
        <v>56</v>
      </c>
      <c r="S91" s="38" t="s">
        <v>53</v>
      </c>
      <c r="T91" s="16">
        <v>-0.22144501007810158</v>
      </c>
      <c r="U91" s="17">
        <v>0.20947361742608503</v>
      </c>
      <c r="V91" s="38" t="s">
        <v>53</v>
      </c>
      <c r="W91" s="16" t="s">
        <v>56</v>
      </c>
      <c r="X91" s="17" t="s">
        <v>56</v>
      </c>
      <c r="Y91" s="38" t="s">
        <v>53</v>
      </c>
      <c r="Z91" s="16" t="s">
        <v>56</v>
      </c>
      <c r="AA91" s="17" t="s">
        <v>56</v>
      </c>
      <c r="AB91" s="38" t="s">
        <v>53</v>
      </c>
      <c r="AC91" s="16">
        <v>-0.43323746502267446</v>
      </c>
      <c r="AD91" s="17">
        <v>0.151350526762528</v>
      </c>
      <c r="AE91" s="38" t="s">
        <v>54</v>
      </c>
      <c r="AF91" s="16" t="s">
        <v>56</v>
      </c>
      <c r="AG91" s="17" t="s">
        <v>56</v>
      </c>
      <c r="AH91" s="38" t="s">
        <v>53</v>
      </c>
      <c r="AI91" s="16" t="s">
        <v>56</v>
      </c>
      <c r="AJ91" s="17" t="s">
        <v>56</v>
      </c>
      <c r="AK91" s="38" t="s">
        <v>53</v>
      </c>
      <c r="AL91" s="16">
        <v>-1.4861758745070092E-2</v>
      </c>
      <c r="AM91" s="17">
        <v>0.22072298586763292</v>
      </c>
      <c r="AN91" s="38" t="s">
        <v>54</v>
      </c>
      <c r="AO91" s="16" t="s">
        <v>56</v>
      </c>
      <c r="AP91" s="17" t="s">
        <v>56</v>
      </c>
      <c r="AQ91" s="38" t="s">
        <v>53</v>
      </c>
      <c r="AR91" s="16" t="s">
        <v>56</v>
      </c>
      <c r="AS91" s="17" t="s">
        <v>56</v>
      </c>
      <c r="AT91" s="38" t="s">
        <v>53</v>
      </c>
      <c r="AU91" s="36">
        <v>39.15174135905675</v>
      </c>
      <c r="AV91" s="37">
        <v>15.670000172780957</v>
      </c>
      <c r="AW91" s="38" t="s">
        <v>53</v>
      </c>
      <c r="AX91" s="36" t="s">
        <v>55</v>
      </c>
      <c r="AY91" s="37" t="s">
        <v>55</v>
      </c>
      <c r="AZ91" s="38" t="s">
        <v>53</v>
      </c>
      <c r="BA91" s="36" t="s">
        <v>55</v>
      </c>
      <c r="BB91" s="37" t="s">
        <v>55</v>
      </c>
      <c r="BC91" s="39" t="s">
        <v>53</v>
      </c>
    </row>
    <row r="92" spans="1:55" x14ac:dyDescent="0.25">
      <c r="A92" s="15" t="s">
        <v>205</v>
      </c>
      <c r="B92" s="16">
        <v>0.12937051362276833</v>
      </c>
      <c r="C92" s="17">
        <v>6.9393461177908497E-2</v>
      </c>
      <c r="D92" s="38" t="s">
        <v>53</v>
      </c>
      <c r="E92" s="16" t="s">
        <v>56</v>
      </c>
      <c r="F92" s="17" t="s">
        <v>56</v>
      </c>
      <c r="G92" s="38" t="s">
        <v>53</v>
      </c>
      <c r="H92" s="16" t="s">
        <v>56</v>
      </c>
      <c r="I92" s="17" t="s">
        <v>56</v>
      </c>
      <c r="J92" s="38" t="s">
        <v>53</v>
      </c>
      <c r="K92" s="16">
        <v>-0.25864022565288564</v>
      </c>
      <c r="L92" s="17">
        <v>0.20506780614459116</v>
      </c>
      <c r="M92" s="38" t="s">
        <v>53</v>
      </c>
      <c r="N92" s="16" t="s">
        <v>56</v>
      </c>
      <c r="O92" s="17" t="s">
        <v>56</v>
      </c>
      <c r="P92" s="38" t="s">
        <v>53</v>
      </c>
      <c r="Q92" s="16" t="s">
        <v>56</v>
      </c>
      <c r="R92" s="17" t="s">
        <v>56</v>
      </c>
      <c r="S92" s="38" t="s">
        <v>53</v>
      </c>
      <c r="T92" s="16">
        <v>-0.25493989836366276</v>
      </c>
      <c r="U92" s="17">
        <v>0.18402453060524182</v>
      </c>
      <c r="V92" s="38" t="s">
        <v>53</v>
      </c>
      <c r="W92" s="16" t="s">
        <v>56</v>
      </c>
      <c r="X92" s="17" t="s">
        <v>56</v>
      </c>
      <c r="Y92" s="38" t="s">
        <v>53</v>
      </c>
      <c r="Z92" s="16" t="s">
        <v>56</v>
      </c>
      <c r="AA92" s="17" t="s">
        <v>56</v>
      </c>
      <c r="AB92" s="38" t="s">
        <v>53</v>
      </c>
      <c r="AC92" s="16">
        <v>3.3979144209999285E-2</v>
      </c>
      <c r="AD92" s="17">
        <v>0.13229194648117013</v>
      </c>
      <c r="AE92" s="38" t="s">
        <v>53</v>
      </c>
      <c r="AF92" s="16" t="s">
        <v>56</v>
      </c>
      <c r="AG92" s="17" t="s">
        <v>56</v>
      </c>
      <c r="AH92" s="38" t="s">
        <v>53</v>
      </c>
      <c r="AI92" s="16" t="s">
        <v>56</v>
      </c>
      <c r="AJ92" s="17" t="s">
        <v>56</v>
      </c>
      <c r="AK92" s="38" t="s">
        <v>53</v>
      </c>
      <c r="AL92" s="16">
        <v>-0.17786410440752876</v>
      </c>
      <c r="AM92" s="17">
        <v>0.21437078950590213</v>
      </c>
      <c r="AN92" s="38" t="s">
        <v>53</v>
      </c>
      <c r="AO92" s="16" t="s">
        <v>56</v>
      </c>
      <c r="AP92" s="17" t="s">
        <v>56</v>
      </c>
      <c r="AQ92" s="38" t="s">
        <v>53</v>
      </c>
      <c r="AR92" s="16" t="s">
        <v>56</v>
      </c>
      <c r="AS92" s="17" t="s">
        <v>56</v>
      </c>
      <c r="AT92" s="38" t="s">
        <v>53</v>
      </c>
      <c r="AU92" s="36">
        <v>29.902652082471604</v>
      </c>
      <c r="AV92" s="37">
        <v>6.8655145444836707</v>
      </c>
      <c r="AW92" s="38" t="s">
        <v>53</v>
      </c>
      <c r="AX92" s="36" t="s">
        <v>55</v>
      </c>
      <c r="AY92" s="37" t="s">
        <v>55</v>
      </c>
      <c r="AZ92" s="38" t="s">
        <v>53</v>
      </c>
      <c r="BA92" s="36" t="s">
        <v>55</v>
      </c>
      <c r="BB92" s="37" t="s">
        <v>55</v>
      </c>
      <c r="BC92" s="39" t="s">
        <v>53</v>
      </c>
    </row>
    <row r="93" spans="1:55" x14ac:dyDescent="0.25">
      <c r="A93" s="15" t="s">
        <v>206</v>
      </c>
      <c r="B93" s="16">
        <v>9.5633323333902398E-2</v>
      </c>
      <c r="C93" s="17">
        <v>9.0399547650325623E-2</v>
      </c>
      <c r="D93" s="38" t="s">
        <v>53</v>
      </c>
      <c r="E93" s="16" t="s">
        <v>56</v>
      </c>
      <c r="F93" s="17" t="s">
        <v>56</v>
      </c>
      <c r="G93" s="38" t="s">
        <v>53</v>
      </c>
      <c r="H93" s="16" t="s">
        <v>56</v>
      </c>
      <c r="I93" s="17" t="s">
        <v>56</v>
      </c>
      <c r="J93" s="38" t="s">
        <v>53</v>
      </c>
      <c r="K93" s="16">
        <v>-0.19079228095663595</v>
      </c>
      <c r="L93" s="17">
        <v>0.13000478887492961</v>
      </c>
      <c r="M93" s="38" t="s">
        <v>53</v>
      </c>
      <c r="N93" s="16" t="s">
        <v>56</v>
      </c>
      <c r="O93" s="17" t="s">
        <v>56</v>
      </c>
      <c r="P93" s="38" t="s">
        <v>53</v>
      </c>
      <c r="Q93" s="16" t="s">
        <v>56</v>
      </c>
      <c r="R93" s="17" t="s">
        <v>56</v>
      </c>
      <c r="S93" s="38" t="s">
        <v>53</v>
      </c>
      <c r="T93" s="16">
        <v>-0.56933692966935978</v>
      </c>
      <c r="U93" s="17">
        <v>0.11889139157086104</v>
      </c>
      <c r="V93" s="38" t="s">
        <v>53</v>
      </c>
      <c r="W93" s="16" t="s">
        <v>56</v>
      </c>
      <c r="X93" s="17" t="s">
        <v>56</v>
      </c>
      <c r="Y93" s="38" t="s">
        <v>53</v>
      </c>
      <c r="Z93" s="16" t="s">
        <v>56</v>
      </c>
      <c r="AA93" s="17" t="s">
        <v>56</v>
      </c>
      <c r="AB93" s="38" t="s">
        <v>53</v>
      </c>
      <c r="AC93" s="16">
        <v>-6.614279004222021E-3</v>
      </c>
      <c r="AD93" s="17">
        <v>0.10970100348630818</v>
      </c>
      <c r="AE93" s="38" t="s">
        <v>53</v>
      </c>
      <c r="AF93" s="16" t="s">
        <v>56</v>
      </c>
      <c r="AG93" s="17" t="s">
        <v>56</v>
      </c>
      <c r="AH93" s="38" t="s">
        <v>53</v>
      </c>
      <c r="AI93" s="16" t="s">
        <v>56</v>
      </c>
      <c r="AJ93" s="17" t="s">
        <v>56</v>
      </c>
      <c r="AK93" s="38" t="s">
        <v>53</v>
      </c>
      <c r="AL93" s="16">
        <v>0.17626773152464373</v>
      </c>
      <c r="AM93" s="17">
        <v>0.12423290871863127</v>
      </c>
      <c r="AN93" s="38" t="s">
        <v>53</v>
      </c>
      <c r="AO93" s="16" t="s">
        <v>56</v>
      </c>
      <c r="AP93" s="17" t="s">
        <v>56</v>
      </c>
      <c r="AQ93" s="38" t="s">
        <v>53</v>
      </c>
      <c r="AR93" s="16" t="s">
        <v>56</v>
      </c>
      <c r="AS93" s="17" t="s">
        <v>56</v>
      </c>
      <c r="AT93" s="38" t="s">
        <v>53</v>
      </c>
      <c r="AU93" s="36">
        <v>94.036387335732471</v>
      </c>
      <c r="AV93" s="37">
        <v>2.0179550926171652</v>
      </c>
      <c r="AW93" s="38" t="s">
        <v>53</v>
      </c>
      <c r="AX93" s="36" t="s">
        <v>55</v>
      </c>
      <c r="AY93" s="37" t="s">
        <v>55</v>
      </c>
      <c r="AZ93" s="38" t="s">
        <v>53</v>
      </c>
      <c r="BA93" s="36" t="s">
        <v>55</v>
      </c>
      <c r="BB93" s="37" t="s">
        <v>55</v>
      </c>
      <c r="BC93" s="39" t="s">
        <v>53</v>
      </c>
    </row>
    <row r="94" spans="1:55" x14ac:dyDescent="0.25">
      <c r="A94" s="15" t="s">
        <v>207</v>
      </c>
      <c r="B94" s="16">
        <v>0.26337596414761411</v>
      </c>
      <c r="C94" s="17">
        <v>1.8797819606184568E-2</v>
      </c>
      <c r="D94" s="38" t="s">
        <v>53</v>
      </c>
      <c r="E94" s="16">
        <v>0.7776221466504869</v>
      </c>
      <c r="F94" s="17">
        <v>2.9166126567878405E-2</v>
      </c>
      <c r="G94" s="38" t="s">
        <v>53</v>
      </c>
      <c r="H94" s="16">
        <v>0.5142461825028728</v>
      </c>
      <c r="I94" s="17">
        <v>3.6480994808881104E-2</v>
      </c>
      <c r="J94" s="38" t="s">
        <v>53</v>
      </c>
      <c r="K94" s="16">
        <v>0.4029007786454889</v>
      </c>
      <c r="L94" s="17">
        <v>1.8262737508981605E-2</v>
      </c>
      <c r="M94" s="38" t="s">
        <v>53</v>
      </c>
      <c r="N94" s="16">
        <v>0.5147059845840275</v>
      </c>
      <c r="O94" s="17">
        <v>2.6437841236047477E-2</v>
      </c>
      <c r="P94" s="38" t="s">
        <v>53</v>
      </c>
      <c r="Q94" s="16">
        <v>0.11180520593853858</v>
      </c>
      <c r="R94" s="17">
        <v>3.3698676854598229E-2</v>
      </c>
      <c r="S94" s="38" t="s">
        <v>53</v>
      </c>
      <c r="T94" s="16">
        <v>0.43241355931422443</v>
      </c>
      <c r="U94" s="17">
        <v>1.856355376696053E-2</v>
      </c>
      <c r="V94" s="38" t="s">
        <v>53</v>
      </c>
      <c r="W94" s="16">
        <v>0.46857701176924449</v>
      </c>
      <c r="X94" s="17">
        <v>2.1823486808044187E-2</v>
      </c>
      <c r="Y94" s="38" t="s">
        <v>53</v>
      </c>
      <c r="Z94" s="16">
        <v>3.6163452455020194E-2</v>
      </c>
      <c r="AA94" s="17">
        <v>3.2744740322807449E-2</v>
      </c>
      <c r="AB94" s="38" t="s">
        <v>53</v>
      </c>
      <c r="AC94" s="16">
        <v>0.41521552478418178</v>
      </c>
      <c r="AD94" s="17">
        <v>1.8443197171326472E-2</v>
      </c>
      <c r="AE94" s="38" t="s">
        <v>53</v>
      </c>
      <c r="AF94" s="16">
        <v>0.11516152396036861</v>
      </c>
      <c r="AG94" s="17">
        <v>3.6258649797849866E-2</v>
      </c>
      <c r="AH94" s="38" t="s">
        <v>53</v>
      </c>
      <c r="AI94" s="16">
        <v>-0.30005400082381317</v>
      </c>
      <c r="AJ94" s="17">
        <v>3.8782693493801847E-2</v>
      </c>
      <c r="AK94" s="38" t="s">
        <v>53</v>
      </c>
      <c r="AL94" s="16">
        <v>5.057623019652624E-2</v>
      </c>
      <c r="AM94" s="17">
        <v>2.3850453276096712E-2</v>
      </c>
      <c r="AN94" s="38" t="s">
        <v>53</v>
      </c>
      <c r="AO94" s="16">
        <v>3.7582925896483765E-2</v>
      </c>
      <c r="AP94" s="17">
        <v>3.0102568112887466E-2</v>
      </c>
      <c r="AQ94" s="38" t="s">
        <v>53</v>
      </c>
      <c r="AR94" s="16">
        <v>-1.2993304300042481E-2</v>
      </c>
      <c r="AS94" s="17">
        <v>3.5987053540049808E-2</v>
      </c>
      <c r="AT94" s="38" t="s">
        <v>53</v>
      </c>
      <c r="AU94" s="36">
        <v>80.023883023955165</v>
      </c>
      <c r="AV94" s="37">
        <v>0.81743378502484487</v>
      </c>
      <c r="AW94" s="38" t="s">
        <v>53</v>
      </c>
      <c r="AX94" s="36">
        <v>96.131814896372191</v>
      </c>
      <c r="AY94" s="37">
        <v>0.50708051716213276</v>
      </c>
      <c r="AZ94" s="38" t="s">
        <v>53</v>
      </c>
      <c r="BA94" s="36">
        <v>16.107931872417012</v>
      </c>
      <c r="BB94" s="37">
        <v>1.0220634514025813</v>
      </c>
      <c r="BC94" s="39" t="s">
        <v>53</v>
      </c>
    </row>
    <row r="95" spans="1:55" x14ac:dyDescent="0.25">
      <c r="A95" s="15" t="s">
        <v>208</v>
      </c>
      <c r="B95" s="16">
        <v>0.26864920708128626</v>
      </c>
      <c r="C95" s="17">
        <v>0.161939814696172</v>
      </c>
      <c r="D95" s="38" t="s">
        <v>53</v>
      </c>
      <c r="E95" s="16" t="s">
        <v>56</v>
      </c>
      <c r="F95" s="17" t="s">
        <v>56</v>
      </c>
      <c r="G95" s="38" t="s">
        <v>53</v>
      </c>
      <c r="H95" s="16" t="s">
        <v>56</v>
      </c>
      <c r="I95" s="17" t="s">
        <v>56</v>
      </c>
      <c r="J95" s="38" t="s">
        <v>53</v>
      </c>
      <c r="K95" s="16">
        <v>0.42900889978650886</v>
      </c>
      <c r="L95" s="17">
        <v>0.19973400566986593</v>
      </c>
      <c r="M95" s="38" t="s">
        <v>54</v>
      </c>
      <c r="N95" s="16" t="s">
        <v>56</v>
      </c>
      <c r="O95" s="17" t="s">
        <v>56</v>
      </c>
      <c r="P95" s="38" t="s">
        <v>53</v>
      </c>
      <c r="Q95" s="16" t="s">
        <v>56</v>
      </c>
      <c r="R95" s="17" t="s">
        <v>56</v>
      </c>
      <c r="S95" s="38" t="s">
        <v>53</v>
      </c>
      <c r="T95" s="16">
        <v>0.53214714370965666</v>
      </c>
      <c r="U95" s="17">
        <v>0.18272877889575831</v>
      </c>
      <c r="V95" s="38" t="s">
        <v>54</v>
      </c>
      <c r="W95" s="16" t="s">
        <v>56</v>
      </c>
      <c r="X95" s="17" t="s">
        <v>56</v>
      </c>
      <c r="Y95" s="38" t="s">
        <v>53</v>
      </c>
      <c r="Z95" s="16" t="s">
        <v>56</v>
      </c>
      <c r="AA95" s="17" t="s">
        <v>56</v>
      </c>
      <c r="AB95" s="38" t="s">
        <v>53</v>
      </c>
      <c r="AC95" s="16">
        <v>2.3721880060167209E-2</v>
      </c>
      <c r="AD95" s="17">
        <v>0.16956776590110437</v>
      </c>
      <c r="AE95" s="38" t="s">
        <v>54</v>
      </c>
      <c r="AF95" s="16" t="s">
        <v>56</v>
      </c>
      <c r="AG95" s="17" t="s">
        <v>56</v>
      </c>
      <c r="AH95" s="38" t="s">
        <v>53</v>
      </c>
      <c r="AI95" s="16" t="s">
        <v>56</v>
      </c>
      <c r="AJ95" s="17" t="s">
        <v>56</v>
      </c>
      <c r="AK95" s="38" t="s">
        <v>53</v>
      </c>
      <c r="AL95" s="16">
        <v>-0.16120197782329809</v>
      </c>
      <c r="AM95" s="17">
        <v>0.19029921627985585</v>
      </c>
      <c r="AN95" s="38" t="s">
        <v>54</v>
      </c>
      <c r="AO95" s="16" t="s">
        <v>56</v>
      </c>
      <c r="AP95" s="17" t="s">
        <v>56</v>
      </c>
      <c r="AQ95" s="38" t="s">
        <v>53</v>
      </c>
      <c r="AR95" s="16" t="s">
        <v>56</v>
      </c>
      <c r="AS95" s="17" t="s">
        <v>56</v>
      </c>
      <c r="AT95" s="38" t="s">
        <v>53</v>
      </c>
      <c r="AU95" s="36">
        <v>46.508784570888409</v>
      </c>
      <c r="AV95" s="37">
        <v>7.3849399787282612</v>
      </c>
      <c r="AW95" s="38" t="s">
        <v>53</v>
      </c>
      <c r="AX95" s="36" t="s">
        <v>55</v>
      </c>
      <c r="AY95" s="37" t="s">
        <v>55</v>
      </c>
      <c r="AZ95" s="38" t="s">
        <v>53</v>
      </c>
      <c r="BA95" s="36" t="s">
        <v>55</v>
      </c>
      <c r="BB95" s="37" t="s">
        <v>55</v>
      </c>
      <c r="BC95" s="39" t="s">
        <v>53</v>
      </c>
    </row>
    <row r="96" spans="1:55" ht="13.8" thickBot="1" x14ac:dyDescent="0.3">
      <c r="A96" s="18" t="s">
        <v>209</v>
      </c>
      <c r="B96" s="19" t="s">
        <v>56</v>
      </c>
      <c r="C96" s="20" t="s">
        <v>56</v>
      </c>
      <c r="D96" s="42" t="s">
        <v>53</v>
      </c>
      <c r="E96" s="19" t="s">
        <v>55</v>
      </c>
      <c r="F96" s="20" t="s">
        <v>55</v>
      </c>
      <c r="G96" s="42" t="s">
        <v>53</v>
      </c>
      <c r="H96" s="19" t="s">
        <v>55</v>
      </c>
      <c r="I96" s="20" t="s">
        <v>55</v>
      </c>
      <c r="J96" s="42" t="s">
        <v>53</v>
      </c>
      <c r="K96" s="19" t="s">
        <v>56</v>
      </c>
      <c r="L96" s="20" t="s">
        <v>56</v>
      </c>
      <c r="M96" s="42" t="s">
        <v>53</v>
      </c>
      <c r="N96" s="19" t="s">
        <v>55</v>
      </c>
      <c r="O96" s="20" t="s">
        <v>55</v>
      </c>
      <c r="P96" s="42" t="s">
        <v>53</v>
      </c>
      <c r="Q96" s="19" t="s">
        <v>55</v>
      </c>
      <c r="R96" s="20" t="s">
        <v>55</v>
      </c>
      <c r="S96" s="42" t="s">
        <v>53</v>
      </c>
      <c r="T96" s="19" t="s">
        <v>56</v>
      </c>
      <c r="U96" s="20" t="s">
        <v>56</v>
      </c>
      <c r="V96" s="42" t="s">
        <v>53</v>
      </c>
      <c r="W96" s="19" t="s">
        <v>55</v>
      </c>
      <c r="X96" s="20" t="s">
        <v>55</v>
      </c>
      <c r="Y96" s="42" t="s">
        <v>53</v>
      </c>
      <c r="Z96" s="19" t="s">
        <v>55</v>
      </c>
      <c r="AA96" s="20" t="s">
        <v>55</v>
      </c>
      <c r="AB96" s="42" t="s">
        <v>53</v>
      </c>
      <c r="AC96" s="19" t="s">
        <v>56</v>
      </c>
      <c r="AD96" s="20" t="s">
        <v>56</v>
      </c>
      <c r="AE96" s="42" t="s">
        <v>53</v>
      </c>
      <c r="AF96" s="19" t="s">
        <v>55</v>
      </c>
      <c r="AG96" s="20" t="s">
        <v>55</v>
      </c>
      <c r="AH96" s="42" t="s">
        <v>53</v>
      </c>
      <c r="AI96" s="19" t="s">
        <v>55</v>
      </c>
      <c r="AJ96" s="20" t="s">
        <v>55</v>
      </c>
      <c r="AK96" s="42" t="s">
        <v>53</v>
      </c>
      <c r="AL96" s="19" t="s">
        <v>55</v>
      </c>
      <c r="AM96" s="20" t="s">
        <v>55</v>
      </c>
      <c r="AN96" s="42" t="s">
        <v>53</v>
      </c>
      <c r="AO96" s="19" t="s">
        <v>55</v>
      </c>
      <c r="AP96" s="20" t="s">
        <v>55</v>
      </c>
      <c r="AQ96" s="42" t="s">
        <v>53</v>
      </c>
      <c r="AR96" s="19" t="s">
        <v>55</v>
      </c>
      <c r="AS96" s="20" t="s">
        <v>55</v>
      </c>
      <c r="AT96" s="42" t="s">
        <v>53</v>
      </c>
      <c r="AU96" s="40" t="s">
        <v>55</v>
      </c>
      <c r="AV96" s="41" t="s">
        <v>55</v>
      </c>
      <c r="AW96" s="42" t="s">
        <v>53</v>
      </c>
      <c r="AX96" s="40" t="s">
        <v>55</v>
      </c>
      <c r="AY96" s="41" t="s">
        <v>55</v>
      </c>
      <c r="AZ96" s="42" t="s">
        <v>53</v>
      </c>
      <c r="BA96" s="40" t="s">
        <v>55</v>
      </c>
      <c r="BB96" s="41" t="s">
        <v>55</v>
      </c>
      <c r="BC96" s="43" t="s">
        <v>53</v>
      </c>
    </row>
    <row r="103" spans="1:55" x14ac:dyDescent="0.25">
      <c r="A103" t="s">
        <v>219</v>
      </c>
    </row>
    <row r="104" spans="1:55" x14ac:dyDescent="0.25">
      <c r="A104" s="33" t="s">
        <v>116</v>
      </c>
      <c r="B104" s="29"/>
      <c r="C104" s="29"/>
      <c r="D104" s="29"/>
      <c r="E104" s="29"/>
      <c r="F104" s="29"/>
      <c r="G104" s="29"/>
      <c r="H104" s="29"/>
      <c r="I104" s="29"/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9"/>
      <c r="AA104" s="29"/>
      <c r="AB104" s="29"/>
      <c r="AC104" s="29"/>
      <c r="AD104" s="29"/>
      <c r="AE104" s="29"/>
      <c r="AF104" s="29"/>
      <c r="AG104" s="29"/>
      <c r="AH104" s="29"/>
      <c r="AI104" s="29"/>
      <c r="AJ104" s="29"/>
      <c r="AK104" s="29"/>
      <c r="AL104" s="29"/>
      <c r="AM104" s="29"/>
      <c r="AN104" s="29"/>
      <c r="AO104" s="29"/>
      <c r="AP104" s="29"/>
      <c r="AQ104" s="29"/>
      <c r="AR104" s="29"/>
      <c r="AS104" s="29"/>
      <c r="AT104" s="29"/>
      <c r="AU104" s="29"/>
      <c r="AV104" s="29"/>
      <c r="AW104" s="29"/>
      <c r="AX104" s="29"/>
      <c r="AY104" s="29"/>
      <c r="AZ104" s="29"/>
      <c r="BA104" s="29"/>
      <c r="BB104" s="29"/>
      <c r="BC104" s="29"/>
    </row>
    <row r="105" spans="1:55" x14ac:dyDescent="0.25">
      <c r="A105" s="27" t="s">
        <v>103</v>
      </c>
    </row>
    <row r="106" spans="1:55" x14ac:dyDescent="0.25">
      <c r="A106" s="27" t="s">
        <v>84</v>
      </c>
    </row>
    <row r="107" spans="1:55" x14ac:dyDescent="0.25">
      <c r="A107" s="27" t="s">
        <v>85</v>
      </c>
    </row>
    <row r="108" spans="1:55" x14ac:dyDescent="0.25">
      <c r="A108" s="27" t="s">
        <v>86</v>
      </c>
    </row>
    <row r="109" spans="1:55" x14ac:dyDescent="0.25">
      <c r="A109" s="27" t="s">
        <v>87</v>
      </c>
    </row>
    <row r="110" spans="1:55" x14ac:dyDescent="0.25">
      <c r="A110" s="27" t="s">
        <v>230</v>
      </c>
    </row>
    <row r="111" spans="1:55" x14ac:dyDescent="0.25">
      <c r="A111" t="s">
        <v>78</v>
      </c>
    </row>
    <row r="112" spans="1:55" x14ac:dyDescent="0.25">
      <c r="A112" s="27" t="s">
        <v>212</v>
      </c>
    </row>
  </sheetData>
  <mergeCells count="24">
    <mergeCell ref="AR13:AT13"/>
    <mergeCell ref="AU13:AW13"/>
    <mergeCell ref="AX13:AZ13"/>
    <mergeCell ref="AC13:AE13"/>
    <mergeCell ref="AF13:AH13"/>
    <mergeCell ref="AI13:AK13"/>
    <mergeCell ref="AL13:AN13"/>
    <mergeCell ref="AO13:AQ13"/>
    <mergeCell ref="AU12:BC12"/>
    <mergeCell ref="B13:D13"/>
    <mergeCell ref="E13:G13"/>
    <mergeCell ref="H13:J13"/>
    <mergeCell ref="K13:M13"/>
    <mergeCell ref="N13:P13"/>
    <mergeCell ref="Q13:S13"/>
    <mergeCell ref="T13:V13"/>
    <mergeCell ref="W13:Y13"/>
    <mergeCell ref="Z13:AB13"/>
    <mergeCell ref="B12:J12"/>
    <mergeCell ref="K12:S12"/>
    <mergeCell ref="T12:AB12"/>
    <mergeCell ref="AC12:AK12"/>
    <mergeCell ref="AL12:AT12"/>
    <mergeCell ref="BA13:BC13"/>
  </mergeCells>
  <conditionalFormatting sqref="H16:H96 Q16:Q96 Z16:Z96 AI16:AI96 AR16:AR96 BA16:BA96">
    <cfRule type="expression" dxfId="11" priority="6">
      <formula>ABS(H16/I16)&gt;1.96</formula>
    </cfRule>
  </conditionalFormatting>
  <hyperlinks>
    <hyperlink ref="A1" r:id="rId1" display="https://doi.org/10.1787/b5fd1b8f-en"/>
    <hyperlink ref="A4" r:id="rId2"/>
  </hyperlinks>
  <pageMargins left="0.7" right="0.7" top="0.75" bottom="0.75" header="0.3" footer="0.3"/>
  <pageSetup paperSize="9" orientation="portrait"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109"/>
  <sheetViews>
    <sheetView showGridLines="0" zoomScale="80" zoomScaleNormal="80" workbookViewId="0"/>
  </sheetViews>
  <sheetFormatPr defaultRowHeight="13.2" x14ac:dyDescent="0.25"/>
  <cols>
    <col min="1" max="1" width="28.33203125" customWidth="1"/>
    <col min="2" max="3" width="9" customWidth="1"/>
    <col min="4" max="4" width="2.44140625" customWidth="1"/>
    <col min="5" max="6" width="9" customWidth="1"/>
    <col min="7" max="7" width="2.44140625" customWidth="1"/>
    <col min="8" max="9" width="9" customWidth="1"/>
    <col min="10" max="10" width="2.44140625" customWidth="1"/>
    <col min="11" max="12" width="9" customWidth="1"/>
    <col min="13" max="13" width="2.44140625" customWidth="1"/>
    <col min="14" max="15" width="9" customWidth="1"/>
    <col min="16" max="16" width="2.44140625" customWidth="1"/>
    <col min="17" max="18" width="9" customWidth="1"/>
    <col min="19" max="19" width="2.44140625" customWidth="1"/>
    <col min="20" max="21" width="9" customWidth="1"/>
    <col min="22" max="22" width="2.44140625" customWidth="1"/>
  </cols>
  <sheetData>
    <row r="1" spans="1:22" s="115" customFormat="1" x14ac:dyDescent="0.25">
      <c r="A1" s="116" t="s">
        <v>232</v>
      </c>
    </row>
    <row r="2" spans="1:22" s="115" customFormat="1" x14ac:dyDescent="0.25">
      <c r="A2" s="115" t="s">
        <v>233</v>
      </c>
      <c r="B2" s="115" t="s">
        <v>234</v>
      </c>
    </row>
    <row r="3" spans="1:22" s="115" customFormat="1" x14ac:dyDescent="0.25">
      <c r="A3" s="115" t="s">
        <v>235</v>
      </c>
    </row>
    <row r="4" spans="1:22" s="115" customFormat="1" x14ac:dyDescent="0.25">
      <c r="A4" s="116" t="s">
        <v>236</v>
      </c>
    </row>
    <row r="5" spans="1:22" s="115" customFormat="1" x14ac:dyDescent="0.25"/>
    <row r="6" spans="1:22" x14ac:dyDescent="0.25">
      <c r="A6" s="2" t="s">
        <v>124</v>
      </c>
      <c r="B6" s="1"/>
      <c r="C6" s="1"/>
      <c r="D6" s="1"/>
      <c r="E6" s="30"/>
      <c r="F6" s="1"/>
      <c r="G6" s="1"/>
      <c r="H6" s="1"/>
      <c r="I6" s="1"/>
      <c r="J6" s="1"/>
      <c r="K6" s="1"/>
      <c r="L6" s="1"/>
      <c r="M6" s="1"/>
      <c r="N6" s="30"/>
      <c r="O6" s="1"/>
      <c r="P6" s="1"/>
      <c r="Q6" s="1"/>
      <c r="R6" s="1"/>
      <c r="S6" s="1"/>
      <c r="T6" s="1"/>
      <c r="U6" s="1"/>
      <c r="V6" s="1"/>
    </row>
    <row r="7" spans="1:22" x14ac:dyDescent="0.25">
      <c r="A7" s="6" t="s">
        <v>104</v>
      </c>
      <c r="B7" s="6"/>
      <c r="C7" s="2"/>
      <c r="D7" s="6"/>
      <c r="E7" s="6"/>
      <c r="F7" s="6"/>
      <c r="G7" s="6"/>
      <c r="H7" s="4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</row>
    <row r="8" spans="1:22" x14ac:dyDescent="0.25">
      <c r="A8" s="28" t="s">
        <v>27</v>
      </c>
      <c r="B8" s="7"/>
      <c r="C8" s="7"/>
      <c r="D8" s="7"/>
      <c r="E8" s="7"/>
      <c r="F8" s="7"/>
      <c r="G8" s="7"/>
      <c r="H8" s="7"/>
      <c r="J8" s="7"/>
      <c r="K8" s="7"/>
      <c r="L8" s="7"/>
      <c r="M8" s="7"/>
      <c r="N8" s="7"/>
      <c r="O8" s="7"/>
      <c r="P8" s="7"/>
      <c r="Q8" s="7"/>
      <c r="S8" s="7"/>
      <c r="T8" s="7"/>
      <c r="U8" s="7"/>
      <c r="V8" s="7"/>
    </row>
    <row r="9" spans="1:22" x14ac:dyDescent="0.25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</row>
    <row r="10" spans="1:22" x14ac:dyDescent="0.25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</row>
    <row r="11" spans="1:22" ht="13.8" thickBot="1" x14ac:dyDescent="0.3">
      <c r="A11" s="2"/>
      <c r="B11" s="2"/>
      <c r="C11" s="2"/>
      <c r="D11" s="2"/>
      <c r="E11" s="48"/>
      <c r="F11" s="48"/>
      <c r="G11" s="48"/>
      <c r="H11" s="48"/>
      <c r="I11" s="48"/>
      <c r="J11" s="48"/>
      <c r="K11" s="48"/>
      <c r="L11" s="48"/>
      <c r="M11" s="48"/>
      <c r="N11" s="48"/>
      <c r="O11" s="48"/>
      <c r="P11" s="48"/>
      <c r="Q11" s="48"/>
      <c r="R11" s="48"/>
      <c r="S11" s="48"/>
      <c r="T11" s="48"/>
      <c r="U11" s="48"/>
      <c r="V11" s="48"/>
    </row>
    <row r="12" spans="1:22" ht="27" customHeight="1" x14ac:dyDescent="0.25">
      <c r="A12" s="8"/>
      <c r="B12" s="85" t="s">
        <v>8</v>
      </c>
      <c r="C12" s="86"/>
      <c r="D12" s="87"/>
      <c r="E12" s="96" t="s">
        <v>74</v>
      </c>
      <c r="F12" s="91"/>
      <c r="G12" s="91"/>
      <c r="H12" s="91"/>
      <c r="I12" s="91"/>
      <c r="J12" s="91"/>
      <c r="K12" s="91"/>
      <c r="L12" s="91"/>
      <c r="M12" s="97"/>
      <c r="N12" s="96" t="s">
        <v>77</v>
      </c>
      <c r="O12" s="91"/>
      <c r="P12" s="91"/>
      <c r="Q12" s="91"/>
      <c r="R12" s="91"/>
      <c r="S12" s="91"/>
      <c r="T12" s="91"/>
      <c r="U12" s="91"/>
      <c r="V12" s="92"/>
    </row>
    <row r="13" spans="1:22" ht="48.75" customHeight="1" x14ac:dyDescent="0.25">
      <c r="A13" s="9"/>
      <c r="B13" s="88"/>
      <c r="C13" s="89"/>
      <c r="D13" s="90"/>
      <c r="E13" s="82" t="s">
        <v>66</v>
      </c>
      <c r="F13" s="80"/>
      <c r="G13" s="81"/>
      <c r="H13" s="82" t="s">
        <v>67</v>
      </c>
      <c r="I13" s="80"/>
      <c r="J13" s="81"/>
      <c r="K13" s="80" t="s">
        <v>58</v>
      </c>
      <c r="L13" s="80"/>
      <c r="M13" s="81"/>
      <c r="N13" s="82" t="s">
        <v>66</v>
      </c>
      <c r="O13" s="80"/>
      <c r="P13" s="81"/>
      <c r="Q13" s="82" t="s">
        <v>67</v>
      </c>
      <c r="R13" s="80"/>
      <c r="S13" s="81"/>
      <c r="T13" s="80" t="s">
        <v>58</v>
      </c>
      <c r="U13" s="80"/>
      <c r="V13" s="84"/>
    </row>
    <row r="14" spans="1:22" x14ac:dyDescent="0.25">
      <c r="A14" s="10"/>
      <c r="B14" s="11" t="s">
        <v>0</v>
      </c>
      <c r="C14" s="12" t="s">
        <v>1</v>
      </c>
      <c r="D14" s="13" t="s">
        <v>2</v>
      </c>
      <c r="E14" s="11" t="s">
        <v>0</v>
      </c>
      <c r="F14" s="12" t="s">
        <v>1</v>
      </c>
      <c r="G14" s="12" t="s">
        <v>2</v>
      </c>
      <c r="H14" s="11" t="s">
        <v>0</v>
      </c>
      <c r="I14" s="12" t="s">
        <v>1</v>
      </c>
      <c r="J14" s="12" t="s">
        <v>2</v>
      </c>
      <c r="K14" s="11" t="s">
        <v>3</v>
      </c>
      <c r="L14" s="12" t="s">
        <v>1</v>
      </c>
      <c r="M14" s="12" t="s">
        <v>2</v>
      </c>
      <c r="N14" s="11" t="s">
        <v>0</v>
      </c>
      <c r="O14" s="12" t="s">
        <v>1</v>
      </c>
      <c r="P14" s="12" t="s">
        <v>2</v>
      </c>
      <c r="Q14" s="11" t="s">
        <v>0</v>
      </c>
      <c r="R14" s="12" t="s">
        <v>1</v>
      </c>
      <c r="S14" s="12" t="s">
        <v>2</v>
      </c>
      <c r="T14" s="11" t="s">
        <v>3</v>
      </c>
      <c r="U14" s="12" t="s">
        <v>1</v>
      </c>
      <c r="V14" s="34" t="s">
        <v>2</v>
      </c>
    </row>
    <row r="15" spans="1:22" ht="13.5" customHeight="1" x14ac:dyDescent="0.25">
      <c r="A15" s="51" t="s">
        <v>210</v>
      </c>
      <c r="B15" s="52"/>
      <c r="C15" s="53"/>
      <c r="D15" s="54"/>
      <c r="E15" s="55"/>
      <c r="F15" s="54"/>
      <c r="G15" s="54"/>
      <c r="H15" s="55"/>
      <c r="I15" s="54"/>
      <c r="J15" s="54"/>
      <c r="K15" s="55"/>
      <c r="L15" s="54"/>
      <c r="M15" s="54"/>
      <c r="N15" s="55"/>
      <c r="O15" s="54"/>
      <c r="P15" s="54"/>
      <c r="Q15" s="55"/>
      <c r="R15" s="54"/>
      <c r="S15" s="54"/>
      <c r="T15" s="55"/>
      <c r="U15" s="54"/>
      <c r="V15" s="56"/>
    </row>
    <row r="16" spans="1:22" x14ac:dyDescent="0.25">
      <c r="A16" s="15" t="s">
        <v>130</v>
      </c>
      <c r="B16" s="36">
        <v>27.70876328155763</v>
      </c>
      <c r="C16" s="37">
        <v>0.84465675737519963</v>
      </c>
      <c r="D16" s="38" t="s">
        <v>53</v>
      </c>
      <c r="E16" s="36" t="s">
        <v>55</v>
      </c>
      <c r="F16" s="37" t="s">
        <v>55</v>
      </c>
      <c r="G16" s="38" t="s">
        <v>53</v>
      </c>
      <c r="H16" s="36" t="s">
        <v>55</v>
      </c>
      <c r="I16" s="37" t="s">
        <v>55</v>
      </c>
      <c r="J16" s="38" t="s">
        <v>53</v>
      </c>
      <c r="K16" s="36" t="s">
        <v>55</v>
      </c>
      <c r="L16" s="37" t="s">
        <v>55</v>
      </c>
      <c r="M16" s="38" t="s">
        <v>53</v>
      </c>
      <c r="N16" s="36">
        <v>71.78682888957465</v>
      </c>
      <c r="O16" s="37">
        <v>0.59985176662433459</v>
      </c>
      <c r="P16" s="38" t="s">
        <v>53</v>
      </c>
      <c r="Q16" s="36">
        <v>76.061387948554525</v>
      </c>
      <c r="R16" s="37">
        <v>0.78968681011382968</v>
      </c>
      <c r="S16" s="38" t="s">
        <v>53</v>
      </c>
      <c r="T16" s="36">
        <v>4.274559058979877</v>
      </c>
      <c r="U16" s="37">
        <v>0.96767588718940767</v>
      </c>
      <c r="V16" s="39" t="s">
        <v>53</v>
      </c>
    </row>
    <row r="17" spans="1:22" x14ac:dyDescent="0.25">
      <c r="A17" s="15" t="s">
        <v>131</v>
      </c>
      <c r="B17" s="36">
        <v>22.686235321470399</v>
      </c>
      <c r="C17" s="37">
        <v>1.1527352979062462</v>
      </c>
      <c r="D17" s="38" t="s">
        <v>53</v>
      </c>
      <c r="E17" s="36">
        <v>70.959755314477533</v>
      </c>
      <c r="F17" s="37">
        <v>0.82134759177038574</v>
      </c>
      <c r="G17" s="38" t="s">
        <v>53</v>
      </c>
      <c r="H17" s="36">
        <v>64.764531204227666</v>
      </c>
      <c r="I17" s="37">
        <v>1.5348254030566491</v>
      </c>
      <c r="J17" s="38" t="s">
        <v>53</v>
      </c>
      <c r="K17" s="36">
        <v>-6.195224110249864</v>
      </c>
      <c r="L17" s="37">
        <v>1.6556220044960328</v>
      </c>
      <c r="M17" s="38" t="s">
        <v>53</v>
      </c>
      <c r="N17" s="36">
        <v>84.92232372613519</v>
      </c>
      <c r="O17" s="37">
        <v>0.65092180816704426</v>
      </c>
      <c r="P17" s="38" t="s">
        <v>53</v>
      </c>
      <c r="Q17" s="36">
        <v>84.030143475568906</v>
      </c>
      <c r="R17" s="37">
        <v>1.3239675132136619</v>
      </c>
      <c r="S17" s="38" t="s">
        <v>53</v>
      </c>
      <c r="T17" s="36">
        <v>-0.89218025056627681</v>
      </c>
      <c r="U17" s="37">
        <v>1.4792827139947959</v>
      </c>
      <c r="V17" s="39" t="s">
        <v>53</v>
      </c>
    </row>
    <row r="18" spans="1:22" x14ac:dyDescent="0.25">
      <c r="A18" s="15" t="s">
        <v>132</v>
      </c>
      <c r="B18" s="36">
        <v>18.059454688726909</v>
      </c>
      <c r="C18" s="37">
        <v>0.85847510420573059</v>
      </c>
      <c r="D18" s="38" t="s">
        <v>53</v>
      </c>
      <c r="E18" s="36" t="s">
        <v>55</v>
      </c>
      <c r="F18" s="37" t="s">
        <v>55</v>
      </c>
      <c r="G18" s="38" t="s">
        <v>53</v>
      </c>
      <c r="H18" s="36" t="s">
        <v>55</v>
      </c>
      <c r="I18" s="37" t="s">
        <v>55</v>
      </c>
      <c r="J18" s="38" t="s">
        <v>53</v>
      </c>
      <c r="K18" s="36" t="s">
        <v>55</v>
      </c>
      <c r="L18" s="37" t="s">
        <v>55</v>
      </c>
      <c r="M18" s="38" t="s">
        <v>53</v>
      </c>
      <c r="N18" s="36">
        <v>85.871594005062562</v>
      </c>
      <c r="O18" s="37">
        <v>0.50676427266815516</v>
      </c>
      <c r="P18" s="38" t="s">
        <v>53</v>
      </c>
      <c r="Q18" s="36">
        <v>83.024867869899253</v>
      </c>
      <c r="R18" s="37">
        <v>1.2326642080680901</v>
      </c>
      <c r="S18" s="38" t="s">
        <v>53</v>
      </c>
      <c r="T18" s="36">
        <v>-2.8467261351633133</v>
      </c>
      <c r="U18" s="37">
        <v>1.3034948853715267</v>
      </c>
      <c r="V18" s="39" t="s">
        <v>53</v>
      </c>
    </row>
    <row r="19" spans="1:22" x14ac:dyDescent="0.25">
      <c r="A19" s="15" t="s">
        <v>133</v>
      </c>
      <c r="B19" s="36">
        <v>34.969966286453818</v>
      </c>
      <c r="C19" s="37">
        <v>1.4227690605278804</v>
      </c>
      <c r="D19" s="38" t="s">
        <v>53</v>
      </c>
      <c r="E19" s="36" t="s">
        <v>55</v>
      </c>
      <c r="F19" s="37" t="s">
        <v>55</v>
      </c>
      <c r="G19" s="38" t="s">
        <v>53</v>
      </c>
      <c r="H19" s="36" t="s">
        <v>55</v>
      </c>
      <c r="I19" s="37" t="s">
        <v>55</v>
      </c>
      <c r="J19" s="38" t="s">
        <v>53</v>
      </c>
      <c r="K19" s="36" t="s">
        <v>55</v>
      </c>
      <c r="L19" s="37" t="s">
        <v>55</v>
      </c>
      <c r="M19" s="38" t="s">
        <v>53</v>
      </c>
      <c r="N19" s="36">
        <v>72.75297396477059</v>
      </c>
      <c r="O19" s="37">
        <v>0.5953104962280823</v>
      </c>
      <c r="P19" s="38" t="s">
        <v>53</v>
      </c>
      <c r="Q19" s="36">
        <v>75.455510985624969</v>
      </c>
      <c r="R19" s="37">
        <v>0.68674456684263085</v>
      </c>
      <c r="S19" s="38" t="s">
        <v>53</v>
      </c>
      <c r="T19" s="36">
        <v>2.7025370208543786</v>
      </c>
      <c r="U19" s="37">
        <v>0.84710883709637874</v>
      </c>
      <c r="V19" s="39" t="s">
        <v>53</v>
      </c>
    </row>
    <row r="20" spans="1:22" x14ac:dyDescent="0.25">
      <c r="A20" s="15" t="s">
        <v>134</v>
      </c>
      <c r="B20" s="36">
        <v>3.3908614801180597</v>
      </c>
      <c r="C20" s="37">
        <v>0.38959486833610874</v>
      </c>
      <c r="D20" s="38" t="s">
        <v>53</v>
      </c>
      <c r="E20" s="36">
        <v>64.455259150325844</v>
      </c>
      <c r="F20" s="37">
        <v>0.75440531694798341</v>
      </c>
      <c r="G20" s="38" t="s">
        <v>53</v>
      </c>
      <c r="H20" s="36">
        <v>56.39813827496836</v>
      </c>
      <c r="I20" s="37">
        <v>3.9767821301900499</v>
      </c>
      <c r="J20" s="38" t="s">
        <v>53</v>
      </c>
      <c r="K20" s="36">
        <v>-8.0571208753574819</v>
      </c>
      <c r="L20" s="37">
        <v>3.9861607237840166</v>
      </c>
      <c r="M20" s="38" t="s">
        <v>53</v>
      </c>
      <c r="N20" s="36">
        <v>77.228536225806181</v>
      </c>
      <c r="O20" s="37">
        <v>0.63299901337369668</v>
      </c>
      <c r="P20" s="38" t="s">
        <v>53</v>
      </c>
      <c r="Q20" s="36">
        <v>74.730671792757249</v>
      </c>
      <c r="R20" s="37">
        <v>4.307780626697105</v>
      </c>
      <c r="S20" s="38" t="s">
        <v>53</v>
      </c>
      <c r="T20" s="36">
        <v>-2.4978644330489241</v>
      </c>
      <c r="U20" s="37">
        <v>4.2899499945858306</v>
      </c>
      <c r="V20" s="39" t="s">
        <v>53</v>
      </c>
    </row>
    <row r="21" spans="1:22" x14ac:dyDescent="0.25">
      <c r="A21" s="15" t="s">
        <v>135</v>
      </c>
      <c r="B21" s="36">
        <v>0.55659208363787993</v>
      </c>
      <c r="C21" s="37">
        <v>0.12058001255994841</v>
      </c>
      <c r="D21" s="38" t="s">
        <v>53</v>
      </c>
      <c r="E21" s="36">
        <v>72.948052616314612</v>
      </c>
      <c r="F21" s="37">
        <v>0.71173984103241428</v>
      </c>
      <c r="G21" s="38" t="s">
        <v>53</v>
      </c>
      <c r="H21" s="36">
        <v>81.349811635095719</v>
      </c>
      <c r="I21" s="37">
        <v>7.9909870192605998</v>
      </c>
      <c r="J21" s="38" t="s">
        <v>53</v>
      </c>
      <c r="K21" s="36">
        <v>8.401759018781096</v>
      </c>
      <c r="L21" s="37">
        <v>8.1133165234243538</v>
      </c>
      <c r="M21" s="38" t="s">
        <v>53</v>
      </c>
      <c r="N21" s="36">
        <v>77.124301451591123</v>
      </c>
      <c r="O21" s="37">
        <v>0.642459621821588</v>
      </c>
      <c r="P21" s="38" t="s">
        <v>53</v>
      </c>
      <c r="Q21" s="36">
        <v>80.408303025546402</v>
      </c>
      <c r="R21" s="37">
        <v>7.9502275076762619</v>
      </c>
      <c r="S21" s="38" t="s">
        <v>53</v>
      </c>
      <c r="T21" s="36">
        <v>3.2840015739552753</v>
      </c>
      <c r="U21" s="37">
        <v>7.8348008858704548</v>
      </c>
      <c r="V21" s="39" t="s">
        <v>53</v>
      </c>
    </row>
    <row r="22" spans="1:22" x14ac:dyDescent="0.25">
      <c r="A22" s="15" t="s">
        <v>136</v>
      </c>
      <c r="B22" s="36">
        <v>4.1464036037107297</v>
      </c>
      <c r="C22" s="37">
        <v>0.38608926670904103</v>
      </c>
      <c r="D22" s="38" t="s">
        <v>53</v>
      </c>
      <c r="E22" s="36">
        <v>65.002728909104491</v>
      </c>
      <c r="F22" s="37">
        <v>0.73618912035505168</v>
      </c>
      <c r="G22" s="38" t="s">
        <v>53</v>
      </c>
      <c r="H22" s="36">
        <v>56.658694074582804</v>
      </c>
      <c r="I22" s="37">
        <v>3.7680723534337561</v>
      </c>
      <c r="J22" s="38" t="s">
        <v>53</v>
      </c>
      <c r="K22" s="36">
        <v>-8.3440348345216862</v>
      </c>
      <c r="L22" s="37">
        <v>3.7200394359196136</v>
      </c>
      <c r="M22" s="38" t="s">
        <v>53</v>
      </c>
      <c r="N22" s="36">
        <v>76.332120731968416</v>
      </c>
      <c r="O22" s="37">
        <v>0.73040312312815048</v>
      </c>
      <c r="P22" s="38" t="s">
        <v>53</v>
      </c>
      <c r="Q22" s="36">
        <v>69.205001964923781</v>
      </c>
      <c r="R22" s="37">
        <v>3.8022291461596205</v>
      </c>
      <c r="S22" s="38" t="s">
        <v>53</v>
      </c>
      <c r="T22" s="36">
        <v>-7.1271187670446379</v>
      </c>
      <c r="U22" s="37">
        <v>3.913430852514574</v>
      </c>
      <c r="V22" s="39" t="s">
        <v>53</v>
      </c>
    </row>
    <row r="23" spans="1:22" x14ac:dyDescent="0.25">
      <c r="A23" s="15" t="s">
        <v>137</v>
      </c>
      <c r="B23" s="36">
        <v>10.653250682536131</v>
      </c>
      <c r="C23" s="37">
        <v>0.438296984314206</v>
      </c>
      <c r="D23" s="38" t="s">
        <v>53</v>
      </c>
      <c r="E23" s="36" t="s">
        <v>55</v>
      </c>
      <c r="F23" s="37" t="s">
        <v>55</v>
      </c>
      <c r="G23" s="38" t="s">
        <v>53</v>
      </c>
      <c r="H23" s="36" t="s">
        <v>55</v>
      </c>
      <c r="I23" s="37" t="s">
        <v>55</v>
      </c>
      <c r="J23" s="38" t="s">
        <v>53</v>
      </c>
      <c r="K23" s="36" t="s">
        <v>55</v>
      </c>
      <c r="L23" s="37" t="s">
        <v>55</v>
      </c>
      <c r="M23" s="38" t="s">
        <v>53</v>
      </c>
      <c r="N23" s="36">
        <v>88.80992321255745</v>
      </c>
      <c r="O23" s="37">
        <v>0.59369335149214464</v>
      </c>
      <c r="P23" s="38" t="s">
        <v>53</v>
      </c>
      <c r="Q23" s="36">
        <v>87.798384397304574</v>
      </c>
      <c r="R23" s="37">
        <v>1.2460068666387309</v>
      </c>
      <c r="S23" s="38" t="s">
        <v>53</v>
      </c>
      <c r="T23" s="36">
        <v>-1.011538815252877</v>
      </c>
      <c r="U23" s="37">
        <v>1.3655796428745044</v>
      </c>
      <c r="V23" s="39" t="s">
        <v>53</v>
      </c>
    </row>
    <row r="24" spans="1:22" x14ac:dyDescent="0.25">
      <c r="A24" s="15" t="s">
        <v>138</v>
      </c>
      <c r="B24" s="36">
        <v>10.392582509365699</v>
      </c>
      <c r="C24" s="37">
        <v>0.46505302845390067</v>
      </c>
      <c r="D24" s="38" t="s">
        <v>53</v>
      </c>
      <c r="E24" s="36">
        <v>69.949075310311244</v>
      </c>
      <c r="F24" s="37">
        <v>0.81625072746981575</v>
      </c>
      <c r="G24" s="38" t="s">
        <v>53</v>
      </c>
      <c r="H24" s="36">
        <v>68.59012522155615</v>
      </c>
      <c r="I24" s="37">
        <v>2.1494514729454508</v>
      </c>
      <c r="J24" s="38" t="s">
        <v>53</v>
      </c>
      <c r="K24" s="36">
        <v>-1.3589500887550954</v>
      </c>
      <c r="L24" s="37">
        <v>2.4028577107716655</v>
      </c>
      <c r="M24" s="38" t="s">
        <v>53</v>
      </c>
      <c r="N24" s="36">
        <v>85.261947756262018</v>
      </c>
      <c r="O24" s="37">
        <v>0.53720006477311166</v>
      </c>
      <c r="P24" s="38" t="s">
        <v>53</v>
      </c>
      <c r="Q24" s="36">
        <v>77.181622189894682</v>
      </c>
      <c r="R24" s="37">
        <v>1.998400937556831</v>
      </c>
      <c r="S24" s="38" t="s">
        <v>53</v>
      </c>
      <c r="T24" s="36">
        <v>-8.0803255663673301</v>
      </c>
      <c r="U24" s="37">
        <v>2.1471427427747254</v>
      </c>
      <c r="V24" s="39" t="s">
        <v>53</v>
      </c>
    </row>
    <row r="25" spans="1:22" x14ac:dyDescent="0.25">
      <c r="A25" s="15" t="s">
        <v>139</v>
      </c>
      <c r="B25" s="36">
        <v>5.7757806421643902</v>
      </c>
      <c r="C25" s="37">
        <v>0.47656616025151088</v>
      </c>
      <c r="D25" s="38" t="s">
        <v>53</v>
      </c>
      <c r="E25" s="36">
        <v>77.913370821895128</v>
      </c>
      <c r="F25" s="37">
        <v>0.6056640354424383</v>
      </c>
      <c r="G25" s="38" t="s">
        <v>53</v>
      </c>
      <c r="H25" s="36">
        <v>73.197948372670581</v>
      </c>
      <c r="I25" s="37">
        <v>2.7867337010842075</v>
      </c>
      <c r="J25" s="38" t="s">
        <v>53</v>
      </c>
      <c r="K25" s="36">
        <v>-4.7154224492245493</v>
      </c>
      <c r="L25" s="37">
        <v>2.8718038406619568</v>
      </c>
      <c r="M25" s="38" t="s">
        <v>53</v>
      </c>
      <c r="N25" s="36">
        <v>85.648282148715651</v>
      </c>
      <c r="O25" s="37">
        <v>0.53264182243956337</v>
      </c>
      <c r="P25" s="38" t="s">
        <v>53</v>
      </c>
      <c r="Q25" s="36">
        <v>72.671764836703503</v>
      </c>
      <c r="R25" s="37">
        <v>2.823546406398624</v>
      </c>
      <c r="S25" s="38" t="s">
        <v>53</v>
      </c>
      <c r="T25" s="36">
        <v>-12.976517312012149</v>
      </c>
      <c r="U25" s="37">
        <v>2.8965448264706106</v>
      </c>
      <c r="V25" s="39" t="s">
        <v>53</v>
      </c>
    </row>
    <row r="26" spans="1:22" x14ac:dyDescent="0.25">
      <c r="A26" s="15" t="s">
        <v>140</v>
      </c>
      <c r="B26" s="36">
        <v>14.292398074125421</v>
      </c>
      <c r="C26" s="37">
        <v>0.93597142687811641</v>
      </c>
      <c r="D26" s="38" t="s">
        <v>53</v>
      </c>
      <c r="E26" s="36">
        <v>70.570346400089221</v>
      </c>
      <c r="F26" s="37">
        <v>0.77720429419298209</v>
      </c>
      <c r="G26" s="38" t="s">
        <v>53</v>
      </c>
      <c r="H26" s="36">
        <v>64.476424660696736</v>
      </c>
      <c r="I26" s="37">
        <v>1.8136649333508805</v>
      </c>
      <c r="J26" s="38" t="s">
        <v>53</v>
      </c>
      <c r="K26" s="36">
        <v>-6.0939217393924832</v>
      </c>
      <c r="L26" s="37">
        <v>1.9361711419523062</v>
      </c>
      <c r="M26" s="38" t="s">
        <v>53</v>
      </c>
      <c r="N26" s="36">
        <v>70.086074128158842</v>
      </c>
      <c r="O26" s="37">
        <v>0.73148303545610815</v>
      </c>
      <c r="P26" s="38" t="s">
        <v>53</v>
      </c>
      <c r="Q26" s="36">
        <v>65.993688029240573</v>
      </c>
      <c r="R26" s="37">
        <v>1.7884669017445576</v>
      </c>
      <c r="S26" s="38" t="s">
        <v>53</v>
      </c>
      <c r="T26" s="36">
        <v>-4.0923860989182774</v>
      </c>
      <c r="U26" s="37">
        <v>2.0451539266038035</v>
      </c>
      <c r="V26" s="39" t="s">
        <v>53</v>
      </c>
    </row>
    <row r="27" spans="1:22" x14ac:dyDescent="0.25">
      <c r="A27" s="15" t="s">
        <v>141</v>
      </c>
      <c r="B27" s="36">
        <v>22.168807967597882</v>
      </c>
      <c r="C27" s="37">
        <v>1.1487898067601798</v>
      </c>
      <c r="D27" s="38" t="s">
        <v>53</v>
      </c>
      <c r="E27" s="36">
        <v>67.50172883017143</v>
      </c>
      <c r="F27" s="37">
        <v>0.9134498010120532</v>
      </c>
      <c r="G27" s="38" t="s">
        <v>53</v>
      </c>
      <c r="H27" s="36">
        <v>63.040480658481727</v>
      </c>
      <c r="I27" s="37">
        <v>1.5882032791634133</v>
      </c>
      <c r="J27" s="38" t="s">
        <v>53</v>
      </c>
      <c r="K27" s="36">
        <v>-4.4612481716897134</v>
      </c>
      <c r="L27" s="37">
        <v>1.9796955558206744</v>
      </c>
      <c r="M27" s="38" t="s">
        <v>53</v>
      </c>
      <c r="N27" s="36">
        <v>84.524774530432211</v>
      </c>
      <c r="O27" s="37">
        <v>0.81942733779006272</v>
      </c>
      <c r="P27" s="38" t="s">
        <v>53</v>
      </c>
      <c r="Q27" s="36">
        <v>83.066277966128837</v>
      </c>
      <c r="R27" s="37">
        <v>1.4685600054845915</v>
      </c>
      <c r="S27" s="38" t="s">
        <v>54</v>
      </c>
      <c r="T27" s="36">
        <v>-1.4584965643033687</v>
      </c>
      <c r="U27" s="37">
        <v>1.7762666458221739</v>
      </c>
      <c r="V27" s="39" t="s">
        <v>54</v>
      </c>
    </row>
    <row r="28" spans="1:22" x14ac:dyDescent="0.25">
      <c r="A28" s="15" t="s">
        <v>142</v>
      </c>
      <c r="B28" s="36">
        <v>11.69610290505079</v>
      </c>
      <c r="C28" s="37">
        <v>0.66265154560738204</v>
      </c>
      <c r="D28" s="38" t="s">
        <v>53</v>
      </c>
      <c r="E28" s="36">
        <v>65.704037307269147</v>
      </c>
      <c r="F28" s="37">
        <v>0.62561327119048071</v>
      </c>
      <c r="G28" s="38" t="s">
        <v>53</v>
      </c>
      <c r="H28" s="36">
        <v>62.201431853508396</v>
      </c>
      <c r="I28" s="37">
        <v>2.0243347448529514</v>
      </c>
      <c r="J28" s="38" t="s">
        <v>53</v>
      </c>
      <c r="K28" s="36">
        <v>-3.5026054537607543</v>
      </c>
      <c r="L28" s="37">
        <v>1.9755392280144821</v>
      </c>
      <c r="M28" s="38" t="s">
        <v>53</v>
      </c>
      <c r="N28" s="36">
        <v>80.881205270127722</v>
      </c>
      <c r="O28" s="37">
        <v>0.71175393002255372</v>
      </c>
      <c r="P28" s="38" t="s">
        <v>53</v>
      </c>
      <c r="Q28" s="36">
        <v>74.804556229408931</v>
      </c>
      <c r="R28" s="37">
        <v>2.0201449633427995</v>
      </c>
      <c r="S28" s="38" t="s">
        <v>53</v>
      </c>
      <c r="T28" s="36">
        <v>-6.0766490407187845</v>
      </c>
      <c r="U28" s="37">
        <v>2.1865149966082802</v>
      </c>
      <c r="V28" s="39" t="s">
        <v>53</v>
      </c>
    </row>
    <row r="29" spans="1:22" x14ac:dyDescent="0.25">
      <c r="A29" s="15" t="s">
        <v>143</v>
      </c>
      <c r="B29" s="36">
        <v>2.5521960850758401</v>
      </c>
      <c r="C29" s="37">
        <v>0.30831545416996642</v>
      </c>
      <c r="D29" s="38" t="s">
        <v>53</v>
      </c>
      <c r="E29" s="36">
        <v>67.822493026193186</v>
      </c>
      <c r="F29" s="37">
        <v>0.88522201460729</v>
      </c>
      <c r="G29" s="38" t="s">
        <v>53</v>
      </c>
      <c r="H29" s="36">
        <v>72.50713578124126</v>
      </c>
      <c r="I29" s="37">
        <v>4.4509615334520962</v>
      </c>
      <c r="J29" s="38" t="s">
        <v>53</v>
      </c>
      <c r="K29" s="36">
        <v>4.684642755048074</v>
      </c>
      <c r="L29" s="37">
        <v>4.3484581560401168</v>
      </c>
      <c r="M29" s="38" t="s">
        <v>53</v>
      </c>
      <c r="N29" s="36">
        <v>80.364166871608731</v>
      </c>
      <c r="O29" s="37">
        <v>0.58232180381427801</v>
      </c>
      <c r="P29" s="38" t="s">
        <v>53</v>
      </c>
      <c r="Q29" s="36">
        <v>82.947036743795152</v>
      </c>
      <c r="R29" s="37">
        <v>3.8605410453682842</v>
      </c>
      <c r="S29" s="38" t="s">
        <v>53</v>
      </c>
      <c r="T29" s="36">
        <v>2.5828698721864218</v>
      </c>
      <c r="U29" s="37">
        <v>3.861967735518383</v>
      </c>
      <c r="V29" s="39" t="s">
        <v>53</v>
      </c>
    </row>
    <row r="30" spans="1:22" x14ac:dyDescent="0.25">
      <c r="A30" s="15" t="s">
        <v>144</v>
      </c>
      <c r="B30" s="36">
        <v>5.5922790641216604</v>
      </c>
      <c r="C30" s="37">
        <v>0.40139673553959726</v>
      </c>
      <c r="D30" s="38" t="s">
        <v>53</v>
      </c>
      <c r="E30" s="36">
        <v>72.833985312061117</v>
      </c>
      <c r="F30" s="37">
        <v>0.79550812950744065</v>
      </c>
      <c r="G30" s="38" t="s">
        <v>53</v>
      </c>
      <c r="H30" s="36">
        <v>66.734126363359508</v>
      </c>
      <c r="I30" s="37">
        <v>3.7391857685479515</v>
      </c>
      <c r="J30" s="38" t="s">
        <v>53</v>
      </c>
      <c r="K30" s="36">
        <v>-6.0998589487015975</v>
      </c>
      <c r="L30" s="37">
        <v>3.8112737144865849</v>
      </c>
      <c r="M30" s="38" t="s">
        <v>53</v>
      </c>
      <c r="N30" s="36">
        <v>80.55727374184049</v>
      </c>
      <c r="O30" s="37">
        <v>0.73558169987427857</v>
      </c>
      <c r="P30" s="38" t="s">
        <v>53</v>
      </c>
      <c r="Q30" s="36">
        <v>72.71455326503046</v>
      </c>
      <c r="R30" s="37">
        <v>3.7668177327042556</v>
      </c>
      <c r="S30" s="38" t="s">
        <v>53</v>
      </c>
      <c r="T30" s="36">
        <v>-7.8427204768100385</v>
      </c>
      <c r="U30" s="37">
        <v>3.7433632134840682</v>
      </c>
      <c r="V30" s="39" t="s">
        <v>53</v>
      </c>
    </row>
    <row r="31" spans="1:22" x14ac:dyDescent="0.25">
      <c r="A31" s="15" t="s">
        <v>145</v>
      </c>
      <c r="B31" s="36">
        <v>17.860838929942929</v>
      </c>
      <c r="C31" s="37">
        <v>0.91486176844457701</v>
      </c>
      <c r="D31" s="38" t="s">
        <v>53</v>
      </c>
      <c r="E31" s="36">
        <v>61.808549120545109</v>
      </c>
      <c r="F31" s="37">
        <v>1.0078005941782302</v>
      </c>
      <c r="G31" s="38" t="s">
        <v>53</v>
      </c>
      <c r="H31" s="36">
        <v>59.472157632512435</v>
      </c>
      <c r="I31" s="37">
        <v>1.6832949559129469</v>
      </c>
      <c r="J31" s="38" t="s">
        <v>53</v>
      </c>
      <c r="K31" s="36">
        <v>-2.3363914880326742</v>
      </c>
      <c r="L31" s="37">
        <v>1.8775866225108246</v>
      </c>
      <c r="M31" s="38" t="s">
        <v>53</v>
      </c>
      <c r="N31" s="36">
        <v>78.378332075736125</v>
      </c>
      <c r="O31" s="37">
        <v>0.68885680741102528</v>
      </c>
      <c r="P31" s="38" t="s">
        <v>53</v>
      </c>
      <c r="Q31" s="36">
        <v>76.392394112116264</v>
      </c>
      <c r="R31" s="37">
        <v>1.601837462447155</v>
      </c>
      <c r="S31" s="38" t="s">
        <v>53</v>
      </c>
      <c r="T31" s="36">
        <v>-1.9859379636198549</v>
      </c>
      <c r="U31" s="37">
        <v>1.6042084009513857</v>
      </c>
      <c r="V31" s="39" t="s">
        <v>53</v>
      </c>
    </row>
    <row r="32" spans="1:22" x14ac:dyDescent="0.25">
      <c r="A32" s="15" t="s">
        <v>146</v>
      </c>
      <c r="B32" s="36">
        <v>16.416253414977149</v>
      </c>
      <c r="C32" s="37">
        <v>1.0738364165803722</v>
      </c>
      <c r="D32" s="38" t="s">
        <v>53</v>
      </c>
      <c r="E32" s="36" t="s">
        <v>55</v>
      </c>
      <c r="F32" s="37" t="s">
        <v>55</v>
      </c>
      <c r="G32" s="38" t="s">
        <v>53</v>
      </c>
      <c r="H32" s="36" t="s">
        <v>55</v>
      </c>
      <c r="I32" s="37" t="s">
        <v>55</v>
      </c>
      <c r="J32" s="38" t="s">
        <v>53</v>
      </c>
      <c r="K32" s="36" t="s">
        <v>55</v>
      </c>
      <c r="L32" s="37" t="s">
        <v>55</v>
      </c>
      <c r="M32" s="38" t="s">
        <v>53</v>
      </c>
      <c r="N32" s="36" t="s">
        <v>55</v>
      </c>
      <c r="O32" s="37" t="s">
        <v>55</v>
      </c>
      <c r="P32" s="38" t="s">
        <v>53</v>
      </c>
      <c r="Q32" s="36" t="s">
        <v>55</v>
      </c>
      <c r="R32" s="37" t="s">
        <v>55</v>
      </c>
      <c r="S32" s="38" t="s">
        <v>53</v>
      </c>
      <c r="T32" s="36" t="s">
        <v>55</v>
      </c>
      <c r="U32" s="37" t="s">
        <v>55</v>
      </c>
      <c r="V32" s="39" t="s">
        <v>53</v>
      </c>
    </row>
    <row r="33" spans="1:22" x14ac:dyDescent="0.25">
      <c r="A33" s="15" t="s">
        <v>147</v>
      </c>
      <c r="B33" s="36">
        <v>10.025087167799541</v>
      </c>
      <c r="C33" s="37">
        <v>0.4917084931015509</v>
      </c>
      <c r="D33" s="38" t="s">
        <v>53</v>
      </c>
      <c r="E33" s="36">
        <v>68.53873173874014</v>
      </c>
      <c r="F33" s="37">
        <v>0.70854671971302774</v>
      </c>
      <c r="G33" s="38" t="s">
        <v>53</v>
      </c>
      <c r="H33" s="36">
        <v>54.258516464767872</v>
      </c>
      <c r="I33" s="37">
        <v>2.4090032129896546</v>
      </c>
      <c r="J33" s="38" t="s">
        <v>53</v>
      </c>
      <c r="K33" s="36">
        <v>-14.280215273972274</v>
      </c>
      <c r="L33" s="37">
        <v>2.412151908996516</v>
      </c>
      <c r="M33" s="38" t="s">
        <v>53</v>
      </c>
      <c r="N33" s="36">
        <v>87.193809041447807</v>
      </c>
      <c r="O33" s="37">
        <v>0.58209716024215397</v>
      </c>
      <c r="P33" s="38" t="s">
        <v>53</v>
      </c>
      <c r="Q33" s="36">
        <v>80.132382117504235</v>
      </c>
      <c r="R33" s="37">
        <v>1.8369314291714349</v>
      </c>
      <c r="S33" s="38" t="s">
        <v>53</v>
      </c>
      <c r="T33" s="36">
        <v>-7.0614269239435696</v>
      </c>
      <c r="U33" s="37">
        <v>1.9210057263470031</v>
      </c>
      <c r="V33" s="39" t="s">
        <v>53</v>
      </c>
    </row>
    <row r="34" spans="1:22" x14ac:dyDescent="0.25">
      <c r="A34" s="15" t="s">
        <v>148</v>
      </c>
      <c r="B34" s="36">
        <v>0.62269075696213994</v>
      </c>
      <c r="C34" s="37">
        <v>0.13447373995918133</v>
      </c>
      <c r="D34" s="38" t="s">
        <v>53</v>
      </c>
      <c r="E34" s="36" t="s">
        <v>128</v>
      </c>
      <c r="F34" s="37" t="s">
        <v>128</v>
      </c>
      <c r="G34" s="38" t="s">
        <v>53</v>
      </c>
      <c r="H34" s="36" t="s">
        <v>128</v>
      </c>
      <c r="I34" s="37" t="s">
        <v>128</v>
      </c>
      <c r="J34" s="38" t="s">
        <v>53</v>
      </c>
      <c r="K34" s="36" t="s">
        <v>128</v>
      </c>
      <c r="L34" s="37" t="s">
        <v>128</v>
      </c>
      <c r="M34" s="38" t="s">
        <v>53</v>
      </c>
      <c r="N34" s="36" t="s">
        <v>128</v>
      </c>
      <c r="O34" s="37" t="s">
        <v>128</v>
      </c>
      <c r="P34" s="38" t="s">
        <v>53</v>
      </c>
      <c r="Q34" s="36" t="s">
        <v>128</v>
      </c>
      <c r="R34" s="37" t="s">
        <v>128</v>
      </c>
      <c r="S34" s="38" t="s">
        <v>53</v>
      </c>
      <c r="T34" s="36" t="s">
        <v>128</v>
      </c>
      <c r="U34" s="37" t="s">
        <v>128</v>
      </c>
      <c r="V34" s="39" t="s">
        <v>53</v>
      </c>
    </row>
    <row r="35" spans="1:22" x14ac:dyDescent="0.25">
      <c r="A35" s="15" t="s">
        <v>149</v>
      </c>
      <c r="B35" s="36">
        <v>0.16599464463225999</v>
      </c>
      <c r="C35" s="37">
        <v>8.9871829952017257E-2</v>
      </c>
      <c r="D35" s="38" t="s">
        <v>53</v>
      </c>
      <c r="E35" s="36">
        <v>56.732377630246098</v>
      </c>
      <c r="F35" s="37">
        <v>0.76115355739164314</v>
      </c>
      <c r="G35" s="38" t="s">
        <v>53</v>
      </c>
      <c r="H35" s="36" t="s">
        <v>55</v>
      </c>
      <c r="I35" s="37" t="s">
        <v>55</v>
      </c>
      <c r="J35" s="38" t="s">
        <v>53</v>
      </c>
      <c r="K35" s="36" t="s">
        <v>55</v>
      </c>
      <c r="L35" s="37" t="s">
        <v>55</v>
      </c>
      <c r="M35" s="38" t="s">
        <v>53</v>
      </c>
      <c r="N35" s="36">
        <v>89.47235437758853</v>
      </c>
      <c r="O35" s="37">
        <v>0.46348181318474413</v>
      </c>
      <c r="P35" s="38" t="s">
        <v>53</v>
      </c>
      <c r="Q35" s="36" t="s">
        <v>55</v>
      </c>
      <c r="R35" s="37" t="s">
        <v>55</v>
      </c>
      <c r="S35" s="38" t="s">
        <v>53</v>
      </c>
      <c r="T35" s="36" t="s">
        <v>55</v>
      </c>
      <c r="U35" s="37" t="s">
        <v>55</v>
      </c>
      <c r="V35" s="39" t="s">
        <v>53</v>
      </c>
    </row>
    <row r="36" spans="1:22" x14ac:dyDescent="0.25">
      <c r="A36" s="15" t="s">
        <v>150</v>
      </c>
      <c r="B36" s="36">
        <v>4.4397198134590603</v>
      </c>
      <c r="C36" s="37">
        <v>0.33685609843229053</v>
      </c>
      <c r="D36" s="38" t="s">
        <v>53</v>
      </c>
      <c r="E36" s="36">
        <v>68.76928569344804</v>
      </c>
      <c r="F36" s="37">
        <v>0.757325584555127</v>
      </c>
      <c r="G36" s="38" t="s">
        <v>53</v>
      </c>
      <c r="H36" s="36">
        <v>69.438122940451876</v>
      </c>
      <c r="I36" s="37">
        <v>3.1613962541371623</v>
      </c>
      <c r="J36" s="38" t="s">
        <v>53</v>
      </c>
      <c r="K36" s="36">
        <v>0.66883724700383951</v>
      </c>
      <c r="L36" s="37">
        <v>3.3844722665646301</v>
      </c>
      <c r="M36" s="38" t="s">
        <v>53</v>
      </c>
      <c r="N36" s="36">
        <v>81.263326396666343</v>
      </c>
      <c r="O36" s="37">
        <v>0.64840651277413031</v>
      </c>
      <c r="P36" s="38" t="s">
        <v>53</v>
      </c>
      <c r="Q36" s="36">
        <v>77.384058521671406</v>
      </c>
      <c r="R36" s="37">
        <v>2.7736479304131301</v>
      </c>
      <c r="S36" s="38" t="s">
        <v>53</v>
      </c>
      <c r="T36" s="36">
        <v>-3.8792678749949405</v>
      </c>
      <c r="U36" s="37">
        <v>2.7320948112431922</v>
      </c>
      <c r="V36" s="39" t="s">
        <v>53</v>
      </c>
    </row>
    <row r="37" spans="1:22" x14ac:dyDescent="0.25">
      <c r="A37" s="15" t="s">
        <v>151</v>
      </c>
      <c r="B37" s="36">
        <v>1.5599249777116999</v>
      </c>
      <c r="C37" s="37">
        <v>0.13051569969861895</v>
      </c>
      <c r="D37" s="38" t="s">
        <v>53</v>
      </c>
      <c r="E37" s="36">
        <v>75.494764131828831</v>
      </c>
      <c r="F37" s="37">
        <v>0.64062706211172737</v>
      </c>
      <c r="G37" s="38" t="s">
        <v>53</v>
      </c>
      <c r="H37" s="36">
        <v>70.946828273746306</v>
      </c>
      <c r="I37" s="37">
        <v>4.8905376230463293</v>
      </c>
      <c r="J37" s="38" t="s">
        <v>53</v>
      </c>
      <c r="K37" s="36">
        <v>-4.5479358580825195</v>
      </c>
      <c r="L37" s="37">
        <v>5.0247461459766036</v>
      </c>
      <c r="M37" s="38" t="s">
        <v>53</v>
      </c>
      <c r="N37" s="36">
        <v>73.748997170498427</v>
      </c>
      <c r="O37" s="37">
        <v>0.57195797030442974</v>
      </c>
      <c r="P37" s="38" t="s">
        <v>53</v>
      </c>
      <c r="Q37" s="36">
        <v>75.446030042806385</v>
      </c>
      <c r="R37" s="37">
        <v>4.7881466511382795</v>
      </c>
      <c r="S37" s="38" t="s">
        <v>53</v>
      </c>
      <c r="T37" s="36">
        <v>1.6970328723079686</v>
      </c>
      <c r="U37" s="37">
        <v>4.8320271036935818</v>
      </c>
      <c r="V37" s="39" t="s">
        <v>53</v>
      </c>
    </row>
    <row r="38" spans="1:22" x14ac:dyDescent="0.25">
      <c r="A38" s="15" t="s">
        <v>152</v>
      </c>
      <c r="B38" s="36">
        <v>54.87180939703277</v>
      </c>
      <c r="C38" s="37">
        <v>0.64370888429344009</v>
      </c>
      <c r="D38" s="38" t="s">
        <v>53</v>
      </c>
      <c r="E38" s="36">
        <v>72.009518947449507</v>
      </c>
      <c r="F38" s="37">
        <v>1.025920454860727</v>
      </c>
      <c r="G38" s="38" t="s">
        <v>53</v>
      </c>
      <c r="H38" s="36">
        <v>65.344378036781009</v>
      </c>
      <c r="I38" s="37">
        <v>0.98543035177986438</v>
      </c>
      <c r="J38" s="38" t="s">
        <v>53</v>
      </c>
      <c r="K38" s="36">
        <v>-6.6651409106684989</v>
      </c>
      <c r="L38" s="37">
        <v>1.4534118508427272</v>
      </c>
      <c r="M38" s="38" t="s">
        <v>53</v>
      </c>
      <c r="N38" s="36">
        <v>84.855780569667431</v>
      </c>
      <c r="O38" s="37">
        <v>0.75479397338672904</v>
      </c>
      <c r="P38" s="38" t="s">
        <v>53</v>
      </c>
      <c r="Q38" s="36">
        <v>79.200837132518913</v>
      </c>
      <c r="R38" s="37">
        <v>0.73442646838337822</v>
      </c>
      <c r="S38" s="38" t="s">
        <v>53</v>
      </c>
      <c r="T38" s="36">
        <v>-5.6549434371485185</v>
      </c>
      <c r="U38" s="37">
        <v>1.0470932830040218</v>
      </c>
      <c r="V38" s="39" t="s">
        <v>53</v>
      </c>
    </row>
    <row r="39" spans="1:22" x14ac:dyDescent="0.25">
      <c r="A39" s="15" t="s">
        <v>153</v>
      </c>
      <c r="B39" s="36">
        <v>1.56142115515159</v>
      </c>
      <c r="C39" s="37">
        <v>0.26845505611360826</v>
      </c>
      <c r="D39" s="38" t="s">
        <v>53</v>
      </c>
      <c r="E39" s="36">
        <v>82.982835385231112</v>
      </c>
      <c r="F39" s="37">
        <v>0.56483504973550525</v>
      </c>
      <c r="G39" s="38" t="s">
        <v>53</v>
      </c>
      <c r="H39" s="36">
        <v>69.963595392404017</v>
      </c>
      <c r="I39" s="37">
        <v>7.7418229684508173</v>
      </c>
      <c r="J39" s="38" t="s">
        <v>54</v>
      </c>
      <c r="K39" s="36">
        <v>-13.019239992827092</v>
      </c>
      <c r="L39" s="37">
        <v>7.7024677059968267</v>
      </c>
      <c r="M39" s="38" t="s">
        <v>54</v>
      </c>
      <c r="N39" s="36">
        <v>79.840655261546274</v>
      </c>
      <c r="O39" s="37">
        <v>0.64714797149836778</v>
      </c>
      <c r="P39" s="38" t="s">
        <v>53</v>
      </c>
      <c r="Q39" s="36">
        <v>64.827813833837652</v>
      </c>
      <c r="R39" s="37">
        <v>7.8951051973184789</v>
      </c>
      <c r="S39" s="38" t="s">
        <v>54</v>
      </c>
      <c r="T39" s="36">
        <v>-15.012841427708622</v>
      </c>
      <c r="U39" s="37">
        <v>7.9312468603300532</v>
      </c>
      <c r="V39" s="39" t="s">
        <v>54</v>
      </c>
    </row>
    <row r="40" spans="1:22" x14ac:dyDescent="0.25">
      <c r="A40" s="15" t="s">
        <v>226</v>
      </c>
      <c r="B40" s="36">
        <v>13.767365553432789</v>
      </c>
      <c r="C40" s="37">
        <v>1.1613432186534565</v>
      </c>
      <c r="D40" s="38" t="s">
        <v>53</v>
      </c>
      <c r="E40" s="36">
        <v>79.44525914581709</v>
      </c>
      <c r="F40" s="37">
        <v>0.84061803508769339</v>
      </c>
      <c r="G40" s="38" t="s">
        <v>53</v>
      </c>
      <c r="H40" s="36">
        <v>79.854570310968484</v>
      </c>
      <c r="I40" s="37">
        <v>2.2628763329055412</v>
      </c>
      <c r="J40" s="38" t="s">
        <v>54</v>
      </c>
      <c r="K40" s="36">
        <v>0.40931116515139365</v>
      </c>
      <c r="L40" s="37">
        <v>2.4459998442337971</v>
      </c>
      <c r="M40" s="38" t="s">
        <v>54</v>
      </c>
      <c r="N40" s="36">
        <v>90.889703074033605</v>
      </c>
      <c r="O40" s="37">
        <v>0.57076914674050039</v>
      </c>
      <c r="P40" s="38" t="s">
        <v>53</v>
      </c>
      <c r="Q40" s="36">
        <v>89.043612275859317</v>
      </c>
      <c r="R40" s="37">
        <v>1.3677096292569766</v>
      </c>
      <c r="S40" s="38" t="s">
        <v>54</v>
      </c>
      <c r="T40" s="36">
        <v>-1.8460907981742825</v>
      </c>
      <c r="U40" s="37">
        <v>1.5647435029824772</v>
      </c>
      <c r="V40" s="39" t="s">
        <v>54</v>
      </c>
    </row>
    <row r="41" spans="1:22" x14ac:dyDescent="0.25">
      <c r="A41" s="15" t="s">
        <v>154</v>
      </c>
      <c r="B41" s="36">
        <v>26.459841142840613</v>
      </c>
      <c r="C41" s="37">
        <v>1.3482097436076308</v>
      </c>
      <c r="D41" s="38" t="s">
        <v>53</v>
      </c>
      <c r="E41" s="36" t="s">
        <v>55</v>
      </c>
      <c r="F41" s="37" t="s">
        <v>55</v>
      </c>
      <c r="G41" s="38" t="s">
        <v>53</v>
      </c>
      <c r="H41" s="36" t="s">
        <v>55</v>
      </c>
      <c r="I41" s="37" t="s">
        <v>55</v>
      </c>
      <c r="J41" s="38" t="s">
        <v>53</v>
      </c>
      <c r="K41" s="36" t="s">
        <v>55</v>
      </c>
      <c r="L41" s="37" t="s">
        <v>55</v>
      </c>
      <c r="M41" s="38" t="s">
        <v>53</v>
      </c>
      <c r="N41" s="36">
        <v>73.459711324281557</v>
      </c>
      <c r="O41" s="37">
        <v>0.69024476837142823</v>
      </c>
      <c r="P41" s="38" t="s">
        <v>53</v>
      </c>
      <c r="Q41" s="36">
        <v>75.452852817377419</v>
      </c>
      <c r="R41" s="37">
        <v>1.1835969703057827</v>
      </c>
      <c r="S41" s="38" t="s">
        <v>53</v>
      </c>
      <c r="T41" s="36">
        <v>1.9931414930958624</v>
      </c>
      <c r="U41" s="37">
        <v>1.2148968828728464</v>
      </c>
      <c r="V41" s="39" t="s">
        <v>53</v>
      </c>
    </row>
    <row r="42" spans="1:22" x14ac:dyDescent="0.25">
      <c r="A42" s="15" t="s">
        <v>155</v>
      </c>
      <c r="B42" s="36">
        <v>12.39989609171765</v>
      </c>
      <c r="C42" s="37">
        <v>0.77280409093371216</v>
      </c>
      <c r="D42" s="38" t="s">
        <v>53</v>
      </c>
      <c r="E42" s="36" t="s">
        <v>55</v>
      </c>
      <c r="F42" s="37" t="s">
        <v>55</v>
      </c>
      <c r="G42" s="38" t="s">
        <v>53</v>
      </c>
      <c r="H42" s="36" t="s">
        <v>55</v>
      </c>
      <c r="I42" s="37" t="s">
        <v>55</v>
      </c>
      <c r="J42" s="38" t="s">
        <v>53</v>
      </c>
      <c r="K42" s="36" t="s">
        <v>55</v>
      </c>
      <c r="L42" s="37" t="s">
        <v>55</v>
      </c>
      <c r="M42" s="38" t="s">
        <v>53</v>
      </c>
      <c r="N42" s="36">
        <v>88.278135230654669</v>
      </c>
      <c r="O42" s="37">
        <v>0.56859225644395817</v>
      </c>
      <c r="P42" s="38" t="s">
        <v>53</v>
      </c>
      <c r="Q42" s="36">
        <v>83.388538020034687</v>
      </c>
      <c r="R42" s="37">
        <v>1.5744339601775685</v>
      </c>
      <c r="S42" s="38" t="s">
        <v>53</v>
      </c>
      <c r="T42" s="36">
        <v>-4.8895972106199892</v>
      </c>
      <c r="U42" s="37">
        <v>1.6683695835570171</v>
      </c>
      <c r="V42" s="39" t="s">
        <v>53</v>
      </c>
    </row>
    <row r="43" spans="1:22" x14ac:dyDescent="0.25">
      <c r="A43" s="15" t="s">
        <v>156</v>
      </c>
      <c r="B43" s="36">
        <v>0.64312078856707999</v>
      </c>
      <c r="C43" s="37">
        <v>0.19031100288588151</v>
      </c>
      <c r="D43" s="38" t="s">
        <v>53</v>
      </c>
      <c r="E43" s="36">
        <v>61.93745628488837</v>
      </c>
      <c r="F43" s="37">
        <v>0.78086274112202314</v>
      </c>
      <c r="G43" s="38" t="s">
        <v>53</v>
      </c>
      <c r="H43" s="36" t="s">
        <v>55</v>
      </c>
      <c r="I43" s="37" t="s">
        <v>55</v>
      </c>
      <c r="J43" s="38" t="s">
        <v>53</v>
      </c>
      <c r="K43" s="36" t="s">
        <v>55</v>
      </c>
      <c r="L43" s="37" t="s">
        <v>55</v>
      </c>
      <c r="M43" s="38" t="s">
        <v>53</v>
      </c>
      <c r="N43" s="36">
        <v>78.736457118443255</v>
      </c>
      <c r="O43" s="37">
        <v>0.61084486393877946</v>
      </c>
      <c r="P43" s="38" t="s">
        <v>53</v>
      </c>
      <c r="Q43" s="36" t="s">
        <v>55</v>
      </c>
      <c r="R43" s="37" t="s">
        <v>55</v>
      </c>
      <c r="S43" s="38" t="s">
        <v>53</v>
      </c>
      <c r="T43" s="36" t="s">
        <v>55</v>
      </c>
      <c r="U43" s="37" t="s">
        <v>55</v>
      </c>
      <c r="V43" s="39" t="s">
        <v>53</v>
      </c>
    </row>
    <row r="44" spans="1:22" x14ac:dyDescent="0.25">
      <c r="A44" s="15" t="s">
        <v>227</v>
      </c>
      <c r="B44" s="36">
        <v>6.9632335887591799</v>
      </c>
      <c r="C44" s="37">
        <v>0.57149006614731868</v>
      </c>
      <c r="D44" s="38" t="s">
        <v>53</v>
      </c>
      <c r="E44" s="36">
        <v>69.083721877409147</v>
      </c>
      <c r="F44" s="37">
        <v>0.83371492168776529</v>
      </c>
      <c r="G44" s="38" t="s">
        <v>53</v>
      </c>
      <c r="H44" s="36">
        <v>66.598682861986248</v>
      </c>
      <c r="I44" s="37">
        <v>2.9654661719730977</v>
      </c>
      <c r="J44" s="38" t="s">
        <v>53</v>
      </c>
      <c r="K44" s="36">
        <v>-2.4850390154228963</v>
      </c>
      <c r="L44" s="37">
        <v>3.1397576900639295</v>
      </c>
      <c r="M44" s="38" t="s">
        <v>53</v>
      </c>
      <c r="N44" s="36">
        <v>87.401460017262735</v>
      </c>
      <c r="O44" s="37">
        <v>0.47782549175784517</v>
      </c>
      <c r="P44" s="38" t="s">
        <v>53</v>
      </c>
      <c r="Q44" s="36">
        <v>80.308176440144322</v>
      </c>
      <c r="R44" s="37">
        <v>2.5644214196601096</v>
      </c>
      <c r="S44" s="38" t="s">
        <v>53</v>
      </c>
      <c r="T44" s="36">
        <v>-7.0932835771184148</v>
      </c>
      <c r="U44" s="37">
        <v>2.6042822744585625</v>
      </c>
      <c r="V44" s="39" t="s">
        <v>53</v>
      </c>
    </row>
    <row r="45" spans="1:22" x14ac:dyDescent="0.25">
      <c r="A45" s="15" t="s">
        <v>157</v>
      </c>
      <c r="B45" s="36">
        <v>1.18853098725919</v>
      </c>
      <c r="C45" s="37">
        <v>0.16842230016552609</v>
      </c>
      <c r="D45" s="38" t="s">
        <v>53</v>
      </c>
      <c r="E45" s="36">
        <v>69.611645389525947</v>
      </c>
      <c r="F45" s="37">
        <v>0.72414271763871241</v>
      </c>
      <c r="G45" s="38" t="s">
        <v>53</v>
      </c>
      <c r="H45" s="36">
        <v>64.222361572978272</v>
      </c>
      <c r="I45" s="37">
        <v>6.1008010664638759</v>
      </c>
      <c r="J45" s="38" t="s">
        <v>53</v>
      </c>
      <c r="K45" s="36">
        <v>-5.3892838165476746</v>
      </c>
      <c r="L45" s="37">
        <v>6.2314943478011271</v>
      </c>
      <c r="M45" s="38" t="s">
        <v>53</v>
      </c>
      <c r="N45" s="36">
        <v>72.013966098939946</v>
      </c>
      <c r="O45" s="37">
        <v>0.7833183996251295</v>
      </c>
      <c r="P45" s="38" t="s">
        <v>53</v>
      </c>
      <c r="Q45" s="36">
        <v>70.786922685397769</v>
      </c>
      <c r="R45" s="37">
        <v>5.3956602936471887</v>
      </c>
      <c r="S45" s="38" t="s">
        <v>53</v>
      </c>
      <c r="T45" s="36">
        <v>-1.2270434135421837</v>
      </c>
      <c r="U45" s="37">
        <v>5.3429380023583484</v>
      </c>
      <c r="V45" s="39" t="s">
        <v>53</v>
      </c>
    </row>
    <row r="46" spans="1:22" x14ac:dyDescent="0.25">
      <c r="A46" s="15" t="s">
        <v>158</v>
      </c>
      <c r="B46" s="36">
        <v>8.8801416636658708</v>
      </c>
      <c r="C46" s="37">
        <v>0.31167440261340096</v>
      </c>
      <c r="D46" s="38" t="s">
        <v>53</v>
      </c>
      <c r="E46" s="36">
        <v>63.953613765105601</v>
      </c>
      <c r="F46" s="37">
        <v>0.80064865992171985</v>
      </c>
      <c r="G46" s="38" t="s">
        <v>53</v>
      </c>
      <c r="H46" s="36">
        <v>65.267491999112096</v>
      </c>
      <c r="I46" s="37">
        <v>2.4458747649571344</v>
      </c>
      <c r="J46" s="38" t="s">
        <v>53</v>
      </c>
      <c r="K46" s="36">
        <v>1.3138782340064936</v>
      </c>
      <c r="L46" s="37">
        <v>2.6763400054731585</v>
      </c>
      <c r="M46" s="38" t="s">
        <v>53</v>
      </c>
      <c r="N46" s="36">
        <v>79.890166151461472</v>
      </c>
      <c r="O46" s="37">
        <v>0.68569372537209838</v>
      </c>
      <c r="P46" s="38" t="s">
        <v>53</v>
      </c>
      <c r="Q46" s="36">
        <v>75.033728680446103</v>
      </c>
      <c r="R46" s="37">
        <v>2.8382765212968968</v>
      </c>
      <c r="S46" s="38" t="s">
        <v>53</v>
      </c>
      <c r="T46" s="36">
        <v>-4.8564374710153739</v>
      </c>
      <c r="U46" s="37">
        <v>2.8169630622816593</v>
      </c>
      <c r="V46" s="39" t="s">
        <v>53</v>
      </c>
    </row>
    <row r="47" spans="1:22" x14ac:dyDescent="0.25">
      <c r="A47" s="15" t="s">
        <v>159</v>
      </c>
      <c r="B47" s="36">
        <v>12.188161728613951</v>
      </c>
      <c r="C47" s="37">
        <v>0.47645498721799551</v>
      </c>
      <c r="D47" s="38" t="s">
        <v>53</v>
      </c>
      <c r="E47" s="36">
        <v>75.201682981574962</v>
      </c>
      <c r="F47" s="37">
        <v>0.35817795439063754</v>
      </c>
      <c r="G47" s="38" t="s">
        <v>53</v>
      </c>
      <c r="H47" s="36">
        <v>62.356498078677816</v>
      </c>
      <c r="I47" s="37">
        <v>0.921971385533504</v>
      </c>
      <c r="J47" s="38" t="s">
        <v>53</v>
      </c>
      <c r="K47" s="36">
        <v>-12.845184902897145</v>
      </c>
      <c r="L47" s="37">
        <v>0.97734164218733022</v>
      </c>
      <c r="M47" s="38" t="s">
        <v>53</v>
      </c>
      <c r="N47" s="36">
        <v>89.400486102044496</v>
      </c>
      <c r="O47" s="37">
        <v>0.30560997973569731</v>
      </c>
      <c r="P47" s="38" t="s">
        <v>53</v>
      </c>
      <c r="Q47" s="36">
        <v>83.368370669363131</v>
      </c>
      <c r="R47" s="37">
        <v>0.91526485461708895</v>
      </c>
      <c r="S47" s="38" t="s">
        <v>53</v>
      </c>
      <c r="T47" s="36">
        <v>-6.032115432681362</v>
      </c>
      <c r="U47" s="37">
        <v>0.89929551341228975</v>
      </c>
      <c r="V47" s="39" t="s">
        <v>53</v>
      </c>
    </row>
    <row r="48" spans="1:22" x14ac:dyDescent="0.25">
      <c r="A48" s="15" t="s">
        <v>160</v>
      </c>
      <c r="B48" s="36">
        <v>20.473115864425338</v>
      </c>
      <c r="C48" s="37">
        <v>1.3408865697378713</v>
      </c>
      <c r="D48" s="38" t="s">
        <v>53</v>
      </c>
      <c r="E48" s="36">
        <v>66.744952181664914</v>
      </c>
      <c r="F48" s="37">
        <v>0.77453674322990962</v>
      </c>
      <c r="G48" s="38" t="s">
        <v>53</v>
      </c>
      <c r="H48" s="36">
        <v>66.634890536685262</v>
      </c>
      <c r="I48" s="37">
        <v>1.7334142339954475</v>
      </c>
      <c r="J48" s="38" t="s">
        <v>53</v>
      </c>
      <c r="K48" s="36">
        <v>-0.1100616449796421</v>
      </c>
      <c r="L48" s="37">
        <v>1.8712829181845181</v>
      </c>
      <c r="M48" s="38" t="s">
        <v>53</v>
      </c>
      <c r="N48" s="36">
        <v>81.50890489726919</v>
      </c>
      <c r="O48" s="37">
        <v>0.5673644602474589</v>
      </c>
      <c r="P48" s="38" t="s">
        <v>53</v>
      </c>
      <c r="Q48" s="36">
        <v>74.693504406175137</v>
      </c>
      <c r="R48" s="37">
        <v>1.2453282997578043</v>
      </c>
      <c r="S48" s="38" t="s">
        <v>53</v>
      </c>
      <c r="T48" s="36">
        <v>-6.8154004910940591</v>
      </c>
      <c r="U48" s="37">
        <v>1.4933135009941338</v>
      </c>
      <c r="V48" s="39" t="s">
        <v>53</v>
      </c>
    </row>
    <row r="49" spans="1:22" x14ac:dyDescent="0.25">
      <c r="A49" s="15" t="s">
        <v>161</v>
      </c>
      <c r="B49" s="36">
        <v>33.868233035169411</v>
      </c>
      <c r="C49" s="37">
        <v>1.4103551478288376</v>
      </c>
      <c r="D49" s="38" t="s">
        <v>53</v>
      </c>
      <c r="E49" s="36">
        <v>75.796151673350195</v>
      </c>
      <c r="F49" s="37">
        <v>0.87652014614442231</v>
      </c>
      <c r="G49" s="38" t="s">
        <v>53</v>
      </c>
      <c r="H49" s="36">
        <v>68.776742465733932</v>
      </c>
      <c r="I49" s="37">
        <v>1.2719040272572102</v>
      </c>
      <c r="J49" s="38" t="s">
        <v>53</v>
      </c>
      <c r="K49" s="36">
        <v>-7.0194092076162669</v>
      </c>
      <c r="L49" s="37">
        <v>1.491678170705218</v>
      </c>
      <c r="M49" s="38" t="s">
        <v>53</v>
      </c>
      <c r="N49" s="36">
        <v>84.948586196340443</v>
      </c>
      <c r="O49" s="37">
        <v>0.732265899159251</v>
      </c>
      <c r="P49" s="38" t="s">
        <v>53</v>
      </c>
      <c r="Q49" s="36">
        <v>82.464816426906324</v>
      </c>
      <c r="R49" s="37">
        <v>1.0466501374604795</v>
      </c>
      <c r="S49" s="38" t="s">
        <v>53</v>
      </c>
      <c r="T49" s="36">
        <v>-2.4837697694341077</v>
      </c>
      <c r="U49" s="37">
        <v>1.3977016315405764</v>
      </c>
      <c r="V49" s="39" t="s">
        <v>53</v>
      </c>
    </row>
    <row r="50" spans="1:22" x14ac:dyDescent="0.25">
      <c r="A50" s="15" t="s">
        <v>162</v>
      </c>
      <c r="B50" s="36">
        <v>0.85430183715388996</v>
      </c>
      <c r="C50" s="37">
        <v>0.14058186011809648</v>
      </c>
      <c r="D50" s="38" t="s">
        <v>53</v>
      </c>
      <c r="E50" s="36">
        <v>43.681779942952339</v>
      </c>
      <c r="F50" s="37">
        <v>0.84256686074566534</v>
      </c>
      <c r="G50" s="38" t="s">
        <v>53</v>
      </c>
      <c r="H50" s="36">
        <v>36.295814520612765</v>
      </c>
      <c r="I50" s="37">
        <v>7.9411959337788662</v>
      </c>
      <c r="J50" s="38" t="s">
        <v>53</v>
      </c>
      <c r="K50" s="36">
        <v>-7.3859654223395745</v>
      </c>
      <c r="L50" s="37">
        <v>8.0514239662691534</v>
      </c>
      <c r="M50" s="38" t="s">
        <v>53</v>
      </c>
      <c r="N50" s="36">
        <v>76.564402787563765</v>
      </c>
      <c r="O50" s="37">
        <v>0.54584111622336096</v>
      </c>
      <c r="P50" s="38" t="s">
        <v>53</v>
      </c>
      <c r="Q50" s="36">
        <v>71.047085438135355</v>
      </c>
      <c r="R50" s="37">
        <v>6.1774210977268424</v>
      </c>
      <c r="S50" s="38" t="s">
        <v>53</v>
      </c>
      <c r="T50" s="36">
        <v>-5.5173173494284189</v>
      </c>
      <c r="U50" s="37">
        <v>6.1497200352439725</v>
      </c>
      <c r="V50" s="39" t="s">
        <v>53</v>
      </c>
    </row>
    <row r="51" spans="1:22" x14ac:dyDescent="0.25">
      <c r="A51" s="15" t="s">
        <v>163</v>
      </c>
      <c r="B51" s="36">
        <v>19.760951782508652</v>
      </c>
      <c r="C51" s="37">
        <v>1.1769923779338967</v>
      </c>
      <c r="D51" s="38" t="s">
        <v>53</v>
      </c>
      <c r="E51" s="36">
        <v>52.581280459914247</v>
      </c>
      <c r="F51" s="37">
        <v>0.77815666106367676</v>
      </c>
      <c r="G51" s="38" t="s">
        <v>53</v>
      </c>
      <c r="H51" s="36">
        <v>52.578140187957004</v>
      </c>
      <c r="I51" s="37">
        <v>1.731945560685886</v>
      </c>
      <c r="J51" s="38" t="s">
        <v>53</v>
      </c>
      <c r="K51" s="36">
        <v>-3.1402719572470872E-3</v>
      </c>
      <c r="L51" s="37">
        <v>1.7627517110429056</v>
      </c>
      <c r="M51" s="38" t="s">
        <v>53</v>
      </c>
      <c r="N51" s="36">
        <v>74.458526141636042</v>
      </c>
      <c r="O51" s="37">
        <v>0.69399968758737451</v>
      </c>
      <c r="P51" s="38" t="s">
        <v>53</v>
      </c>
      <c r="Q51" s="36">
        <v>75.710314328851453</v>
      </c>
      <c r="R51" s="37">
        <v>1.2725798292800219</v>
      </c>
      <c r="S51" s="38" t="s">
        <v>53</v>
      </c>
      <c r="T51" s="36">
        <v>1.251788187215408</v>
      </c>
      <c r="U51" s="37">
        <v>1.5575480807552584</v>
      </c>
      <c r="V51" s="39" t="s">
        <v>53</v>
      </c>
    </row>
    <row r="52" spans="1:22" x14ac:dyDescent="0.25">
      <c r="A52" s="15" t="s">
        <v>228</v>
      </c>
      <c r="B52" s="36">
        <v>23.012325770304379</v>
      </c>
      <c r="C52" s="37">
        <v>1.519881538268582</v>
      </c>
      <c r="D52" s="38" t="s">
        <v>53</v>
      </c>
      <c r="E52" s="36">
        <v>62.505874321020606</v>
      </c>
      <c r="F52" s="37">
        <v>0.80501244790055337</v>
      </c>
      <c r="G52" s="38" t="s">
        <v>53</v>
      </c>
      <c r="H52" s="36">
        <v>55.080790446645111</v>
      </c>
      <c r="I52" s="37">
        <v>1.5332778975921841</v>
      </c>
      <c r="J52" s="38" t="s">
        <v>53</v>
      </c>
      <c r="K52" s="36">
        <v>-7.4250838743754937</v>
      </c>
      <c r="L52" s="37">
        <v>1.6289652494488445</v>
      </c>
      <c r="M52" s="38" t="s">
        <v>53</v>
      </c>
      <c r="N52" s="36">
        <v>69.30002246261914</v>
      </c>
      <c r="O52" s="37">
        <v>1.0029520145119371</v>
      </c>
      <c r="P52" s="38" t="s">
        <v>53</v>
      </c>
      <c r="Q52" s="36">
        <v>69.114328288826101</v>
      </c>
      <c r="R52" s="37">
        <v>1.9674062005576434</v>
      </c>
      <c r="S52" s="38" t="s">
        <v>53</v>
      </c>
      <c r="T52" s="36">
        <v>-0.18569417379303843</v>
      </c>
      <c r="U52" s="37">
        <v>2.1032070910359169</v>
      </c>
      <c r="V52" s="39" t="s">
        <v>53</v>
      </c>
    </row>
    <row r="53" spans="1:22" x14ac:dyDescent="0.25">
      <c r="A53" s="15" t="s">
        <v>164</v>
      </c>
      <c r="B53" s="36">
        <v>13.04390904777839</v>
      </c>
      <c r="C53" s="37">
        <v>0.13102265205554489</v>
      </c>
      <c r="D53" s="38" t="s">
        <v>53</v>
      </c>
      <c r="E53" s="36">
        <v>68.018631505824999</v>
      </c>
      <c r="F53" s="37">
        <v>0.14491408865444519</v>
      </c>
      <c r="G53" s="38" t="s">
        <v>53</v>
      </c>
      <c r="H53" s="36">
        <v>64.333645548978126</v>
      </c>
      <c r="I53" s="37">
        <v>0.72838851030784524</v>
      </c>
      <c r="J53" s="38" t="s">
        <v>53</v>
      </c>
      <c r="K53" s="36">
        <v>-4.3282240715326417</v>
      </c>
      <c r="L53" s="37">
        <v>0.74435438298142609</v>
      </c>
      <c r="M53" s="38" t="s">
        <v>53</v>
      </c>
      <c r="N53" s="36">
        <v>80.678745975723231</v>
      </c>
      <c r="O53" s="37">
        <v>0.1090654459355178</v>
      </c>
      <c r="P53" s="38" t="s">
        <v>53</v>
      </c>
      <c r="Q53" s="36">
        <v>77.087561726010719</v>
      </c>
      <c r="R53" s="37">
        <v>0.56586165994332838</v>
      </c>
      <c r="S53" s="38" t="s">
        <v>53</v>
      </c>
      <c r="T53" s="36">
        <v>-3.3835685059371978</v>
      </c>
      <c r="U53" s="37">
        <v>0.57277226050420327</v>
      </c>
      <c r="V53" s="39" t="s">
        <v>53</v>
      </c>
    </row>
    <row r="54" spans="1:22" x14ac:dyDescent="0.25">
      <c r="A54" s="57" t="s">
        <v>211</v>
      </c>
      <c r="B54" s="36"/>
      <c r="C54" s="37"/>
      <c r="D54" s="38"/>
      <c r="E54" s="36"/>
      <c r="F54" s="37"/>
      <c r="G54" s="38"/>
      <c r="H54" s="36"/>
      <c r="I54" s="37"/>
      <c r="J54" s="38"/>
      <c r="K54" s="36"/>
      <c r="L54" s="37"/>
      <c r="M54" s="38"/>
      <c r="N54" s="36"/>
      <c r="O54" s="37"/>
      <c r="P54" s="38"/>
      <c r="Q54" s="36"/>
      <c r="R54" s="37"/>
      <c r="S54" s="38"/>
      <c r="T54" s="36"/>
      <c r="U54" s="37"/>
      <c r="V54" s="39"/>
    </row>
    <row r="55" spans="1:22" x14ac:dyDescent="0.25">
      <c r="A55" s="15" t="s">
        <v>169</v>
      </c>
      <c r="B55" s="36">
        <v>0.62059781455420004</v>
      </c>
      <c r="C55" s="37">
        <v>0.12271048399013314</v>
      </c>
      <c r="D55" s="38" t="s">
        <v>53</v>
      </c>
      <c r="E55" s="36">
        <v>86.358343697189014</v>
      </c>
      <c r="F55" s="37">
        <v>0.52955707897775317</v>
      </c>
      <c r="G55" s="38" t="s">
        <v>53</v>
      </c>
      <c r="H55" s="36">
        <v>92.455689800463404</v>
      </c>
      <c r="I55" s="37">
        <v>4.9079526093604242</v>
      </c>
      <c r="J55" s="38" t="s">
        <v>53</v>
      </c>
      <c r="K55" s="36">
        <v>6.0973461032743925</v>
      </c>
      <c r="L55" s="37">
        <v>4.7899687583778503</v>
      </c>
      <c r="M55" s="38" t="s">
        <v>53</v>
      </c>
      <c r="N55" s="36">
        <v>88.991521812305294</v>
      </c>
      <c r="O55" s="37">
        <v>0.52215638259664043</v>
      </c>
      <c r="P55" s="38" t="s">
        <v>53</v>
      </c>
      <c r="Q55" s="36">
        <v>78.523708722384683</v>
      </c>
      <c r="R55" s="37">
        <v>6.7191019799196177</v>
      </c>
      <c r="S55" s="38" t="s">
        <v>53</v>
      </c>
      <c r="T55" s="36">
        <v>-10.467813089920607</v>
      </c>
      <c r="U55" s="37">
        <v>6.7662796533509022</v>
      </c>
      <c r="V55" s="39" t="s">
        <v>53</v>
      </c>
    </row>
    <row r="56" spans="1:22" x14ac:dyDescent="0.25">
      <c r="A56" s="15" t="s">
        <v>170</v>
      </c>
      <c r="B56" s="36">
        <v>4.5581922113720896</v>
      </c>
      <c r="C56" s="37">
        <v>0.3258858226592739</v>
      </c>
      <c r="D56" s="38" t="s">
        <v>53</v>
      </c>
      <c r="E56" s="36">
        <v>70.235851735611888</v>
      </c>
      <c r="F56" s="37">
        <v>0.71480320816324383</v>
      </c>
      <c r="G56" s="38" t="s">
        <v>53</v>
      </c>
      <c r="H56" s="36">
        <v>65.615937995711548</v>
      </c>
      <c r="I56" s="37">
        <v>2.8386529278678312</v>
      </c>
      <c r="J56" s="38" t="s">
        <v>53</v>
      </c>
      <c r="K56" s="36">
        <v>-4.6199137399003387</v>
      </c>
      <c r="L56" s="37">
        <v>2.7568148931626486</v>
      </c>
      <c r="M56" s="38" t="s">
        <v>53</v>
      </c>
      <c r="N56" s="36">
        <v>72.730368716711993</v>
      </c>
      <c r="O56" s="37">
        <v>0.86963436490312429</v>
      </c>
      <c r="P56" s="38" t="s">
        <v>53</v>
      </c>
      <c r="Q56" s="36">
        <v>72.89726234066714</v>
      </c>
      <c r="R56" s="37">
        <v>2.7920846000262816</v>
      </c>
      <c r="S56" s="38" t="s">
        <v>53</v>
      </c>
      <c r="T56" s="36">
        <v>0.1668936239551555</v>
      </c>
      <c r="U56" s="37">
        <v>2.9217416809855843</v>
      </c>
      <c r="V56" s="39" t="s">
        <v>53</v>
      </c>
    </row>
    <row r="57" spans="1:22" x14ac:dyDescent="0.25">
      <c r="A57" s="15" t="s">
        <v>171</v>
      </c>
      <c r="B57" s="36">
        <v>5.2006981077612595</v>
      </c>
      <c r="C57" s="37">
        <v>0.37027052060356908</v>
      </c>
      <c r="D57" s="38" t="s">
        <v>53</v>
      </c>
      <c r="E57" s="36">
        <v>67.18391253343475</v>
      </c>
      <c r="F57" s="37">
        <v>0.79740479230226735</v>
      </c>
      <c r="G57" s="38" t="s">
        <v>53</v>
      </c>
      <c r="H57" s="36">
        <v>61.237764095527723</v>
      </c>
      <c r="I57" s="37">
        <v>3.0385851164113813</v>
      </c>
      <c r="J57" s="38" t="s">
        <v>53</v>
      </c>
      <c r="K57" s="36">
        <v>-5.9461484379070288</v>
      </c>
      <c r="L57" s="37">
        <v>3.1781343757903704</v>
      </c>
      <c r="M57" s="38" t="s">
        <v>53</v>
      </c>
      <c r="N57" s="36">
        <v>69.090475863162155</v>
      </c>
      <c r="O57" s="37">
        <v>0.82477425427646756</v>
      </c>
      <c r="P57" s="38" t="s">
        <v>54</v>
      </c>
      <c r="Q57" s="36">
        <v>64.744531506435862</v>
      </c>
      <c r="R57" s="37">
        <v>3.0732315962680321</v>
      </c>
      <c r="S57" s="38" t="s">
        <v>54</v>
      </c>
      <c r="T57" s="36">
        <v>-4.3459443567262834</v>
      </c>
      <c r="U57" s="37">
        <v>3.3100133419198361</v>
      </c>
      <c r="V57" s="39" t="s">
        <v>54</v>
      </c>
    </row>
    <row r="58" spans="1:22" x14ac:dyDescent="0.25">
      <c r="A58" s="15" t="s">
        <v>172</v>
      </c>
      <c r="B58" s="36">
        <v>4.1471741637499493</v>
      </c>
      <c r="C58" s="37">
        <v>0.3187600924711777</v>
      </c>
      <c r="D58" s="38" t="s">
        <v>53</v>
      </c>
      <c r="E58" s="36">
        <v>83.840946062091902</v>
      </c>
      <c r="F58" s="37">
        <v>0.61811901726641183</v>
      </c>
      <c r="G58" s="38" t="s">
        <v>53</v>
      </c>
      <c r="H58" s="36">
        <v>78.227686013562021</v>
      </c>
      <c r="I58" s="37">
        <v>2.6656354917873943</v>
      </c>
      <c r="J58" s="38" t="s">
        <v>53</v>
      </c>
      <c r="K58" s="36">
        <v>-5.6132600485298774</v>
      </c>
      <c r="L58" s="37">
        <v>2.7593396622298449</v>
      </c>
      <c r="M58" s="38" t="s">
        <v>53</v>
      </c>
      <c r="N58" s="36">
        <v>88.762311816737878</v>
      </c>
      <c r="O58" s="37">
        <v>0.44921262831232728</v>
      </c>
      <c r="P58" s="38" t="s">
        <v>53</v>
      </c>
      <c r="Q58" s="36">
        <v>82.031407382820944</v>
      </c>
      <c r="R58" s="37">
        <v>2.7135729255993208</v>
      </c>
      <c r="S58" s="38" t="s">
        <v>53</v>
      </c>
      <c r="T58" s="36">
        <v>-6.7309044339169288</v>
      </c>
      <c r="U58" s="37">
        <v>2.689759695546317</v>
      </c>
      <c r="V58" s="39" t="s">
        <v>53</v>
      </c>
    </row>
    <row r="59" spans="1:22" x14ac:dyDescent="0.25">
      <c r="A59" s="15" t="s">
        <v>173</v>
      </c>
      <c r="B59" s="36">
        <v>2.8167785120561701</v>
      </c>
      <c r="C59" s="37">
        <v>0.32525593627930094</v>
      </c>
      <c r="D59" s="38" t="s">
        <v>53</v>
      </c>
      <c r="E59" s="36">
        <v>76.671896479521195</v>
      </c>
      <c r="F59" s="37">
        <v>0.67256311264454527</v>
      </c>
      <c r="G59" s="38" t="s">
        <v>53</v>
      </c>
      <c r="H59" s="36">
        <v>69.352966542645689</v>
      </c>
      <c r="I59" s="37">
        <v>3.9212900242370727</v>
      </c>
      <c r="J59" s="38" t="s">
        <v>53</v>
      </c>
      <c r="K59" s="36">
        <v>-7.3189299368755067</v>
      </c>
      <c r="L59" s="37">
        <v>3.7912093664536481</v>
      </c>
      <c r="M59" s="38" t="s">
        <v>53</v>
      </c>
      <c r="N59" s="36">
        <v>79.96940142767555</v>
      </c>
      <c r="O59" s="37">
        <v>0.60356217007945723</v>
      </c>
      <c r="P59" s="38" t="s">
        <v>53</v>
      </c>
      <c r="Q59" s="36">
        <v>72.72108891880336</v>
      </c>
      <c r="R59" s="37">
        <v>3.7980734152236191</v>
      </c>
      <c r="S59" s="38" t="s">
        <v>53</v>
      </c>
      <c r="T59" s="36">
        <v>-7.24831250887219</v>
      </c>
      <c r="U59" s="37">
        <v>3.8609899816005981</v>
      </c>
      <c r="V59" s="39" t="s">
        <v>53</v>
      </c>
    </row>
    <row r="60" spans="1:22" x14ac:dyDescent="0.25">
      <c r="A60" s="15" t="s">
        <v>174</v>
      </c>
      <c r="B60" s="36">
        <v>0.60093706095619004</v>
      </c>
      <c r="C60" s="37">
        <v>9.1503247379800104E-2</v>
      </c>
      <c r="D60" s="38" t="s">
        <v>53</v>
      </c>
      <c r="E60" s="36">
        <v>64.999692083356734</v>
      </c>
      <c r="F60" s="37">
        <v>0.55584768486306535</v>
      </c>
      <c r="G60" s="38" t="s">
        <v>53</v>
      </c>
      <c r="H60" s="36">
        <v>67.074664053499774</v>
      </c>
      <c r="I60" s="37">
        <v>7.8779990151693875</v>
      </c>
      <c r="J60" s="38" t="s">
        <v>54</v>
      </c>
      <c r="K60" s="36">
        <v>2.0749719701430358</v>
      </c>
      <c r="L60" s="37">
        <v>7.989665763967289</v>
      </c>
      <c r="M60" s="38" t="s">
        <v>54</v>
      </c>
      <c r="N60" s="36">
        <v>72.680780438421138</v>
      </c>
      <c r="O60" s="37">
        <v>0.64279882867257121</v>
      </c>
      <c r="P60" s="38" t="s">
        <v>53</v>
      </c>
      <c r="Q60" s="36">
        <v>46.950157224108878</v>
      </c>
      <c r="R60" s="37">
        <v>7.2218360587605961</v>
      </c>
      <c r="S60" s="38" t="s">
        <v>54</v>
      </c>
      <c r="T60" s="36">
        <v>-25.730623214312253</v>
      </c>
      <c r="U60" s="37">
        <v>7.2518777384951063</v>
      </c>
      <c r="V60" s="39" t="s">
        <v>54</v>
      </c>
    </row>
    <row r="61" spans="1:22" x14ac:dyDescent="0.25">
      <c r="A61" s="15" t="s">
        <v>175</v>
      </c>
      <c r="B61" s="36">
        <v>8.1815056453733295</v>
      </c>
      <c r="C61" s="37">
        <v>0.28326741362616487</v>
      </c>
      <c r="D61" s="38" t="s">
        <v>53</v>
      </c>
      <c r="E61" s="36">
        <v>41.66749529671263</v>
      </c>
      <c r="F61" s="37">
        <v>0.67837504905689372</v>
      </c>
      <c r="G61" s="38" t="s">
        <v>53</v>
      </c>
      <c r="H61" s="36">
        <v>46.249249459783798</v>
      </c>
      <c r="I61" s="37">
        <v>2.4698540596103729</v>
      </c>
      <c r="J61" s="38" t="s">
        <v>53</v>
      </c>
      <c r="K61" s="36">
        <v>4.5817541630711665</v>
      </c>
      <c r="L61" s="37">
        <v>2.6370476972981223</v>
      </c>
      <c r="M61" s="38" t="s">
        <v>53</v>
      </c>
      <c r="N61" s="36">
        <v>63.089374715512726</v>
      </c>
      <c r="O61" s="37">
        <v>0.63864791510639485</v>
      </c>
      <c r="P61" s="38" t="s">
        <v>53</v>
      </c>
      <c r="Q61" s="36">
        <v>65.133525431862864</v>
      </c>
      <c r="R61" s="37">
        <v>1.9615173169527027</v>
      </c>
      <c r="S61" s="38" t="s">
        <v>53</v>
      </c>
      <c r="T61" s="36">
        <v>2.044150716350146</v>
      </c>
      <c r="U61" s="37">
        <v>1.9755031458295584</v>
      </c>
      <c r="V61" s="39" t="s">
        <v>53</v>
      </c>
    </row>
    <row r="62" spans="1:22" x14ac:dyDescent="0.25">
      <c r="A62" s="15" t="s">
        <v>176</v>
      </c>
      <c r="B62" s="36">
        <v>0.15768377421082</v>
      </c>
      <c r="C62" s="37">
        <v>6.2805617268880135E-2</v>
      </c>
      <c r="D62" s="38" t="s">
        <v>53</v>
      </c>
      <c r="E62" s="36">
        <v>59.15134026737465</v>
      </c>
      <c r="F62" s="37">
        <v>0.70289416694038065</v>
      </c>
      <c r="G62" s="38" t="s">
        <v>53</v>
      </c>
      <c r="H62" s="36" t="s">
        <v>55</v>
      </c>
      <c r="I62" s="37" t="s">
        <v>55</v>
      </c>
      <c r="J62" s="38" t="s">
        <v>53</v>
      </c>
      <c r="K62" s="36" t="s">
        <v>55</v>
      </c>
      <c r="L62" s="37" t="s">
        <v>55</v>
      </c>
      <c r="M62" s="38" t="s">
        <v>53</v>
      </c>
      <c r="N62" s="36">
        <v>81.53440499115149</v>
      </c>
      <c r="O62" s="37">
        <v>0.57718024974083637</v>
      </c>
      <c r="P62" s="38" t="s">
        <v>53</v>
      </c>
      <c r="Q62" s="36" t="s">
        <v>55</v>
      </c>
      <c r="R62" s="37" t="s">
        <v>55</v>
      </c>
      <c r="S62" s="38" t="s">
        <v>53</v>
      </c>
      <c r="T62" s="36" t="s">
        <v>55</v>
      </c>
      <c r="U62" s="37" t="s">
        <v>55</v>
      </c>
      <c r="V62" s="39" t="s">
        <v>53</v>
      </c>
    </row>
    <row r="63" spans="1:22" x14ac:dyDescent="0.25">
      <c r="A63" s="15" t="s">
        <v>177</v>
      </c>
      <c r="B63" s="36">
        <v>1.1491597012677</v>
      </c>
      <c r="C63" s="37">
        <v>0.16216895878777934</v>
      </c>
      <c r="D63" s="38" t="s">
        <v>53</v>
      </c>
      <c r="E63" s="36">
        <v>65.70446259850452</v>
      </c>
      <c r="F63" s="37">
        <v>0.75760951692682732</v>
      </c>
      <c r="G63" s="38" t="s">
        <v>53</v>
      </c>
      <c r="H63" s="36">
        <v>53.640640357928149</v>
      </c>
      <c r="I63" s="37">
        <v>9.0942013906161439</v>
      </c>
      <c r="J63" s="38" t="s">
        <v>53</v>
      </c>
      <c r="K63" s="36">
        <v>-12.063822240576371</v>
      </c>
      <c r="L63" s="37">
        <v>9.1945511444551187</v>
      </c>
      <c r="M63" s="38" t="s">
        <v>53</v>
      </c>
      <c r="N63" s="36">
        <v>68.376140787136436</v>
      </c>
      <c r="O63" s="37">
        <v>1.0537682225605596</v>
      </c>
      <c r="P63" s="38" t="s">
        <v>53</v>
      </c>
      <c r="Q63" s="36">
        <v>45.745429306783109</v>
      </c>
      <c r="R63" s="37">
        <v>7.2704597081511322</v>
      </c>
      <c r="S63" s="38" t="s">
        <v>53</v>
      </c>
      <c r="T63" s="36">
        <v>-22.630711480353323</v>
      </c>
      <c r="U63" s="37">
        <v>7.0976847121876654</v>
      </c>
      <c r="V63" s="39" t="s">
        <v>53</v>
      </c>
    </row>
    <row r="64" spans="1:22" x14ac:dyDescent="0.25">
      <c r="A64" s="15" t="s">
        <v>178</v>
      </c>
      <c r="B64" s="36">
        <v>10.01996666433617</v>
      </c>
      <c r="C64" s="37">
        <v>0.67284872877412782</v>
      </c>
      <c r="D64" s="38" t="s">
        <v>53</v>
      </c>
      <c r="E64" s="36">
        <v>79.106978436694945</v>
      </c>
      <c r="F64" s="37">
        <v>0.64776705218686526</v>
      </c>
      <c r="G64" s="38" t="s">
        <v>53</v>
      </c>
      <c r="H64" s="36">
        <v>75.880310165053842</v>
      </c>
      <c r="I64" s="37">
        <v>1.878012723941614</v>
      </c>
      <c r="J64" s="38" t="s">
        <v>53</v>
      </c>
      <c r="K64" s="36">
        <v>-3.2266682716410977</v>
      </c>
      <c r="L64" s="37">
        <v>1.9483191520630705</v>
      </c>
      <c r="M64" s="38" t="s">
        <v>53</v>
      </c>
      <c r="N64" s="36">
        <v>79.575968494737012</v>
      </c>
      <c r="O64" s="37">
        <v>0.61293207370992642</v>
      </c>
      <c r="P64" s="38" t="s">
        <v>53</v>
      </c>
      <c r="Q64" s="36">
        <v>77.818427066429507</v>
      </c>
      <c r="R64" s="37">
        <v>1.8832576696652708</v>
      </c>
      <c r="S64" s="38" t="s">
        <v>53</v>
      </c>
      <c r="T64" s="36">
        <v>-1.7575414283075075</v>
      </c>
      <c r="U64" s="37">
        <v>1.9721841192159715</v>
      </c>
      <c r="V64" s="39" t="s">
        <v>53</v>
      </c>
    </row>
    <row r="65" spans="1:22" x14ac:dyDescent="0.25">
      <c r="A65" s="15" t="s">
        <v>179</v>
      </c>
      <c r="B65" s="36">
        <v>9.0899092610287795</v>
      </c>
      <c r="C65" s="37">
        <v>0.48598879590199862</v>
      </c>
      <c r="D65" s="38" t="s">
        <v>53</v>
      </c>
      <c r="E65" s="36">
        <v>76.577784100594073</v>
      </c>
      <c r="F65" s="37">
        <v>0.50064569136651138</v>
      </c>
      <c r="G65" s="38" t="s">
        <v>53</v>
      </c>
      <c r="H65" s="36">
        <v>74.800462806659922</v>
      </c>
      <c r="I65" s="37">
        <v>2.0227318933553393</v>
      </c>
      <c r="J65" s="38" t="s">
        <v>53</v>
      </c>
      <c r="K65" s="36">
        <v>-1.7773212939341532</v>
      </c>
      <c r="L65" s="37">
        <v>2.0208543037760403</v>
      </c>
      <c r="M65" s="38" t="s">
        <v>53</v>
      </c>
      <c r="N65" s="36">
        <v>85.129267379435674</v>
      </c>
      <c r="O65" s="37">
        <v>0.58981135032866983</v>
      </c>
      <c r="P65" s="38" t="s">
        <v>53</v>
      </c>
      <c r="Q65" s="36">
        <v>83.106415335012642</v>
      </c>
      <c r="R65" s="37">
        <v>1.6497555562433142</v>
      </c>
      <c r="S65" s="38" t="s">
        <v>53</v>
      </c>
      <c r="T65" s="36">
        <v>-2.0228520444230291</v>
      </c>
      <c r="U65" s="37">
        <v>1.7091863828530256</v>
      </c>
      <c r="V65" s="39" t="s">
        <v>53</v>
      </c>
    </row>
    <row r="66" spans="1:22" x14ac:dyDescent="0.25">
      <c r="A66" s="15" t="s">
        <v>180</v>
      </c>
      <c r="B66" s="36">
        <v>14.787024402440979</v>
      </c>
      <c r="C66" s="37">
        <v>0.51722412147373786</v>
      </c>
      <c r="D66" s="38" t="s">
        <v>53</v>
      </c>
      <c r="E66" s="36">
        <v>63.569758930510424</v>
      </c>
      <c r="F66" s="37">
        <v>0.668315309443128</v>
      </c>
      <c r="G66" s="38" t="s">
        <v>53</v>
      </c>
      <c r="H66" s="36">
        <v>57.419286272438384</v>
      </c>
      <c r="I66" s="37">
        <v>2.1806242363126027</v>
      </c>
      <c r="J66" s="38" t="s">
        <v>53</v>
      </c>
      <c r="K66" s="36">
        <v>-6.1504726580720366</v>
      </c>
      <c r="L66" s="37">
        <v>2.3703412996390583</v>
      </c>
      <c r="M66" s="38" t="s">
        <v>53</v>
      </c>
      <c r="N66" s="36">
        <v>76.595940822853862</v>
      </c>
      <c r="O66" s="37">
        <v>0.7711984518327083</v>
      </c>
      <c r="P66" s="38" t="s">
        <v>53</v>
      </c>
      <c r="Q66" s="36">
        <v>69.480877019121607</v>
      </c>
      <c r="R66" s="37">
        <v>2.1415797722932983</v>
      </c>
      <c r="S66" s="38" t="s">
        <v>53</v>
      </c>
      <c r="T66" s="36">
        <v>-7.1150638037322578</v>
      </c>
      <c r="U66" s="37">
        <v>2.2957759952349126</v>
      </c>
      <c r="V66" s="39" t="s">
        <v>53</v>
      </c>
    </row>
    <row r="67" spans="1:22" x14ac:dyDescent="0.25">
      <c r="A67" s="15" t="s">
        <v>181</v>
      </c>
      <c r="B67" s="36">
        <v>2.92205315239196</v>
      </c>
      <c r="C67" s="37">
        <v>0.26890329558328008</v>
      </c>
      <c r="D67" s="38" t="s">
        <v>53</v>
      </c>
      <c r="E67" s="36">
        <v>78.611999440311465</v>
      </c>
      <c r="F67" s="37">
        <v>0.83338118924343307</v>
      </c>
      <c r="G67" s="38" t="s">
        <v>54</v>
      </c>
      <c r="H67" s="36">
        <v>71.271645897148744</v>
      </c>
      <c r="I67" s="37">
        <v>4.9519145526110702</v>
      </c>
      <c r="J67" s="38" t="s">
        <v>54</v>
      </c>
      <c r="K67" s="36">
        <v>-7.3403535431627258</v>
      </c>
      <c r="L67" s="37">
        <v>5.1355122656109105</v>
      </c>
      <c r="M67" s="38" t="s">
        <v>54</v>
      </c>
      <c r="N67" s="36">
        <v>65.873463213598853</v>
      </c>
      <c r="O67" s="37">
        <v>1.1333434490382468</v>
      </c>
      <c r="P67" s="38" t="s">
        <v>54</v>
      </c>
      <c r="Q67" s="36">
        <v>48.61940390535365</v>
      </c>
      <c r="R67" s="37">
        <v>7.2973759580360831</v>
      </c>
      <c r="S67" s="38" t="s">
        <v>57</v>
      </c>
      <c r="T67" s="36">
        <v>-17.2540593082452</v>
      </c>
      <c r="U67" s="37">
        <v>7.11427694747114</v>
      </c>
      <c r="V67" s="39" t="s">
        <v>57</v>
      </c>
    </row>
    <row r="68" spans="1:22" x14ac:dyDescent="0.25">
      <c r="A68" s="15" t="s">
        <v>182</v>
      </c>
      <c r="B68" s="36">
        <v>1.36463088083532</v>
      </c>
      <c r="C68" s="37">
        <v>0.19590177383249022</v>
      </c>
      <c r="D68" s="38" t="s">
        <v>53</v>
      </c>
      <c r="E68" s="36">
        <v>73.888303363180484</v>
      </c>
      <c r="F68" s="37">
        <v>0.77017269015676149</v>
      </c>
      <c r="G68" s="38" t="s">
        <v>53</v>
      </c>
      <c r="H68" s="36">
        <v>73.142085182464854</v>
      </c>
      <c r="I68" s="37">
        <v>5.7284283220763541</v>
      </c>
      <c r="J68" s="38" t="s">
        <v>53</v>
      </c>
      <c r="K68" s="36">
        <v>-0.74621818071562984</v>
      </c>
      <c r="L68" s="37">
        <v>5.8022656458676281</v>
      </c>
      <c r="M68" s="38" t="s">
        <v>53</v>
      </c>
      <c r="N68" s="36">
        <v>82.459586948495371</v>
      </c>
      <c r="O68" s="37">
        <v>0.82044749035110398</v>
      </c>
      <c r="P68" s="38" t="s">
        <v>53</v>
      </c>
      <c r="Q68" s="36">
        <v>70.689088415035556</v>
      </c>
      <c r="R68" s="37">
        <v>6.1774101327686823</v>
      </c>
      <c r="S68" s="38" t="s">
        <v>53</v>
      </c>
      <c r="T68" s="36">
        <v>-11.770498533459827</v>
      </c>
      <c r="U68" s="37">
        <v>6.2378836340798625</v>
      </c>
      <c r="V68" s="39" t="s">
        <v>53</v>
      </c>
    </row>
    <row r="69" spans="1:22" x14ac:dyDescent="0.25">
      <c r="A69" s="15" t="s">
        <v>229</v>
      </c>
      <c r="B69" s="36">
        <v>37.911634723302051</v>
      </c>
      <c r="C69" s="37">
        <v>1.3286600569122331</v>
      </c>
      <c r="D69" s="38" t="s">
        <v>53</v>
      </c>
      <c r="E69" s="36">
        <v>52.955484404888054</v>
      </c>
      <c r="F69" s="37">
        <v>0.86040839101256017</v>
      </c>
      <c r="G69" s="38" t="s">
        <v>53</v>
      </c>
      <c r="H69" s="36">
        <v>51.290247218405071</v>
      </c>
      <c r="I69" s="37">
        <v>1.2577426094231396</v>
      </c>
      <c r="J69" s="38" t="s">
        <v>53</v>
      </c>
      <c r="K69" s="36">
        <v>-1.6652371864829818</v>
      </c>
      <c r="L69" s="37">
        <v>1.5133823511171696</v>
      </c>
      <c r="M69" s="38" t="s">
        <v>53</v>
      </c>
      <c r="N69" s="36">
        <v>70.141563198354973</v>
      </c>
      <c r="O69" s="37">
        <v>0.97509249166991208</v>
      </c>
      <c r="P69" s="38" t="s">
        <v>53</v>
      </c>
      <c r="Q69" s="36">
        <v>72.997745178931098</v>
      </c>
      <c r="R69" s="37">
        <v>1.0798729870371881</v>
      </c>
      <c r="S69" s="38" t="s">
        <v>53</v>
      </c>
      <c r="T69" s="36">
        <v>2.8561819805761224</v>
      </c>
      <c r="U69" s="37">
        <v>1.3825292551419999</v>
      </c>
      <c r="V69" s="39" t="s">
        <v>53</v>
      </c>
    </row>
    <row r="70" spans="1:22" x14ac:dyDescent="0.25">
      <c r="A70" s="15" t="s">
        <v>183</v>
      </c>
      <c r="B70" s="36">
        <v>0.25111855353339002</v>
      </c>
      <c r="C70" s="37">
        <v>6.652373962470863E-2</v>
      </c>
      <c r="D70" s="38" t="s">
        <v>53</v>
      </c>
      <c r="E70" s="36">
        <v>70.166058314434338</v>
      </c>
      <c r="F70" s="37">
        <v>1.0768578716400916</v>
      </c>
      <c r="G70" s="38" t="s">
        <v>53</v>
      </c>
      <c r="H70" s="36" t="s">
        <v>55</v>
      </c>
      <c r="I70" s="37" t="s">
        <v>55</v>
      </c>
      <c r="J70" s="38" t="s">
        <v>53</v>
      </c>
      <c r="K70" s="36" t="s">
        <v>55</v>
      </c>
      <c r="L70" s="37" t="s">
        <v>55</v>
      </c>
      <c r="M70" s="38" t="s">
        <v>53</v>
      </c>
      <c r="N70" s="36">
        <v>80.717370574461981</v>
      </c>
      <c r="O70" s="37">
        <v>0.68426396410275581</v>
      </c>
      <c r="P70" s="38" t="s">
        <v>53</v>
      </c>
      <c r="Q70" s="36">
        <v>31.042890251883271</v>
      </c>
      <c r="R70" s="37">
        <v>16.784193709406132</v>
      </c>
      <c r="S70" s="38" t="s">
        <v>53</v>
      </c>
      <c r="T70" s="36">
        <v>-49.674480322578709</v>
      </c>
      <c r="U70" s="37">
        <v>16.69842534334699</v>
      </c>
      <c r="V70" s="39" t="s">
        <v>53</v>
      </c>
    </row>
    <row r="71" spans="1:22" x14ac:dyDescent="0.25">
      <c r="A71" s="15" t="s">
        <v>184</v>
      </c>
      <c r="B71" s="36">
        <v>11.560156863178021</v>
      </c>
      <c r="C71" s="37">
        <v>0.53282256980001497</v>
      </c>
      <c r="D71" s="38" t="s">
        <v>53</v>
      </c>
      <c r="E71" s="36">
        <v>62.091466872481902</v>
      </c>
      <c r="F71" s="37">
        <v>0.85306613423472699</v>
      </c>
      <c r="G71" s="38" t="s">
        <v>53</v>
      </c>
      <c r="H71" s="36">
        <v>62.457728715509496</v>
      </c>
      <c r="I71" s="37">
        <v>2.1857370889848076</v>
      </c>
      <c r="J71" s="38" t="s">
        <v>53</v>
      </c>
      <c r="K71" s="36">
        <v>0.36626184302759324</v>
      </c>
      <c r="L71" s="37">
        <v>2.4124773581414938</v>
      </c>
      <c r="M71" s="38" t="s">
        <v>53</v>
      </c>
      <c r="N71" s="36">
        <v>66.412953474379989</v>
      </c>
      <c r="O71" s="37">
        <v>1.0343676768666497</v>
      </c>
      <c r="P71" s="38" t="s">
        <v>53</v>
      </c>
      <c r="Q71" s="36">
        <v>67.151100039469242</v>
      </c>
      <c r="R71" s="37">
        <v>1.5343280594022164</v>
      </c>
      <c r="S71" s="38" t="s">
        <v>53</v>
      </c>
      <c r="T71" s="36">
        <v>0.73814656508925935</v>
      </c>
      <c r="U71" s="37">
        <v>1.8628767238504891</v>
      </c>
      <c r="V71" s="39" t="s">
        <v>53</v>
      </c>
    </row>
    <row r="72" spans="1:22" x14ac:dyDescent="0.25">
      <c r="A72" s="15" t="s">
        <v>185</v>
      </c>
      <c r="B72" s="36">
        <v>8.2053827048399288</v>
      </c>
      <c r="C72" s="37">
        <v>0.44928776108302504</v>
      </c>
      <c r="D72" s="38" t="s">
        <v>53</v>
      </c>
      <c r="E72" s="36">
        <v>86.808419717270525</v>
      </c>
      <c r="F72" s="37">
        <v>0.3828724861004576</v>
      </c>
      <c r="G72" s="38" t="s">
        <v>53</v>
      </c>
      <c r="H72" s="36">
        <v>88.682945870622191</v>
      </c>
      <c r="I72" s="37">
        <v>0.98871936532657323</v>
      </c>
      <c r="J72" s="38" t="s">
        <v>53</v>
      </c>
      <c r="K72" s="36">
        <v>1.8745261533516633</v>
      </c>
      <c r="L72" s="37">
        <v>0.99251693127478857</v>
      </c>
      <c r="M72" s="38" t="s">
        <v>53</v>
      </c>
      <c r="N72" s="36">
        <v>78.963295824740001</v>
      </c>
      <c r="O72" s="37">
        <v>0.48509353296343405</v>
      </c>
      <c r="P72" s="38" t="s">
        <v>53</v>
      </c>
      <c r="Q72" s="36">
        <v>78.834151892426334</v>
      </c>
      <c r="R72" s="37">
        <v>1.5905642211149047</v>
      </c>
      <c r="S72" s="38" t="s">
        <v>53</v>
      </c>
      <c r="T72" s="36">
        <v>-0.12914393231366894</v>
      </c>
      <c r="U72" s="37">
        <v>1.5853479017318619</v>
      </c>
      <c r="V72" s="39" t="s">
        <v>53</v>
      </c>
    </row>
    <row r="73" spans="1:22" x14ac:dyDescent="0.25">
      <c r="A73" s="15" t="s">
        <v>186</v>
      </c>
      <c r="B73" s="36">
        <v>1.14746077693674</v>
      </c>
      <c r="C73" s="37">
        <v>0.19367278405325103</v>
      </c>
      <c r="D73" s="38" t="s">
        <v>53</v>
      </c>
      <c r="E73" s="36">
        <v>81.895655429599472</v>
      </c>
      <c r="F73" s="37">
        <v>0.64746601382964986</v>
      </c>
      <c r="G73" s="38" t="s">
        <v>53</v>
      </c>
      <c r="H73" s="36">
        <v>94.098624425498699</v>
      </c>
      <c r="I73" s="37">
        <v>2.5390637449794662</v>
      </c>
      <c r="J73" s="38" t="s">
        <v>53</v>
      </c>
      <c r="K73" s="36">
        <v>12.202968995899221</v>
      </c>
      <c r="L73" s="37">
        <v>2.6454558743479373</v>
      </c>
      <c r="M73" s="38" t="s">
        <v>53</v>
      </c>
      <c r="N73" s="36">
        <v>83.524570080817966</v>
      </c>
      <c r="O73" s="37">
        <v>0.58629697377114809</v>
      </c>
      <c r="P73" s="38" t="s">
        <v>53</v>
      </c>
      <c r="Q73" s="36">
        <v>73.532183605793705</v>
      </c>
      <c r="R73" s="37">
        <v>6.4343223923752451</v>
      </c>
      <c r="S73" s="38" t="s">
        <v>53</v>
      </c>
      <c r="T73" s="36">
        <v>-9.9923864750242615</v>
      </c>
      <c r="U73" s="37">
        <v>6.4748248029575244</v>
      </c>
      <c r="V73" s="39" t="s">
        <v>53</v>
      </c>
    </row>
    <row r="74" spans="1:22" x14ac:dyDescent="0.25">
      <c r="A74" s="15" t="s">
        <v>187</v>
      </c>
      <c r="B74" s="36">
        <v>5.9837011847694299</v>
      </c>
      <c r="C74" s="37">
        <v>0.46419035772446388</v>
      </c>
      <c r="D74" s="38" t="s">
        <v>53</v>
      </c>
      <c r="E74" s="36">
        <v>59.917275296005755</v>
      </c>
      <c r="F74" s="37">
        <v>1.3050891164850211</v>
      </c>
      <c r="G74" s="38" t="s">
        <v>53</v>
      </c>
      <c r="H74" s="36">
        <v>52.024892030284661</v>
      </c>
      <c r="I74" s="37">
        <v>4.0929782759467903</v>
      </c>
      <c r="J74" s="38" t="s">
        <v>53</v>
      </c>
      <c r="K74" s="36">
        <v>-7.8923832657210919</v>
      </c>
      <c r="L74" s="37">
        <v>4.0952528317030854</v>
      </c>
      <c r="M74" s="38" t="s">
        <v>53</v>
      </c>
      <c r="N74" s="36" t="s">
        <v>55</v>
      </c>
      <c r="O74" s="37" t="s">
        <v>55</v>
      </c>
      <c r="P74" s="38" t="s">
        <v>53</v>
      </c>
      <c r="Q74" s="36" t="s">
        <v>55</v>
      </c>
      <c r="R74" s="37" t="s">
        <v>55</v>
      </c>
      <c r="S74" s="38" t="s">
        <v>53</v>
      </c>
      <c r="T74" s="36" t="s">
        <v>55</v>
      </c>
      <c r="U74" s="37" t="s">
        <v>55</v>
      </c>
      <c r="V74" s="39" t="s">
        <v>53</v>
      </c>
    </row>
    <row r="75" spans="1:22" x14ac:dyDescent="0.25">
      <c r="A75" s="15" t="s">
        <v>188</v>
      </c>
      <c r="B75" s="36">
        <v>62.874218024546593</v>
      </c>
      <c r="C75" s="37">
        <v>0.67146253797098432</v>
      </c>
      <c r="D75" s="38" t="s">
        <v>53</v>
      </c>
      <c r="E75" s="36">
        <v>51.065984128955087</v>
      </c>
      <c r="F75" s="37">
        <v>1.3369142966006415</v>
      </c>
      <c r="G75" s="38" t="s">
        <v>53</v>
      </c>
      <c r="H75" s="36">
        <v>49.474190032970775</v>
      </c>
      <c r="I75" s="37">
        <v>0.87930981650537132</v>
      </c>
      <c r="J75" s="38" t="s">
        <v>53</v>
      </c>
      <c r="K75" s="36">
        <v>-1.5917940959843113</v>
      </c>
      <c r="L75" s="37">
        <v>1.6125753466474113</v>
      </c>
      <c r="M75" s="38" t="s">
        <v>53</v>
      </c>
      <c r="N75" s="36">
        <v>73.310742835880646</v>
      </c>
      <c r="O75" s="37">
        <v>1.0683194421732425</v>
      </c>
      <c r="P75" s="38" t="s">
        <v>53</v>
      </c>
      <c r="Q75" s="36">
        <v>78.529407491985395</v>
      </c>
      <c r="R75" s="37">
        <v>0.91220946134002023</v>
      </c>
      <c r="S75" s="38" t="s">
        <v>53</v>
      </c>
      <c r="T75" s="36">
        <v>5.2186646561047434</v>
      </c>
      <c r="U75" s="37">
        <v>1.378169945074138</v>
      </c>
      <c r="V75" s="39" t="s">
        <v>53</v>
      </c>
    </row>
    <row r="76" spans="1:22" x14ac:dyDescent="0.25">
      <c r="A76" s="15" t="s">
        <v>189</v>
      </c>
      <c r="B76" s="36">
        <v>1.64809151960093</v>
      </c>
      <c r="C76" s="37">
        <v>0.22052586057016099</v>
      </c>
      <c r="D76" s="38" t="s">
        <v>53</v>
      </c>
      <c r="E76" s="36">
        <v>63.463642412989344</v>
      </c>
      <c r="F76" s="37">
        <v>0.99099304678917177</v>
      </c>
      <c r="G76" s="38" t="s">
        <v>53</v>
      </c>
      <c r="H76" s="36">
        <v>57.333710462073896</v>
      </c>
      <c r="I76" s="37">
        <v>5.510024847363133</v>
      </c>
      <c r="J76" s="38" t="s">
        <v>53</v>
      </c>
      <c r="K76" s="36">
        <v>-6.129931950915446</v>
      </c>
      <c r="L76" s="37">
        <v>5.5223482594707365</v>
      </c>
      <c r="M76" s="38" t="s">
        <v>53</v>
      </c>
      <c r="N76" s="36">
        <v>79.814473292383653</v>
      </c>
      <c r="O76" s="37">
        <v>0.84387851197763042</v>
      </c>
      <c r="P76" s="38" t="s">
        <v>53</v>
      </c>
      <c r="Q76" s="36">
        <v>74.197284832507407</v>
      </c>
      <c r="R76" s="37">
        <v>4.9928926447698041</v>
      </c>
      <c r="S76" s="38" t="s">
        <v>53</v>
      </c>
      <c r="T76" s="36">
        <v>-5.6171884598762549</v>
      </c>
      <c r="U76" s="37">
        <v>4.9161359760049663</v>
      </c>
      <c r="V76" s="39" t="s">
        <v>53</v>
      </c>
    </row>
    <row r="77" spans="1:22" x14ac:dyDescent="0.25">
      <c r="A77" s="15" t="s">
        <v>190</v>
      </c>
      <c r="B77" s="36">
        <v>8.7884460025211002</v>
      </c>
      <c r="C77" s="37">
        <v>0.43858351153635072</v>
      </c>
      <c r="D77" s="38" t="s">
        <v>53</v>
      </c>
      <c r="E77" s="36">
        <v>59.588011781427255</v>
      </c>
      <c r="F77" s="37">
        <v>0.9497514021557294</v>
      </c>
      <c r="G77" s="38" t="s">
        <v>53</v>
      </c>
      <c r="H77" s="36">
        <v>58.555700956033782</v>
      </c>
      <c r="I77" s="37">
        <v>2.9935937345823378</v>
      </c>
      <c r="J77" s="38" t="s">
        <v>53</v>
      </c>
      <c r="K77" s="36">
        <v>-1.0323108253934676</v>
      </c>
      <c r="L77" s="37">
        <v>3.2158435821098701</v>
      </c>
      <c r="M77" s="38" t="s">
        <v>53</v>
      </c>
      <c r="N77" s="36">
        <v>69.062413434091837</v>
      </c>
      <c r="O77" s="37">
        <v>0.91052188016737412</v>
      </c>
      <c r="P77" s="38" t="s">
        <v>53</v>
      </c>
      <c r="Q77" s="36">
        <v>62.405607236244073</v>
      </c>
      <c r="R77" s="37">
        <v>3.5003306060906638</v>
      </c>
      <c r="S77" s="38" t="s">
        <v>53</v>
      </c>
      <c r="T77" s="36">
        <v>-6.6568061978477644</v>
      </c>
      <c r="U77" s="37">
        <v>3.6099340164795315</v>
      </c>
      <c r="V77" s="39" t="s">
        <v>53</v>
      </c>
    </row>
    <row r="78" spans="1:22" x14ac:dyDescent="0.25">
      <c r="A78" s="15" t="s">
        <v>191</v>
      </c>
      <c r="B78" s="36">
        <v>1.44652346304573</v>
      </c>
      <c r="C78" s="37">
        <v>0.16410339723422637</v>
      </c>
      <c r="D78" s="38" t="s">
        <v>53</v>
      </c>
      <c r="E78" s="36">
        <v>77.173498032858234</v>
      </c>
      <c r="F78" s="37">
        <v>0.69787987571429788</v>
      </c>
      <c r="G78" s="38" t="s">
        <v>53</v>
      </c>
      <c r="H78" s="36">
        <v>70.181400795141329</v>
      </c>
      <c r="I78" s="37">
        <v>6.6066540518861574</v>
      </c>
      <c r="J78" s="38" t="s">
        <v>53</v>
      </c>
      <c r="K78" s="36">
        <v>-6.9920972377169104</v>
      </c>
      <c r="L78" s="37">
        <v>6.4833707160612164</v>
      </c>
      <c r="M78" s="38" t="s">
        <v>53</v>
      </c>
      <c r="N78" s="36">
        <v>85.670832853698002</v>
      </c>
      <c r="O78" s="37">
        <v>0.59690822199800542</v>
      </c>
      <c r="P78" s="38" t="s">
        <v>53</v>
      </c>
      <c r="Q78" s="36">
        <v>76.769834441634003</v>
      </c>
      <c r="R78" s="37">
        <v>5.4905994029213572</v>
      </c>
      <c r="S78" s="38" t="s">
        <v>53</v>
      </c>
      <c r="T78" s="36">
        <v>-8.9009984120639878</v>
      </c>
      <c r="U78" s="37">
        <v>5.4574727342288352</v>
      </c>
      <c r="V78" s="39" t="s">
        <v>53</v>
      </c>
    </row>
    <row r="79" spans="1:22" x14ac:dyDescent="0.25">
      <c r="A79" s="15" t="s">
        <v>192</v>
      </c>
      <c r="B79" s="36">
        <v>5.7995230908142004</v>
      </c>
      <c r="C79" s="37">
        <v>0.29347800153195563</v>
      </c>
      <c r="D79" s="38" t="s">
        <v>53</v>
      </c>
      <c r="E79" s="36">
        <v>75.463052855379289</v>
      </c>
      <c r="F79" s="37">
        <v>0.56768407332881943</v>
      </c>
      <c r="G79" s="38" t="s">
        <v>53</v>
      </c>
      <c r="H79" s="36">
        <v>61.601666972691461</v>
      </c>
      <c r="I79" s="37">
        <v>2.6644666065879927</v>
      </c>
      <c r="J79" s="38" t="s">
        <v>53</v>
      </c>
      <c r="K79" s="36">
        <v>-13.861385882687827</v>
      </c>
      <c r="L79" s="37">
        <v>2.8697284697008656</v>
      </c>
      <c r="M79" s="38" t="s">
        <v>53</v>
      </c>
      <c r="N79" s="36">
        <v>80.34249148462996</v>
      </c>
      <c r="O79" s="37">
        <v>0.5275854407542665</v>
      </c>
      <c r="P79" s="38" t="s">
        <v>53</v>
      </c>
      <c r="Q79" s="36">
        <v>72.172632055809288</v>
      </c>
      <c r="R79" s="37">
        <v>2.5181352519980114</v>
      </c>
      <c r="S79" s="38" t="s">
        <v>53</v>
      </c>
      <c r="T79" s="36">
        <v>-8.1698594288206809</v>
      </c>
      <c r="U79" s="37">
        <v>2.6310082690656249</v>
      </c>
      <c r="V79" s="39" t="s">
        <v>53</v>
      </c>
    </row>
    <row r="80" spans="1:22" x14ac:dyDescent="0.25">
      <c r="A80" s="15" t="s">
        <v>193</v>
      </c>
      <c r="B80" s="36">
        <v>0.78286569411312001</v>
      </c>
      <c r="C80" s="37">
        <v>0.10751898920898106</v>
      </c>
      <c r="D80" s="38" t="s">
        <v>53</v>
      </c>
      <c r="E80" s="36">
        <v>62.307282883301838</v>
      </c>
      <c r="F80" s="37">
        <v>0.81283097763551315</v>
      </c>
      <c r="G80" s="38" t="s">
        <v>53</v>
      </c>
      <c r="H80" s="36">
        <v>58.044095516504335</v>
      </c>
      <c r="I80" s="37">
        <v>7.490667707394624</v>
      </c>
      <c r="J80" s="38" t="s">
        <v>53</v>
      </c>
      <c r="K80" s="36">
        <v>-4.2631873667975047</v>
      </c>
      <c r="L80" s="37">
        <v>7.404220155342915</v>
      </c>
      <c r="M80" s="38" t="s">
        <v>53</v>
      </c>
      <c r="N80" s="36">
        <v>71.264955018944306</v>
      </c>
      <c r="O80" s="37">
        <v>0.9580541112177543</v>
      </c>
      <c r="P80" s="38" t="s">
        <v>54</v>
      </c>
      <c r="Q80" s="36">
        <v>60.058984950349966</v>
      </c>
      <c r="R80" s="37">
        <v>9.1999186236937955</v>
      </c>
      <c r="S80" s="38" t="s">
        <v>54</v>
      </c>
      <c r="T80" s="36">
        <v>-11.20597006859434</v>
      </c>
      <c r="U80" s="37">
        <v>9.0579531670704121</v>
      </c>
      <c r="V80" s="39" t="s">
        <v>54</v>
      </c>
    </row>
    <row r="81" spans="1:22" x14ac:dyDescent="0.25">
      <c r="A81" s="15" t="s">
        <v>194</v>
      </c>
      <c r="B81" s="36">
        <v>1.6242813171113197</v>
      </c>
      <c r="C81" s="37">
        <v>0.22955526457296968</v>
      </c>
      <c r="D81" s="38" t="s">
        <v>53</v>
      </c>
      <c r="E81" s="36">
        <v>81.189137168740572</v>
      </c>
      <c r="F81" s="37">
        <v>0.55155167648292014</v>
      </c>
      <c r="G81" s="38" t="s">
        <v>53</v>
      </c>
      <c r="H81" s="36">
        <v>88.976390583332474</v>
      </c>
      <c r="I81" s="37">
        <v>4.6747243089893198</v>
      </c>
      <c r="J81" s="38" t="s">
        <v>53</v>
      </c>
      <c r="K81" s="36">
        <v>7.7872534145918992</v>
      </c>
      <c r="L81" s="37">
        <v>4.7643054377661072</v>
      </c>
      <c r="M81" s="38" t="s">
        <v>53</v>
      </c>
      <c r="N81" s="36" t="s">
        <v>55</v>
      </c>
      <c r="O81" s="37" t="s">
        <v>55</v>
      </c>
      <c r="P81" s="38" t="s">
        <v>53</v>
      </c>
      <c r="Q81" s="36" t="s">
        <v>55</v>
      </c>
      <c r="R81" s="37" t="s">
        <v>55</v>
      </c>
      <c r="S81" s="38" t="s">
        <v>53</v>
      </c>
      <c r="T81" s="36" t="s">
        <v>55</v>
      </c>
      <c r="U81" s="37" t="s">
        <v>55</v>
      </c>
      <c r="V81" s="39" t="s">
        <v>53</v>
      </c>
    </row>
    <row r="82" spans="1:22" x14ac:dyDescent="0.25">
      <c r="A82" s="15" t="s">
        <v>195</v>
      </c>
      <c r="B82" s="36">
        <v>5.9699964313614702</v>
      </c>
      <c r="C82" s="37">
        <v>0.73436898142229357</v>
      </c>
      <c r="D82" s="38" t="s">
        <v>53</v>
      </c>
      <c r="E82" s="36">
        <v>77.825768305344212</v>
      </c>
      <c r="F82" s="37">
        <v>0.73062427612650116</v>
      </c>
      <c r="G82" s="38" t="s">
        <v>54</v>
      </c>
      <c r="H82" s="36">
        <v>62.711451394176521</v>
      </c>
      <c r="I82" s="37">
        <v>4.1224038549813473</v>
      </c>
      <c r="J82" s="38" t="s">
        <v>53</v>
      </c>
      <c r="K82" s="36">
        <v>-15.114316911167691</v>
      </c>
      <c r="L82" s="37">
        <v>4.3141350735314861</v>
      </c>
      <c r="M82" s="38" t="s">
        <v>54</v>
      </c>
      <c r="N82" s="36">
        <v>70.444194391367915</v>
      </c>
      <c r="O82" s="37">
        <v>0.86472353687582237</v>
      </c>
      <c r="P82" s="38" t="s">
        <v>54</v>
      </c>
      <c r="Q82" s="36">
        <v>65.665339610115609</v>
      </c>
      <c r="R82" s="37">
        <v>3.4181946453704724</v>
      </c>
      <c r="S82" s="38" t="s">
        <v>54</v>
      </c>
      <c r="T82" s="36">
        <v>-4.7788547812522957</v>
      </c>
      <c r="U82" s="37">
        <v>3.6620172981169286</v>
      </c>
      <c r="V82" s="39" t="s">
        <v>54</v>
      </c>
    </row>
    <row r="83" spans="1:22" x14ac:dyDescent="0.25">
      <c r="A83" s="15" t="s">
        <v>196</v>
      </c>
      <c r="B83" s="36">
        <v>0.49027879925130002</v>
      </c>
      <c r="C83" s="37">
        <v>9.9801677578820164E-2</v>
      </c>
      <c r="D83" s="38" t="s">
        <v>53</v>
      </c>
      <c r="E83" s="36">
        <v>68.329436278756106</v>
      </c>
      <c r="F83" s="37">
        <v>0.78621353350999745</v>
      </c>
      <c r="G83" s="38" t="s">
        <v>53</v>
      </c>
      <c r="H83" s="36" t="s">
        <v>55</v>
      </c>
      <c r="I83" s="37" t="s">
        <v>55</v>
      </c>
      <c r="J83" s="38" t="s">
        <v>53</v>
      </c>
      <c r="K83" s="36" t="s">
        <v>55</v>
      </c>
      <c r="L83" s="37" t="s">
        <v>55</v>
      </c>
      <c r="M83" s="38" t="s">
        <v>53</v>
      </c>
      <c r="N83" s="36">
        <v>83.389191600226582</v>
      </c>
      <c r="O83" s="37">
        <v>0.59789488213697584</v>
      </c>
      <c r="P83" s="38" t="s">
        <v>54</v>
      </c>
      <c r="Q83" s="36" t="s">
        <v>55</v>
      </c>
      <c r="R83" s="37" t="s">
        <v>55</v>
      </c>
      <c r="S83" s="38" t="s">
        <v>53</v>
      </c>
      <c r="T83" s="36" t="s">
        <v>55</v>
      </c>
      <c r="U83" s="37" t="s">
        <v>55</v>
      </c>
      <c r="V83" s="39" t="s">
        <v>53</v>
      </c>
    </row>
    <row r="84" spans="1:22" x14ac:dyDescent="0.25">
      <c r="A84" s="15" t="s">
        <v>197</v>
      </c>
      <c r="B84" s="36">
        <v>1.0367394553478</v>
      </c>
      <c r="C84" s="37">
        <v>0.15659271343211417</v>
      </c>
      <c r="D84" s="38" t="s">
        <v>53</v>
      </c>
      <c r="E84" s="36">
        <v>66.063835787394225</v>
      </c>
      <c r="F84" s="37">
        <v>0.76584490517258708</v>
      </c>
      <c r="G84" s="38" t="s">
        <v>53</v>
      </c>
      <c r="H84" s="36">
        <v>47.931986012367176</v>
      </c>
      <c r="I84" s="37">
        <v>7.8319546155537605</v>
      </c>
      <c r="J84" s="38" t="s">
        <v>54</v>
      </c>
      <c r="K84" s="36">
        <v>-18.13184977502706</v>
      </c>
      <c r="L84" s="37">
        <v>7.8631628909529852</v>
      </c>
      <c r="M84" s="38" t="s">
        <v>54</v>
      </c>
      <c r="N84" s="36">
        <v>74.613196204077681</v>
      </c>
      <c r="O84" s="37">
        <v>0.59247093145932894</v>
      </c>
      <c r="P84" s="38" t="s">
        <v>53</v>
      </c>
      <c r="Q84" s="36">
        <v>35.771805706877977</v>
      </c>
      <c r="R84" s="37">
        <v>7.37981399448394</v>
      </c>
      <c r="S84" s="38" t="s">
        <v>53</v>
      </c>
      <c r="T84" s="36">
        <v>-38.841390497199704</v>
      </c>
      <c r="U84" s="37">
        <v>7.3963315479790399</v>
      </c>
      <c r="V84" s="39" t="s">
        <v>53</v>
      </c>
    </row>
    <row r="85" spans="1:22" x14ac:dyDescent="0.25">
      <c r="A85" s="15" t="s">
        <v>198</v>
      </c>
      <c r="B85" s="36">
        <v>56.805347904173566</v>
      </c>
      <c r="C85" s="37">
        <v>0.36922238395152129</v>
      </c>
      <c r="D85" s="38" t="s">
        <v>53</v>
      </c>
      <c r="E85" s="36">
        <v>63.622182249790562</v>
      </c>
      <c r="F85" s="37">
        <v>0.69467240880950198</v>
      </c>
      <c r="G85" s="38" t="s">
        <v>53</v>
      </c>
      <c r="H85" s="36">
        <v>59.923014439421749</v>
      </c>
      <c r="I85" s="37">
        <v>0.65117087736793533</v>
      </c>
      <c r="J85" s="38" t="s">
        <v>53</v>
      </c>
      <c r="K85" s="36">
        <v>-3.6991678103688086</v>
      </c>
      <c r="L85" s="37">
        <v>0.88069634702124044</v>
      </c>
      <c r="M85" s="38" t="s">
        <v>53</v>
      </c>
      <c r="N85" s="36">
        <v>67.129182351009504</v>
      </c>
      <c r="O85" s="37">
        <v>0.72916168554631677</v>
      </c>
      <c r="P85" s="38" t="s">
        <v>53</v>
      </c>
      <c r="Q85" s="36">
        <v>72.847725788515731</v>
      </c>
      <c r="R85" s="37">
        <v>0.53535937615225593</v>
      </c>
      <c r="S85" s="38" t="s">
        <v>53</v>
      </c>
      <c r="T85" s="36">
        <v>5.7185434375062405</v>
      </c>
      <c r="U85" s="37">
        <v>0.90017419153878375</v>
      </c>
      <c r="V85" s="39" t="s">
        <v>53</v>
      </c>
    </row>
    <row r="86" spans="1:22" x14ac:dyDescent="0.25">
      <c r="A86" s="15" t="s">
        <v>199</v>
      </c>
      <c r="B86" s="36">
        <v>0.78033112696899998</v>
      </c>
      <c r="C86" s="37">
        <v>0.17564163445411793</v>
      </c>
      <c r="D86" s="38" t="s">
        <v>54</v>
      </c>
      <c r="E86" s="36">
        <v>79.665429929655843</v>
      </c>
      <c r="F86" s="37">
        <v>0.84615870305180785</v>
      </c>
      <c r="G86" s="38" t="s">
        <v>53</v>
      </c>
      <c r="H86" s="36" t="s">
        <v>55</v>
      </c>
      <c r="I86" s="37" t="s">
        <v>55</v>
      </c>
      <c r="J86" s="38" t="s">
        <v>53</v>
      </c>
      <c r="K86" s="36" t="s">
        <v>55</v>
      </c>
      <c r="L86" s="37" t="s">
        <v>55</v>
      </c>
      <c r="M86" s="38" t="s">
        <v>53</v>
      </c>
      <c r="N86" s="36">
        <v>82.998728693880821</v>
      </c>
      <c r="O86" s="37">
        <v>0.8392868652963893</v>
      </c>
      <c r="P86" s="38" t="s">
        <v>53</v>
      </c>
      <c r="Q86" s="36" t="s">
        <v>55</v>
      </c>
      <c r="R86" s="37" t="s">
        <v>55</v>
      </c>
      <c r="S86" s="38" t="s">
        <v>53</v>
      </c>
      <c r="T86" s="36" t="s">
        <v>55</v>
      </c>
      <c r="U86" s="37" t="s">
        <v>55</v>
      </c>
      <c r="V86" s="39" t="s">
        <v>53</v>
      </c>
    </row>
    <row r="87" spans="1:22" x14ac:dyDescent="0.25">
      <c r="A87" s="15" t="s">
        <v>200</v>
      </c>
      <c r="B87" s="36">
        <v>5.7706009253634898</v>
      </c>
      <c r="C87" s="37">
        <v>0.30960017898992509</v>
      </c>
      <c r="D87" s="38" t="s">
        <v>53</v>
      </c>
      <c r="E87" s="36">
        <v>69.336385779754437</v>
      </c>
      <c r="F87" s="37">
        <v>0.86659485510631429</v>
      </c>
      <c r="G87" s="38" t="s">
        <v>53</v>
      </c>
      <c r="H87" s="36">
        <v>66.611622364519008</v>
      </c>
      <c r="I87" s="37">
        <v>2.1612958821797936</v>
      </c>
      <c r="J87" s="38" t="s">
        <v>53</v>
      </c>
      <c r="K87" s="36">
        <v>-2.7247634152354316</v>
      </c>
      <c r="L87" s="37">
        <v>2.1871209024674743</v>
      </c>
      <c r="M87" s="38" t="s">
        <v>53</v>
      </c>
      <c r="N87" s="36">
        <v>74.363380837943069</v>
      </c>
      <c r="O87" s="37">
        <v>0.6684088759144059</v>
      </c>
      <c r="P87" s="38" t="s">
        <v>53</v>
      </c>
      <c r="Q87" s="36">
        <v>72.430124473316553</v>
      </c>
      <c r="R87" s="37">
        <v>2.4774302991788422</v>
      </c>
      <c r="S87" s="38" t="s">
        <v>53</v>
      </c>
      <c r="T87" s="36">
        <v>-1.9332563646265233</v>
      </c>
      <c r="U87" s="37">
        <v>2.5026135337337458</v>
      </c>
      <c r="V87" s="39" t="s">
        <v>53</v>
      </c>
    </row>
    <row r="88" spans="1:22" x14ac:dyDescent="0.25">
      <c r="A88" s="15" t="s">
        <v>201</v>
      </c>
      <c r="B88" s="36">
        <v>11.867438614087</v>
      </c>
      <c r="C88" s="37">
        <v>1.0844814315091</v>
      </c>
      <c r="D88" s="38" t="s">
        <v>53</v>
      </c>
      <c r="E88" s="36">
        <v>72.036021878379756</v>
      </c>
      <c r="F88" s="37">
        <v>0.80384616853162261</v>
      </c>
      <c r="G88" s="38" t="s">
        <v>53</v>
      </c>
      <c r="H88" s="36">
        <v>67.648395553085621</v>
      </c>
      <c r="I88" s="37">
        <v>2.0492401546547705</v>
      </c>
      <c r="J88" s="38" t="s">
        <v>53</v>
      </c>
      <c r="K88" s="36">
        <v>-4.3876263252941357</v>
      </c>
      <c r="L88" s="37">
        <v>2.0952794522949816</v>
      </c>
      <c r="M88" s="38" t="s">
        <v>53</v>
      </c>
      <c r="N88" s="36">
        <v>77.584817934306855</v>
      </c>
      <c r="O88" s="37">
        <v>1.0460035805097494</v>
      </c>
      <c r="P88" s="38" t="s">
        <v>53</v>
      </c>
      <c r="Q88" s="36">
        <v>79.101614786365914</v>
      </c>
      <c r="R88" s="37">
        <v>1.7424626614739602</v>
      </c>
      <c r="S88" s="38" t="s">
        <v>53</v>
      </c>
      <c r="T88" s="36">
        <v>1.5167968520590547</v>
      </c>
      <c r="U88" s="37">
        <v>2.1088138887417092</v>
      </c>
      <c r="V88" s="39" t="s">
        <v>53</v>
      </c>
    </row>
    <row r="89" spans="1:22" x14ac:dyDescent="0.25">
      <c r="A89" s="15" t="s">
        <v>202</v>
      </c>
      <c r="B89" s="36">
        <v>9.32128952538792</v>
      </c>
      <c r="C89" s="37">
        <v>0.41176693146583127</v>
      </c>
      <c r="D89" s="38" t="s">
        <v>53</v>
      </c>
      <c r="E89" s="36">
        <v>74.691382346311414</v>
      </c>
      <c r="F89" s="37">
        <v>0.61837631054374309</v>
      </c>
      <c r="G89" s="38" t="s">
        <v>53</v>
      </c>
      <c r="H89" s="36">
        <v>72.657082551537528</v>
      </c>
      <c r="I89" s="37">
        <v>2.0451657374033174</v>
      </c>
      <c r="J89" s="38" t="s">
        <v>53</v>
      </c>
      <c r="K89" s="36">
        <v>-2.034299794773875</v>
      </c>
      <c r="L89" s="37">
        <v>2.0626184025776575</v>
      </c>
      <c r="M89" s="38" t="s">
        <v>53</v>
      </c>
      <c r="N89" s="36">
        <v>78.773756491623132</v>
      </c>
      <c r="O89" s="37">
        <v>0.67320925382103236</v>
      </c>
      <c r="P89" s="38" t="s">
        <v>53</v>
      </c>
      <c r="Q89" s="36">
        <v>76.422942980092927</v>
      </c>
      <c r="R89" s="37">
        <v>2.0178473027351762</v>
      </c>
      <c r="S89" s="38" t="s">
        <v>53</v>
      </c>
      <c r="T89" s="36">
        <v>-2.3508135115302031</v>
      </c>
      <c r="U89" s="37">
        <v>2.0156704334338764</v>
      </c>
      <c r="V89" s="39" t="s">
        <v>53</v>
      </c>
    </row>
    <row r="90" spans="1:22" x14ac:dyDescent="0.25">
      <c r="A90" s="15" t="s">
        <v>203</v>
      </c>
      <c r="B90" s="36">
        <v>24.818877754096949</v>
      </c>
      <c r="C90" s="37">
        <v>0.66661225468237328</v>
      </c>
      <c r="D90" s="38" t="s">
        <v>53</v>
      </c>
      <c r="E90" s="36" t="s">
        <v>55</v>
      </c>
      <c r="F90" s="37" t="s">
        <v>55</v>
      </c>
      <c r="G90" s="38" t="s">
        <v>53</v>
      </c>
      <c r="H90" s="36" t="s">
        <v>55</v>
      </c>
      <c r="I90" s="37" t="s">
        <v>55</v>
      </c>
      <c r="J90" s="38" t="s">
        <v>53</v>
      </c>
      <c r="K90" s="36" t="s">
        <v>55</v>
      </c>
      <c r="L90" s="37" t="s">
        <v>55</v>
      </c>
      <c r="M90" s="38" t="s">
        <v>53</v>
      </c>
      <c r="N90" s="36">
        <v>76.694052769896928</v>
      </c>
      <c r="O90" s="37">
        <v>0.6118116945025146</v>
      </c>
      <c r="P90" s="38" t="s">
        <v>53</v>
      </c>
      <c r="Q90" s="36">
        <v>77.292542812088769</v>
      </c>
      <c r="R90" s="37">
        <v>1.2349255407719619</v>
      </c>
      <c r="S90" s="38" t="s">
        <v>53</v>
      </c>
      <c r="T90" s="36">
        <v>0.59849004219184598</v>
      </c>
      <c r="U90" s="37">
        <v>1.4092674588859961</v>
      </c>
      <c r="V90" s="39" t="s">
        <v>53</v>
      </c>
    </row>
    <row r="91" spans="1:22" x14ac:dyDescent="0.25">
      <c r="A91" s="15" t="s">
        <v>204</v>
      </c>
      <c r="B91" s="36">
        <v>0.70330202002704001</v>
      </c>
      <c r="C91" s="37">
        <v>0.1735356080053608</v>
      </c>
      <c r="D91" s="38" t="s">
        <v>53</v>
      </c>
      <c r="E91" s="36">
        <v>55.841320720642905</v>
      </c>
      <c r="F91" s="37">
        <v>0.65019704401782918</v>
      </c>
      <c r="G91" s="38" t="s">
        <v>53</v>
      </c>
      <c r="H91" s="36">
        <v>61.794557620032386</v>
      </c>
      <c r="I91" s="37">
        <v>7.1558818302485037</v>
      </c>
      <c r="J91" s="38" t="s">
        <v>53</v>
      </c>
      <c r="K91" s="36">
        <v>5.9532368993894806</v>
      </c>
      <c r="L91" s="37">
        <v>7.1511551515230947</v>
      </c>
      <c r="M91" s="38" t="s">
        <v>53</v>
      </c>
      <c r="N91" s="36">
        <v>86.300901734011404</v>
      </c>
      <c r="O91" s="37">
        <v>0.47529373122860058</v>
      </c>
      <c r="P91" s="38" t="s">
        <v>53</v>
      </c>
      <c r="Q91" s="36">
        <v>72.341800445004964</v>
      </c>
      <c r="R91" s="37">
        <v>6.0688865055571393</v>
      </c>
      <c r="S91" s="38" t="s">
        <v>53</v>
      </c>
      <c r="T91" s="36">
        <v>-13.959101289006437</v>
      </c>
      <c r="U91" s="37">
        <v>6.0499767093339125</v>
      </c>
      <c r="V91" s="39" t="s">
        <v>53</v>
      </c>
    </row>
    <row r="92" spans="1:22" x14ac:dyDescent="0.25">
      <c r="A92" s="15" t="s">
        <v>205</v>
      </c>
      <c r="B92" s="36">
        <v>1.0713659373244</v>
      </c>
      <c r="C92" s="37">
        <v>0.43149317383496427</v>
      </c>
      <c r="D92" s="38" t="s">
        <v>53</v>
      </c>
      <c r="E92" s="36">
        <v>73.538400784951392</v>
      </c>
      <c r="F92" s="37">
        <v>0.67326301423531654</v>
      </c>
      <c r="G92" s="38" t="s">
        <v>53</v>
      </c>
      <c r="H92" s="36">
        <v>54.939120434269086</v>
      </c>
      <c r="I92" s="37">
        <v>8.7474009835653934</v>
      </c>
      <c r="J92" s="38" t="s">
        <v>53</v>
      </c>
      <c r="K92" s="36">
        <v>-18.599280350682314</v>
      </c>
      <c r="L92" s="37">
        <v>8.6944203328490719</v>
      </c>
      <c r="M92" s="38" t="s">
        <v>53</v>
      </c>
      <c r="N92" s="36">
        <v>72.93914302732783</v>
      </c>
      <c r="O92" s="37">
        <v>0.89211102098989237</v>
      </c>
      <c r="P92" s="38" t="s">
        <v>53</v>
      </c>
      <c r="Q92" s="36">
        <v>61.933686294078235</v>
      </c>
      <c r="R92" s="37">
        <v>6.0649634809364219</v>
      </c>
      <c r="S92" s="38" t="s">
        <v>53</v>
      </c>
      <c r="T92" s="36">
        <v>-11.005456733249597</v>
      </c>
      <c r="U92" s="37">
        <v>6.167842081618585</v>
      </c>
      <c r="V92" s="39" t="s">
        <v>53</v>
      </c>
    </row>
    <row r="93" spans="1:22" x14ac:dyDescent="0.25">
      <c r="A93" s="15" t="s">
        <v>206</v>
      </c>
      <c r="B93" s="36">
        <v>2.3149360382116497</v>
      </c>
      <c r="C93" s="37">
        <v>0.2182451411281752</v>
      </c>
      <c r="D93" s="38" t="s">
        <v>53</v>
      </c>
      <c r="E93" s="36">
        <v>82.200451961719892</v>
      </c>
      <c r="F93" s="37">
        <v>0.60456349889895367</v>
      </c>
      <c r="G93" s="38" t="s">
        <v>53</v>
      </c>
      <c r="H93" s="36">
        <v>69.438393407393264</v>
      </c>
      <c r="I93" s="37">
        <v>4.1559379532378466</v>
      </c>
      <c r="J93" s="38" t="s">
        <v>53</v>
      </c>
      <c r="K93" s="36">
        <v>-12.762058554326627</v>
      </c>
      <c r="L93" s="37">
        <v>4.2419506505019857</v>
      </c>
      <c r="M93" s="38" t="s">
        <v>53</v>
      </c>
      <c r="N93" s="36">
        <v>81.311534789840209</v>
      </c>
      <c r="O93" s="37">
        <v>0.63669825011144388</v>
      </c>
      <c r="P93" s="38" t="s">
        <v>53</v>
      </c>
      <c r="Q93" s="36">
        <v>67.669136301529505</v>
      </c>
      <c r="R93" s="37">
        <v>4.4926035813755361</v>
      </c>
      <c r="S93" s="38" t="s">
        <v>53</v>
      </c>
      <c r="T93" s="36">
        <v>-13.642398488310704</v>
      </c>
      <c r="U93" s="37">
        <v>4.4878440794283634</v>
      </c>
      <c r="V93" s="39" t="s">
        <v>53</v>
      </c>
    </row>
    <row r="94" spans="1:22" x14ac:dyDescent="0.25">
      <c r="A94" s="15" t="s">
        <v>207</v>
      </c>
      <c r="B94" s="36">
        <v>55.781255228227387</v>
      </c>
      <c r="C94" s="37">
        <v>0.78306140903694166</v>
      </c>
      <c r="D94" s="38" t="s">
        <v>53</v>
      </c>
      <c r="E94" s="36">
        <v>63.544888258349928</v>
      </c>
      <c r="F94" s="37">
        <v>0.77910862884533771</v>
      </c>
      <c r="G94" s="38" t="s">
        <v>53</v>
      </c>
      <c r="H94" s="36">
        <v>59.906911713292367</v>
      </c>
      <c r="I94" s="37">
        <v>0.95304238680161069</v>
      </c>
      <c r="J94" s="38" t="s">
        <v>53</v>
      </c>
      <c r="K94" s="36">
        <v>-3.6379765450575641</v>
      </c>
      <c r="L94" s="37">
        <v>1.1305214134318116</v>
      </c>
      <c r="M94" s="38" t="s">
        <v>53</v>
      </c>
      <c r="N94" s="36">
        <v>70.458274734391637</v>
      </c>
      <c r="O94" s="37">
        <v>0.66950853346827044</v>
      </c>
      <c r="P94" s="38" t="s">
        <v>53</v>
      </c>
      <c r="Q94" s="36">
        <v>75.506767994822937</v>
      </c>
      <c r="R94" s="37">
        <v>0.7707671966978199</v>
      </c>
      <c r="S94" s="38" t="s">
        <v>53</v>
      </c>
      <c r="T94" s="36">
        <v>5.0484932604313082</v>
      </c>
      <c r="U94" s="37">
        <v>1.0814673839506568</v>
      </c>
      <c r="V94" s="39" t="s">
        <v>53</v>
      </c>
    </row>
    <row r="95" spans="1:22" x14ac:dyDescent="0.25">
      <c r="A95" s="15" t="s">
        <v>208</v>
      </c>
      <c r="B95" s="36">
        <v>1.2698266694508</v>
      </c>
      <c r="C95" s="37">
        <v>0.18673082341050887</v>
      </c>
      <c r="D95" s="38" t="s">
        <v>53</v>
      </c>
      <c r="E95" s="36">
        <v>73.56106385467757</v>
      </c>
      <c r="F95" s="37">
        <v>0.77483864968204863</v>
      </c>
      <c r="G95" s="38" t="s">
        <v>53</v>
      </c>
      <c r="H95" s="36">
        <v>60.098995413251885</v>
      </c>
      <c r="I95" s="37">
        <v>7.7025365954017104</v>
      </c>
      <c r="J95" s="38" t="s">
        <v>53</v>
      </c>
      <c r="K95" s="36">
        <v>-13.462068441425689</v>
      </c>
      <c r="L95" s="37">
        <v>7.6868579811255779</v>
      </c>
      <c r="M95" s="38" t="s">
        <v>53</v>
      </c>
      <c r="N95" s="36">
        <v>77.981883559038948</v>
      </c>
      <c r="O95" s="37">
        <v>0.78802832735477091</v>
      </c>
      <c r="P95" s="38" t="s">
        <v>53</v>
      </c>
      <c r="Q95" s="36">
        <v>63.250763923577288</v>
      </c>
      <c r="R95" s="37">
        <v>6.6977099842154404</v>
      </c>
      <c r="S95" s="38" t="s">
        <v>54</v>
      </c>
      <c r="T95" s="36">
        <v>-14.731119635461653</v>
      </c>
      <c r="U95" s="37">
        <v>6.7783643583864839</v>
      </c>
      <c r="V95" s="39" t="s">
        <v>54</v>
      </c>
    </row>
    <row r="96" spans="1:22" ht="13.8" thickBot="1" x14ac:dyDescent="0.3">
      <c r="A96" s="18" t="s">
        <v>209</v>
      </c>
      <c r="B96" s="40">
        <v>6.2539118959410001E-2</v>
      </c>
      <c r="C96" s="41">
        <v>3.114434172733371E-2</v>
      </c>
      <c r="D96" s="42" t="s">
        <v>53</v>
      </c>
      <c r="E96" s="40">
        <v>73.370626590712916</v>
      </c>
      <c r="F96" s="41">
        <v>0.94139579066806167</v>
      </c>
      <c r="G96" s="42" t="s">
        <v>53</v>
      </c>
      <c r="H96" s="40" t="s">
        <v>55</v>
      </c>
      <c r="I96" s="41" t="s">
        <v>55</v>
      </c>
      <c r="J96" s="42" t="s">
        <v>53</v>
      </c>
      <c r="K96" s="40" t="s">
        <v>55</v>
      </c>
      <c r="L96" s="41" t="s">
        <v>55</v>
      </c>
      <c r="M96" s="42" t="s">
        <v>53</v>
      </c>
      <c r="N96" s="40">
        <v>72.465262399022052</v>
      </c>
      <c r="O96" s="41">
        <v>0.88805274914156707</v>
      </c>
      <c r="P96" s="42" t="s">
        <v>53</v>
      </c>
      <c r="Q96" s="40" t="s">
        <v>55</v>
      </c>
      <c r="R96" s="41" t="s">
        <v>55</v>
      </c>
      <c r="S96" s="42" t="s">
        <v>53</v>
      </c>
      <c r="T96" s="40" t="s">
        <v>55</v>
      </c>
      <c r="U96" s="41" t="s">
        <v>55</v>
      </c>
      <c r="V96" s="43" t="s">
        <v>53</v>
      </c>
    </row>
    <row r="104" spans="1:55" x14ac:dyDescent="0.25">
      <c r="A104" t="s">
        <v>219</v>
      </c>
      <c r="E104" s="46"/>
      <c r="F104" s="46"/>
      <c r="G104" s="46"/>
      <c r="H104" s="46"/>
      <c r="I104" s="46"/>
      <c r="J104" s="46"/>
      <c r="K104" s="46"/>
      <c r="L104" s="46"/>
      <c r="M104" s="46"/>
      <c r="N104" s="46"/>
      <c r="O104" s="46"/>
      <c r="P104" s="46"/>
      <c r="Q104" s="46"/>
      <c r="R104" s="46"/>
      <c r="S104" s="46"/>
      <c r="T104" s="46"/>
      <c r="U104" s="46"/>
      <c r="V104" s="46"/>
    </row>
    <row r="105" spans="1:55" x14ac:dyDescent="0.25">
      <c r="A105" s="33" t="s">
        <v>116</v>
      </c>
      <c r="B105" s="47"/>
      <c r="C105" s="47"/>
      <c r="D105" s="47"/>
      <c r="E105" s="47"/>
      <c r="F105" s="47"/>
      <c r="G105" s="47"/>
      <c r="H105" s="47"/>
      <c r="I105" s="47"/>
      <c r="J105" s="47"/>
      <c r="K105" s="47"/>
      <c r="L105" s="47"/>
      <c r="M105" s="47"/>
      <c r="N105" s="47"/>
      <c r="O105" s="47"/>
      <c r="P105" s="47"/>
      <c r="Q105" s="47"/>
      <c r="R105" s="47"/>
      <c r="S105" s="47"/>
      <c r="T105" s="47"/>
      <c r="U105" s="47"/>
      <c r="V105" s="47"/>
      <c r="W105" s="47"/>
      <c r="X105" s="47"/>
      <c r="Y105" s="47"/>
      <c r="Z105" s="47"/>
      <c r="AA105" s="47"/>
      <c r="AB105" s="47"/>
      <c r="AC105" s="47"/>
      <c r="AD105" s="47"/>
      <c r="AE105" s="47"/>
      <c r="AF105" s="47"/>
      <c r="AG105" s="47"/>
      <c r="AH105" s="47"/>
      <c r="AI105" s="47"/>
      <c r="AJ105" s="47"/>
      <c r="AK105" s="47"/>
      <c r="AL105" s="47"/>
      <c r="AM105" s="47"/>
      <c r="AN105" s="47"/>
      <c r="AO105" s="47"/>
      <c r="AP105" s="47"/>
      <c r="AQ105" s="47"/>
      <c r="AR105" s="47"/>
      <c r="AS105" s="47"/>
      <c r="AT105" s="47"/>
      <c r="AU105" s="47"/>
      <c r="AV105" s="47"/>
      <c r="AW105" s="47"/>
      <c r="AX105" s="47"/>
      <c r="AY105" s="47"/>
      <c r="AZ105" s="47"/>
      <c r="BA105" s="47"/>
      <c r="BB105" s="47"/>
      <c r="BC105" s="47"/>
    </row>
    <row r="106" spans="1:55" x14ac:dyDescent="0.25">
      <c r="A106" t="s">
        <v>75</v>
      </c>
    </row>
    <row r="107" spans="1:55" x14ac:dyDescent="0.25">
      <c r="A107" t="s">
        <v>76</v>
      </c>
    </row>
    <row r="108" spans="1:55" x14ac:dyDescent="0.25">
      <c r="A108" t="s">
        <v>78</v>
      </c>
    </row>
    <row r="109" spans="1:55" x14ac:dyDescent="0.25">
      <c r="A109" s="27" t="s">
        <v>212</v>
      </c>
    </row>
  </sheetData>
  <mergeCells count="9">
    <mergeCell ref="N12:V12"/>
    <mergeCell ref="N13:P13"/>
    <mergeCell ref="Q13:S13"/>
    <mergeCell ref="T13:V13"/>
    <mergeCell ref="B12:D13"/>
    <mergeCell ref="E12:M12"/>
    <mergeCell ref="E13:G13"/>
    <mergeCell ref="H13:J13"/>
    <mergeCell ref="K13:M13"/>
  </mergeCells>
  <conditionalFormatting sqref="K16:K96">
    <cfRule type="expression" dxfId="10" priority="2">
      <formula>ABS(K16/L16)&gt;1.96</formula>
    </cfRule>
  </conditionalFormatting>
  <conditionalFormatting sqref="T16:T96">
    <cfRule type="expression" dxfId="9" priority="1">
      <formula>ABS(T16/U16)&gt;1.96</formula>
    </cfRule>
  </conditionalFormatting>
  <hyperlinks>
    <hyperlink ref="A1" r:id="rId1" display="https://doi.org/10.1787/b5fd1b8f-en"/>
    <hyperlink ref="A4" r:id="rId2"/>
  </hyperlinks>
  <pageMargins left="0.7" right="0.7" top="0.75" bottom="0.75" header="0.3" footer="0.3"/>
  <pageSetup paperSize="9" orientation="portrait"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07"/>
  <sheetViews>
    <sheetView showGridLines="0" zoomScale="80" zoomScaleNormal="80" workbookViewId="0"/>
  </sheetViews>
  <sheetFormatPr defaultRowHeight="13.2" x14ac:dyDescent="0.25"/>
  <cols>
    <col min="1" max="1" width="28.33203125" customWidth="1"/>
    <col min="2" max="3" width="9" customWidth="1"/>
    <col min="4" max="4" width="2.44140625" customWidth="1"/>
    <col min="5" max="6" width="9" customWidth="1"/>
    <col min="7" max="7" width="2.44140625" customWidth="1"/>
    <col min="8" max="9" width="9" customWidth="1"/>
    <col min="10" max="10" width="2.44140625" customWidth="1"/>
    <col min="11" max="12" width="9" customWidth="1"/>
    <col min="13" max="13" width="2.44140625" customWidth="1"/>
    <col min="14" max="15" width="9" customWidth="1"/>
    <col min="16" max="16" width="2.44140625" customWidth="1"/>
    <col min="17" max="18" width="9" customWidth="1"/>
    <col min="19" max="19" width="2.44140625" customWidth="1"/>
    <col min="20" max="21" width="9" customWidth="1"/>
    <col min="22" max="22" width="2.44140625" customWidth="1"/>
    <col min="23" max="24" width="9" customWidth="1"/>
    <col min="25" max="25" width="2.44140625" customWidth="1"/>
    <col min="26" max="27" width="9" customWidth="1"/>
    <col min="28" max="28" width="2.44140625" customWidth="1"/>
    <col min="29" max="30" width="9" customWidth="1"/>
    <col min="31" max="31" width="2.44140625" customWidth="1"/>
    <col min="32" max="33" width="9" customWidth="1"/>
    <col min="34" max="34" width="2.44140625" customWidth="1"/>
    <col min="35" max="36" width="9" customWidth="1"/>
    <col min="37" max="37" width="2.44140625" customWidth="1"/>
  </cols>
  <sheetData>
    <row r="1" spans="1:37" s="115" customFormat="1" x14ac:dyDescent="0.25">
      <c r="A1" s="116" t="s">
        <v>232</v>
      </c>
    </row>
    <row r="2" spans="1:37" s="115" customFormat="1" x14ac:dyDescent="0.25">
      <c r="A2" s="115" t="s">
        <v>233</v>
      </c>
      <c r="B2" s="115" t="s">
        <v>234</v>
      </c>
    </row>
    <row r="3" spans="1:37" s="115" customFormat="1" x14ac:dyDescent="0.25">
      <c r="A3" s="115" t="s">
        <v>235</v>
      </c>
    </row>
    <row r="4" spans="1:37" s="115" customFormat="1" x14ac:dyDescent="0.25">
      <c r="A4" s="116" t="s">
        <v>236</v>
      </c>
    </row>
    <row r="5" spans="1:37" s="115" customFormat="1" x14ac:dyDescent="0.25"/>
    <row r="6" spans="1:37" x14ac:dyDescent="0.25">
      <c r="A6" s="2" t="s">
        <v>125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2"/>
      <c r="R6" s="2"/>
      <c r="S6" s="5"/>
      <c r="T6" s="2"/>
    </row>
    <row r="7" spans="1:37" x14ac:dyDescent="0.25">
      <c r="A7" s="6" t="s">
        <v>106</v>
      </c>
      <c r="B7" s="6"/>
      <c r="C7" s="6"/>
      <c r="D7" s="6"/>
      <c r="E7" s="6"/>
      <c r="F7" s="2"/>
      <c r="G7" s="6"/>
      <c r="H7" s="6"/>
      <c r="I7" s="6"/>
      <c r="J7" s="6"/>
      <c r="K7" s="6"/>
      <c r="L7" s="6"/>
      <c r="M7" s="6"/>
      <c r="N7" s="6"/>
      <c r="O7" s="6"/>
      <c r="P7" s="6"/>
      <c r="Q7" s="2"/>
      <c r="R7" s="2"/>
      <c r="S7" s="2"/>
      <c r="T7" s="2"/>
    </row>
    <row r="8" spans="1:37" x14ac:dyDescent="0.25">
      <c r="A8" s="28" t="s">
        <v>27</v>
      </c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2"/>
      <c r="R8" s="2"/>
      <c r="S8" s="2"/>
      <c r="T8" s="2"/>
    </row>
    <row r="9" spans="1:37" x14ac:dyDescent="0.25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2"/>
      <c r="R9" s="2"/>
      <c r="S9" s="2"/>
      <c r="T9" s="2"/>
    </row>
    <row r="10" spans="1:37" ht="13.8" thickBot="1" x14ac:dyDescent="0.3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</row>
    <row r="11" spans="1:37" ht="15" customHeight="1" x14ac:dyDescent="0.25">
      <c r="A11" s="8"/>
      <c r="B11" s="83" t="s">
        <v>105</v>
      </c>
      <c r="C11" s="77"/>
      <c r="D11" s="77"/>
      <c r="E11" s="77"/>
      <c r="F11" s="77"/>
      <c r="G11" s="77"/>
      <c r="H11" s="77"/>
      <c r="I11" s="77"/>
      <c r="J11" s="77"/>
      <c r="K11" s="77"/>
      <c r="L11" s="77"/>
      <c r="M11" s="78"/>
      <c r="N11" s="83" t="s">
        <v>4</v>
      </c>
      <c r="O11" s="77"/>
      <c r="P11" s="77"/>
      <c r="Q11" s="77"/>
      <c r="R11" s="77"/>
      <c r="S11" s="77"/>
      <c r="T11" s="77"/>
      <c r="U11" s="77"/>
      <c r="V11" s="77"/>
      <c r="W11" s="77"/>
      <c r="X11" s="77"/>
      <c r="Y11" s="78"/>
      <c r="Z11" s="77" t="s">
        <v>110</v>
      </c>
      <c r="AA11" s="77"/>
      <c r="AB11" s="77"/>
      <c r="AC11" s="77"/>
      <c r="AD11" s="77"/>
      <c r="AE11" s="77"/>
      <c r="AF11" s="77"/>
      <c r="AG11" s="77"/>
      <c r="AH11" s="77"/>
      <c r="AI11" s="77"/>
      <c r="AJ11" s="77"/>
      <c r="AK11" s="79"/>
    </row>
    <row r="12" spans="1:37" ht="15" customHeight="1" x14ac:dyDescent="0.25">
      <c r="A12" s="9"/>
      <c r="B12" s="106" t="s">
        <v>7</v>
      </c>
      <c r="C12" s="107"/>
      <c r="D12" s="107"/>
      <c r="E12" s="107"/>
      <c r="F12" s="107"/>
      <c r="G12" s="107"/>
      <c r="H12" s="107"/>
      <c r="I12" s="107"/>
      <c r="J12" s="107"/>
      <c r="K12" s="107"/>
      <c r="L12" s="107"/>
      <c r="M12" s="108"/>
      <c r="N12" s="106" t="s">
        <v>7</v>
      </c>
      <c r="O12" s="107"/>
      <c r="P12" s="107"/>
      <c r="Q12" s="107"/>
      <c r="R12" s="107"/>
      <c r="S12" s="107"/>
      <c r="T12" s="107"/>
      <c r="U12" s="107"/>
      <c r="V12" s="107"/>
      <c r="W12" s="107"/>
      <c r="X12" s="107"/>
      <c r="Y12" s="108"/>
      <c r="Z12" s="107" t="s">
        <v>7</v>
      </c>
      <c r="AA12" s="107"/>
      <c r="AB12" s="107"/>
      <c r="AC12" s="107"/>
      <c r="AD12" s="107"/>
      <c r="AE12" s="107"/>
      <c r="AF12" s="107"/>
      <c r="AG12" s="107"/>
      <c r="AH12" s="107"/>
      <c r="AI12" s="107"/>
      <c r="AJ12" s="107"/>
      <c r="AK12" s="109"/>
    </row>
    <row r="13" spans="1:37" ht="25.5" customHeight="1" x14ac:dyDescent="0.25">
      <c r="A13" s="9"/>
      <c r="B13" s="82" t="s">
        <v>66</v>
      </c>
      <c r="C13" s="80"/>
      <c r="D13" s="81"/>
      <c r="E13" s="82" t="s">
        <v>67</v>
      </c>
      <c r="F13" s="80"/>
      <c r="G13" s="81"/>
      <c r="H13" s="82" t="s">
        <v>45</v>
      </c>
      <c r="I13" s="80"/>
      <c r="J13" s="81"/>
      <c r="K13" s="82" t="s">
        <v>46</v>
      </c>
      <c r="L13" s="80"/>
      <c r="M13" s="81"/>
      <c r="N13" s="67" t="s">
        <v>66</v>
      </c>
      <c r="O13" s="68"/>
      <c r="P13" s="69"/>
      <c r="Q13" s="67" t="s">
        <v>67</v>
      </c>
      <c r="R13" s="68"/>
      <c r="S13" s="69"/>
      <c r="T13" s="67" t="s">
        <v>45</v>
      </c>
      <c r="U13" s="68"/>
      <c r="V13" s="69"/>
      <c r="W13" s="67" t="s">
        <v>46</v>
      </c>
      <c r="X13" s="68"/>
      <c r="Y13" s="69"/>
      <c r="Z13" s="67" t="s">
        <v>66</v>
      </c>
      <c r="AA13" s="68"/>
      <c r="AB13" s="69"/>
      <c r="AC13" s="67" t="s">
        <v>67</v>
      </c>
      <c r="AD13" s="68"/>
      <c r="AE13" s="69"/>
      <c r="AF13" s="67" t="s">
        <v>45</v>
      </c>
      <c r="AG13" s="68"/>
      <c r="AH13" s="69"/>
      <c r="AI13" s="67" t="s">
        <v>46</v>
      </c>
      <c r="AJ13" s="68"/>
      <c r="AK13" s="70"/>
    </row>
    <row r="14" spans="1:37" x14ac:dyDescent="0.25">
      <c r="A14" s="10"/>
      <c r="B14" s="11" t="s">
        <v>0</v>
      </c>
      <c r="C14" s="12" t="s">
        <v>1</v>
      </c>
      <c r="D14" s="13" t="s">
        <v>2</v>
      </c>
      <c r="E14" s="11" t="s">
        <v>0</v>
      </c>
      <c r="F14" s="12" t="s">
        <v>1</v>
      </c>
      <c r="G14" s="13" t="s">
        <v>2</v>
      </c>
      <c r="H14" s="11" t="s">
        <v>0</v>
      </c>
      <c r="I14" s="12" t="s">
        <v>1</v>
      </c>
      <c r="J14" s="13" t="s">
        <v>2</v>
      </c>
      <c r="K14" s="11" t="s">
        <v>0</v>
      </c>
      <c r="L14" s="12" t="s">
        <v>1</v>
      </c>
      <c r="M14" s="13" t="s">
        <v>2</v>
      </c>
      <c r="N14" s="11" t="s">
        <v>0</v>
      </c>
      <c r="O14" s="12" t="s">
        <v>1</v>
      </c>
      <c r="P14" s="13" t="s">
        <v>2</v>
      </c>
      <c r="Q14" s="11" t="s">
        <v>0</v>
      </c>
      <c r="R14" s="12" t="s">
        <v>1</v>
      </c>
      <c r="S14" s="13" t="s">
        <v>2</v>
      </c>
      <c r="T14" s="11" t="s">
        <v>0</v>
      </c>
      <c r="U14" s="12" t="s">
        <v>1</v>
      </c>
      <c r="V14" s="13" t="s">
        <v>2</v>
      </c>
      <c r="W14" s="11" t="s">
        <v>0</v>
      </c>
      <c r="X14" s="12" t="s">
        <v>1</v>
      </c>
      <c r="Y14" s="13" t="s">
        <v>2</v>
      </c>
      <c r="Z14" s="11" t="s">
        <v>3</v>
      </c>
      <c r="AA14" s="12" t="s">
        <v>1</v>
      </c>
      <c r="AB14" s="13" t="s">
        <v>2</v>
      </c>
      <c r="AC14" s="11" t="s">
        <v>3</v>
      </c>
      <c r="AD14" s="12" t="s">
        <v>1</v>
      </c>
      <c r="AE14" s="13" t="s">
        <v>2</v>
      </c>
      <c r="AF14" s="11" t="s">
        <v>3</v>
      </c>
      <c r="AG14" s="12" t="s">
        <v>1</v>
      </c>
      <c r="AH14" s="13" t="s">
        <v>2</v>
      </c>
      <c r="AI14" s="11" t="s">
        <v>3</v>
      </c>
      <c r="AJ14" s="12" t="s">
        <v>1</v>
      </c>
      <c r="AK14" s="14" t="s">
        <v>2</v>
      </c>
    </row>
    <row r="15" spans="1:37" ht="13.5" customHeight="1" x14ac:dyDescent="0.25">
      <c r="A15" s="51" t="s">
        <v>210</v>
      </c>
      <c r="B15" s="52"/>
      <c r="C15" s="53"/>
      <c r="D15" s="54"/>
      <c r="E15" s="52"/>
      <c r="F15" s="53"/>
      <c r="G15" s="54"/>
      <c r="H15" s="55"/>
      <c r="I15" s="54"/>
      <c r="J15" s="54"/>
      <c r="K15" s="55"/>
      <c r="L15" s="54"/>
      <c r="M15" s="54"/>
      <c r="N15" s="52"/>
      <c r="O15" s="53"/>
      <c r="P15" s="54"/>
      <c r="Q15" s="52"/>
      <c r="R15" s="53"/>
      <c r="S15" s="54"/>
      <c r="T15" s="55"/>
      <c r="U15" s="54"/>
      <c r="V15" s="54"/>
      <c r="W15" s="55"/>
      <c r="X15" s="54"/>
      <c r="Y15" s="54"/>
      <c r="Z15" s="52"/>
      <c r="AA15" s="53"/>
      <c r="AB15" s="54"/>
      <c r="AC15" s="52"/>
      <c r="AD15" s="53"/>
      <c r="AE15" s="54"/>
      <c r="AF15" s="55"/>
      <c r="AG15" s="54"/>
      <c r="AH15" s="54"/>
      <c r="AI15" s="55"/>
      <c r="AJ15" s="54"/>
      <c r="AK15" s="56"/>
    </row>
    <row r="16" spans="1:37" x14ac:dyDescent="0.25">
      <c r="A16" s="15" t="s">
        <v>130</v>
      </c>
      <c r="B16" s="36">
        <v>76.797457059242021</v>
      </c>
      <c r="C16" s="37">
        <v>1.1459429154521699</v>
      </c>
      <c r="D16" s="38" t="s">
        <v>53</v>
      </c>
      <c r="E16" s="36">
        <v>23.20254294075794</v>
      </c>
      <c r="F16" s="37">
        <v>1.1459429154521399</v>
      </c>
      <c r="G16" s="38" t="s">
        <v>53</v>
      </c>
      <c r="H16" s="36">
        <v>12.083552717043631</v>
      </c>
      <c r="I16" s="37">
        <v>0.67858402359080583</v>
      </c>
      <c r="J16" s="38" t="s">
        <v>53</v>
      </c>
      <c r="K16" s="36">
        <v>11.11899022371435</v>
      </c>
      <c r="L16" s="37">
        <v>0.6277566663620916</v>
      </c>
      <c r="M16" s="38" t="s">
        <v>53</v>
      </c>
      <c r="N16" s="36">
        <v>72.291236718442548</v>
      </c>
      <c r="O16" s="37">
        <v>0.84465675737519597</v>
      </c>
      <c r="P16" s="38" t="s">
        <v>53</v>
      </c>
      <c r="Q16" s="36">
        <v>27.70876328155763</v>
      </c>
      <c r="R16" s="37">
        <v>0.84465675737519819</v>
      </c>
      <c r="S16" s="38" t="s">
        <v>53</v>
      </c>
      <c r="T16" s="36">
        <v>13.529788495133671</v>
      </c>
      <c r="U16" s="37">
        <v>0.57183045134939359</v>
      </c>
      <c r="V16" s="38" t="s">
        <v>53</v>
      </c>
      <c r="W16" s="36">
        <v>14.178974786423771</v>
      </c>
      <c r="X16" s="37">
        <v>0.50027062231890707</v>
      </c>
      <c r="Y16" s="38" t="s">
        <v>53</v>
      </c>
      <c r="Z16" s="36">
        <v>-4.5062203407287598</v>
      </c>
      <c r="AA16" s="37">
        <v>1.4235975742340088</v>
      </c>
      <c r="AB16" s="38" t="s">
        <v>53</v>
      </c>
      <c r="AC16" s="36">
        <v>4.5062203407287598</v>
      </c>
      <c r="AD16" s="37">
        <v>1.4235975742340088</v>
      </c>
      <c r="AE16" s="38" t="s">
        <v>53</v>
      </c>
      <c r="AF16" s="36">
        <v>1.4462357759475708</v>
      </c>
      <c r="AG16" s="37">
        <v>0.88739299774169922</v>
      </c>
      <c r="AH16" s="38" t="s">
        <v>53</v>
      </c>
      <c r="AI16" s="36">
        <v>3.0599844455718994</v>
      </c>
      <c r="AJ16" s="37">
        <v>0.80271357297897339</v>
      </c>
      <c r="AK16" s="39" t="s">
        <v>53</v>
      </c>
    </row>
    <row r="17" spans="1:37" x14ac:dyDescent="0.25">
      <c r="A17" s="15" t="s">
        <v>131</v>
      </c>
      <c r="B17" s="36" t="s">
        <v>55</v>
      </c>
      <c r="C17" s="37" t="s">
        <v>55</v>
      </c>
      <c r="D17" s="38" t="s">
        <v>53</v>
      </c>
      <c r="E17" s="36" t="s">
        <v>55</v>
      </c>
      <c r="F17" s="37" t="s">
        <v>55</v>
      </c>
      <c r="G17" s="38" t="s">
        <v>53</v>
      </c>
      <c r="H17" s="36" t="s">
        <v>55</v>
      </c>
      <c r="I17" s="37" t="s">
        <v>55</v>
      </c>
      <c r="J17" s="38" t="s">
        <v>53</v>
      </c>
      <c r="K17" s="36" t="s">
        <v>55</v>
      </c>
      <c r="L17" s="37" t="s">
        <v>55</v>
      </c>
      <c r="M17" s="38" t="s">
        <v>53</v>
      </c>
      <c r="N17" s="36">
        <v>77.313764678529623</v>
      </c>
      <c r="O17" s="37">
        <v>1.1527352979062686</v>
      </c>
      <c r="P17" s="38" t="s">
        <v>53</v>
      </c>
      <c r="Q17" s="36">
        <v>22.686235321470399</v>
      </c>
      <c r="R17" s="37">
        <v>1.1527352979062462</v>
      </c>
      <c r="S17" s="38" t="s">
        <v>53</v>
      </c>
      <c r="T17" s="36">
        <v>14.88500219137695</v>
      </c>
      <c r="U17" s="37">
        <v>0.7670638012257589</v>
      </c>
      <c r="V17" s="38" t="s">
        <v>53</v>
      </c>
      <c r="W17" s="36">
        <v>7.8012331300934328</v>
      </c>
      <c r="X17" s="37">
        <v>0.6541061456095153</v>
      </c>
      <c r="Y17" s="38" t="s">
        <v>53</v>
      </c>
      <c r="Z17" s="36" t="s">
        <v>55</v>
      </c>
      <c r="AA17" s="37" t="s">
        <v>55</v>
      </c>
      <c r="AB17" s="38" t="s">
        <v>53</v>
      </c>
      <c r="AC17" s="36" t="s">
        <v>55</v>
      </c>
      <c r="AD17" s="37" t="s">
        <v>55</v>
      </c>
      <c r="AE17" s="38" t="s">
        <v>53</v>
      </c>
      <c r="AF17" s="36" t="s">
        <v>55</v>
      </c>
      <c r="AG17" s="37" t="s">
        <v>55</v>
      </c>
      <c r="AH17" s="38" t="s">
        <v>53</v>
      </c>
      <c r="AI17" s="36" t="s">
        <v>55</v>
      </c>
      <c r="AJ17" s="37" t="s">
        <v>55</v>
      </c>
      <c r="AK17" s="39" t="s">
        <v>53</v>
      </c>
    </row>
    <row r="18" spans="1:37" x14ac:dyDescent="0.25">
      <c r="A18" s="15" t="s">
        <v>132</v>
      </c>
      <c r="B18" s="36">
        <v>85.225721460279019</v>
      </c>
      <c r="C18" s="37">
        <v>1.1109212050149944</v>
      </c>
      <c r="D18" s="38" t="s">
        <v>53</v>
      </c>
      <c r="E18" s="36">
        <v>14.77427853972099</v>
      </c>
      <c r="F18" s="37">
        <v>1.1109212050149806</v>
      </c>
      <c r="G18" s="38" t="s">
        <v>53</v>
      </c>
      <c r="H18" s="36">
        <v>7.8380913163329557</v>
      </c>
      <c r="I18" s="37">
        <v>0.67971703635234826</v>
      </c>
      <c r="J18" s="38" t="s">
        <v>53</v>
      </c>
      <c r="K18" s="36">
        <v>6.9361872233880204</v>
      </c>
      <c r="L18" s="37">
        <v>0.7104642326096795</v>
      </c>
      <c r="M18" s="38" t="s">
        <v>53</v>
      </c>
      <c r="N18" s="36">
        <v>81.940545311273183</v>
      </c>
      <c r="O18" s="37">
        <v>0.85847510420571471</v>
      </c>
      <c r="P18" s="38" t="s">
        <v>53</v>
      </c>
      <c r="Q18" s="36">
        <v>18.059454688726909</v>
      </c>
      <c r="R18" s="37">
        <v>0.85847510420572992</v>
      </c>
      <c r="S18" s="38" t="s">
        <v>53</v>
      </c>
      <c r="T18" s="36">
        <v>10.2336067238701</v>
      </c>
      <c r="U18" s="37">
        <v>0.56005264112845754</v>
      </c>
      <c r="V18" s="38" t="s">
        <v>53</v>
      </c>
      <c r="W18" s="36">
        <v>7.8258479648567274</v>
      </c>
      <c r="X18" s="37">
        <v>0.57890079085807034</v>
      </c>
      <c r="Y18" s="38" t="s">
        <v>53</v>
      </c>
      <c r="Z18" s="36">
        <v>-3.2851760387420654</v>
      </c>
      <c r="AA18" s="37">
        <v>1.4039677381515503</v>
      </c>
      <c r="AB18" s="38" t="s">
        <v>53</v>
      </c>
      <c r="AC18" s="36">
        <v>3.2851760387420654</v>
      </c>
      <c r="AD18" s="37">
        <v>1.4039677381515503</v>
      </c>
      <c r="AE18" s="38" t="s">
        <v>53</v>
      </c>
      <c r="AF18" s="36">
        <v>2.3955154418945313</v>
      </c>
      <c r="AG18" s="37">
        <v>0.88072371482849121</v>
      </c>
      <c r="AH18" s="38" t="s">
        <v>53</v>
      </c>
      <c r="AI18" s="36">
        <v>0.88966071605682373</v>
      </c>
      <c r="AJ18" s="37">
        <v>0.91645270586013794</v>
      </c>
      <c r="AK18" s="39" t="s">
        <v>53</v>
      </c>
    </row>
    <row r="19" spans="1:37" x14ac:dyDescent="0.25">
      <c r="A19" s="15" t="s">
        <v>133</v>
      </c>
      <c r="B19" s="36">
        <v>75.626034197534992</v>
      </c>
      <c r="C19" s="37">
        <v>1.3279871440306601</v>
      </c>
      <c r="D19" s="38" t="s">
        <v>53</v>
      </c>
      <c r="E19" s="36">
        <v>24.373965802464969</v>
      </c>
      <c r="F19" s="37">
        <v>1.3279871440306743</v>
      </c>
      <c r="G19" s="38" t="s">
        <v>53</v>
      </c>
      <c r="H19" s="36">
        <v>13.65958960938986</v>
      </c>
      <c r="I19" s="37">
        <v>0.82369052694263334</v>
      </c>
      <c r="J19" s="38" t="s">
        <v>53</v>
      </c>
      <c r="K19" s="36">
        <v>10.71437619307514</v>
      </c>
      <c r="L19" s="37">
        <v>0.74117557996304273</v>
      </c>
      <c r="M19" s="38" t="s">
        <v>53</v>
      </c>
      <c r="N19" s="36">
        <v>65.030033713546288</v>
      </c>
      <c r="O19" s="37">
        <v>1.4227690605278573</v>
      </c>
      <c r="P19" s="38" t="s">
        <v>53</v>
      </c>
      <c r="Q19" s="36">
        <v>34.969966286453833</v>
      </c>
      <c r="R19" s="37">
        <v>1.4227690605278822</v>
      </c>
      <c r="S19" s="38" t="s">
        <v>53</v>
      </c>
      <c r="T19" s="36">
        <v>17.894061096150541</v>
      </c>
      <c r="U19" s="37">
        <v>0.88875670458862055</v>
      </c>
      <c r="V19" s="38" t="s">
        <v>53</v>
      </c>
      <c r="W19" s="36">
        <v>17.075905190303171</v>
      </c>
      <c r="X19" s="37">
        <v>0.7522996369873477</v>
      </c>
      <c r="Y19" s="38" t="s">
        <v>53</v>
      </c>
      <c r="Z19" s="36">
        <v>-10.596000671386719</v>
      </c>
      <c r="AA19" s="37">
        <v>1.9462326765060425</v>
      </c>
      <c r="AB19" s="38" t="s">
        <v>53</v>
      </c>
      <c r="AC19" s="36">
        <v>10.596000671386719</v>
      </c>
      <c r="AD19" s="37">
        <v>1.9462326765060425</v>
      </c>
      <c r="AE19" s="38" t="s">
        <v>53</v>
      </c>
      <c r="AF19" s="36">
        <v>4.234471321105957</v>
      </c>
      <c r="AG19" s="37">
        <v>1.2117568254470825</v>
      </c>
      <c r="AH19" s="38" t="s">
        <v>53</v>
      </c>
      <c r="AI19" s="36">
        <v>6.3615288734436035</v>
      </c>
      <c r="AJ19" s="37">
        <v>1.0560756921768188</v>
      </c>
      <c r="AK19" s="39" t="s">
        <v>53</v>
      </c>
    </row>
    <row r="20" spans="1:37" x14ac:dyDescent="0.25">
      <c r="A20" s="15" t="s">
        <v>134</v>
      </c>
      <c r="B20" s="36">
        <v>99.498546031530253</v>
      </c>
      <c r="C20" s="37">
        <v>9.9904121668928758E-2</v>
      </c>
      <c r="D20" s="38" t="s">
        <v>53</v>
      </c>
      <c r="E20" s="36">
        <v>0.50145396846975232</v>
      </c>
      <c r="F20" s="37">
        <v>9.9904121668926787E-2</v>
      </c>
      <c r="G20" s="38" t="s">
        <v>53</v>
      </c>
      <c r="H20" s="36">
        <v>6.6541361103619107E-2</v>
      </c>
      <c r="I20" s="37">
        <v>3.3405910825781697E-2</v>
      </c>
      <c r="J20" s="38" t="s">
        <v>53</v>
      </c>
      <c r="K20" s="36">
        <v>0.43491260736612991</v>
      </c>
      <c r="L20" s="37">
        <v>8.531436364255067E-2</v>
      </c>
      <c r="M20" s="38" t="s">
        <v>53</v>
      </c>
      <c r="N20" s="36">
        <v>96.609138519881938</v>
      </c>
      <c r="O20" s="37">
        <v>0.38959486833610235</v>
      </c>
      <c r="P20" s="38" t="s">
        <v>53</v>
      </c>
      <c r="Q20" s="36">
        <v>3.3908614801180561</v>
      </c>
      <c r="R20" s="37">
        <v>0.38959486833610768</v>
      </c>
      <c r="S20" s="38" t="s">
        <v>53</v>
      </c>
      <c r="T20" s="36">
        <v>0.69233339600921817</v>
      </c>
      <c r="U20" s="37">
        <v>0.11648825430506957</v>
      </c>
      <c r="V20" s="38" t="s">
        <v>53</v>
      </c>
      <c r="W20" s="36">
        <v>2.6985280841088501</v>
      </c>
      <c r="X20" s="37">
        <v>0.39758372808349129</v>
      </c>
      <c r="Y20" s="38" t="s">
        <v>53</v>
      </c>
      <c r="Z20" s="36">
        <v>-2.8894073963165283</v>
      </c>
      <c r="AA20" s="37">
        <v>0.40220019221305847</v>
      </c>
      <c r="AB20" s="38" t="s">
        <v>53</v>
      </c>
      <c r="AC20" s="36">
        <v>2.8894073963165283</v>
      </c>
      <c r="AD20" s="37">
        <v>0.40220019221305847</v>
      </c>
      <c r="AE20" s="38" t="s">
        <v>53</v>
      </c>
      <c r="AF20" s="36">
        <v>0.62579202651977539</v>
      </c>
      <c r="AG20" s="37">
        <v>0.1211836114525795</v>
      </c>
      <c r="AH20" s="38" t="s">
        <v>53</v>
      </c>
      <c r="AI20" s="36">
        <v>2.2636153697967529</v>
      </c>
      <c r="AJ20" s="37">
        <v>0.40663418173789978</v>
      </c>
      <c r="AK20" s="39" t="s">
        <v>53</v>
      </c>
    </row>
    <row r="21" spans="1:37" x14ac:dyDescent="0.25">
      <c r="A21" s="15" t="s">
        <v>135</v>
      </c>
      <c r="B21" s="36">
        <v>99.656198895554041</v>
      </c>
      <c r="C21" s="37">
        <v>8.4717428748778592E-2</v>
      </c>
      <c r="D21" s="38" t="s">
        <v>53</v>
      </c>
      <c r="E21" s="36">
        <v>0.34380110444597528</v>
      </c>
      <c r="F21" s="37">
        <v>8.4717428748780924E-2</v>
      </c>
      <c r="G21" s="38" t="s">
        <v>53</v>
      </c>
      <c r="H21" s="36">
        <v>0.29469640911606931</v>
      </c>
      <c r="I21" s="37">
        <v>8.1166587897585005E-2</v>
      </c>
      <c r="J21" s="38" t="s">
        <v>53</v>
      </c>
      <c r="K21" s="36">
        <v>4.9104695329904899E-2</v>
      </c>
      <c r="L21" s="37">
        <v>2.0750421842836739E-2</v>
      </c>
      <c r="M21" s="38" t="s">
        <v>53</v>
      </c>
      <c r="N21" s="36">
        <v>99.443407916362119</v>
      </c>
      <c r="O21" s="37">
        <v>0.12058001255994381</v>
      </c>
      <c r="P21" s="38" t="s">
        <v>53</v>
      </c>
      <c r="Q21" s="36">
        <v>0.5565920836378776</v>
      </c>
      <c r="R21" s="37">
        <v>0.12058001255994882</v>
      </c>
      <c r="S21" s="38" t="s">
        <v>53</v>
      </c>
      <c r="T21" s="36">
        <v>0.30183773790596302</v>
      </c>
      <c r="U21" s="37">
        <v>0.10505338661560872</v>
      </c>
      <c r="V21" s="38" t="s">
        <v>53</v>
      </c>
      <c r="W21" s="36">
        <v>0.25475434573191508</v>
      </c>
      <c r="X21" s="37">
        <v>6.0105643268566988E-2</v>
      </c>
      <c r="Y21" s="38" t="s">
        <v>53</v>
      </c>
      <c r="Z21" s="36">
        <v>-0.21279098093509674</v>
      </c>
      <c r="AA21" s="37">
        <v>0.14736546576023102</v>
      </c>
      <c r="AB21" s="38" t="s">
        <v>53</v>
      </c>
      <c r="AC21" s="36">
        <v>0.21279098093509674</v>
      </c>
      <c r="AD21" s="37">
        <v>0.14736546576023102</v>
      </c>
      <c r="AE21" s="38" t="s">
        <v>53</v>
      </c>
      <c r="AF21" s="36">
        <v>7.1413288824260235E-3</v>
      </c>
      <c r="AG21" s="37">
        <v>0.13275627791881561</v>
      </c>
      <c r="AH21" s="38" t="s">
        <v>53</v>
      </c>
      <c r="AI21" s="36">
        <v>0.20564964413642883</v>
      </c>
      <c r="AJ21" s="37">
        <v>6.3586696982383728E-2</v>
      </c>
      <c r="AK21" s="39" t="s">
        <v>53</v>
      </c>
    </row>
    <row r="22" spans="1:37" x14ac:dyDescent="0.25">
      <c r="A22" s="15" t="s">
        <v>136</v>
      </c>
      <c r="B22" s="36">
        <v>97.737060427679779</v>
      </c>
      <c r="C22" s="37">
        <v>0.23563554319448018</v>
      </c>
      <c r="D22" s="38" t="s">
        <v>53</v>
      </c>
      <c r="E22" s="36">
        <v>2.2629395723202128</v>
      </c>
      <c r="F22" s="37">
        <v>0.23563554319448901</v>
      </c>
      <c r="G22" s="38" t="s">
        <v>53</v>
      </c>
      <c r="H22" s="36">
        <v>1.4299865257486051</v>
      </c>
      <c r="I22" s="37">
        <v>0.19938670497184477</v>
      </c>
      <c r="J22" s="38" t="s">
        <v>53</v>
      </c>
      <c r="K22" s="36">
        <v>0.83295304657161362</v>
      </c>
      <c r="L22" s="37">
        <v>0.11815755640282635</v>
      </c>
      <c r="M22" s="38" t="s">
        <v>53</v>
      </c>
      <c r="N22" s="36">
        <v>95.853596396289277</v>
      </c>
      <c r="O22" s="37">
        <v>0.38608926670902954</v>
      </c>
      <c r="P22" s="38" t="s">
        <v>53</v>
      </c>
      <c r="Q22" s="36">
        <v>4.1464036037107332</v>
      </c>
      <c r="R22" s="37">
        <v>0.38608926670904081</v>
      </c>
      <c r="S22" s="38" t="s">
        <v>53</v>
      </c>
      <c r="T22" s="36">
        <v>2.030817001981513</v>
      </c>
      <c r="U22" s="37">
        <v>0.20943102483768619</v>
      </c>
      <c r="V22" s="38" t="s">
        <v>53</v>
      </c>
      <c r="W22" s="36">
        <v>2.1155866017292171</v>
      </c>
      <c r="X22" s="37">
        <v>0.31497420916173702</v>
      </c>
      <c r="Y22" s="38" t="s">
        <v>53</v>
      </c>
      <c r="Z22" s="36">
        <v>-1.883463978767395</v>
      </c>
      <c r="AA22" s="37">
        <v>0.45231518149375916</v>
      </c>
      <c r="AB22" s="38" t="s">
        <v>53</v>
      </c>
      <c r="AC22" s="36">
        <v>1.883463978767395</v>
      </c>
      <c r="AD22" s="37">
        <v>0.45231518149375916</v>
      </c>
      <c r="AE22" s="38" t="s">
        <v>53</v>
      </c>
      <c r="AF22" s="36">
        <v>0.60083049535751343</v>
      </c>
      <c r="AG22" s="37">
        <v>0.28916501998901367</v>
      </c>
      <c r="AH22" s="38" t="s">
        <v>53</v>
      </c>
      <c r="AI22" s="36">
        <v>1.2826335430145264</v>
      </c>
      <c r="AJ22" s="37">
        <v>0.33640742301940918</v>
      </c>
      <c r="AK22" s="39" t="s">
        <v>53</v>
      </c>
    </row>
    <row r="23" spans="1:37" x14ac:dyDescent="0.25">
      <c r="A23" s="15" t="s">
        <v>137</v>
      </c>
      <c r="B23" s="36">
        <v>91.378258522200412</v>
      </c>
      <c r="C23" s="37">
        <v>0.38951602099057958</v>
      </c>
      <c r="D23" s="38" t="s">
        <v>53</v>
      </c>
      <c r="E23" s="36">
        <v>8.6217414777996098</v>
      </c>
      <c r="F23" s="37">
        <v>0.38951602099057614</v>
      </c>
      <c r="G23" s="38" t="s">
        <v>53</v>
      </c>
      <c r="H23" s="36">
        <v>5.8624758777135177</v>
      </c>
      <c r="I23" s="37">
        <v>0.31668511388842002</v>
      </c>
      <c r="J23" s="38" t="s">
        <v>53</v>
      </c>
      <c r="K23" s="36">
        <v>2.7592656000860711</v>
      </c>
      <c r="L23" s="37">
        <v>0.20032508284373982</v>
      </c>
      <c r="M23" s="38" t="s">
        <v>53</v>
      </c>
      <c r="N23" s="36">
        <v>89.346749317463946</v>
      </c>
      <c r="O23" s="37">
        <v>0.43829698431421482</v>
      </c>
      <c r="P23" s="38" t="s">
        <v>53</v>
      </c>
      <c r="Q23" s="36">
        <v>10.653250682536131</v>
      </c>
      <c r="R23" s="37">
        <v>0.43829698431420572</v>
      </c>
      <c r="S23" s="38" t="s">
        <v>53</v>
      </c>
      <c r="T23" s="36">
        <v>8.4057714302266948</v>
      </c>
      <c r="U23" s="37">
        <v>0.36945922667131464</v>
      </c>
      <c r="V23" s="38" t="s">
        <v>53</v>
      </c>
      <c r="W23" s="36">
        <v>2.2474792523093612</v>
      </c>
      <c r="X23" s="37">
        <v>0.17886987543081195</v>
      </c>
      <c r="Y23" s="38" t="s">
        <v>53</v>
      </c>
      <c r="Z23" s="36">
        <v>-2.0315091609954834</v>
      </c>
      <c r="AA23" s="37">
        <v>0.58636760711669922</v>
      </c>
      <c r="AB23" s="38" t="s">
        <v>53</v>
      </c>
      <c r="AC23" s="36">
        <v>2.0315091609954834</v>
      </c>
      <c r="AD23" s="37">
        <v>0.58636760711669922</v>
      </c>
      <c r="AE23" s="38" t="s">
        <v>53</v>
      </c>
      <c r="AF23" s="36">
        <v>2.5432956218719482</v>
      </c>
      <c r="AG23" s="37">
        <v>0.4866102933883667</v>
      </c>
      <c r="AH23" s="38" t="s">
        <v>53</v>
      </c>
      <c r="AI23" s="36">
        <v>-0.51178634166717529</v>
      </c>
      <c r="AJ23" s="37">
        <v>0.26856017112731934</v>
      </c>
      <c r="AK23" s="39" t="s">
        <v>53</v>
      </c>
    </row>
    <row r="24" spans="1:37" x14ac:dyDescent="0.25">
      <c r="A24" s="15" t="s">
        <v>138</v>
      </c>
      <c r="B24" s="36">
        <v>91.995146656137194</v>
      </c>
      <c r="C24" s="37">
        <v>0.62361249644006378</v>
      </c>
      <c r="D24" s="38" t="s">
        <v>53</v>
      </c>
      <c r="E24" s="36">
        <v>8.0048533438628251</v>
      </c>
      <c r="F24" s="37">
        <v>0.6236124964400569</v>
      </c>
      <c r="G24" s="38" t="s">
        <v>53</v>
      </c>
      <c r="H24" s="36">
        <v>7.3694203185220877</v>
      </c>
      <c r="I24" s="37">
        <v>0.58481948599125921</v>
      </c>
      <c r="J24" s="38" t="s">
        <v>53</v>
      </c>
      <c r="K24" s="36">
        <v>0.63543302534070845</v>
      </c>
      <c r="L24" s="37">
        <v>0.11908823469212326</v>
      </c>
      <c r="M24" s="38" t="s">
        <v>53</v>
      </c>
      <c r="N24" s="36">
        <v>89.607417490634333</v>
      </c>
      <c r="O24" s="37">
        <v>0.46505302845395985</v>
      </c>
      <c r="P24" s="38" t="s">
        <v>53</v>
      </c>
      <c r="Q24" s="36">
        <v>10.392582509365701</v>
      </c>
      <c r="R24" s="37">
        <v>0.4650530284538999</v>
      </c>
      <c r="S24" s="38" t="s">
        <v>53</v>
      </c>
      <c r="T24" s="36">
        <v>9.6464511586236288</v>
      </c>
      <c r="U24" s="37">
        <v>0.44721500417219817</v>
      </c>
      <c r="V24" s="38" t="s">
        <v>53</v>
      </c>
      <c r="W24" s="36">
        <v>0.7461313507420525</v>
      </c>
      <c r="X24" s="37">
        <v>0.13573768960225094</v>
      </c>
      <c r="Y24" s="38" t="s">
        <v>53</v>
      </c>
      <c r="Z24" s="36">
        <v>-2.3877291679382324</v>
      </c>
      <c r="AA24" s="37">
        <v>0.77792471647262573</v>
      </c>
      <c r="AB24" s="38" t="s">
        <v>53</v>
      </c>
      <c r="AC24" s="36">
        <v>2.3877291679382324</v>
      </c>
      <c r="AD24" s="37">
        <v>0.77792471647262573</v>
      </c>
      <c r="AE24" s="38" t="s">
        <v>53</v>
      </c>
      <c r="AF24" s="36">
        <v>2.2770309448242188</v>
      </c>
      <c r="AG24" s="37">
        <v>0.73621672391891479</v>
      </c>
      <c r="AH24" s="38" t="s">
        <v>53</v>
      </c>
      <c r="AI24" s="36">
        <v>0.11069832742214203</v>
      </c>
      <c r="AJ24" s="37">
        <v>0.18057332932949066</v>
      </c>
      <c r="AK24" s="39" t="s">
        <v>53</v>
      </c>
    </row>
    <row r="25" spans="1:37" x14ac:dyDescent="0.25">
      <c r="A25" s="15" t="s">
        <v>139</v>
      </c>
      <c r="B25" s="36">
        <v>97.421077052273915</v>
      </c>
      <c r="C25" s="37">
        <v>0.33118687579210038</v>
      </c>
      <c r="D25" s="38" t="s">
        <v>53</v>
      </c>
      <c r="E25" s="36">
        <v>2.5789229477260931</v>
      </c>
      <c r="F25" s="37">
        <v>0.33118687579210399</v>
      </c>
      <c r="G25" s="38" t="s">
        <v>53</v>
      </c>
      <c r="H25" s="36">
        <v>1.142756392299751</v>
      </c>
      <c r="I25" s="37">
        <v>0.18039825866252437</v>
      </c>
      <c r="J25" s="38" t="s">
        <v>53</v>
      </c>
      <c r="K25" s="36">
        <v>1.4361665554263461</v>
      </c>
      <c r="L25" s="37">
        <v>0.24859770016898369</v>
      </c>
      <c r="M25" s="38" t="s">
        <v>53</v>
      </c>
      <c r="N25" s="36">
        <v>94.224219357835608</v>
      </c>
      <c r="O25" s="37">
        <v>0.47656616025151444</v>
      </c>
      <c r="P25" s="38" t="s">
        <v>53</v>
      </c>
      <c r="Q25" s="36">
        <v>5.7757806421643876</v>
      </c>
      <c r="R25" s="37">
        <v>0.47656616025151155</v>
      </c>
      <c r="S25" s="38" t="s">
        <v>53</v>
      </c>
      <c r="T25" s="36">
        <v>2.453645833135409</v>
      </c>
      <c r="U25" s="37">
        <v>0.25811154922251767</v>
      </c>
      <c r="V25" s="38" t="s">
        <v>53</v>
      </c>
      <c r="W25" s="36">
        <v>3.3221348090289582</v>
      </c>
      <c r="X25" s="37">
        <v>0.33396102961452129</v>
      </c>
      <c r="Y25" s="38" t="s">
        <v>53</v>
      </c>
      <c r="Z25" s="36">
        <v>-3.1968576908111572</v>
      </c>
      <c r="AA25" s="37">
        <v>0.5803447961807251</v>
      </c>
      <c r="AB25" s="38" t="s">
        <v>53</v>
      </c>
      <c r="AC25" s="36">
        <v>3.1968576908111572</v>
      </c>
      <c r="AD25" s="37">
        <v>0.5803447961807251</v>
      </c>
      <c r="AE25" s="38" t="s">
        <v>53</v>
      </c>
      <c r="AF25" s="36">
        <v>1.3108894824981689</v>
      </c>
      <c r="AG25" s="37">
        <v>0.31490489840507507</v>
      </c>
      <c r="AH25" s="38" t="s">
        <v>53</v>
      </c>
      <c r="AI25" s="36">
        <v>1.8859682083129883</v>
      </c>
      <c r="AJ25" s="37">
        <v>0.41633012890815735</v>
      </c>
      <c r="AK25" s="39" t="s">
        <v>53</v>
      </c>
    </row>
    <row r="26" spans="1:37" x14ac:dyDescent="0.25">
      <c r="A26" s="15" t="s">
        <v>140</v>
      </c>
      <c r="B26" s="36">
        <v>86.85680920307199</v>
      </c>
      <c r="C26" s="37">
        <v>1.3598513691788019</v>
      </c>
      <c r="D26" s="38" t="s">
        <v>53</v>
      </c>
      <c r="E26" s="36">
        <v>13.143190796927961</v>
      </c>
      <c r="F26" s="37">
        <v>1.359851369178821</v>
      </c>
      <c r="G26" s="38" t="s">
        <v>53</v>
      </c>
      <c r="H26" s="36">
        <v>9.9749537395461392</v>
      </c>
      <c r="I26" s="37">
        <v>1.030478478404111</v>
      </c>
      <c r="J26" s="38" t="s">
        <v>53</v>
      </c>
      <c r="K26" s="36">
        <v>3.1682370573818739</v>
      </c>
      <c r="L26" s="37">
        <v>0.52573007734068411</v>
      </c>
      <c r="M26" s="38" t="s">
        <v>53</v>
      </c>
      <c r="N26" s="36">
        <v>85.707601925874684</v>
      </c>
      <c r="O26" s="37">
        <v>0.93597142687810164</v>
      </c>
      <c r="P26" s="38" t="s">
        <v>53</v>
      </c>
      <c r="Q26" s="36">
        <v>14.292398074125421</v>
      </c>
      <c r="R26" s="37">
        <v>0.93597142687811763</v>
      </c>
      <c r="S26" s="38" t="s">
        <v>53</v>
      </c>
      <c r="T26" s="36">
        <v>9.6066017434697191</v>
      </c>
      <c r="U26" s="37">
        <v>0.76459035272661602</v>
      </c>
      <c r="V26" s="38" t="s">
        <v>53</v>
      </c>
      <c r="W26" s="36">
        <v>4.6857963306555952</v>
      </c>
      <c r="X26" s="37">
        <v>0.39090618100324287</v>
      </c>
      <c r="Y26" s="38" t="s">
        <v>53</v>
      </c>
      <c r="Z26" s="36">
        <v>-1.1492072343826294</v>
      </c>
      <c r="AA26" s="37">
        <v>1.650829553604126</v>
      </c>
      <c r="AB26" s="38" t="s">
        <v>53</v>
      </c>
      <c r="AC26" s="36">
        <v>1.1492072343826294</v>
      </c>
      <c r="AD26" s="37">
        <v>1.650829553604126</v>
      </c>
      <c r="AE26" s="38" t="s">
        <v>53</v>
      </c>
      <c r="AF26" s="36">
        <v>-0.36835199594497681</v>
      </c>
      <c r="AG26" s="37">
        <v>1.2831540107727051</v>
      </c>
      <c r="AH26" s="38" t="s">
        <v>53</v>
      </c>
      <c r="AI26" s="36">
        <v>1.517559289932251</v>
      </c>
      <c r="AJ26" s="37">
        <v>0.65513336658477783</v>
      </c>
      <c r="AK26" s="39" t="s">
        <v>53</v>
      </c>
    </row>
    <row r="27" spans="1:37" x14ac:dyDescent="0.25">
      <c r="A27" s="15" t="s">
        <v>141</v>
      </c>
      <c r="B27" s="36">
        <v>82.378399863907688</v>
      </c>
      <c r="C27" s="37">
        <v>1.0128442662162578</v>
      </c>
      <c r="D27" s="38" t="s">
        <v>53</v>
      </c>
      <c r="E27" s="36">
        <v>17.621600136092258</v>
      </c>
      <c r="F27" s="37">
        <v>1.0128442662162551</v>
      </c>
      <c r="G27" s="38" t="s">
        <v>53</v>
      </c>
      <c r="H27" s="36">
        <v>11.71736436650639</v>
      </c>
      <c r="I27" s="37">
        <v>0.79303281416170446</v>
      </c>
      <c r="J27" s="38" t="s">
        <v>53</v>
      </c>
      <c r="K27" s="36">
        <v>5.9042357695859051</v>
      </c>
      <c r="L27" s="37">
        <v>0.39336002895236222</v>
      </c>
      <c r="M27" s="38" t="s">
        <v>53</v>
      </c>
      <c r="N27" s="36">
        <v>77.831192032402072</v>
      </c>
      <c r="O27" s="37">
        <v>1.1487898067601809</v>
      </c>
      <c r="P27" s="38" t="s">
        <v>53</v>
      </c>
      <c r="Q27" s="36">
        <v>22.168807967597889</v>
      </c>
      <c r="R27" s="37">
        <v>1.1487898067601785</v>
      </c>
      <c r="S27" s="38" t="s">
        <v>53</v>
      </c>
      <c r="T27" s="36">
        <v>15.706164757660421</v>
      </c>
      <c r="U27" s="37">
        <v>0.88554243098249186</v>
      </c>
      <c r="V27" s="38" t="s">
        <v>53</v>
      </c>
      <c r="W27" s="36">
        <v>6.4626432099375091</v>
      </c>
      <c r="X27" s="37">
        <v>0.55074923034996626</v>
      </c>
      <c r="Y27" s="38" t="s">
        <v>53</v>
      </c>
      <c r="Z27" s="36">
        <v>-4.5472078323364258</v>
      </c>
      <c r="AA27" s="37">
        <v>1.5315258502960205</v>
      </c>
      <c r="AB27" s="38" t="s">
        <v>53</v>
      </c>
      <c r="AC27" s="36">
        <v>4.5472078323364258</v>
      </c>
      <c r="AD27" s="37">
        <v>1.5315258502960205</v>
      </c>
      <c r="AE27" s="38" t="s">
        <v>53</v>
      </c>
      <c r="AF27" s="36">
        <v>3.9888002872467041</v>
      </c>
      <c r="AG27" s="37">
        <v>1.1887331008911133</v>
      </c>
      <c r="AH27" s="38" t="s">
        <v>53</v>
      </c>
      <c r="AI27" s="36">
        <v>0.55840742588043213</v>
      </c>
      <c r="AJ27" s="37">
        <v>0.67679893970489502</v>
      </c>
      <c r="AK27" s="39" t="s">
        <v>53</v>
      </c>
    </row>
    <row r="28" spans="1:37" x14ac:dyDescent="0.25">
      <c r="A28" s="15" t="s">
        <v>142</v>
      </c>
      <c r="B28" s="36">
        <v>90.970680759871826</v>
      </c>
      <c r="C28" s="37">
        <v>0.80386965766052021</v>
      </c>
      <c r="D28" s="38" t="s">
        <v>53</v>
      </c>
      <c r="E28" s="36">
        <v>9.0293192401281335</v>
      </c>
      <c r="F28" s="37">
        <v>0.80386965766052865</v>
      </c>
      <c r="G28" s="38" t="s">
        <v>53</v>
      </c>
      <c r="H28" s="36">
        <v>2.9200522259291248</v>
      </c>
      <c r="I28" s="37">
        <v>0.29553183304598324</v>
      </c>
      <c r="J28" s="38" t="s">
        <v>53</v>
      </c>
      <c r="K28" s="36">
        <v>6.109267014199057</v>
      </c>
      <c r="L28" s="37">
        <v>0.7329136822141048</v>
      </c>
      <c r="M28" s="38" t="s">
        <v>53</v>
      </c>
      <c r="N28" s="36">
        <v>88.303897094949264</v>
      </c>
      <c r="O28" s="37">
        <v>0.6626515456073534</v>
      </c>
      <c r="P28" s="38" t="s">
        <v>53</v>
      </c>
      <c r="Q28" s="36">
        <v>11.69610290505079</v>
      </c>
      <c r="R28" s="37">
        <v>0.66265154560738204</v>
      </c>
      <c r="S28" s="38" t="s">
        <v>53</v>
      </c>
      <c r="T28" s="36">
        <v>8.5436095035407114</v>
      </c>
      <c r="U28" s="37">
        <v>0.50640966944584132</v>
      </c>
      <c r="V28" s="38" t="s">
        <v>53</v>
      </c>
      <c r="W28" s="36">
        <v>3.1524934015100241</v>
      </c>
      <c r="X28" s="37">
        <v>0.31194476883022132</v>
      </c>
      <c r="Y28" s="38" t="s">
        <v>53</v>
      </c>
      <c r="Z28" s="36">
        <v>-2.6667835712432861</v>
      </c>
      <c r="AA28" s="37">
        <v>1.0417838096618652</v>
      </c>
      <c r="AB28" s="38" t="s">
        <v>53</v>
      </c>
      <c r="AC28" s="36">
        <v>2.6667835712432861</v>
      </c>
      <c r="AD28" s="37">
        <v>1.0417838096618652</v>
      </c>
      <c r="AE28" s="38" t="s">
        <v>53</v>
      </c>
      <c r="AF28" s="36">
        <v>5.6235570907592773</v>
      </c>
      <c r="AG28" s="37">
        <v>0.58633589744567871</v>
      </c>
      <c r="AH28" s="38" t="s">
        <v>53</v>
      </c>
      <c r="AI28" s="36">
        <v>-2.9567735195159912</v>
      </c>
      <c r="AJ28" s="37">
        <v>0.79653751850128174</v>
      </c>
      <c r="AK28" s="39" t="s">
        <v>53</v>
      </c>
    </row>
    <row r="29" spans="1:37" x14ac:dyDescent="0.25">
      <c r="A29" s="15" t="s">
        <v>143</v>
      </c>
      <c r="B29" s="36">
        <v>97.899540726879849</v>
      </c>
      <c r="C29" s="37">
        <v>0.25001257985946534</v>
      </c>
      <c r="D29" s="38" t="s">
        <v>53</v>
      </c>
      <c r="E29" s="36">
        <v>2.1004592731201659</v>
      </c>
      <c r="F29" s="37">
        <v>0.25001257985945763</v>
      </c>
      <c r="G29" s="38" t="s">
        <v>53</v>
      </c>
      <c r="H29" s="36">
        <v>0.89741967221432373</v>
      </c>
      <c r="I29" s="37">
        <v>0.13047180382103213</v>
      </c>
      <c r="J29" s="38" t="s">
        <v>53</v>
      </c>
      <c r="K29" s="36">
        <v>1.2030396009058359</v>
      </c>
      <c r="L29" s="37">
        <v>0.19863622409547224</v>
      </c>
      <c r="M29" s="38" t="s">
        <v>53</v>
      </c>
      <c r="N29" s="36">
        <v>97.447803914924151</v>
      </c>
      <c r="O29" s="37">
        <v>0.30831545416997364</v>
      </c>
      <c r="P29" s="38" t="s">
        <v>53</v>
      </c>
      <c r="Q29" s="36">
        <v>2.5521960850758401</v>
      </c>
      <c r="R29" s="37">
        <v>0.30831545416996681</v>
      </c>
      <c r="S29" s="38" t="s">
        <v>53</v>
      </c>
      <c r="T29" s="36">
        <v>1.309366592386384</v>
      </c>
      <c r="U29" s="37">
        <v>0.17011850939313791</v>
      </c>
      <c r="V29" s="38" t="s">
        <v>53</v>
      </c>
      <c r="W29" s="36">
        <v>1.2428294926894641</v>
      </c>
      <c r="X29" s="37">
        <v>0.26083796868504316</v>
      </c>
      <c r="Y29" s="38" t="s">
        <v>53</v>
      </c>
      <c r="Z29" s="36">
        <v>-0.45173680782318115</v>
      </c>
      <c r="AA29" s="37">
        <v>0.39694422483444214</v>
      </c>
      <c r="AB29" s="38" t="s">
        <v>53</v>
      </c>
      <c r="AC29" s="36">
        <v>0.45173680782318115</v>
      </c>
      <c r="AD29" s="37">
        <v>0.39694422483444214</v>
      </c>
      <c r="AE29" s="38" t="s">
        <v>53</v>
      </c>
      <c r="AF29" s="36">
        <v>0.41194692254066467</v>
      </c>
      <c r="AG29" s="37">
        <v>0.21439029276371002</v>
      </c>
      <c r="AH29" s="38" t="s">
        <v>53</v>
      </c>
      <c r="AI29" s="36">
        <v>3.9789892733097076E-2</v>
      </c>
      <c r="AJ29" s="37">
        <v>0.32786095142364502</v>
      </c>
      <c r="AK29" s="39" t="s">
        <v>53</v>
      </c>
    </row>
    <row r="30" spans="1:37" x14ac:dyDescent="0.25">
      <c r="A30" s="15" t="s">
        <v>144</v>
      </c>
      <c r="B30" s="36">
        <v>97.639261564831671</v>
      </c>
      <c r="C30" s="37">
        <v>0.24985384247094361</v>
      </c>
      <c r="D30" s="38" t="s">
        <v>53</v>
      </c>
      <c r="E30" s="36">
        <v>2.3607384351683551</v>
      </c>
      <c r="F30" s="37">
        <v>0.24985384247093928</v>
      </c>
      <c r="G30" s="38" t="s">
        <v>53</v>
      </c>
      <c r="H30" s="36">
        <v>0.42157475552344731</v>
      </c>
      <c r="I30" s="37">
        <v>0.11426396199855388</v>
      </c>
      <c r="J30" s="38" t="s">
        <v>53</v>
      </c>
      <c r="K30" s="36">
        <v>1.9391636796449001</v>
      </c>
      <c r="L30" s="37">
        <v>0.20912567756315775</v>
      </c>
      <c r="M30" s="38" t="s">
        <v>53</v>
      </c>
      <c r="N30" s="36">
        <v>94.407720935878416</v>
      </c>
      <c r="O30" s="37">
        <v>0.40139673553959493</v>
      </c>
      <c r="P30" s="38" t="s">
        <v>53</v>
      </c>
      <c r="Q30" s="36">
        <v>5.5922790641216631</v>
      </c>
      <c r="R30" s="37">
        <v>0.40139673553959604</v>
      </c>
      <c r="S30" s="38" t="s">
        <v>53</v>
      </c>
      <c r="T30" s="36">
        <v>2.4850998898747561</v>
      </c>
      <c r="U30" s="37">
        <v>0.28197593948245059</v>
      </c>
      <c r="V30" s="38" t="s">
        <v>53</v>
      </c>
      <c r="W30" s="36">
        <v>3.1071791742468249</v>
      </c>
      <c r="X30" s="37">
        <v>0.27321541723108667</v>
      </c>
      <c r="Y30" s="38" t="s">
        <v>53</v>
      </c>
      <c r="Z30" s="36">
        <v>-3.2315406799316406</v>
      </c>
      <c r="AA30" s="37">
        <v>0.47280681133270264</v>
      </c>
      <c r="AB30" s="38" t="s">
        <v>53</v>
      </c>
      <c r="AC30" s="36">
        <v>3.2315406799316406</v>
      </c>
      <c r="AD30" s="37">
        <v>0.47280681133270264</v>
      </c>
      <c r="AE30" s="38" t="s">
        <v>53</v>
      </c>
      <c r="AF30" s="36">
        <v>2.0635251998901367</v>
      </c>
      <c r="AG30" s="37">
        <v>0.30424773693084717</v>
      </c>
      <c r="AH30" s="38" t="s">
        <v>53</v>
      </c>
      <c r="AI30" s="36">
        <v>1.1680154800415039</v>
      </c>
      <c r="AJ30" s="37">
        <v>0.34406426548957825</v>
      </c>
      <c r="AK30" s="39" t="s">
        <v>53</v>
      </c>
    </row>
    <row r="31" spans="1:37" x14ac:dyDescent="0.25">
      <c r="A31" s="15" t="s">
        <v>145</v>
      </c>
      <c r="B31" s="36">
        <v>91.718109741193587</v>
      </c>
      <c r="C31" s="37">
        <v>0.6139534977410982</v>
      </c>
      <c r="D31" s="38" t="s">
        <v>53</v>
      </c>
      <c r="E31" s="36">
        <v>8.2818902588064134</v>
      </c>
      <c r="F31" s="37">
        <v>0.61395349774109598</v>
      </c>
      <c r="G31" s="38" t="s">
        <v>53</v>
      </c>
      <c r="H31" s="36">
        <v>1.442183061491505</v>
      </c>
      <c r="I31" s="37">
        <v>0.21694494039485973</v>
      </c>
      <c r="J31" s="38" t="s">
        <v>53</v>
      </c>
      <c r="K31" s="36">
        <v>6.8397071973149117</v>
      </c>
      <c r="L31" s="37">
        <v>0.5401575580185336</v>
      </c>
      <c r="M31" s="38" t="s">
        <v>53</v>
      </c>
      <c r="N31" s="36">
        <v>82.139161070056971</v>
      </c>
      <c r="O31" s="37">
        <v>0.91486176844457578</v>
      </c>
      <c r="P31" s="38" t="s">
        <v>53</v>
      </c>
      <c r="Q31" s="36">
        <v>17.860838929942929</v>
      </c>
      <c r="R31" s="37">
        <v>0.91486176844457623</v>
      </c>
      <c r="S31" s="38" t="s">
        <v>53</v>
      </c>
      <c r="T31" s="36">
        <v>8.0444441727396754</v>
      </c>
      <c r="U31" s="37">
        <v>0.63877518980172721</v>
      </c>
      <c r="V31" s="38" t="s">
        <v>53</v>
      </c>
      <c r="W31" s="36">
        <v>9.8163947572033532</v>
      </c>
      <c r="X31" s="37">
        <v>0.54452665778453779</v>
      </c>
      <c r="Y31" s="38" t="s">
        <v>53</v>
      </c>
      <c r="Z31" s="36">
        <v>-9.578948974609375</v>
      </c>
      <c r="AA31" s="37">
        <v>1.1017762422561646</v>
      </c>
      <c r="AB31" s="38" t="s">
        <v>53</v>
      </c>
      <c r="AC31" s="36">
        <v>9.578948974609375</v>
      </c>
      <c r="AD31" s="37">
        <v>1.1017762422561646</v>
      </c>
      <c r="AE31" s="38" t="s">
        <v>53</v>
      </c>
      <c r="AF31" s="36">
        <v>6.6022610664367676</v>
      </c>
      <c r="AG31" s="37">
        <v>0.67461013793945313</v>
      </c>
      <c r="AH31" s="38" t="s">
        <v>53</v>
      </c>
      <c r="AI31" s="36">
        <v>2.9766876697540283</v>
      </c>
      <c r="AJ31" s="37">
        <v>0.76699376106262207</v>
      </c>
      <c r="AK31" s="39" t="s">
        <v>53</v>
      </c>
    </row>
    <row r="32" spans="1:37" x14ac:dyDescent="0.25">
      <c r="A32" s="15" t="s">
        <v>146</v>
      </c>
      <c r="B32" s="36">
        <v>80.277700435769646</v>
      </c>
      <c r="C32" s="37">
        <v>1.0870455118682878</v>
      </c>
      <c r="D32" s="38" t="s">
        <v>53</v>
      </c>
      <c r="E32" s="36">
        <v>19.722299564230369</v>
      </c>
      <c r="F32" s="37">
        <v>1.0870455118682862</v>
      </c>
      <c r="G32" s="38" t="s">
        <v>53</v>
      </c>
      <c r="H32" s="36">
        <v>12.59120613720237</v>
      </c>
      <c r="I32" s="37">
        <v>0.68266903530228373</v>
      </c>
      <c r="J32" s="38" t="s">
        <v>53</v>
      </c>
      <c r="K32" s="36">
        <v>7.1310934270279844</v>
      </c>
      <c r="L32" s="37">
        <v>0.69701552577068249</v>
      </c>
      <c r="M32" s="38" t="s">
        <v>53</v>
      </c>
      <c r="N32" s="36">
        <v>83.583746585022595</v>
      </c>
      <c r="O32" s="37">
        <v>1.0738364165803493</v>
      </c>
      <c r="P32" s="38" t="s">
        <v>53</v>
      </c>
      <c r="Q32" s="36">
        <v>16.416253414977149</v>
      </c>
      <c r="R32" s="37">
        <v>1.0738364165803731</v>
      </c>
      <c r="S32" s="38" t="s">
        <v>53</v>
      </c>
      <c r="T32" s="36">
        <v>12.42910223283639</v>
      </c>
      <c r="U32" s="37">
        <v>0.95006777064291303</v>
      </c>
      <c r="V32" s="38" t="s">
        <v>53</v>
      </c>
      <c r="W32" s="36">
        <v>3.9871511821410119</v>
      </c>
      <c r="X32" s="37">
        <v>0.33358133440196186</v>
      </c>
      <c r="Y32" s="38" t="s">
        <v>53</v>
      </c>
      <c r="Z32" s="36">
        <v>3.3060462474822998</v>
      </c>
      <c r="AA32" s="37">
        <v>1.5280028581619263</v>
      </c>
      <c r="AB32" s="38" t="s">
        <v>53</v>
      </c>
      <c r="AC32" s="36">
        <v>-3.3060462474822998</v>
      </c>
      <c r="AD32" s="37">
        <v>1.5280028581619263</v>
      </c>
      <c r="AE32" s="38" t="s">
        <v>53</v>
      </c>
      <c r="AF32" s="36">
        <v>-0.16210390627384186</v>
      </c>
      <c r="AG32" s="37">
        <v>1.1698999404907227</v>
      </c>
      <c r="AH32" s="38" t="s">
        <v>53</v>
      </c>
      <c r="AI32" s="36">
        <v>-3.1439423561096191</v>
      </c>
      <c r="AJ32" s="37">
        <v>0.77272707223892212</v>
      </c>
      <c r="AK32" s="39" t="s">
        <v>53</v>
      </c>
    </row>
    <row r="33" spans="1:37" x14ac:dyDescent="0.25">
      <c r="A33" s="15" t="s">
        <v>147</v>
      </c>
      <c r="B33" s="36">
        <v>94.45309166412811</v>
      </c>
      <c r="C33" s="37">
        <v>0.26814236899000415</v>
      </c>
      <c r="D33" s="38" t="s">
        <v>53</v>
      </c>
      <c r="E33" s="36">
        <v>5.5469083358719207</v>
      </c>
      <c r="F33" s="37">
        <v>0.26814236898998495</v>
      </c>
      <c r="G33" s="38" t="s">
        <v>53</v>
      </c>
      <c r="H33" s="36">
        <v>1.3241900464183449</v>
      </c>
      <c r="I33" s="37">
        <v>0.10202373450168961</v>
      </c>
      <c r="J33" s="38" t="s">
        <v>53</v>
      </c>
      <c r="K33" s="36">
        <v>4.2227182894535389</v>
      </c>
      <c r="L33" s="37">
        <v>0.22530833478102394</v>
      </c>
      <c r="M33" s="38" t="s">
        <v>53</v>
      </c>
      <c r="N33" s="36">
        <v>89.974912832200502</v>
      </c>
      <c r="O33" s="37">
        <v>0.4917084931015332</v>
      </c>
      <c r="P33" s="38" t="s">
        <v>53</v>
      </c>
      <c r="Q33" s="36">
        <v>10.025087167799541</v>
      </c>
      <c r="R33" s="37">
        <v>0.49170849310155118</v>
      </c>
      <c r="S33" s="38" t="s">
        <v>53</v>
      </c>
      <c r="T33" s="36">
        <v>5.460807693376597</v>
      </c>
      <c r="U33" s="37">
        <v>0.38532533803166857</v>
      </c>
      <c r="V33" s="38" t="s">
        <v>53</v>
      </c>
      <c r="W33" s="36">
        <v>4.5642794744229036</v>
      </c>
      <c r="X33" s="37">
        <v>0.26523403842708859</v>
      </c>
      <c r="Y33" s="38" t="s">
        <v>53</v>
      </c>
      <c r="Z33" s="36">
        <v>-4.4781789779663086</v>
      </c>
      <c r="AA33" s="37">
        <v>0.56006926298141479</v>
      </c>
      <c r="AB33" s="38" t="s">
        <v>53</v>
      </c>
      <c r="AC33" s="36">
        <v>4.4781789779663086</v>
      </c>
      <c r="AD33" s="37">
        <v>0.56006926298141479</v>
      </c>
      <c r="AE33" s="38" t="s">
        <v>53</v>
      </c>
      <c r="AF33" s="36">
        <v>4.1366176605224609</v>
      </c>
      <c r="AG33" s="37">
        <v>0.39860314130783081</v>
      </c>
      <c r="AH33" s="38" t="s">
        <v>53</v>
      </c>
      <c r="AI33" s="36">
        <v>0.34156119823455811</v>
      </c>
      <c r="AJ33" s="37">
        <v>0.34801283478736877</v>
      </c>
      <c r="AK33" s="39" t="s">
        <v>53</v>
      </c>
    </row>
    <row r="34" spans="1:37" x14ac:dyDescent="0.25">
      <c r="A34" s="15" t="s">
        <v>148</v>
      </c>
      <c r="B34" s="36">
        <v>99.716818251372601</v>
      </c>
      <c r="C34" s="37">
        <v>7.2793257485014015E-2</v>
      </c>
      <c r="D34" s="38" t="s">
        <v>53</v>
      </c>
      <c r="E34" s="36">
        <v>0.28318174862738349</v>
      </c>
      <c r="F34" s="37">
        <v>7.2793257485012586E-2</v>
      </c>
      <c r="G34" s="38" t="s">
        <v>53</v>
      </c>
      <c r="H34" s="36">
        <v>0.13919580648578719</v>
      </c>
      <c r="I34" s="37">
        <v>4.8787670216862575E-2</v>
      </c>
      <c r="J34" s="38" t="s">
        <v>53</v>
      </c>
      <c r="K34" s="36">
        <v>0.1439859421415986</v>
      </c>
      <c r="L34" s="37">
        <v>4.9713061198929681E-2</v>
      </c>
      <c r="M34" s="38" t="s">
        <v>53</v>
      </c>
      <c r="N34" s="36">
        <v>99.377309243037871</v>
      </c>
      <c r="O34" s="37">
        <v>0.13447373995918044</v>
      </c>
      <c r="P34" s="38" t="s">
        <v>53</v>
      </c>
      <c r="Q34" s="36">
        <v>0.62269075696213805</v>
      </c>
      <c r="R34" s="37">
        <v>0.1344737399591803</v>
      </c>
      <c r="S34" s="38" t="s">
        <v>53</v>
      </c>
      <c r="T34" s="36">
        <v>0.34002050558175928</v>
      </c>
      <c r="U34" s="37">
        <v>7.5969093386781802E-2</v>
      </c>
      <c r="V34" s="38" t="s">
        <v>53</v>
      </c>
      <c r="W34" s="36">
        <v>0.28267025138036539</v>
      </c>
      <c r="X34" s="37">
        <v>8.3664189567276281E-2</v>
      </c>
      <c r="Y34" s="38" t="s">
        <v>53</v>
      </c>
      <c r="Z34" s="36">
        <v>-0.33950901031494141</v>
      </c>
      <c r="AA34" s="37">
        <v>0.15291188657283783</v>
      </c>
      <c r="AB34" s="38" t="s">
        <v>53</v>
      </c>
      <c r="AC34" s="36">
        <v>0.33950901031494141</v>
      </c>
      <c r="AD34" s="37">
        <v>0.15291188657283783</v>
      </c>
      <c r="AE34" s="38" t="s">
        <v>53</v>
      </c>
      <c r="AF34" s="36">
        <v>0.20082469284534454</v>
      </c>
      <c r="AG34" s="37">
        <v>9.0285882353782654E-2</v>
      </c>
      <c r="AH34" s="38" t="s">
        <v>53</v>
      </c>
      <c r="AI34" s="36">
        <v>0.13868430256843567</v>
      </c>
      <c r="AJ34" s="37">
        <v>9.7319498658180237E-2</v>
      </c>
      <c r="AK34" s="39" t="s">
        <v>53</v>
      </c>
    </row>
    <row r="35" spans="1:37" x14ac:dyDescent="0.25">
      <c r="A35" s="15" t="s">
        <v>149</v>
      </c>
      <c r="B35" s="36">
        <v>99.980488326343988</v>
      </c>
      <c r="C35" s="37">
        <v>1.965781957903023E-2</v>
      </c>
      <c r="D35" s="38" t="s">
        <v>53</v>
      </c>
      <c r="E35" s="36">
        <v>1.9511673656010298E-2</v>
      </c>
      <c r="F35" s="37">
        <v>1.9657819579028332E-2</v>
      </c>
      <c r="G35" s="38" t="s">
        <v>53</v>
      </c>
      <c r="H35" s="36">
        <v>1.9511673656010399E-2</v>
      </c>
      <c r="I35" s="37">
        <v>1.9657819579028429E-2</v>
      </c>
      <c r="J35" s="38" t="s">
        <v>53</v>
      </c>
      <c r="K35" s="36">
        <v>0</v>
      </c>
      <c r="L35" s="37" t="s">
        <v>56</v>
      </c>
      <c r="M35" s="38" t="s">
        <v>53</v>
      </c>
      <c r="N35" s="36">
        <v>99.834005355367751</v>
      </c>
      <c r="O35" s="37">
        <v>8.9871829952016688E-2</v>
      </c>
      <c r="P35" s="38" t="s">
        <v>53</v>
      </c>
      <c r="Q35" s="36">
        <v>0.16599464463225691</v>
      </c>
      <c r="R35" s="37">
        <v>8.9871829952016924E-2</v>
      </c>
      <c r="S35" s="38" t="s">
        <v>53</v>
      </c>
      <c r="T35" s="36">
        <v>0.10845460106403421</v>
      </c>
      <c r="U35" s="37">
        <v>8.5393573192738936E-2</v>
      </c>
      <c r="V35" s="38" t="s">
        <v>53</v>
      </c>
      <c r="W35" s="36">
        <v>5.75400435682197E-2</v>
      </c>
      <c r="X35" s="37">
        <v>2.8638873824846631E-2</v>
      </c>
      <c r="Y35" s="38" t="s">
        <v>53</v>
      </c>
      <c r="Z35" s="36">
        <v>-0.14648297429084778</v>
      </c>
      <c r="AA35" s="37">
        <v>9.1996610164642334E-2</v>
      </c>
      <c r="AB35" s="38" t="s">
        <v>53</v>
      </c>
      <c r="AC35" s="36">
        <v>0.14648297429084778</v>
      </c>
      <c r="AD35" s="37">
        <v>9.1996610164642334E-2</v>
      </c>
      <c r="AE35" s="38" t="s">
        <v>53</v>
      </c>
      <c r="AF35" s="36">
        <v>8.8942930102348328E-2</v>
      </c>
      <c r="AG35" s="37">
        <v>8.7627008557319641E-2</v>
      </c>
      <c r="AH35" s="38" t="s">
        <v>53</v>
      </c>
      <c r="AI35" s="36">
        <v>5.7540044188499451E-2</v>
      </c>
      <c r="AJ35" s="37">
        <v>2.8638873249292374E-2</v>
      </c>
      <c r="AK35" s="39" t="s">
        <v>53</v>
      </c>
    </row>
    <row r="36" spans="1:37" x14ac:dyDescent="0.25">
      <c r="A36" s="15" t="s">
        <v>150</v>
      </c>
      <c r="B36" s="36">
        <v>95.540918295897967</v>
      </c>
      <c r="C36" s="37">
        <v>0.51371855649605913</v>
      </c>
      <c r="D36" s="38" t="s">
        <v>53</v>
      </c>
      <c r="E36" s="36">
        <v>4.4590817041020383</v>
      </c>
      <c r="F36" s="37">
        <v>0.51371855649606302</v>
      </c>
      <c r="G36" s="38" t="s">
        <v>53</v>
      </c>
      <c r="H36" s="36">
        <v>4.072080265303172</v>
      </c>
      <c r="I36" s="37">
        <v>0.48140666013522865</v>
      </c>
      <c r="J36" s="38" t="s">
        <v>53</v>
      </c>
      <c r="K36" s="36">
        <v>0.3870014387988574</v>
      </c>
      <c r="L36" s="37">
        <v>0.10889897208344917</v>
      </c>
      <c r="M36" s="38" t="s">
        <v>53</v>
      </c>
      <c r="N36" s="36">
        <v>95.560280186540908</v>
      </c>
      <c r="O36" s="37">
        <v>0.33685609843229214</v>
      </c>
      <c r="P36" s="38" t="s">
        <v>53</v>
      </c>
      <c r="Q36" s="36">
        <v>4.4397198134590603</v>
      </c>
      <c r="R36" s="37">
        <v>0.33685609843228997</v>
      </c>
      <c r="S36" s="38" t="s">
        <v>53</v>
      </c>
      <c r="T36" s="36">
        <v>3.5858822602020779</v>
      </c>
      <c r="U36" s="37">
        <v>0.31598226875982532</v>
      </c>
      <c r="V36" s="38" t="s">
        <v>53</v>
      </c>
      <c r="W36" s="36">
        <v>0.85383755325698973</v>
      </c>
      <c r="X36" s="37">
        <v>0.13419805746290323</v>
      </c>
      <c r="Y36" s="38" t="s">
        <v>53</v>
      </c>
      <c r="Z36" s="36">
        <v>1.9361890852451324E-2</v>
      </c>
      <c r="AA36" s="37">
        <v>0.61431163549423218</v>
      </c>
      <c r="AB36" s="38" t="s">
        <v>53</v>
      </c>
      <c r="AC36" s="36">
        <v>-1.9361890852451324E-2</v>
      </c>
      <c r="AD36" s="37">
        <v>0.61431163549423218</v>
      </c>
      <c r="AE36" s="38" t="s">
        <v>53</v>
      </c>
      <c r="AF36" s="36">
        <v>-0.48619800806045532</v>
      </c>
      <c r="AG36" s="37">
        <v>0.57584476470947266</v>
      </c>
      <c r="AH36" s="38" t="s">
        <v>53</v>
      </c>
      <c r="AI36" s="36">
        <v>0.46683612465858459</v>
      </c>
      <c r="AJ36" s="37">
        <v>0.17282390594482422</v>
      </c>
      <c r="AK36" s="39" t="s">
        <v>53</v>
      </c>
    </row>
    <row r="37" spans="1:37" x14ac:dyDescent="0.25">
      <c r="A37" s="15" t="s">
        <v>151</v>
      </c>
      <c r="B37" s="36">
        <v>98.260933266692646</v>
      </c>
      <c r="C37" s="37">
        <v>0.26632862499029458</v>
      </c>
      <c r="D37" s="38" t="s">
        <v>53</v>
      </c>
      <c r="E37" s="36">
        <v>1.7390667333073531</v>
      </c>
      <c r="F37" s="37">
        <v>0.26632862499029419</v>
      </c>
      <c r="G37" s="38" t="s">
        <v>53</v>
      </c>
      <c r="H37" s="36">
        <v>1.5808393602705251</v>
      </c>
      <c r="I37" s="37">
        <v>0.26138671788832618</v>
      </c>
      <c r="J37" s="38" t="s">
        <v>53</v>
      </c>
      <c r="K37" s="36">
        <v>0.15822737303682491</v>
      </c>
      <c r="L37" s="37">
        <v>6.0108533217213669E-2</v>
      </c>
      <c r="M37" s="38" t="s">
        <v>53</v>
      </c>
      <c r="N37" s="36">
        <v>98.440075022288298</v>
      </c>
      <c r="O37" s="37">
        <v>0.13051569969861437</v>
      </c>
      <c r="P37" s="38" t="s">
        <v>53</v>
      </c>
      <c r="Q37" s="36">
        <v>1.559924977711695</v>
      </c>
      <c r="R37" s="37">
        <v>0.13051569969861848</v>
      </c>
      <c r="S37" s="38" t="s">
        <v>53</v>
      </c>
      <c r="T37" s="36">
        <v>1.224244198294155</v>
      </c>
      <c r="U37" s="37">
        <v>0.11948613932233836</v>
      </c>
      <c r="V37" s="38" t="s">
        <v>53</v>
      </c>
      <c r="W37" s="36">
        <v>0.33568077941754748</v>
      </c>
      <c r="X37" s="37">
        <v>7.172731054507471E-2</v>
      </c>
      <c r="Y37" s="38" t="s">
        <v>53</v>
      </c>
      <c r="Z37" s="36">
        <v>0.17914175987243652</v>
      </c>
      <c r="AA37" s="37">
        <v>0.2965894341468811</v>
      </c>
      <c r="AB37" s="38" t="s">
        <v>53</v>
      </c>
      <c r="AC37" s="36">
        <v>-0.17914175987243652</v>
      </c>
      <c r="AD37" s="37">
        <v>0.2965894341468811</v>
      </c>
      <c r="AE37" s="38" t="s">
        <v>53</v>
      </c>
      <c r="AF37" s="36">
        <v>-0.35659515857696533</v>
      </c>
      <c r="AG37" s="37">
        <v>0.28740206360816956</v>
      </c>
      <c r="AH37" s="38" t="s">
        <v>53</v>
      </c>
      <c r="AI37" s="36">
        <v>0.17745341360569</v>
      </c>
      <c r="AJ37" s="37">
        <v>9.3583345413208008E-2</v>
      </c>
      <c r="AK37" s="39" t="s">
        <v>53</v>
      </c>
    </row>
    <row r="38" spans="1:37" x14ac:dyDescent="0.25">
      <c r="A38" s="15" t="s">
        <v>152</v>
      </c>
      <c r="B38" s="36">
        <v>59.844098737678387</v>
      </c>
      <c r="C38" s="37">
        <v>0.65453607203328534</v>
      </c>
      <c r="D38" s="38" t="s">
        <v>53</v>
      </c>
      <c r="E38" s="36">
        <v>40.155901262321542</v>
      </c>
      <c r="F38" s="37">
        <v>0.65453607203327802</v>
      </c>
      <c r="G38" s="38" t="s">
        <v>53</v>
      </c>
      <c r="H38" s="36">
        <v>24.042597474815562</v>
      </c>
      <c r="I38" s="37">
        <v>0.58395048982083464</v>
      </c>
      <c r="J38" s="38" t="s">
        <v>53</v>
      </c>
      <c r="K38" s="36">
        <v>16.113303787506041</v>
      </c>
      <c r="L38" s="37">
        <v>0.50457514534477377</v>
      </c>
      <c r="M38" s="38" t="s">
        <v>53</v>
      </c>
      <c r="N38" s="36">
        <v>45.128190602967067</v>
      </c>
      <c r="O38" s="37">
        <v>0.64370888429343665</v>
      </c>
      <c r="P38" s="38" t="s">
        <v>53</v>
      </c>
      <c r="Q38" s="36">
        <v>54.87180939703277</v>
      </c>
      <c r="R38" s="37">
        <v>0.6437088842934392</v>
      </c>
      <c r="S38" s="38" t="s">
        <v>53</v>
      </c>
      <c r="T38" s="36">
        <v>30.354205791711269</v>
      </c>
      <c r="U38" s="37">
        <v>0.63373826630227925</v>
      </c>
      <c r="V38" s="38" t="s">
        <v>53</v>
      </c>
      <c r="W38" s="36">
        <v>24.51760360532165</v>
      </c>
      <c r="X38" s="37">
        <v>0.51539766787330077</v>
      </c>
      <c r="Y38" s="38" t="s">
        <v>53</v>
      </c>
      <c r="Z38" s="36">
        <v>-14.715908050537109</v>
      </c>
      <c r="AA38" s="37">
        <v>0.91802972555160522</v>
      </c>
      <c r="AB38" s="38" t="s">
        <v>53</v>
      </c>
      <c r="AC38" s="36">
        <v>14.715908050537109</v>
      </c>
      <c r="AD38" s="37">
        <v>0.91802972555160522</v>
      </c>
      <c r="AE38" s="38" t="s">
        <v>53</v>
      </c>
      <c r="AF38" s="36">
        <v>6.3116083145141602</v>
      </c>
      <c r="AG38" s="37">
        <v>0.86175537109375</v>
      </c>
      <c r="AH38" s="38" t="s">
        <v>53</v>
      </c>
      <c r="AI38" s="36">
        <v>8.4042997360229492</v>
      </c>
      <c r="AJ38" s="37">
        <v>0.72127026319503784</v>
      </c>
      <c r="AK38" s="39" t="s">
        <v>53</v>
      </c>
    </row>
    <row r="39" spans="1:37" x14ac:dyDescent="0.25">
      <c r="A39" s="15" t="s">
        <v>153</v>
      </c>
      <c r="B39" s="36">
        <v>98.140863665096802</v>
      </c>
      <c r="C39" s="37">
        <v>0.15268875932420878</v>
      </c>
      <c r="D39" s="38" t="s">
        <v>53</v>
      </c>
      <c r="E39" s="36">
        <v>1.85913633490321</v>
      </c>
      <c r="F39" s="37">
        <v>0.15268875932420237</v>
      </c>
      <c r="G39" s="38" t="s">
        <v>53</v>
      </c>
      <c r="H39" s="36">
        <v>0.73294740459950825</v>
      </c>
      <c r="I39" s="37">
        <v>9.9863501269314814E-2</v>
      </c>
      <c r="J39" s="38" t="s">
        <v>53</v>
      </c>
      <c r="K39" s="36">
        <v>1.1261889303036869</v>
      </c>
      <c r="L39" s="37">
        <v>9.1873478064447123E-2</v>
      </c>
      <c r="M39" s="38" t="s">
        <v>53</v>
      </c>
      <c r="N39" s="36">
        <v>98.438578844848422</v>
      </c>
      <c r="O39" s="37">
        <v>0.26845505611359965</v>
      </c>
      <c r="P39" s="38" t="s">
        <v>53</v>
      </c>
      <c r="Q39" s="36">
        <v>1.5614211551515871</v>
      </c>
      <c r="R39" s="37">
        <v>0.26845505611360887</v>
      </c>
      <c r="S39" s="38" t="s">
        <v>53</v>
      </c>
      <c r="T39" s="36">
        <v>0.8626037472578254</v>
      </c>
      <c r="U39" s="37">
        <v>0.19166077405043153</v>
      </c>
      <c r="V39" s="38" t="s">
        <v>53</v>
      </c>
      <c r="W39" s="36">
        <v>0.6988174078937498</v>
      </c>
      <c r="X39" s="37">
        <v>0.1350943024092032</v>
      </c>
      <c r="Y39" s="38" t="s">
        <v>53</v>
      </c>
      <c r="Z39" s="36">
        <v>0.29771518707275391</v>
      </c>
      <c r="AA39" s="37">
        <v>0.30883970856666565</v>
      </c>
      <c r="AB39" s="38" t="s">
        <v>53</v>
      </c>
      <c r="AC39" s="36">
        <v>-0.29771518707275391</v>
      </c>
      <c r="AD39" s="37">
        <v>0.30883970856666565</v>
      </c>
      <c r="AE39" s="38" t="s">
        <v>53</v>
      </c>
      <c r="AF39" s="36">
        <v>0.1296563446521759</v>
      </c>
      <c r="AG39" s="37">
        <v>0.21611702442169189</v>
      </c>
      <c r="AH39" s="38" t="s">
        <v>53</v>
      </c>
      <c r="AI39" s="36">
        <v>-0.42737153172492981</v>
      </c>
      <c r="AJ39" s="37">
        <v>0.16337443888187408</v>
      </c>
      <c r="AK39" s="39" t="s">
        <v>53</v>
      </c>
    </row>
    <row r="40" spans="1:37" x14ac:dyDescent="0.25">
      <c r="A40" s="15" t="s">
        <v>226</v>
      </c>
      <c r="B40" s="36">
        <v>87.871643902900686</v>
      </c>
      <c r="C40" s="37">
        <v>1.393123591350746</v>
      </c>
      <c r="D40" s="38" t="s">
        <v>53</v>
      </c>
      <c r="E40" s="36">
        <v>12.12835609709928</v>
      </c>
      <c r="F40" s="37">
        <v>1.3931235913507531</v>
      </c>
      <c r="G40" s="38" t="s">
        <v>53</v>
      </c>
      <c r="H40" s="36">
        <v>8.8928315417844495</v>
      </c>
      <c r="I40" s="37">
        <v>1.0724500663252432</v>
      </c>
      <c r="J40" s="38" t="s">
        <v>53</v>
      </c>
      <c r="K40" s="36">
        <v>3.2355245553148539</v>
      </c>
      <c r="L40" s="37">
        <v>0.47359038310021401</v>
      </c>
      <c r="M40" s="38" t="s">
        <v>53</v>
      </c>
      <c r="N40" s="36">
        <v>86.232634446567261</v>
      </c>
      <c r="O40" s="37">
        <v>1.1613432186534547</v>
      </c>
      <c r="P40" s="38" t="s">
        <v>53</v>
      </c>
      <c r="Q40" s="36">
        <v>13.767365553432789</v>
      </c>
      <c r="R40" s="37">
        <v>1.1613432186534567</v>
      </c>
      <c r="S40" s="38" t="s">
        <v>53</v>
      </c>
      <c r="T40" s="36">
        <v>11.02203657693971</v>
      </c>
      <c r="U40" s="37">
        <v>1.0679346585409197</v>
      </c>
      <c r="V40" s="38" t="s">
        <v>53</v>
      </c>
      <c r="W40" s="36">
        <v>2.745328976493036</v>
      </c>
      <c r="X40" s="37">
        <v>0.3028091436921061</v>
      </c>
      <c r="Y40" s="38" t="s">
        <v>53</v>
      </c>
      <c r="Z40" s="36">
        <v>-1.6390094757080078</v>
      </c>
      <c r="AA40" s="37">
        <v>1.8137010335922241</v>
      </c>
      <c r="AB40" s="38" t="s">
        <v>53</v>
      </c>
      <c r="AC40" s="36">
        <v>1.6390094757080078</v>
      </c>
      <c r="AD40" s="37">
        <v>1.8137010335922241</v>
      </c>
      <c r="AE40" s="38" t="s">
        <v>53</v>
      </c>
      <c r="AF40" s="36">
        <v>2.1292049884796143</v>
      </c>
      <c r="AG40" s="37">
        <v>1.5134838819503784</v>
      </c>
      <c r="AH40" s="38" t="s">
        <v>53</v>
      </c>
      <c r="AI40" s="36">
        <v>-0.49019557237625122</v>
      </c>
      <c r="AJ40" s="37">
        <v>0.56212204694747925</v>
      </c>
      <c r="AK40" s="39" t="s">
        <v>53</v>
      </c>
    </row>
    <row r="41" spans="1:37" x14ac:dyDescent="0.25">
      <c r="A41" s="15" t="s">
        <v>154</v>
      </c>
      <c r="B41" s="36">
        <v>75.327251809591871</v>
      </c>
      <c r="C41" s="37">
        <v>1.0453016050621171</v>
      </c>
      <c r="D41" s="38" t="s">
        <v>53</v>
      </c>
      <c r="E41" s="36">
        <v>24.672748190408129</v>
      </c>
      <c r="F41" s="37">
        <v>1.0453016050621282</v>
      </c>
      <c r="G41" s="38" t="s">
        <v>53</v>
      </c>
      <c r="H41" s="36">
        <v>8.0103000124682708</v>
      </c>
      <c r="I41" s="37">
        <v>0.62439951510825775</v>
      </c>
      <c r="J41" s="38" t="s">
        <v>53</v>
      </c>
      <c r="K41" s="36">
        <v>16.662448177939851</v>
      </c>
      <c r="L41" s="37">
        <v>0.74815986740865814</v>
      </c>
      <c r="M41" s="38" t="s">
        <v>53</v>
      </c>
      <c r="N41" s="36">
        <v>73.540158857159383</v>
      </c>
      <c r="O41" s="37">
        <v>1.3482097436076363</v>
      </c>
      <c r="P41" s="38" t="s">
        <v>53</v>
      </c>
      <c r="Q41" s="36">
        <v>26.45984114284061</v>
      </c>
      <c r="R41" s="37">
        <v>1.3482097436076308</v>
      </c>
      <c r="S41" s="38" t="s">
        <v>53</v>
      </c>
      <c r="T41" s="36">
        <v>11.674968618382909</v>
      </c>
      <c r="U41" s="37">
        <v>0.79173462219743074</v>
      </c>
      <c r="V41" s="38" t="s">
        <v>53</v>
      </c>
      <c r="W41" s="36">
        <v>14.78487252445772</v>
      </c>
      <c r="X41" s="37">
        <v>0.74764793462912238</v>
      </c>
      <c r="Y41" s="38" t="s">
        <v>53</v>
      </c>
      <c r="Z41" s="36">
        <v>-1.787092924118042</v>
      </c>
      <c r="AA41" s="37">
        <v>1.7059674263000488</v>
      </c>
      <c r="AB41" s="38" t="s">
        <v>53</v>
      </c>
      <c r="AC41" s="36">
        <v>1.787092924118042</v>
      </c>
      <c r="AD41" s="37">
        <v>1.7059674263000488</v>
      </c>
      <c r="AE41" s="38" t="s">
        <v>53</v>
      </c>
      <c r="AF41" s="36">
        <v>3.6646685600280762</v>
      </c>
      <c r="AG41" s="37">
        <v>1.0083246231079102</v>
      </c>
      <c r="AH41" s="38" t="s">
        <v>53</v>
      </c>
      <c r="AI41" s="36">
        <v>-1.8775756359100342</v>
      </c>
      <c r="AJ41" s="37">
        <v>1.0576958656311035</v>
      </c>
      <c r="AK41" s="39" t="s">
        <v>53</v>
      </c>
    </row>
    <row r="42" spans="1:37" x14ac:dyDescent="0.25">
      <c r="A42" s="15" t="s">
        <v>155</v>
      </c>
      <c r="B42" s="36">
        <v>93.203789495704328</v>
      </c>
      <c r="C42" s="37">
        <v>0.55132698928027402</v>
      </c>
      <c r="D42" s="38" t="s">
        <v>53</v>
      </c>
      <c r="E42" s="36">
        <v>6.7962105042956082</v>
      </c>
      <c r="F42" s="37">
        <v>0.55132698928030721</v>
      </c>
      <c r="G42" s="38" t="s">
        <v>53</v>
      </c>
      <c r="H42" s="36">
        <v>3.6164653931497681</v>
      </c>
      <c r="I42" s="37">
        <v>0.41812984271792697</v>
      </c>
      <c r="J42" s="38" t="s">
        <v>53</v>
      </c>
      <c r="K42" s="36">
        <v>3.179745111145913</v>
      </c>
      <c r="L42" s="37">
        <v>0.30575360220163195</v>
      </c>
      <c r="M42" s="38" t="s">
        <v>53</v>
      </c>
      <c r="N42" s="36">
        <v>87.600103908282207</v>
      </c>
      <c r="O42" s="37">
        <v>0.77280409093369851</v>
      </c>
      <c r="P42" s="38" t="s">
        <v>53</v>
      </c>
      <c r="Q42" s="36">
        <v>12.39989609171765</v>
      </c>
      <c r="R42" s="37">
        <v>0.77280409093371216</v>
      </c>
      <c r="S42" s="38" t="s">
        <v>53</v>
      </c>
      <c r="T42" s="36">
        <v>6.214398725146653</v>
      </c>
      <c r="U42" s="37">
        <v>0.59550451662390314</v>
      </c>
      <c r="V42" s="38" t="s">
        <v>53</v>
      </c>
      <c r="W42" s="36">
        <v>6.185497366571151</v>
      </c>
      <c r="X42" s="37">
        <v>0.35792008494844696</v>
      </c>
      <c r="Y42" s="38" t="s">
        <v>53</v>
      </c>
      <c r="Z42" s="36">
        <v>-5.6036853790283203</v>
      </c>
      <c r="AA42" s="37">
        <v>0.94930899143218994</v>
      </c>
      <c r="AB42" s="38" t="s">
        <v>53</v>
      </c>
      <c r="AC42" s="36">
        <v>5.6036853790283203</v>
      </c>
      <c r="AD42" s="37">
        <v>0.94930899143218994</v>
      </c>
      <c r="AE42" s="38" t="s">
        <v>53</v>
      </c>
      <c r="AF42" s="36">
        <v>2.597933292388916</v>
      </c>
      <c r="AG42" s="37">
        <v>0.72763878107070923</v>
      </c>
      <c r="AH42" s="38" t="s">
        <v>53</v>
      </c>
      <c r="AI42" s="36">
        <v>3.0057523250579834</v>
      </c>
      <c r="AJ42" s="37">
        <v>0.47073563933372498</v>
      </c>
      <c r="AK42" s="39" t="s">
        <v>53</v>
      </c>
    </row>
    <row r="43" spans="1:37" x14ac:dyDescent="0.25">
      <c r="A43" s="15" t="s">
        <v>156</v>
      </c>
      <c r="B43" s="36">
        <v>99.967591115646897</v>
      </c>
      <c r="C43" s="37">
        <v>3.2690297832151223E-2</v>
      </c>
      <c r="D43" s="38" t="s">
        <v>53</v>
      </c>
      <c r="E43" s="36">
        <v>3.24088843531204E-2</v>
      </c>
      <c r="F43" s="37">
        <v>3.2690297832151695E-2</v>
      </c>
      <c r="G43" s="38" t="s">
        <v>53</v>
      </c>
      <c r="H43" s="36">
        <v>0</v>
      </c>
      <c r="I43" s="37" t="s">
        <v>56</v>
      </c>
      <c r="J43" s="38" t="s">
        <v>53</v>
      </c>
      <c r="K43" s="36">
        <v>3.24088843531204E-2</v>
      </c>
      <c r="L43" s="37">
        <v>3.2690297832151702E-2</v>
      </c>
      <c r="M43" s="38" t="s">
        <v>53</v>
      </c>
      <c r="N43" s="36">
        <v>99.356879211432911</v>
      </c>
      <c r="O43" s="37">
        <v>0.19031100288588021</v>
      </c>
      <c r="P43" s="38" t="s">
        <v>53</v>
      </c>
      <c r="Q43" s="36">
        <v>0.64312078856708388</v>
      </c>
      <c r="R43" s="37">
        <v>0.19031100288588079</v>
      </c>
      <c r="S43" s="38" t="s">
        <v>53</v>
      </c>
      <c r="T43" s="36">
        <v>0.29279602375656327</v>
      </c>
      <c r="U43" s="37">
        <v>9.5742688298270595E-2</v>
      </c>
      <c r="V43" s="38" t="s">
        <v>53</v>
      </c>
      <c r="W43" s="36">
        <v>0.35032476481052899</v>
      </c>
      <c r="X43" s="37">
        <v>0.15835292857177521</v>
      </c>
      <c r="Y43" s="38" t="s">
        <v>53</v>
      </c>
      <c r="Z43" s="36">
        <v>-0.61071193218231201</v>
      </c>
      <c r="AA43" s="37">
        <v>0.19309824705123901</v>
      </c>
      <c r="AB43" s="38" t="s">
        <v>53</v>
      </c>
      <c r="AC43" s="36">
        <v>0.61071193218231201</v>
      </c>
      <c r="AD43" s="37">
        <v>0.19309824705123901</v>
      </c>
      <c r="AE43" s="38" t="s">
        <v>53</v>
      </c>
      <c r="AF43" s="36">
        <v>0.29279601573944092</v>
      </c>
      <c r="AG43" s="37">
        <v>9.5742687582969666E-2</v>
      </c>
      <c r="AH43" s="38" t="s">
        <v>53</v>
      </c>
      <c r="AI43" s="36">
        <v>0.31791588664054871</v>
      </c>
      <c r="AJ43" s="37">
        <v>0.16169200837612152</v>
      </c>
      <c r="AK43" s="39" t="s">
        <v>53</v>
      </c>
    </row>
    <row r="44" spans="1:37" x14ac:dyDescent="0.25">
      <c r="A44" s="15" t="s">
        <v>227</v>
      </c>
      <c r="B44" s="36">
        <v>94.521850426481819</v>
      </c>
      <c r="C44" s="37">
        <v>0.46302318552359145</v>
      </c>
      <c r="D44" s="38" t="s">
        <v>53</v>
      </c>
      <c r="E44" s="36">
        <v>5.4781495735182011</v>
      </c>
      <c r="F44" s="37">
        <v>0.46302318552359772</v>
      </c>
      <c r="G44" s="38" t="s">
        <v>53</v>
      </c>
      <c r="H44" s="36">
        <v>2.7182208138532711</v>
      </c>
      <c r="I44" s="37">
        <v>0.32888712420056382</v>
      </c>
      <c r="J44" s="38" t="s">
        <v>53</v>
      </c>
      <c r="K44" s="36">
        <v>2.7599287596649238</v>
      </c>
      <c r="L44" s="37">
        <v>0.25634453365170551</v>
      </c>
      <c r="M44" s="38" t="s">
        <v>53</v>
      </c>
      <c r="N44" s="36">
        <v>93.036766411240805</v>
      </c>
      <c r="O44" s="37">
        <v>0.57149006614731701</v>
      </c>
      <c r="P44" s="38" t="s">
        <v>53</v>
      </c>
      <c r="Q44" s="36">
        <v>6.9632335887591807</v>
      </c>
      <c r="R44" s="37">
        <v>0.57149006614731879</v>
      </c>
      <c r="S44" s="38" t="s">
        <v>53</v>
      </c>
      <c r="T44" s="36">
        <v>4.0064985409474074</v>
      </c>
      <c r="U44" s="37">
        <v>0.35973177686509444</v>
      </c>
      <c r="V44" s="38" t="s">
        <v>53</v>
      </c>
      <c r="W44" s="36">
        <v>2.9567350478118022</v>
      </c>
      <c r="X44" s="37">
        <v>0.37712850953344029</v>
      </c>
      <c r="Y44" s="38" t="s">
        <v>53</v>
      </c>
      <c r="Z44" s="36">
        <v>-1.485084056854248</v>
      </c>
      <c r="AA44" s="37">
        <v>0.73552113771438599</v>
      </c>
      <c r="AB44" s="38" t="s">
        <v>53</v>
      </c>
      <c r="AC44" s="36">
        <v>1.485084056854248</v>
      </c>
      <c r="AD44" s="37">
        <v>0.73552113771438599</v>
      </c>
      <c r="AE44" s="38" t="s">
        <v>53</v>
      </c>
      <c r="AF44" s="36">
        <v>1.2882777452468872</v>
      </c>
      <c r="AG44" s="37">
        <v>0.48741531372070313</v>
      </c>
      <c r="AH44" s="38" t="s">
        <v>53</v>
      </c>
      <c r="AI44" s="36">
        <v>0.19680628180503845</v>
      </c>
      <c r="AJ44" s="37">
        <v>0.45600265264511108</v>
      </c>
      <c r="AK44" s="39" t="s">
        <v>53</v>
      </c>
    </row>
    <row r="45" spans="1:37" x14ac:dyDescent="0.25">
      <c r="A45" s="15" t="s">
        <v>157</v>
      </c>
      <c r="B45" s="36">
        <v>99.472602800455036</v>
      </c>
      <c r="C45" s="37">
        <v>0.12840421090664939</v>
      </c>
      <c r="D45" s="38" t="s">
        <v>53</v>
      </c>
      <c r="E45" s="36">
        <v>0.52739719954495823</v>
      </c>
      <c r="F45" s="37">
        <v>0.12840421090664947</v>
      </c>
      <c r="G45" s="38" t="s">
        <v>53</v>
      </c>
      <c r="H45" s="36">
        <v>0.27141401336748788</v>
      </c>
      <c r="I45" s="37">
        <v>7.4059475199165434E-2</v>
      </c>
      <c r="J45" s="38" t="s">
        <v>53</v>
      </c>
      <c r="K45" s="36">
        <v>0.25598318617747001</v>
      </c>
      <c r="L45" s="37">
        <v>0.11145259852311393</v>
      </c>
      <c r="M45" s="38" t="s">
        <v>53</v>
      </c>
      <c r="N45" s="36">
        <v>98.811469012740829</v>
      </c>
      <c r="O45" s="37">
        <v>0.1684223001655282</v>
      </c>
      <c r="P45" s="38" t="s">
        <v>53</v>
      </c>
      <c r="Q45" s="36">
        <v>1.188530987259188</v>
      </c>
      <c r="R45" s="37">
        <v>0.1684223001655249</v>
      </c>
      <c r="S45" s="38" t="s">
        <v>53</v>
      </c>
      <c r="T45" s="36">
        <v>0.62992505979310098</v>
      </c>
      <c r="U45" s="37">
        <v>0.10065445177703514</v>
      </c>
      <c r="V45" s="38" t="s">
        <v>53</v>
      </c>
      <c r="W45" s="36">
        <v>0.55860592746606952</v>
      </c>
      <c r="X45" s="37">
        <v>0.12560693466755446</v>
      </c>
      <c r="Y45" s="38" t="s">
        <v>53</v>
      </c>
      <c r="Z45" s="36">
        <v>-0.66113376617431641</v>
      </c>
      <c r="AA45" s="37">
        <v>0.21178695559501648</v>
      </c>
      <c r="AB45" s="38" t="s">
        <v>53</v>
      </c>
      <c r="AC45" s="36">
        <v>0.66113376617431641</v>
      </c>
      <c r="AD45" s="37">
        <v>0.21178695559501648</v>
      </c>
      <c r="AE45" s="38" t="s">
        <v>53</v>
      </c>
      <c r="AF45" s="36">
        <v>0.3585110604763031</v>
      </c>
      <c r="AG45" s="37">
        <v>0.12496449053287506</v>
      </c>
      <c r="AH45" s="38" t="s">
        <v>53</v>
      </c>
      <c r="AI45" s="36">
        <v>0.30262273550033569</v>
      </c>
      <c r="AJ45" s="37">
        <v>0.16792494058609009</v>
      </c>
      <c r="AK45" s="39" t="s">
        <v>53</v>
      </c>
    </row>
    <row r="46" spans="1:37" x14ac:dyDescent="0.25">
      <c r="A46" s="15" t="s">
        <v>158</v>
      </c>
      <c r="B46" s="36">
        <v>92.233518693773092</v>
      </c>
      <c r="C46" s="37">
        <v>0.41013082077331781</v>
      </c>
      <c r="D46" s="38" t="s">
        <v>53</v>
      </c>
      <c r="E46" s="36">
        <v>7.766481306226944</v>
      </c>
      <c r="F46" s="37">
        <v>0.41013082077332036</v>
      </c>
      <c r="G46" s="38" t="s">
        <v>53</v>
      </c>
      <c r="H46" s="36">
        <v>6.3838184492602688</v>
      </c>
      <c r="I46" s="37">
        <v>0.37362628325966118</v>
      </c>
      <c r="J46" s="38" t="s">
        <v>53</v>
      </c>
      <c r="K46" s="36">
        <v>1.382662856966647</v>
      </c>
      <c r="L46" s="37">
        <v>0.18216772132556314</v>
      </c>
      <c r="M46" s="38" t="s">
        <v>53</v>
      </c>
      <c r="N46" s="36">
        <v>91.119858336334076</v>
      </c>
      <c r="O46" s="37">
        <v>0.31167440261342644</v>
      </c>
      <c r="P46" s="38" t="s">
        <v>53</v>
      </c>
      <c r="Q46" s="36">
        <v>8.8801416636658708</v>
      </c>
      <c r="R46" s="37">
        <v>0.31167440261340085</v>
      </c>
      <c r="S46" s="38" t="s">
        <v>53</v>
      </c>
      <c r="T46" s="36">
        <v>3.632577427848791</v>
      </c>
      <c r="U46" s="37">
        <v>0.2358783092387558</v>
      </c>
      <c r="V46" s="38" t="s">
        <v>53</v>
      </c>
      <c r="W46" s="36">
        <v>5.2475642358171513</v>
      </c>
      <c r="X46" s="37">
        <v>0.28018434203290332</v>
      </c>
      <c r="Y46" s="38" t="s">
        <v>53</v>
      </c>
      <c r="Z46" s="36">
        <v>-1.1136603355407715</v>
      </c>
      <c r="AA46" s="37">
        <v>0.51511961221694946</v>
      </c>
      <c r="AB46" s="38" t="s">
        <v>53</v>
      </c>
      <c r="AC46" s="36">
        <v>1.1136603355407715</v>
      </c>
      <c r="AD46" s="37">
        <v>0.51511961221694946</v>
      </c>
      <c r="AE46" s="38" t="s">
        <v>53</v>
      </c>
      <c r="AF46" s="36">
        <v>-2.7512409687042236</v>
      </c>
      <c r="AG46" s="37">
        <v>0.44185423851013184</v>
      </c>
      <c r="AH46" s="38" t="s">
        <v>53</v>
      </c>
      <c r="AI46" s="36">
        <v>3.8649013042449951</v>
      </c>
      <c r="AJ46" s="37">
        <v>0.33419805765151978</v>
      </c>
      <c r="AK46" s="39" t="s">
        <v>53</v>
      </c>
    </row>
    <row r="47" spans="1:37" x14ac:dyDescent="0.25">
      <c r="A47" s="15" t="s">
        <v>159</v>
      </c>
      <c r="B47" s="36">
        <v>90.511415891567822</v>
      </c>
      <c r="C47" s="37">
        <v>0.50841923536739386</v>
      </c>
      <c r="D47" s="38" t="s">
        <v>53</v>
      </c>
      <c r="E47" s="36">
        <v>9.4885841084322688</v>
      </c>
      <c r="F47" s="37">
        <v>0.50841923536738121</v>
      </c>
      <c r="G47" s="38" t="s">
        <v>53</v>
      </c>
      <c r="H47" s="36">
        <v>1.0679523956493571</v>
      </c>
      <c r="I47" s="37">
        <v>0.11689215097122782</v>
      </c>
      <c r="J47" s="38" t="s">
        <v>53</v>
      </c>
      <c r="K47" s="36">
        <v>8.4206317127828374</v>
      </c>
      <c r="L47" s="37">
        <v>0.48048354080523709</v>
      </c>
      <c r="M47" s="38" t="s">
        <v>53</v>
      </c>
      <c r="N47" s="36">
        <v>87.81183827138625</v>
      </c>
      <c r="O47" s="37">
        <v>0.47645498721799479</v>
      </c>
      <c r="P47" s="38" t="s">
        <v>53</v>
      </c>
      <c r="Q47" s="36">
        <v>12.188161728613951</v>
      </c>
      <c r="R47" s="37">
        <v>0.47645498721799523</v>
      </c>
      <c r="S47" s="38" t="s">
        <v>53</v>
      </c>
      <c r="T47" s="36">
        <v>4.9040869933526157</v>
      </c>
      <c r="U47" s="37">
        <v>0.26783511670813098</v>
      </c>
      <c r="V47" s="38" t="s">
        <v>53</v>
      </c>
      <c r="W47" s="36">
        <v>7.2840747352611368</v>
      </c>
      <c r="X47" s="37">
        <v>0.3049533695831993</v>
      </c>
      <c r="Y47" s="38" t="s">
        <v>53</v>
      </c>
      <c r="Z47" s="36">
        <v>-2.6995775699615479</v>
      </c>
      <c r="AA47" s="37">
        <v>0.69677793979644775</v>
      </c>
      <c r="AB47" s="38" t="s">
        <v>53</v>
      </c>
      <c r="AC47" s="36">
        <v>2.6995775699615479</v>
      </c>
      <c r="AD47" s="37">
        <v>0.69677793979644775</v>
      </c>
      <c r="AE47" s="38" t="s">
        <v>53</v>
      </c>
      <c r="AF47" s="36">
        <v>3.836134672164917</v>
      </c>
      <c r="AG47" s="37">
        <v>0.29223179817199707</v>
      </c>
      <c r="AH47" s="38" t="s">
        <v>53</v>
      </c>
      <c r="AI47" s="36">
        <v>-1.1365569829940796</v>
      </c>
      <c r="AJ47" s="37">
        <v>0.56908786296844482</v>
      </c>
      <c r="AK47" s="39" t="s">
        <v>53</v>
      </c>
    </row>
    <row r="48" spans="1:37" x14ac:dyDescent="0.25">
      <c r="A48" s="15" t="s">
        <v>160</v>
      </c>
      <c r="B48" s="36">
        <v>88.269996880311481</v>
      </c>
      <c r="C48" s="37">
        <v>1.184059369544407</v>
      </c>
      <c r="D48" s="38" t="s">
        <v>53</v>
      </c>
      <c r="E48" s="36">
        <v>11.730003119688419</v>
      </c>
      <c r="F48" s="37">
        <v>1.1840593695444137</v>
      </c>
      <c r="G48" s="38" t="s">
        <v>53</v>
      </c>
      <c r="H48" s="36">
        <v>7.9855834899630116</v>
      </c>
      <c r="I48" s="37">
        <v>0.84925448126976522</v>
      </c>
      <c r="J48" s="38" t="s">
        <v>53</v>
      </c>
      <c r="K48" s="36">
        <v>3.7444196297255168</v>
      </c>
      <c r="L48" s="37">
        <v>0.46549645463616302</v>
      </c>
      <c r="M48" s="38" t="s">
        <v>53</v>
      </c>
      <c r="N48" s="36">
        <v>79.526884135574562</v>
      </c>
      <c r="O48" s="37">
        <v>1.3408865697379317</v>
      </c>
      <c r="P48" s="38" t="s">
        <v>53</v>
      </c>
      <c r="Q48" s="36">
        <v>20.473115864425338</v>
      </c>
      <c r="R48" s="37">
        <v>1.340886569737872</v>
      </c>
      <c r="S48" s="38" t="s">
        <v>53</v>
      </c>
      <c r="T48" s="36">
        <v>10.887352080916751</v>
      </c>
      <c r="U48" s="37">
        <v>0.87933699044520464</v>
      </c>
      <c r="V48" s="38" t="s">
        <v>53</v>
      </c>
      <c r="W48" s="36">
        <v>9.5857637835086926</v>
      </c>
      <c r="X48" s="37">
        <v>0.7007639536028647</v>
      </c>
      <c r="Y48" s="38" t="s">
        <v>53</v>
      </c>
      <c r="Z48" s="36">
        <v>-8.7431125640869141</v>
      </c>
      <c r="AA48" s="37">
        <v>1.7888469696044922</v>
      </c>
      <c r="AB48" s="38" t="s">
        <v>53</v>
      </c>
      <c r="AC48" s="36">
        <v>8.7431125640869141</v>
      </c>
      <c r="AD48" s="37">
        <v>1.7888469696044922</v>
      </c>
      <c r="AE48" s="38" t="s">
        <v>53</v>
      </c>
      <c r="AF48" s="36">
        <v>2.901768684387207</v>
      </c>
      <c r="AG48" s="37">
        <v>1.2224838733673096</v>
      </c>
      <c r="AH48" s="38" t="s">
        <v>53</v>
      </c>
      <c r="AI48" s="36">
        <v>5.8413443565368652</v>
      </c>
      <c r="AJ48" s="37">
        <v>0.84128296375274658</v>
      </c>
      <c r="AK48" s="39" t="s">
        <v>53</v>
      </c>
    </row>
    <row r="49" spans="1:37" x14ac:dyDescent="0.25">
      <c r="A49" s="15" t="s">
        <v>161</v>
      </c>
      <c r="B49" s="36">
        <v>76.466837172995596</v>
      </c>
      <c r="C49" s="37">
        <v>0.9020518277229197</v>
      </c>
      <c r="D49" s="38" t="s">
        <v>53</v>
      </c>
      <c r="E49" s="36">
        <v>23.533162827004499</v>
      </c>
      <c r="F49" s="37">
        <v>0.90205182772297299</v>
      </c>
      <c r="G49" s="38" t="s">
        <v>53</v>
      </c>
      <c r="H49" s="36">
        <v>15.124860584792501</v>
      </c>
      <c r="I49" s="37">
        <v>0.6640278869565005</v>
      </c>
      <c r="J49" s="38" t="s">
        <v>53</v>
      </c>
      <c r="K49" s="36">
        <v>8.4083022422118923</v>
      </c>
      <c r="L49" s="37">
        <v>0.53028225034585907</v>
      </c>
      <c r="M49" s="38" t="s">
        <v>53</v>
      </c>
      <c r="N49" s="36">
        <v>66.131766964830632</v>
      </c>
      <c r="O49" s="37">
        <v>1.4103551478288843</v>
      </c>
      <c r="P49" s="38" t="s">
        <v>53</v>
      </c>
      <c r="Q49" s="36">
        <v>33.868233035169418</v>
      </c>
      <c r="R49" s="37">
        <v>1.4103551478288361</v>
      </c>
      <c r="S49" s="38" t="s">
        <v>53</v>
      </c>
      <c r="T49" s="36">
        <v>21.84630332180306</v>
      </c>
      <c r="U49" s="37">
        <v>1.0289328646745461</v>
      </c>
      <c r="V49" s="38" t="s">
        <v>53</v>
      </c>
      <c r="W49" s="36">
        <v>12.02192971336631</v>
      </c>
      <c r="X49" s="37">
        <v>0.59317951292007753</v>
      </c>
      <c r="Y49" s="38" t="s">
        <v>53</v>
      </c>
      <c r="Z49" s="36">
        <v>-10.335070610046387</v>
      </c>
      <c r="AA49" s="37">
        <v>1.6741561889648438</v>
      </c>
      <c r="AB49" s="38" t="s">
        <v>53</v>
      </c>
      <c r="AC49" s="36">
        <v>10.335070610046387</v>
      </c>
      <c r="AD49" s="37">
        <v>1.6741561889648438</v>
      </c>
      <c r="AE49" s="38" t="s">
        <v>53</v>
      </c>
      <c r="AF49" s="36">
        <v>6.721442699432373</v>
      </c>
      <c r="AG49" s="37">
        <v>1.2245962619781494</v>
      </c>
      <c r="AH49" s="38" t="s">
        <v>53</v>
      </c>
      <c r="AI49" s="36">
        <v>3.6136274337768555</v>
      </c>
      <c r="AJ49" s="37">
        <v>0.79565143585205078</v>
      </c>
      <c r="AK49" s="39" t="s">
        <v>53</v>
      </c>
    </row>
    <row r="50" spans="1:37" x14ac:dyDescent="0.25">
      <c r="A50" s="15" t="s">
        <v>162</v>
      </c>
      <c r="B50" s="36">
        <v>99.492892558914008</v>
      </c>
      <c r="C50" s="37">
        <v>0.13828320141795186</v>
      </c>
      <c r="D50" s="38" t="s">
        <v>53</v>
      </c>
      <c r="E50" s="36">
        <v>0.50710744108599204</v>
      </c>
      <c r="F50" s="37">
        <v>0.138283201417954</v>
      </c>
      <c r="G50" s="38" t="s">
        <v>53</v>
      </c>
      <c r="H50" s="36">
        <v>0.38527112121095891</v>
      </c>
      <c r="I50" s="37">
        <v>9.8510154729275684E-2</v>
      </c>
      <c r="J50" s="38" t="s">
        <v>53</v>
      </c>
      <c r="K50" s="36">
        <v>0.1218363198750335</v>
      </c>
      <c r="L50" s="37">
        <v>5.5580057481653178E-2</v>
      </c>
      <c r="M50" s="38" t="s">
        <v>53</v>
      </c>
      <c r="N50" s="36">
        <v>99.145698162846131</v>
      </c>
      <c r="O50" s="37">
        <v>0.14058186011809487</v>
      </c>
      <c r="P50" s="38" t="s">
        <v>53</v>
      </c>
      <c r="Q50" s="36">
        <v>0.85430183715389429</v>
      </c>
      <c r="R50" s="37">
        <v>0.1405818601180982</v>
      </c>
      <c r="S50" s="38" t="s">
        <v>53</v>
      </c>
      <c r="T50" s="36">
        <v>0.58826220230909398</v>
      </c>
      <c r="U50" s="37">
        <v>0.11389255954576812</v>
      </c>
      <c r="V50" s="38" t="s">
        <v>53</v>
      </c>
      <c r="W50" s="36">
        <v>0.2660396348447831</v>
      </c>
      <c r="X50" s="37">
        <v>6.7978576677546823E-2</v>
      </c>
      <c r="Y50" s="38" t="s">
        <v>53</v>
      </c>
      <c r="Z50" s="36">
        <v>-0.34719440340995789</v>
      </c>
      <c r="AA50" s="37">
        <v>0.19719406962394714</v>
      </c>
      <c r="AB50" s="38" t="s">
        <v>53</v>
      </c>
      <c r="AC50" s="36">
        <v>0.34719440340995789</v>
      </c>
      <c r="AD50" s="37">
        <v>0.19719406962394714</v>
      </c>
      <c r="AE50" s="38" t="s">
        <v>53</v>
      </c>
      <c r="AF50" s="36">
        <v>0.20299108326435089</v>
      </c>
      <c r="AG50" s="37">
        <v>0.15058474242687225</v>
      </c>
      <c r="AH50" s="38" t="s">
        <v>53</v>
      </c>
      <c r="AI50" s="36">
        <v>0.14420332014560699</v>
      </c>
      <c r="AJ50" s="37">
        <v>8.7807916104793549E-2</v>
      </c>
      <c r="AK50" s="39" t="s">
        <v>53</v>
      </c>
    </row>
    <row r="51" spans="1:37" x14ac:dyDescent="0.25">
      <c r="A51" s="15" t="s">
        <v>163</v>
      </c>
      <c r="B51" s="36">
        <v>89.392033361333915</v>
      </c>
      <c r="C51" s="37">
        <v>0.96787113054129603</v>
      </c>
      <c r="D51" s="38" t="s">
        <v>53</v>
      </c>
      <c r="E51" s="36">
        <v>10.60796663866607</v>
      </c>
      <c r="F51" s="37">
        <v>0.96787113054134766</v>
      </c>
      <c r="G51" s="38" t="s">
        <v>53</v>
      </c>
      <c r="H51" s="36">
        <v>5.8025802784761566</v>
      </c>
      <c r="I51" s="37">
        <v>0.71774964761170357</v>
      </c>
      <c r="J51" s="38" t="s">
        <v>53</v>
      </c>
      <c r="K51" s="36">
        <v>4.8053863601899236</v>
      </c>
      <c r="L51" s="37">
        <v>0.42641216933813653</v>
      </c>
      <c r="M51" s="38" t="s">
        <v>53</v>
      </c>
      <c r="N51" s="36">
        <v>80.239048217491444</v>
      </c>
      <c r="O51" s="37">
        <v>1.1769923779338527</v>
      </c>
      <c r="P51" s="38" t="s">
        <v>53</v>
      </c>
      <c r="Q51" s="36">
        <v>19.760951782508641</v>
      </c>
      <c r="R51" s="37">
        <v>1.1769923779338982</v>
      </c>
      <c r="S51" s="38" t="s">
        <v>53</v>
      </c>
      <c r="T51" s="36">
        <v>11.33971495396478</v>
      </c>
      <c r="U51" s="37">
        <v>0.87722413655091103</v>
      </c>
      <c r="V51" s="38" t="s">
        <v>53</v>
      </c>
      <c r="W51" s="36">
        <v>8.4212368285437602</v>
      </c>
      <c r="X51" s="37">
        <v>0.64509896071227446</v>
      </c>
      <c r="Y51" s="38" t="s">
        <v>53</v>
      </c>
      <c r="Z51" s="36">
        <v>-9.1529855728149414</v>
      </c>
      <c r="AA51" s="37">
        <v>1.5238391160964966</v>
      </c>
      <c r="AB51" s="38" t="s">
        <v>53</v>
      </c>
      <c r="AC51" s="36">
        <v>9.1529855728149414</v>
      </c>
      <c r="AD51" s="37">
        <v>1.5238391160964966</v>
      </c>
      <c r="AE51" s="38" t="s">
        <v>53</v>
      </c>
      <c r="AF51" s="36">
        <v>5.5371346473693848</v>
      </c>
      <c r="AG51" s="37">
        <v>1.1334402561187744</v>
      </c>
      <c r="AH51" s="38" t="s">
        <v>53</v>
      </c>
      <c r="AI51" s="36">
        <v>3.6158504486083984</v>
      </c>
      <c r="AJ51" s="37">
        <v>0.77329164743423462</v>
      </c>
      <c r="AK51" s="39" t="s">
        <v>53</v>
      </c>
    </row>
    <row r="52" spans="1:37" x14ac:dyDescent="0.25">
      <c r="A52" s="15" t="s">
        <v>228</v>
      </c>
      <c r="B52" s="36">
        <v>80.543561251781128</v>
      </c>
      <c r="C52" s="37">
        <v>1.3392431864481904</v>
      </c>
      <c r="D52" s="38" t="s">
        <v>53</v>
      </c>
      <c r="E52" s="36">
        <v>19.456438748218869</v>
      </c>
      <c r="F52" s="37">
        <v>1.3392431864482011</v>
      </c>
      <c r="G52" s="38" t="s">
        <v>53</v>
      </c>
      <c r="H52" s="36">
        <v>13.024607874952549</v>
      </c>
      <c r="I52" s="37">
        <v>1.0945454253089661</v>
      </c>
      <c r="J52" s="38" t="s">
        <v>53</v>
      </c>
      <c r="K52" s="36">
        <v>6.431830873266323</v>
      </c>
      <c r="L52" s="37">
        <v>0.51351044886904007</v>
      </c>
      <c r="M52" s="38" t="s">
        <v>53</v>
      </c>
      <c r="N52" s="36">
        <v>76.987674229695727</v>
      </c>
      <c r="O52" s="37">
        <v>1.519881538268574</v>
      </c>
      <c r="P52" s="38" t="s">
        <v>53</v>
      </c>
      <c r="Q52" s="36">
        <v>23.012325770304379</v>
      </c>
      <c r="R52" s="37">
        <v>1.5198815382685824</v>
      </c>
      <c r="S52" s="38" t="s">
        <v>53</v>
      </c>
      <c r="T52" s="36">
        <v>17.090668038738329</v>
      </c>
      <c r="U52" s="37">
        <v>1.2336491154573574</v>
      </c>
      <c r="V52" s="38" t="s">
        <v>53</v>
      </c>
      <c r="W52" s="36">
        <v>5.9216577315659444</v>
      </c>
      <c r="X52" s="37">
        <v>0.60015073796758223</v>
      </c>
      <c r="Y52" s="38" t="s">
        <v>53</v>
      </c>
      <c r="Z52" s="36">
        <v>-3.55588698387146</v>
      </c>
      <c r="AA52" s="37">
        <v>2.0257375240325928</v>
      </c>
      <c r="AB52" s="38" t="s">
        <v>53</v>
      </c>
      <c r="AC52" s="36">
        <v>3.55588698387146</v>
      </c>
      <c r="AD52" s="37">
        <v>2.0257375240325928</v>
      </c>
      <c r="AE52" s="38" t="s">
        <v>53</v>
      </c>
      <c r="AF52" s="36">
        <v>4.0660600662231445</v>
      </c>
      <c r="AG52" s="37">
        <v>1.649217963218689</v>
      </c>
      <c r="AH52" s="38" t="s">
        <v>53</v>
      </c>
      <c r="AI52" s="36">
        <v>-0.51017314195632935</v>
      </c>
      <c r="AJ52" s="37">
        <v>0.78985685110092163</v>
      </c>
      <c r="AK52" s="39" t="s">
        <v>53</v>
      </c>
    </row>
    <row r="53" spans="1:37" x14ac:dyDescent="0.25">
      <c r="A53" s="15" t="s">
        <v>167</v>
      </c>
      <c r="B53" s="36">
        <v>90.452450004628503</v>
      </c>
      <c r="C53" s="37">
        <v>0.1244246975070025</v>
      </c>
      <c r="D53" s="38" t="s">
        <v>53</v>
      </c>
      <c r="E53" s="36">
        <v>9.5475499953714955</v>
      </c>
      <c r="F53" s="37">
        <v>0.1244246975070025</v>
      </c>
      <c r="G53" s="38" t="s">
        <v>53</v>
      </c>
      <c r="H53" s="36">
        <v>5.4140870135044539</v>
      </c>
      <c r="I53" s="37">
        <v>8.7733927220580502E-2</v>
      </c>
      <c r="J53" s="38" t="s">
        <v>53</v>
      </c>
      <c r="K53" s="36">
        <v>4.1334629818670443</v>
      </c>
      <c r="L53" s="37">
        <v>6.7552267385404402E-2</v>
      </c>
      <c r="M53" s="38" t="s">
        <v>53</v>
      </c>
      <c r="N53" s="36">
        <v>87.223933348713061</v>
      </c>
      <c r="O53" s="37">
        <v>0.1307998183209452</v>
      </c>
      <c r="P53" s="38" t="s">
        <v>53</v>
      </c>
      <c r="Q53" s="36">
        <v>12.776066651286939</v>
      </c>
      <c r="R53" s="37">
        <v>0.1307998183209452</v>
      </c>
      <c r="S53" s="38" t="s">
        <v>53</v>
      </c>
      <c r="T53" s="36">
        <v>7.4827363646370078</v>
      </c>
      <c r="U53" s="37">
        <v>9.7003115406922302E-2</v>
      </c>
      <c r="V53" s="38" t="s">
        <v>53</v>
      </c>
      <c r="W53" s="36">
        <v>5.2933302866499252</v>
      </c>
      <c r="X53" s="37">
        <v>6.7016194045381006E-2</v>
      </c>
      <c r="Y53" s="38" t="s">
        <v>53</v>
      </c>
      <c r="Z53" s="36">
        <v>-3.2285165786743164</v>
      </c>
      <c r="AA53" s="37">
        <v>0.18052728474140167</v>
      </c>
      <c r="AB53" s="38" t="s">
        <v>53</v>
      </c>
      <c r="AC53" s="36">
        <v>3.2285165786743164</v>
      </c>
      <c r="AD53" s="37">
        <v>0.18052728474140167</v>
      </c>
      <c r="AE53" s="38" t="s">
        <v>53</v>
      </c>
      <c r="AF53" s="36">
        <v>2.0686492919921875</v>
      </c>
      <c r="AG53" s="37">
        <v>0.13079313933849335</v>
      </c>
      <c r="AH53" s="38" t="s">
        <v>53</v>
      </c>
      <c r="AI53" s="36">
        <v>1.1598672866821289</v>
      </c>
      <c r="AJ53" s="37">
        <v>9.5155023038387299E-2</v>
      </c>
      <c r="AK53" s="39" t="s">
        <v>53</v>
      </c>
    </row>
    <row r="54" spans="1:37" x14ac:dyDescent="0.25">
      <c r="A54" s="15" t="s">
        <v>168</v>
      </c>
      <c r="B54" s="36" t="s">
        <v>55</v>
      </c>
      <c r="C54" s="37" t="s">
        <v>55</v>
      </c>
      <c r="D54" s="38" t="s">
        <v>53</v>
      </c>
      <c r="E54" s="36" t="s">
        <v>55</v>
      </c>
      <c r="F54" s="37" t="s">
        <v>55</v>
      </c>
      <c r="G54" s="38" t="s">
        <v>53</v>
      </c>
      <c r="H54" s="36" t="s">
        <v>55</v>
      </c>
      <c r="I54" s="37" t="s">
        <v>55</v>
      </c>
      <c r="J54" s="38" t="s">
        <v>53</v>
      </c>
      <c r="K54" s="36" t="s">
        <v>55</v>
      </c>
      <c r="L54" s="37" t="s">
        <v>55</v>
      </c>
      <c r="M54" s="38" t="s">
        <v>53</v>
      </c>
      <c r="N54" s="36">
        <v>86.956090952221629</v>
      </c>
      <c r="O54" s="37">
        <v>0.13102265205554489</v>
      </c>
      <c r="P54" s="38" t="s">
        <v>53</v>
      </c>
      <c r="Q54" s="36">
        <v>13.04390904777839</v>
      </c>
      <c r="R54" s="37">
        <v>0.13102265205554489</v>
      </c>
      <c r="S54" s="38" t="s">
        <v>53</v>
      </c>
      <c r="T54" s="36">
        <v>7.682797603197546</v>
      </c>
      <c r="U54" s="37">
        <v>9.6631483881181104E-2</v>
      </c>
      <c r="V54" s="38" t="s">
        <v>53</v>
      </c>
      <c r="W54" s="36">
        <v>5.361111444580831</v>
      </c>
      <c r="X54" s="37">
        <v>6.7558980527622006E-2</v>
      </c>
      <c r="Y54" s="38" t="s">
        <v>53</v>
      </c>
      <c r="Z54" s="36" t="s">
        <v>55</v>
      </c>
      <c r="AA54" s="37" t="s">
        <v>55</v>
      </c>
      <c r="AB54" s="38" t="s">
        <v>53</v>
      </c>
      <c r="AC54" s="36" t="s">
        <v>55</v>
      </c>
      <c r="AD54" s="37" t="s">
        <v>55</v>
      </c>
      <c r="AE54" s="38" t="s">
        <v>53</v>
      </c>
      <c r="AF54" s="36" t="s">
        <v>55</v>
      </c>
      <c r="AG54" s="37" t="s">
        <v>55</v>
      </c>
      <c r="AH54" s="38" t="s">
        <v>53</v>
      </c>
      <c r="AI54" s="36" t="s">
        <v>55</v>
      </c>
      <c r="AJ54" s="37" t="s">
        <v>55</v>
      </c>
      <c r="AK54" s="39" t="s">
        <v>53</v>
      </c>
    </row>
    <row r="55" spans="1:37" x14ac:dyDescent="0.25">
      <c r="A55" s="57" t="s">
        <v>211</v>
      </c>
      <c r="B55" s="36"/>
      <c r="C55" s="37"/>
      <c r="D55" s="38"/>
      <c r="E55" s="36"/>
      <c r="F55" s="37"/>
      <c r="G55" s="38"/>
      <c r="H55" s="36"/>
      <c r="I55" s="37"/>
      <c r="J55" s="38"/>
      <c r="K55" s="36"/>
      <c r="L55" s="37"/>
      <c r="M55" s="38"/>
      <c r="N55" s="36"/>
      <c r="O55" s="37"/>
      <c r="P55" s="38"/>
      <c r="Q55" s="36"/>
      <c r="R55" s="37"/>
      <c r="S55" s="38"/>
      <c r="T55" s="36"/>
      <c r="U55" s="37"/>
      <c r="V55" s="38"/>
      <c r="W55" s="36"/>
      <c r="X55" s="37"/>
      <c r="Y55" s="38"/>
      <c r="Z55" s="36"/>
      <c r="AA55" s="37"/>
      <c r="AB55" s="38"/>
      <c r="AC55" s="36"/>
      <c r="AD55" s="37"/>
      <c r="AE55" s="38"/>
      <c r="AF55" s="36"/>
      <c r="AG55" s="37"/>
      <c r="AH55" s="38"/>
      <c r="AI55" s="36"/>
      <c r="AJ55" s="37"/>
      <c r="AK55" s="39"/>
    </row>
    <row r="56" spans="1:37" x14ac:dyDescent="0.25">
      <c r="A56" s="15" t="s">
        <v>169</v>
      </c>
      <c r="B56" s="36">
        <v>99.385758624056137</v>
      </c>
      <c r="C56" s="37">
        <v>0.180899578190687</v>
      </c>
      <c r="D56" s="38" t="s">
        <v>53</v>
      </c>
      <c r="E56" s="36">
        <v>0.61424137594386785</v>
      </c>
      <c r="F56" s="37">
        <v>0.18089957819068467</v>
      </c>
      <c r="G56" s="38" t="s">
        <v>53</v>
      </c>
      <c r="H56" s="36">
        <v>0.50362544695960199</v>
      </c>
      <c r="I56" s="37">
        <v>0.175784386984011</v>
      </c>
      <c r="J56" s="38" t="s">
        <v>53</v>
      </c>
      <c r="K56" s="36">
        <v>0.11061592898425961</v>
      </c>
      <c r="L56" s="37">
        <v>5.7186932171736017E-2</v>
      </c>
      <c r="M56" s="38" t="s">
        <v>53</v>
      </c>
      <c r="N56" s="36">
        <v>99.379402185445812</v>
      </c>
      <c r="O56" s="37">
        <v>0.12271048399013099</v>
      </c>
      <c r="P56" s="38" t="s">
        <v>53</v>
      </c>
      <c r="Q56" s="36">
        <v>0.6205978145541966</v>
      </c>
      <c r="R56" s="37">
        <v>0.12271048399013278</v>
      </c>
      <c r="S56" s="38" t="s">
        <v>53</v>
      </c>
      <c r="T56" s="36">
        <v>0.3568907324044156</v>
      </c>
      <c r="U56" s="37">
        <v>8.8969007446375314E-2</v>
      </c>
      <c r="V56" s="38" t="s">
        <v>53</v>
      </c>
      <c r="W56" s="36">
        <v>0.2637070821497724</v>
      </c>
      <c r="X56" s="37">
        <v>9.9453092396454473E-2</v>
      </c>
      <c r="Y56" s="38" t="s">
        <v>53</v>
      </c>
      <c r="Z56" s="36">
        <v>-6.356438621878624E-3</v>
      </c>
      <c r="AA56" s="37">
        <v>0.21859213709831238</v>
      </c>
      <c r="AB56" s="38" t="s">
        <v>53</v>
      </c>
      <c r="AC56" s="36">
        <v>6.356438621878624E-3</v>
      </c>
      <c r="AD56" s="37">
        <v>0.21859213709831238</v>
      </c>
      <c r="AE56" s="38" t="s">
        <v>53</v>
      </c>
      <c r="AF56" s="36">
        <v>-0.14673471450805664</v>
      </c>
      <c r="AG56" s="37">
        <v>0.19701683521270752</v>
      </c>
      <c r="AH56" s="38" t="s">
        <v>53</v>
      </c>
      <c r="AI56" s="36">
        <v>0.15309114754199982</v>
      </c>
      <c r="AJ56" s="37">
        <v>0.11472254991531372</v>
      </c>
      <c r="AK56" s="39" t="s">
        <v>53</v>
      </c>
    </row>
    <row r="57" spans="1:37" x14ac:dyDescent="0.25">
      <c r="A57" s="15" t="s">
        <v>170</v>
      </c>
      <c r="B57" s="36">
        <v>96.381671169274327</v>
      </c>
      <c r="C57" s="37">
        <v>0.52376571610314016</v>
      </c>
      <c r="D57" s="38" t="s">
        <v>53</v>
      </c>
      <c r="E57" s="36">
        <v>3.618328830725686</v>
      </c>
      <c r="F57" s="37">
        <v>0.5237657161031426</v>
      </c>
      <c r="G57" s="38" t="s">
        <v>53</v>
      </c>
      <c r="H57" s="36">
        <v>2.156446536810908</v>
      </c>
      <c r="I57" s="37">
        <v>0.31538620189877026</v>
      </c>
      <c r="J57" s="38" t="s">
        <v>53</v>
      </c>
      <c r="K57" s="36">
        <v>1.461882293914762</v>
      </c>
      <c r="L57" s="37">
        <v>0.29194381706495937</v>
      </c>
      <c r="M57" s="38" t="s">
        <v>53</v>
      </c>
      <c r="N57" s="36">
        <v>95.441807788627926</v>
      </c>
      <c r="O57" s="37">
        <v>0.3258858226592849</v>
      </c>
      <c r="P57" s="38" t="s">
        <v>53</v>
      </c>
      <c r="Q57" s="36">
        <v>4.5581922113720923</v>
      </c>
      <c r="R57" s="37">
        <v>0.32588582265927296</v>
      </c>
      <c r="S57" s="38" t="s">
        <v>53</v>
      </c>
      <c r="T57" s="36">
        <v>2.3843106169187842</v>
      </c>
      <c r="U57" s="37">
        <v>0.21625107152880166</v>
      </c>
      <c r="V57" s="38" t="s">
        <v>53</v>
      </c>
      <c r="W57" s="36">
        <v>2.173881594453297</v>
      </c>
      <c r="X57" s="37">
        <v>0.2007096057137383</v>
      </c>
      <c r="Y57" s="38" t="s">
        <v>53</v>
      </c>
      <c r="Z57" s="36">
        <v>-0.93986338376998901</v>
      </c>
      <c r="AA57" s="37">
        <v>0.61687284708023071</v>
      </c>
      <c r="AB57" s="38" t="s">
        <v>53</v>
      </c>
      <c r="AC57" s="36">
        <v>0.93986338376998901</v>
      </c>
      <c r="AD57" s="37">
        <v>0.61687284708023071</v>
      </c>
      <c r="AE57" s="38" t="s">
        <v>53</v>
      </c>
      <c r="AF57" s="36">
        <v>0.22786408662796021</v>
      </c>
      <c r="AG57" s="37">
        <v>0.38240420818328857</v>
      </c>
      <c r="AH57" s="38" t="s">
        <v>53</v>
      </c>
      <c r="AI57" s="36">
        <v>0.71199929714202881</v>
      </c>
      <c r="AJ57" s="37">
        <v>0.3542817234992981</v>
      </c>
      <c r="AK57" s="39" t="s">
        <v>53</v>
      </c>
    </row>
    <row r="58" spans="1:37" x14ac:dyDescent="0.25">
      <c r="A58" s="15" t="s">
        <v>171</v>
      </c>
      <c r="B58" s="36" t="s">
        <v>55</v>
      </c>
      <c r="C58" s="37" t="s">
        <v>55</v>
      </c>
      <c r="D58" s="38" t="s">
        <v>53</v>
      </c>
      <c r="E58" s="36" t="s">
        <v>55</v>
      </c>
      <c r="F58" s="37" t="s">
        <v>55</v>
      </c>
      <c r="G58" s="38" t="s">
        <v>53</v>
      </c>
      <c r="H58" s="36" t="s">
        <v>55</v>
      </c>
      <c r="I58" s="37" t="s">
        <v>55</v>
      </c>
      <c r="J58" s="38" t="s">
        <v>53</v>
      </c>
      <c r="K58" s="36" t="s">
        <v>55</v>
      </c>
      <c r="L58" s="37" t="s">
        <v>55</v>
      </c>
      <c r="M58" s="38" t="s">
        <v>53</v>
      </c>
      <c r="N58" s="36">
        <v>94.799301892238759</v>
      </c>
      <c r="O58" s="37">
        <v>0.37027052060357429</v>
      </c>
      <c r="P58" s="38" t="s">
        <v>53</v>
      </c>
      <c r="Q58" s="36">
        <v>5.2006981077612586</v>
      </c>
      <c r="R58" s="37">
        <v>0.37027052060356902</v>
      </c>
      <c r="S58" s="38" t="s">
        <v>53</v>
      </c>
      <c r="T58" s="36">
        <v>3.0363465659511899</v>
      </c>
      <c r="U58" s="37">
        <v>0.25750033619155555</v>
      </c>
      <c r="V58" s="38" t="s">
        <v>53</v>
      </c>
      <c r="W58" s="36">
        <v>2.1643515418100532</v>
      </c>
      <c r="X58" s="37">
        <v>0.23053185693542652</v>
      </c>
      <c r="Y58" s="38" t="s">
        <v>53</v>
      </c>
      <c r="Z58" s="36" t="s">
        <v>55</v>
      </c>
      <c r="AA58" s="37" t="s">
        <v>55</v>
      </c>
      <c r="AB58" s="38" t="s">
        <v>53</v>
      </c>
      <c r="AC58" s="36" t="s">
        <v>55</v>
      </c>
      <c r="AD58" s="37" t="s">
        <v>55</v>
      </c>
      <c r="AE58" s="38" t="s">
        <v>53</v>
      </c>
      <c r="AF58" s="36" t="s">
        <v>55</v>
      </c>
      <c r="AG58" s="37" t="s">
        <v>55</v>
      </c>
      <c r="AH58" s="38" t="s">
        <v>53</v>
      </c>
      <c r="AI58" s="36" t="s">
        <v>55</v>
      </c>
      <c r="AJ58" s="37" t="s">
        <v>55</v>
      </c>
      <c r="AK58" s="39" t="s">
        <v>53</v>
      </c>
    </row>
    <row r="59" spans="1:37" x14ac:dyDescent="0.25">
      <c r="A59" s="15" t="s">
        <v>172</v>
      </c>
      <c r="B59" s="36" t="s">
        <v>55</v>
      </c>
      <c r="C59" s="37" t="s">
        <v>55</v>
      </c>
      <c r="D59" s="38" t="s">
        <v>53</v>
      </c>
      <c r="E59" s="36" t="s">
        <v>55</v>
      </c>
      <c r="F59" s="37" t="s">
        <v>55</v>
      </c>
      <c r="G59" s="38" t="s">
        <v>53</v>
      </c>
      <c r="H59" s="36" t="s">
        <v>55</v>
      </c>
      <c r="I59" s="37" t="s">
        <v>55</v>
      </c>
      <c r="J59" s="38" t="s">
        <v>53</v>
      </c>
      <c r="K59" s="36" t="s">
        <v>55</v>
      </c>
      <c r="L59" s="37" t="s">
        <v>55</v>
      </c>
      <c r="M59" s="38" t="s">
        <v>53</v>
      </c>
      <c r="N59" s="36">
        <v>95.852825836250005</v>
      </c>
      <c r="O59" s="37">
        <v>0.31876009247116255</v>
      </c>
      <c r="P59" s="38" t="s">
        <v>53</v>
      </c>
      <c r="Q59" s="36">
        <v>4.1471741637499484</v>
      </c>
      <c r="R59" s="37">
        <v>0.31876009247117776</v>
      </c>
      <c r="S59" s="38" t="s">
        <v>53</v>
      </c>
      <c r="T59" s="36">
        <v>2.8810780538104379</v>
      </c>
      <c r="U59" s="37">
        <v>0.22844918917816093</v>
      </c>
      <c r="V59" s="38" t="s">
        <v>53</v>
      </c>
      <c r="W59" s="36">
        <v>1.266096109939556</v>
      </c>
      <c r="X59" s="37">
        <v>0.17353462922609106</v>
      </c>
      <c r="Y59" s="38" t="s">
        <v>53</v>
      </c>
      <c r="Z59" s="36" t="s">
        <v>55</v>
      </c>
      <c r="AA59" s="37" t="s">
        <v>55</v>
      </c>
      <c r="AB59" s="38" t="s">
        <v>53</v>
      </c>
      <c r="AC59" s="36" t="s">
        <v>55</v>
      </c>
      <c r="AD59" s="37" t="s">
        <v>55</v>
      </c>
      <c r="AE59" s="38" t="s">
        <v>53</v>
      </c>
      <c r="AF59" s="36" t="s">
        <v>55</v>
      </c>
      <c r="AG59" s="37" t="s">
        <v>55</v>
      </c>
      <c r="AH59" s="38" t="s">
        <v>53</v>
      </c>
      <c r="AI59" s="36" t="s">
        <v>55</v>
      </c>
      <c r="AJ59" s="37" t="s">
        <v>55</v>
      </c>
      <c r="AK59" s="39" t="s">
        <v>53</v>
      </c>
    </row>
    <row r="60" spans="1:37" x14ac:dyDescent="0.25">
      <c r="A60" s="15" t="s">
        <v>173</v>
      </c>
      <c r="B60" s="36" t="s">
        <v>55</v>
      </c>
      <c r="C60" s="37" t="s">
        <v>55</v>
      </c>
      <c r="D60" s="38" t="s">
        <v>53</v>
      </c>
      <c r="E60" s="36" t="s">
        <v>55</v>
      </c>
      <c r="F60" s="37" t="s">
        <v>55</v>
      </c>
      <c r="G60" s="38" t="s">
        <v>53</v>
      </c>
      <c r="H60" s="36" t="s">
        <v>55</v>
      </c>
      <c r="I60" s="37" t="s">
        <v>55</v>
      </c>
      <c r="J60" s="38" t="s">
        <v>53</v>
      </c>
      <c r="K60" s="36" t="s">
        <v>55</v>
      </c>
      <c r="L60" s="37" t="s">
        <v>55</v>
      </c>
      <c r="M60" s="38" t="s">
        <v>53</v>
      </c>
      <c r="N60" s="36">
        <v>97.183221487943811</v>
      </c>
      <c r="O60" s="37">
        <v>0.32525593627928645</v>
      </c>
      <c r="P60" s="38" t="s">
        <v>53</v>
      </c>
      <c r="Q60" s="36">
        <v>2.8167785120561701</v>
      </c>
      <c r="R60" s="37">
        <v>0.32525593627930172</v>
      </c>
      <c r="S60" s="38" t="s">
        <v>53</v>
      </c>
      <c r="T60" s="36">
        <v>1.4152664787449509</v>
      </c>
      <c r="U60" s="37">
        <v>0.15983462161892759</v>
      </c>
      <c r="V60" s="38" t="s">
        <v>53</v>
      </c>
      <c r="W60" s="36">
        <v>1.401512033311235</v>
      </c>
      <c r="X60" s="37">
        <v>0.27505037689945189</v>
      </c>
      <c r="Y60" s="38" t="s">
        <v>53</v>
      </c>
      <c r="Z60" s="36" t="s">
        <v>55</v>
      </c>
      <c r="AA60" s="37" t="s">
        <v>55</v>
      </c>
      <c r="AB60" s="38" t="s">
        <v>53</v>
      </c>
      <c r="AC60" s="36" t="s">
        <v>55</v>
      </c>
      <c r="AD60" s="37" t="s">
        <v>55</v>
      </c>
      <c r="AE60" s="38" t="s">
        <v>53</v>
      </c>
      <c r="AF60" s="36" t="s">
        <v>55</v>
      </c>
      <c r="AG60" s="37" t="s">
        <v>55</v>
      </c>
      <c r="AH60" s="38" t="s">
        <v>53</v>
      </c>
      <c r="AI60" s="36" t="s">
        <v>55</v>
      </c>
      <c r="AJ60" s="37" t="s">
        <v>55</v>
      </c>
      <c r="AK60" s="39" t="s">
        <v>53</v>
      </c>
    </row>
    <row r="61" spans="1:37" x14ac:dyDescent="0.25">
      <c r="A61" s="15" t="s">
        <v>174</v>
      </c>
      <c r="B61" s="36">
        <v>99.205801582776203</v>
      </c>
      <c r="C61" s="37">
        <v>0.14468986143839915</v>
      </c>
      <c r="D61" s="38" t="s">
        <v>53</v>
      </c>
      <c r="E61" s="36">
        <v>0.79419841722379503</v>
      </c>
      <c r="F61" s="37">
        <v>0.14468986143840062</v>
      </c>
      <c r="G61" s="38" t="s">
        <v>53</v>
      </c>
      <c r="H61" s="36">
        <v>0.51600284360476989</v>
      </c>
      <c r="I61" s="37">
        <v>9.1929178166637107E-2</v>
      </c>
      <c r="J61" s="38" t="s">
        <v>53</v>
      </c>
      <c r="K61" s="36">
        <v>0.27819557361902852</v>
      </c>
      <c r="L61" s="37">
        <v>9.2855890657730492E-2</v>
      </c>
      <c r="M61" s="38" t="s">
        <v>53</v>
      </c>
      <c r="N61" s="36">
        <v>99.399062939043802</v>
      </c>
      <c r="O61" s="37">
        <v>9.1503247379797148E-2</v>
      </c>
      <c r="P61" s="38" t="s">
        <v>53</v>
      </c>
      <c r="Q61" s="36">
        <v>0.60093706095619048</v>
      </c>
      <c r="R61" s="37">
        <v>9.1503247379799091E-2</v>
      </c>
      <c r="S61" s="38" t="s">
        <v>53</v>
      </c>
      <c r="T61" s="36">
        <v>0.39816151863515248</v>
      </c>
      <c r="U61" s="37">
        <v>6.333563888385732E-2</v>
      </c>
      <c r="V61" s="38" t="s">
        <v>53</v>
      </c>
      <c r="W61" s="36">
        <v>0.20277554232104039</v>
      </c>
      <c r="X61" s="37">
        <v>4.8926519211366197E-2</v>
      </c>
      <c r="Y61" s="38" t="s">
        <v>53</v>
      </c>
      <c r="Z61" s="36">
        <v>0.19326135516166687</v>
      </c>
      <c r="AA61" s="37">
        <v>0.17119579017162323</v>
      </c>
      <c r="AB61" s="38" t="s">
        <v>53</v>
      </c>
      <c r="AC61" s="36">
        <v>-0.19326135516166687</v>
      </c>
      <c r="AD61" s="37">
        <v>0.17119579017162323</v>
      </c>
      <c r="AE61" s="38" t="s">
        <v>53</v>
      </c>
      <c r="AF61" s="36">
        <v>-0.11784132570028305</v>
      </c>
      <c r="AG61" s="37">
        <v>0.11163501441478729</v>
      </c>
      <c r="AH61" s="38" t="s">
        <v>53</v>
      </c>
      <c r="AI61" s="36">
        <v>-7.542002946138382E-2</v>
      </c>
      <c r="AJ61" s="37">
        <v>0.10495723038911819</v>
      </c>
      <c r="AK61" s="39" t="s">
        <v>53</v>
      </c>
    </row>
    <row r="62" spans="1:37" x14ac:dyDescent="0.25">
      <c r="A62" s="15" t="s">
        <v>175</v>
      </c>
      <c r="B62" s="36" t="s">
        <v>55</v>
      </c>
      <c r="C62" s="37" t="s">
        <v>55</v>
      </c>
      <c r="D62" s="38" t="s">
        <v>53</v>
      </c>
      <c r="E62" s="36" t="s">
        <v>55</v>
      </c>
      <c r="F62" s="37" t="s">
        <v>55</v>
      </c>
      <c r="G62" s="38" t="s">
        <v>53</v>
      </c>
      <c r="H62" s="36" t="s">
        <v>55</v>
      </c>
      <c r="I62" s="37" t="s">
        <v>55</v>
      </c>
      <c r="J62" s="38" t="s">
        <v>53</v>
      </c>
      <c r="K62" s="36" t="s">
        <v>55</v>
      </c>
      <c r="L62" s="37" t="s">
        <v>55</v>
      </c>
      <c r="M62" s="38" t="s">
        <v>53</v>
      </c>
      <c r="N62" s="36">
        <v>91.818494354626665</v>
      </c>
      <c r="O62" s="37">
        <v>0.28326741362618091</v>
      </c>
      <c r="P62" s="38" t="s">
        <v>53</v>
      </c>
      <c r="Q62" s="36">
        <v>8.1815056453733295</v>
      </c>
      <c r="R62" s="37">
        <v>0.28326741362616553</v>
      </c>
      <c r="S62" s="38" t="s">
        <v>53</v>
      </c>
      <c r="T62" s="36">
        <v>2.962803782031517</v>
      </c>
      <c r="U62" s="37">
        <v>0.21221354236743878</v>
      </c>
      <c r="V62" s="38" t="s">
        <v>53</v>
      </c>
      <c r="W62" s="36">
        <v>5.2187018633418134</v>
      </c>
      <c r="X62" s="37">
        <v>0.24668909789978744</v>
      </c>
      <c r="Y62" s="38" t="s">
        <v>53</v>
      </c>
      <c r="Z62" s="36" t="s">
        <v>55</v>
      </c>
      <c r="AA62" s="37" t="s">
        <v>55</v>
      </c>
      <c r="AB62" s="38" t="s">
        <v>53</v>
      </c>
      <c r="AC62" s="36" t="s">
        <v>55</v>
      </c>
      <c r="AD62" s="37" t="s">
        <v>55</v>
      </c>
      <c r="AE62" s="38" t="s">
        <v>53</v>
      </c>
      <c r="AF62" s="36" t="s">
        <v>55</v>
      </c>
      <c r="AG62" s="37" t="s">
        <v>55</v>
      </c>
      <c r="AH62" s="38" t="s">
        <v>53</v>
      </c>
      <c r="AI62" s="36" t="s">
        <v>55</v>
      </c>
      <c r="AJ62" s="37" t="s">
        <v>55</v>
      </c>
      <c r="AK62" s="39" t="s">
        <v>53</v>
      </c>
    </row>
    <row r="63" spans="1:37" x14ac:dyDescent="0.25">
      <c r="A63" s="15" t="s">
        <v>176</v>
      </c>
      <c r="B63" s="36" t="s">
        <v>55</v>
      </c>
      <c r="C63" s="37" t="s">
        <v>55</v>
      </c>
      <c r="D63" s="38" t="s">
        <v>53</v>
      </c>
      <c r="E63" s="36" t="s">
        <v>55</v>
      </c>
      <c r="F63" s="37" t="s">
        <v>55</v>
      </c>
      <c r="G63" s="38" t="s">
        <v>53</v>
      </c>
      <c r="H63" s="36" t="s">
        <v>55</v>
      </c>
      <c r="I63" s="37" t="s">
        <v>55</v>
      </c>
      <c r="J63" s="38" t="s">
        <v>53</v>
      </c>
      <c r="K63" s="36" t="s">
        <v>55</v>
      </c>
      <c r="L63" s="37" t="s">
        <v>55</v>
      </c>
      <c r="M63" s="38" t="s">
        <v>53</v>
      </c>
      <c r="N63" s="36">
        <v>99.842316225789176</v>
      </c>
      <c r="O63" s="37">
        <v>6.2805617268881911E-2</v>
      </c>
      <c r="P63" s="38" t="s">
        <v>53</v>
      </c>
      <c r="Q63" s="36">
        <v>0.1576837742108228</v>
      </c>
      <c r="R63" s="37">
        <v>6.2805617268879871E-2</v>
      </c>
      <c r="S63" s="38" t="s">
        <v>53</v>
      </c>
      <c r="T63" s="36">
        <v>5.3221437896679401E-2</v>
      </c>
      <c r="U63" s="37">
        <v>5.068271791981873E-2</v>
      </c>
      <c r="V63" s="38" t="s">
        <v>53</v>
      </c>
      <c r="W63" s="36">
        <v>0.1044623363141436</v>
      </c>
      <c r="X63" s="37">
        <v>3.7838633285723546E-2</v>
      </c>
      <c r="Y63" s="38" t="s">
        <v>53</v>
      </c>
      <c r="Z63" s="36" t="s">
        <v>55</v>
      </c>
      <c r="AA63" s="37" t="s">
        <v>55</v>
      </c>
      <c r="AB63" s="38" t="s">
        <v>53</v>
      </c>
      <c r="AC63" s="36" t="s">
        <v>55</v>
      </c>
      <c r="AD63" s="37" t="s">
        <v>55</v>
      </c>
      <c r="AE63" s="38" t="s">
        <v>53</v>
      </c>
      <c r="AF63" s="36" t="s">
        <v>55</v>
      </c>
      <c r="AG63" s="37" t="s">
        <v>55</v>
      </c>
      <c r="AH63" s="38" t="s">
        <v>53</v>
      </c>
      <c r="AI63" s="36" t="s">
        <v>55</v>
      </c>
      <c r="AJ63" s="37" t="s">
        <v>55</v>
      </c>
      <c r="AK63" s="39" t="s">
        <v>53</v>
      </c>
    </row>
    <row r="64" spans="1:37" x14ac:dyDescent="0.25">
      <c r="A64" s="15" t="s">
        <v>177</v>
      </c>
      <c r="B64" s="36">
        <v>99.485933247181038</v>
      </c>
      <c r="C64" s="37">
        <v>0.13413599439979462</v>
      </c>
      <c r="D64" s="38" t="s">
        <v>53</v>
      </c>
      <c r="E64" s="36">
        <v>0.51406675281898029</v>
      </c>
      <c r="F64" s="37">
        <v>0.13413599439979479</v>
      </c>
      <c r="G64" s="38" t="s">
        <v>53</v>
      </c>
      <c r="H64" s="36">
        <v>0.22590857361037001</v>
      </c>
      <c r="I64" s="37">
        <v>7.4756512443116235E-2</v>
      </c>
      <c r="J64" s="38" t="s">
        <v>53</v>
      </c>
      <c r="K64" s="36">
        <v>0.28815817920860792</v>
      </c>
      <c r="L64" s="37">
        <v>9.9970531944490806E-2</v>
      </c>
      <c r="M64" s="38" t="s">
        <v>53</v>
      </c>
      <c r="N64" s="36">
        <v>98.850840298732294</v>
      </c>
      <c r="O64" s="37">
        <v>0.16216895878778223</v>
      </c>
      <c r="P64" s="38" t="s">
        <v>53</v>
      </c>
      <c r="Q64" s="36">
        <v>1.149159701267696</v>
      </c>
      <c r="R64" s="37">
        <v>0.16216895878778056</v>
      </c>
      <c r="S64" s="38" t="s">
        <v>53</v>
      </c>
      <c r="T64" s="36">
        <v>0.62951607608445459</v>
      </c>
      <c r="U64" s="37">
        <v>0.1049258810465165</v>
      </c>
      <c r="V64" s="38" t="s">
        <v>53</v>
      </c>
      <c r="W64" s="36">
        <v>0.5196436251832468</v>
      </c>
      <c r="X64" s="37">
        <v>0.10666562777467672</v>
      </c>
      <c r="Y64" s="38" t="s">
        <v>53</v>
      </c>
      <c r="Z64" s="36">
        <v>-0.63509297370910645</v>
      </c>
      <c r="AA64" s="37">
        <v>0.21045483648777008</v>
      </c>
      <c r="AB64" s="38" t="s">
        <v>53</v>
      </c>
      <c r="AC64" s="36">
        <v>0.63509297370910645</v>
      </c>
      <c r="AD64" s="37">
        <v>0.21045483648777008</v>
      </c>
      <c r="AE64" s="38" t="s">
        <v>53</v>
      </c>
      <c r="AF64" s="36">
        <v>0.40360748767852783</v>
      </c>
      <c r="AG64" s="37">
        <v>0.12883313000202179</v>
      </c>
      <c r="AH64" s="38" t="s">
        <v>53</v>
      </c>
      <c r="AI64" s="36">
        <v>0.23148544132709503</v>
      </c>
      <c r="AJ64" s="37">
        <v>0.14619050920009613</v>
      </c>
      <c r="AK64" s="39" t="s">
        <v>53</v>
      </c>
    </row>
    <row r="65" spans="1:37" x14ac:dyDescent="0.25">
      <c r="A65" s="15" t="s">
        <v>178</v>
      </c>
      <c r="B65" s="36">
        <v>93.978649454423461</v>
      </c>
      <c r="C65" s="37">
        <v>0.6006332395691697</v>
      </c>
      <c r="D65" s="38" t="s">
        <v>53</v>
      </c>
      <c r="E65" s="36">
        <v>6.021350545576527</v>
      </c>
      <c r="F65" s="37">
        <v>0.60063323956918802</v>
      </c>
      <c r="G65" s="38" t="s">
        <v>53</v>
      </c>
      <c r="H65" s="36">
        <v>2.6162129450024132</v>
      </c>
      <c r="I65" s="37">
        <v>0.36226285078710657</v>
      </c>
      <c r="J65" s="38" t="s">
        <v>53</v>
      </c>
      <c r="K65" s="36">
        <v>3.4051376005741192</v>
      </c>
      <c r="L65" s="37">
        <v>0.37925591139518883</v>
      </c>
      <c r="M65" s="38" t="s">
        <v>53</v>
      </c>
      <c r="N65" s="36">
        <v>89.980033335663805</v>
      </c>
      <c r="O65" s="37">
        <v>0.67284872877412982</v>
      </c>
      <c r="P65" s="38" t="s">
        <v>53</v>
      </c>
      <c r="Q65" s="36">
        <v>10.01996666433617</v>
      </c>
      <c r="R65" s="37">
        <v>0.6728487287741286</v>
      </c>
      <c r="S65" s="38" t="s">
        <v>53</v>
      </c>
      <c r="T65" s="36">
        <v>6.786196973566085</v>
      </c>
      <c r="U65" s="37">
        <v>0.5064031988550457</v>
      </c>
      <c r="V65" s="38" t="s">
        <v>53</v>
      </c>
      <c r="W65" s="36">
        <v>3.2337696907700861</v>
      </c>
      <c r="X65" s="37">
        <v>0.3357679095098714</v>
      </c>
      <c r="Y65" s="38" t="s">
        <v>53</v>
      </c>
      <c r="Z65" s="36">
        <v>-3.9986162185668945</v>
      </c>
      <c r="AA65" s="37">
        <v>0.90193444490432739</v>
      </c>
      <c r="AB65" s="38" t="s">
        <v>53</v>
      </c>
      <c r="AC65" s="36">
        <v>3.9986162185668945</v>
      </c>
      <c r="AD65" s="37">
        <v>0.90193444490432739</v>
      </c>
      <c r="AE65" s="38" t="s">
        <v>53</v>
      </c>
      <c r="AF65" s="36">
        <v>4.1699838638305664</v>
      </c>
      <c r="AG65" s="37">
        <v>0.62263840436935425</v>
      </c>
      <c r="AH65" s="38" t="s">
        <v>53</v>
      </c>
      <c r="AI65" s="36">
        <v>-0.17136791348457336</v>
      </c>
      <c r="AJ65" s="37">
        <v>0.50653249025344849</v>
      </c>
      <c r="AK65" s="39" t="s">
        <v>53</v>
      </c>
    </row>
    <row r="66" spans="1:37" x14ac:dyDescent="0.25">
      <c r="A66" s="15" t="s">
        <v>179</v>
      </c>
      <c r="B66" s="36">
        <v>89.257792136444053</v>
      </c>
      <c r="C66" s="37">
        <v>0.60847603131273853</v>
      </c>
      <c r="D66" s="38" t="s">
        <v>53</v>
      </c>
      <c r="E66" s="36">
        <v>10.74220786355599</v>
      </c>
      <c r="F66" s="37">
        <v>0.60847603131273886</v>
      </c>
      <c r="G66" s="38" t="s">
        <v>53</v>
      </c>
      <c r="H66" s="36">
        <v>7.2024125719092513</v>
      </c>
      <c r="I66" s="37">
        <v>0.45410250436362426</v>
      </c>
      <c r="J66" s="38" t="s">
        <v>53</v>
      </c>
      <c r="K66" s="36">
        <v>3.5397952916466902</v>
      </c>
      <c r="L66" s="37">
        <v>0.32248870068649071</v>
      </c>
      <c r="M66" s="38" t="s">
        <v>53</v>
      </c>
      <c r="N66" s="36">
        <v>90.910090738971235</v>
      </c>
      <c r="O66" s="37">
        <v>0.48598879590200245</v>
      </c>
      <c r="P66" s="38" t="s">
        <v>53</v>
      </c>
      <c r="Q66" s="36">
        <v>9.089909261028783</v>
      </c>
      <c r="R66" s="37">
        <v>0.48598879590200078</v>
      </c>
      <c r="S66" s="38" t="s">
        <v>53</v>
      </c>
      <c r="T66" s="36">
        <v>7.7414674640432253</v>
      </c>
      <c r="U66" s="37">
        <v>0.43730721724492544</v>
      </c>
      <c r="V66" s="38" t="s">
        <v>53</v>
      </c>
      <c r="W66" s="36">
        <v>1.3484417969855489</v>
      </c>
      <c r="X66" s="37">
        <v>0.16894347262046905</v>
      </c>
      <c r="Y66" s="38" t="s">
        <v>53</v>
      </c>
      <c r="Z66" s="36">
        <v>1.6522985696792603</v>
      </c>
      <c r="AA66" s="37">
        <v>0.77873498201370239</v>
      </c>
      <c r="AB66" s="38" t="s">
        <v>53</v>
      </c>
      <c r="AC66" s="36">
        <v>-1.6522985696792603</v>
      </c>
      <c r="AD66" s="37">
        <v>0.77873498201370239</v>
      </c>
      <c r="AE66" s="38" t="s">
        <v>53</v>
      </c>
      <c r="AF66" s="36">
        <v>0.53905487060546875</v>
      </c>
      <c r="AG66" s="37">
        <v>0.63043373823165894</v>
      </c>
      <c r="AH66" s="38" t="s">
        <v>53</v>
      </c>
      <c r="AI66" s="36">
        <v>-2.1913535594940186</v>
      </c>
      <c r="AJ66" s="37">
        <v>0.3640616238117218</v>
      </c>
      <c r="AK66" s="39" t="s">
        <v>53</v>
      </c>
    </row>
    <row r="67" spans="1:37" x14ac:dyDescent="0.25">
      <c r="A67" s="15" t="s">
        <v>180</v>
      </c>
      <c r="B67" s="36" t="s">
        <v>55</v>
      </c>
      <c r="C67" s="37" t="s">
        <v>55</v>
      </c>
      <c r="D67" s="38" t="s">
        <v>53</v>
      </c>
      <c r="E67" s="36" t="s">
        <v>55</v>
      </c>
      <c r="F67" s="37" t="s">
        <v>55</v>
      </c>
      <c r="G67" s="38" t="s">
        <v>53</v>
      </c>
      <c r="H67" s="36" t="s">
        <v>55</v>
      </c>
      <c r="I67" s="37" t="s">
        <v>55</v>
      </c>
      <c r="J67" s="38" t="s">
        <v>53</v>
      </c>
      <c r="K67" s="36" t="s">
        <v>55</v>
      </c>
      <c r="L67" s="37" t="s">
        <v>55</v>
      </c>
      <c r="M67" s="38" t="s">
        <v>53</v>
      </c>
      <c r="N67" s="36">
        <v>85.212975597559151</v>
      </c>
      <c r="O67" s="37">
        <v>0.51722412147367136</v>
      </c>
      <c r="P67" s="38" t="s">
        <v>53</v>
      </c>
      <c r="Q67" s="36">
        <v>14.787024402440981</v>
      </c>
      <c r="R67" s="37">
        <v>0.51722412147373731</v>
      </c>
      <c r="S67" s="38" t="s">
        <v>53</v>
      </c>
      <c r="T67" s="36">
        <v>5.207856869733801</v>
      </c>
      <c r="U67" s="37">
        <v>0.33181437238321565</v>
      </c>
      <c r="V67" s="38" t="s">
        <v>53</v>
      </c>
      <c r="W67" s="36">
        <v>9.5791675327070518</v>
      </c>
      <c r="X67" s="37">
        <v>0.48420032308482119</v>
      </c>
      <c r="Y67" s="38" t="s">
        <v>53</v>
      </c>
      <c r="Z67" s="36" t="s">
        <v>55</v>
      </c>
      <c r="AA67" s="37" t="s">
        <v>55</v>
      </c>
      <c r="AB67" s="38" t="s">
        <v>53</v>
      </c>
      <c r="AC67" s="36" t="s">
        <v>55</v>
      </c>
      <c r="AD67" s="37" t="s">
        <v>55</v>
      </c>
      <c r="AE67" s="38" t="s">
        <v>53</v>
      </c>
      <c r="AF67" s="36" t="s">
        <v>55</v>
      </c>
      <c r="AG67" s="37" t="s">
        <v>55</v>
      </c>
      <c r="AH67" s="38" t="s">
        <v>53</v>
      </c>
      <c r="AI67" s="36" t="s">
        <v>55</v>
      </c>
      <c r="AJ67" s="37" t="s">
        <v>55</v>
      </c>
      <c r="AK67" s="39" t="s">
        <v>53</v>
      </c>
    </row>
    <row r="68" spans="1:37" x14ac:dyDescent="0.25">
      <c r="A68" s="15" t="s">
        <v>181</v>
      </c>
      <c r="B68" s="36" t="s">
        <v>55</v>
      </c>
      <c r="C68" s="37" t="s">
        <v>55</v>
      </c>
      <c r="D68" s="38" t="s">
        <v>53</v>
      </c>
      <c r="E68" s="36" t="s">
        <v>55</v>
      </c>
      <c r="F68" s="37" t="s">
        <v>55</v>
      </c>
      <c r="G68" s="38" t="s">
        <v>53</v>
      </c>
      <c r="H68" s="36" t="s">
        <v>55</v>
      </c>
      <c r="I68" s="37" t="s">
        <v>55</v>
      </c>
      <c r="J68" s="38" t="s">
        <v>53</v>
      </c>
      <c r="K68" s="36" t="s">
        <v>55</v>
      </c>
      <c r="L68" s="37" t="s">
        <v>55</v>
      </c>
      <c r="M68" s="38" t="s">
        <v>53</v>
      </c>
      <c r="N68" s="36">
        <v>97.077946847608047</v>
      </c>
      <c r="O68" s="37">
        <v>0.2689032955832788</v>
      </c>
      <c r="P68" s="38" t="s">
        <v>53</v>
      </c>
      <c r="Q68" s="36">
        <v>2.922053152391956</v>
      </c>
      <c r="R68" s="37">
        <v>0.26890329558327736</v>
      </c>
      <c r="S68" s="38" t="s">
        <v>53</v>
      </c>
      <c r="T68" s="36">
        <v>1.605320244915091</v>
      </c>
      <c r="U68" s="37">
        <v>0.18502044614751123</v>
      </c>
      <c r="V68" s="38" t="s">
        <v>53</v>
      </c>
      <c r="W68" s="36">
        <v>1.316732907476871</v>
      </c>
      <c r="X68" s="37">
        <v>0.18302331493991608</v>
      </c>
      <c r="Y68" s="38" t="s">
        <v>53</v>
      </c>
      <c r="Z68" s="36" t="s">
        <v>55</v>
      </c>
      <c r="AA68" s="37" t="s">
        <v>55</v>
      </c>
      <c r="AB68" s="38" t="s">
        <v>53</v>
      </c>
      <c r="AC68" s="36" t="s">
        <v>55</v>
      </c>
      <c r="AD68" s="37" t="s">
        <v>55</v>
      </c>
      <c r="AE68" s="38" t="s">
        <v>53</v>
      </c>
      <c r="AF68" s="36" t="s">
        <v>55</v>
      </c>
      <c r="AG68" s="37" t="s">
        <v>55</v>
      </c>
      <c r="AH68" s="38" t="s">
        <v>53</v>
      </c>
      <c r="AI68" s="36" t="s">
        <v>55</v>
      </c>
      <c r="AJ68" s="37" t="s">
        <v>55</v>
      </c>
      <c r="AK68" s="39" t="s">
        <v>53</v>
      </c>
    </row>
    <row r="69" spans="1:37" x14ac:dyDescent="0.25">
      <c r="A69" s="15" t="s">
        <v>182</v>
      </c>
      <c r="B69" s="36">
        <v>98.535499542687489</v>
      </c>
      <c r="C69" s="37">
        <v>0.18964175835700173</v>
      </c>
      <c r="D69" s="38" t="s">
        <v>53</v>
      </c>
      <c r="E69" s="36">
        <v>1.464500457312478</v>
      </c>
      <c r="F69" s="37">
        <v>0.1896417583570022</v>
      </c>
      <c r="G69" s="38" t="s">
        <v>53</v>
      </c>
      <c r="H69" s="36">
        <v>1.315598163299033</v>
      </c>
      <c r="I69" s="37">
        <v>0.17492434541756732</v>
      </c>
      <c r="J69" s="38" t="s">
        <v>53</v>
      </c>
      <c r="K69" s="36">
        <v>0.1489022940134638</v>
      </c>
      <c r="L69" s="37">
        <v>5.8087485459360697E-2</v>
      </c>
      <c r="M69" s="38" t="s">
        <v>53</v>
      </c>
      <c r="N69" s="36">
        <v>98.635369119164693</v>
      </c>
      <c r="O69" s="37">
        <v>0.19590177383248678</v>
      </c>
      <c r="P69" s="38" t="s">
        <v>53</v>
      </c>
      <c r="Q69" s="36">
        <v>1.3646308808353169</v>
      </c>
      <c r="R69" s="37">
        <v>0.1959017738324898</v>
      </c>
      <c r="S69" s="38" t="s">
        <v>53</v>
      </c>
      <c r="T69" s="36">
        <v>0.7955688463610765</v>
      </c>
      <c r="U69" s="37">
        <v>0.14098691997745968</v>
      </c>
      <c r="V69" s="38" t="s">
        <v>53</v>
      </c>
      <c r="W69" s="36">
        <v>0.56906203447424064</v>
      </c>
      <c r="X69" s="37">
        <v>0.12043473367397557</v>
      </c>
      <c r="Y69" s="38" t="s">
        <v>53</v>
      </c>
      <c r="Z69" s="36">
        <v>9.9869579076766968E-2</v>
      </c>
      <c r="AA69" s="37">
        <v>0.27265638113021851</v>
      </c>
      <c r="AB69" s="38" t="s">
        <v>53</v>
      </c>
      <c r="AC69" s="36">
        <v>-9.9869579076766968E-2</v>
      </c>
      <c r="AD69" s="37">
        <v>0.27265638113021851</v>
      </c>
      <c r="AE69" s="38" t="s">
        <v>53</v>
      </c>
      <c r="AF69" s="36">
        <v>-0.52002930641174316</v>
      </c>
      <c r="AG69" s="37">
        <v>0.22466827929019928</v>
      </c>
      <c r="AH69" s="38" t="s">
        <v>53</v>
      </c>
      <c r="AI69" s="36">
        <v>0.4201597273349762</v>
      </c>
      <c r="AJ69" s="37">
        <v>0.13371118903160095</v>
      </c>
      <c r="AK69" s="39" t="s">
        <v>53</v>
      </c>
    </row>
    <row r="70" spans="1:37" x14ac:dyDescent="0.25">
      <c r="A70" s="15" t="s">
        <v>229</v>
      </c>
      <c r="B70" s="36">
        <v>60.609726050174118</v>
      </c>
      <c r="C70" s="37">
        <v>1.4617594215406366</v>
      </c>
      <c r="D70" s="38" t="s">
        <v>53</v>
      </c>
      <c r="E70" s="36">
        <v>39.390273949825698</v>
      </c>
      <c r="F70" s="37">
        <v>1.4617594215406271</v>
      </c>
      <c r="G70" s="38" t="s">
        <v>53</v>
      </c>
      <c r="H70" s="36">
        <v>23.906945062903951</v>
      </c>
      <c r="I70" s="37">
        <v>0.8322517997173321</v>
      </c>
      <c r="J70" s="38" t="s">
        <v>53</v>
      </c>
      <c r="K70" s="36">
        <v>15.483328886921919</v>
      </c>
      <c r="L70" s="37">
        <v>1.0127221724883635</v>
      </c>
      <c r="M70" s="38" t="s">
        <v>53</v>
      </c>
      <c r="N70" s="36">
        <v>62.088365276697921</v>
      </c>
      <c r="O70" s="37">
        <v>1.3286600569122298</v>
      </c>
      <c r="P70" s="38" t="s">
        <v>53</v>
      </c>
      <c r="Q70" s="36">
        <v>37.911634723302043</v>
      </c>
      <c r="R70" s="37">
        <v>1.3286600569122295</v>
      </c>
      <c r="S70" s="38" t="s">
        <v>53</v>
      </c>
      <c r="T70" s="36">
        <v>25.065623504679639</v>
      </c>
      <c r="U70" s="37">
        <v>0.92091159269533462</v>
      </c>
      <c r="V70" s="38" t="s">
        <v>53</v>
      </c>
      <c r="W70" s="36">
        <v>12.846011218622451</v>
      </c>
      <c r="X70" s="37">
        <v>0.9409055867917403</v>
      </c>
      <c r="Y70" s="38" t="s">
        <v>53</v>
      </c>
      <c r="Z70" s="36">
        <v>1.4786392450332642</v>
      </c>
      <c r="AA70" s="37">
        <v>1.9753679037094116</v>
      </c>
      <c r="AB70" s="38" t="s">
        <v>53</v>
      </c>
      <c r="AC70" s="36">
        <v>-1.4786392450332642</v>
      </c>
      <c r="AD70" s="37">
        <v>1.9753679037094116</v>
      </c>
      <c r="AE70" s="38" t="s">
        <v>53</v>
      </c>
      <c r="AF70" s="36">
        <v>1.158678412437439</v>
      </c>
      <c r="AG70" s="37">
        <v>1.241257905960083</v>
      </c>
      <c r="AH70" s="38" t="s">
        <v>53</v>
      </c>
      <c r="AI70" s="36">
        <v>-2.6373176574707031</v>
      </c>
      <c r="AJ70" s="37">
        <v>1.3823565244674683</v>
      </c>
      <c r="AK70" s="39" t="s">
        <v>53</v>
      </c>
    </row>
    <row r="71" spans="1:37" x14ac:dyDescent="0.25">
      <c r="A71" s="15" t="s">
        <v>183</v>
      </c>
      <c r="B71" s="36">
        <v>99.722978851302045</v>
      </c>
      <c r="C71" s="37">
        <v>0.10530997618332606</v>
      </c>
      <c r="D71" s="38" t="s">
        <v>53</v>
      </c>
      <c r="E71" s="36">
        <v>0.2770211486979704</v>
      </c>
      <c r="F71" s="37">
        <v>0.10530997618332535</v>
      </c>
      <c r="G71" s="38" t="s">
        <v>53</v>
      </c>
      <c r="H71" s="36">
        <v>0</v>
      </c>
      <c r="I71" s="37" t="s">
        <v>56</v>
      </c>
      <c r="J71" s="38" t="s">
        <v>53</v>
      </c>
      <c r="K71" s="36">
        <v>0.27702114869797101</v>
      </c>
      <c r="L71" s="37">
        <v>0.10530997618332595</v>
      </c>
      <c r="M71" s="38" t="s">
        <v>53</v>
      </c>
      <c r="N71" s="36">
        <v>99.748881446466626</v>
      </c>
      <c r="O71" s="37">
        <v>6.6523739624708894E-2</v>
      </c>
      <c r="P71" s="38" t="s">
        <v>53</v>
      </c>
      <c r="Q71" s="36">
        <v>0.25111855353338608</v>
      </c>
      <c r="R71" s="37">
        <v>6.6523739624708741E-2</v>
      </c>
      <c r="S71" s="38" t="s">
        <v>53</v>
      </c>
      <c r="T71" s="36">
        <v>7.0474062776555296E-2</v>
      </c>
      <c r="U71" s="37">
        <v>3.195677451355787E-2</v>
      </c>
      <c r="V71" s="38" t="s">
        <v>53</v>
      </c>
      <c r="W71" s="36">
        <v>0.18064449075682759</v>
      </c>
      <c r="X71" s="37">
        <v>7.5052885727174792E-2</v>
      </c>
      <c r="Y71" s="38" t="s">
        <v>53</v>
      </c>
      <c r="Z71" s="36">
        <v>2.5902595371007919E-2</v>
      </c>
      <c r="AA71" s="37">
        <v>0.12456163018941879</v>
      </c>
      <c r="AB71" s="38" t="s">
        <v>53</v>
      </c>
      <c r="AC71" s="36">
        <v>-2.5902595371007919E-2</v>
      </c>
      <c r="AD71" s="37">
        <v>0.12456163018941879</v>
      </c>
      <c r="AE71" s="38" t="s">
        <v>53</v>
      </c>
      <c r="AF71" s="36">
        <v>7.0474065840244293E-2</v>
      </c>
      <c r="AG71" s="37">
        <v>3.195677325129509E-2</v>
      </c>
      <c r="AH71" s="38" t="s">
        <v>53</v>
      </c>
      <c r="AI71" s="36">
        <v>-9.6376657485961914E-2</v>
      </c>
      <c r="AJ71" s="37">
        <v>0.12931792438030243</v>
      </c>
      <c r="AK71" s="39" t="s">
        <v>53</v>
      </c>
    </row>
    <row r="72" spans="1:37" x14ac:dyDescent="0.25">
      <c r="A72" s="15" t="s">
        <v>184</v>
      </c>
      <c r="B72" s="36">
        <v>86.21596044092054</v>
      </c>
      <c r="C72" s="37">
        <v>0.85832908360230298</v>
      </c>
      <c r="D72" s="38" t="s">
        <v>53</v>
      </c>
      <c r="E72" s="36">
        <v>13.784039559079529</v>
      </c>
      <c r="F72" s="37">
        <v>0.85832908360230509</v>
      </c>
      <c r="G72" s="38" t="s">
        <v>53</v>
      </c>
      <c r="H72" s="36">
        <v>10.50745038325395</v>
      </c>
      <c r="I72" s="37">
        <v>0.7089084791151069</v>
      </c>
      <c r="J72" s="38" t="s">
        <v>53</v>
      </c>
      <c r="K72" s="36">
        <v>3.2765891758255159</v>
      </c>
      <c r="L72" s="37">
        <v>0.28421636727981631</v>
      </c>
      <c r="M72" s="38" t="s">
        <v>53</v>
      </c>
      <c r="N72" s="36">
        <v>88.439843136822091</v>
      </c>
      <c r="O72" s="37">
        <v>0.53282256980002685</v>
      </c>
      <c r="P72" s="38" t="s">
        <v>53</v>
      </c>
      <c r="Q72" s="36">
        <v>11.560156863178021</v>
      </c>
      <c r="R72" s="37">
        <v>0.53282256980001519</v>
      </c>
      <c r="S72" s="38" t="s">
        <v>53</v>
      </c>
      <c r="T72" s="36">
        <v>6.4647428500613451</v>
      </c>
      <c r="U72" s="37">
        <v>0.36349978228875979</v>
      </c>
      <c r="V72" s="38" t="s">
        <v>53</v>
      </c>
      <c r="W72" s="36">
        <v>5.0954140131165708</v>
      </c>
      <c r="X72" s="37">
        <v>0.3143706610696862</v>
      </c>
      <c r="Y72" s="38" t="s">
        <v>53</v>
      </c>
      <c r="Z72" s="36">
        <v>2.2238826751708984</v>
      </c>
      <c r="AA72" s="37">
        <v>1.0102616548538208</v>
      </c>
      <c r="AB72" s="38" t="s">
        <v>53</v>
      </c>
      <c r="AC72" s="36">
        <v>-2.2238826751708984</v>
      </c>
      <c r="AD72" s="37">
        <v>1.0102616548538208</v>
      </c>
      <c r="AE72" s="38" t="s">
        <v>53</v>
      </c>
      <c r="AF72" s="36">
        <v>-4.0427074432373047</v>
      </c>
      <c r="AG72" s="37">
        <v>0.79667013883590698</v>
      </c>
      <c r="AH72" s="38" t="s">
        <v>53</v>
      </c>
      <c r="AI72" s="36">
        <v>1.8188248872756958</v>
      </c>
      <c r="AJ72" s="37">
        <v>0.42380166053771973</v>
      </c>
      <c r="AK72" s="39" t="s">
        <v>53</v>
      </c>
    </row>
    <row r="73" spans="1:37" x14ac:dyDescent="0.25">
      <c r="A73" s="15" t="s">
        <v>185</v>
      </c>
      <c r="B73" s="36">
        <v>88.423149642431852</v>
      </c>
      <c r="C73" s="37">
        <v>1.1233944871219144</v>
      </c>
      <c r="D73" s="38" t="s">
        <v>53</v>
      </c>
      <c r="E73" s="36">
        <v>11.57685035756827</v>
      </c>
      <c r="F73" s="37">
        <v>1.1233944871219275</v>
      </c>
      <c r="G73" s="38" t="s">
        <v>53</v>
      </c>
      <c r="H73" s="36">
        <v>7.2167278330570444</v>
      </c>
      <c r="I73" s="37">
        <v>0.83908030355484675</v>
      </c>
      <c r="J73" s="38" t="s">
        <v>53</v>
      </c>
      <c r="K73" s="36">
        <v>4.360122524511123</v>
      </c>
      <c r="L73" s="37">
        <v>0.61028370935867182</v>
      </c>
      <c r="M73" s="38" t="s">
        <v>53</v>
      </c>
      <c r="N73" s="36">
        <v>91.794617295159924</v>
      </c>
      <c r="O73" s="37">
        <v>0.44928776108304863</v>
      </c>
      <c r="P73" s="38" t="s">
        <v>53</v>
      </c>
      <c r="Q73" s="36">
        <v>8.2053827048399306</v>
      </c>
      <c r="R73" s="37">
        <v>0.44928776108302482</v>
      </c>
      <c r="S73" s="38" t="s">
        <v>53</v>
      </c>
      <c r="T73" s="36">
        <v>4.1747514124123537</v>
      </c>
      <c r="U73" s="37">
        <v>0.26474138418193366</v>
      </c>
      <c r="V73" s="38" t="s">
        <v>53</v>
      </c>
      <c r="W73" s="36">
        <v>4.0306312924277083</v>
      </c>
      <c r="X73" s="37">
        <v>0.34639347536266396</v>
      </c>
      <c r="Y73" s="38" t="s">
        <v>53</v>
      </c>
      <c r="Z73" s="36">
        <v>3.3714675903320313</v>
      </c>
      <c r="AA73" s="37">
        <v>1.2099069356918335</v>
      </c>
      <c r="AB73" s="38" t="s">
        <v>53</v>
      </c>
      <c r="AC73" s="36">
        <v>-3.3714675903320313</v>
      </c>
      <c r="AD73" s="37">
        <v>1.2099069356918335</v>
      </c>
      <c r="AE73" s="38" t="s">
        <v>53</v>
      </c>
      <c r="AF73" s="36">
        <v>-3.0419764518737793</v>
      </c>
      <c r="AG73" s="37">
        <v>0.87985438108444214</v>
      </c>
      <c r="AH73" s="38" t="s">
        <v>53</v>
      </c>
      <c r="AI73" s="36">
        <v>-0.32949122786521912</v>
      </c>
      <c r="AJ73" s="37">
        <v>0.70173686742782593</v>
      </c>
      <c r="AK73" s="39" t="s">
        <v>53</v>
      </c>
    </row>
    <row r="74" spans="1:37" x14ac:dyDescent="0.25">
      <c r="A74" s="15" t="s">
        <v>186</v>
      </c>
      <c r="B74" s="36" t="s">
        <v>55</v>
      </c>
      <c r="C74" s="37" t="s">
        <v>55</v>
      </c>
      <c r="D74" s="38" t="s">
        <v>53</v>
      </c>
      <c r="E74" s="36" t="s">
        <v>55</v>
      </c>
      <c r="F74" s="37" t="s">
        <v>55</v>
      </c>
      <c r="G74" s="38" t="s">
        <v>53</v>
      </c>
      <c r="H74" s="36" t="s">
        <v>55</v>
      </c>
      <c r="I74" s="37" t="s">
        <v>55</v>
      </c>
      <c r="J74" s="38" t="s">
        <v>53</v>
      </c>
      <c r="K74" s="36" t="s">
        <v>55</v>
      </c>
      <c r="L74" s="37" t="s">
        <v>55</v>
      </c>
      <c r="M74" s="38" t="s">
        <v>53</v>
      </c>
      <c r="N74" s="36">
        <v>98.85253922306326</v>
      </c>
      <c r="O74" s="37">
        <v>0.19367278405325081</v>
      </c>
      <c r="P74" s="38" t="s">
        <v>53</v>
      </c>
      <c r="Q74" s="36">
        <v>1.147460776936736</v>
      </c>
      <c r="R74" s="37">
        <v>0.19367278405324964</v>
      </c>
      <c r="S74" s="38" t="s">
        <v>53</v>
      </c>
      <c r="T74" s="36">
        <v>0.85494436851689926</v>
      </c>
      <c r="U74" s="37">
        <v>0.16322547770871579</v>
      </c>
      <c r="V74" s="38" t="s">
        <v>53</v>
      </c>
      <c r="W74" s="36">
        <v>0.29251640841983573</v>
      </c>
      <c r="X74" s="37">
        <v>8.0902901743268932E-2</v>
      </c>
      <c r="Y74" s="38" t="s">
        <v>53</v>
      </c>
      <c r="Z74" s="36" t="s">
        <v>55</v>
      </c>
      <c r="AA74" s="37" t="s">
        <v>55</v>
      </c>
      <c r="AB74" s="38" t="s">
        <v>53</v>
      </c>
      <c r="AC74" s="36" t="s">
        <v>55</v>
      </c>
      <c r="AD74" s="37" t="s">
        <v>55</v>
      </c>
      <c r="AE74" s="38" t="s">
        <v>53</v>
      </c>
      <c r="AF74" s="36" t="s">
        <v>55</v>
      </c>
      <c r="AG74" s="37" t="s">
        <v>55</v>
      </c>
      <c r="AH74" s="38" t="s">
        <v>53</v>
      </c>
      <c r="AI74" s="36" t="s">
        <v>55</v>
      </c>
      <c r="AJ74" s="37" t="s">
        <v>55</v>
      </c>
      <c r="AK74" s="39" t="s">
        <v>53</v>
      </c>
    </row>
    <row r="75" spans="1:37" x14ac:dyDescent="0.25">
      <c r="A75" s="15" t="s">
        <v>187</v>
      </c>
      <c r="B75" s="36" t="s">
        <v>55</v>
      </c>
      <c r="C75" s="37" t="s">
        <v>55</v>
      </c>
      <c r="D75" s="38" t="s">
        <v>53</v>
      </c>
      <c r="E75" s="36" t="s">
        <v>55</v>
      </c>
      <c r="F75" s="37" t="s">
        <v>55</v>
      </c>
      <c r="G75" s="38" t="s">
        <v>53</v>
      </c>
      <c r="H75" s="36" t="s">
        <v>55</v>
      </c>
      <c r="I75" s="37" t="s">
        <v>55</v>
      </c>
      <c r="J75" s="38" t="s">
        <v>53</v>
      </c>
      <c r="K75" s="36" t="s">
        <v>55</v>
      </c>
      <c r="L75" s="37" t="s">
        <v>55</v>
      </c>
      <c r="M75" s="38" t="s">
        <v>53</v>
      </c>
      <c r="N75" s="36">
        <v>94.016298815230599</v>
      </c>
      <c r="O75" s="37">
        <v>0.46419035772445932</v>
      </c>
      <c r="P75" s="38" t="s">
        <v>53</v>
      </c>
      <c r="Q75" s="36">
        <v>5.9837011847694281</v>
      </c>
      <c r="R75" s="37">
        <v>0.4641903577244641</v>
      </c>
      <c r="S75" s="38" t="s">
        <v>53</v>
      </c>
      <c r="T75" s="36">
        <v>2.0712781525351089</v>
      </c>
      <c r="U75" s="37">
        <v>0.20810629438400582</v>
      </c>
      <c r="V75" s="38" t="s">
        <v>53</v>
      </c>
      <c r="W75" s="36">
        <v>3.9124230322342859</v>
      </c>
      <c r="X75" s="37">
        <v>0.42438783024792637</v>
      </c>
      <c r="Y75" s="38" t="s">
        <v>53</v>
      </c>
      <c r="Z75" s="36" t="s">
        <v>55</v>
      </c>
      <c r="AA75" s="37" t="s">
        <v>55</v>
      </c>
      <c r="AB75" s="38" t="s">
        <v>53</v>
      </c>
      <c r="AC75" s="36" t="s">
        <v>55</v>
      </c>
      <c r="AD75" s="37" t="s">
        <v>55</v>
      </c>
      <c r="AE75" s="38" t="s">
        <v>53</v>
      </c>
      <c r="AF75" s="36" t="s">
        <v>55</v>
      </c>
      <c r="AG75" s="37" t="s">
        <v>55</v>
      </c>
      <c r="AH75" s="38" t="s">
        <v>53</v>
      </c>
      <c r="AI75" s="36" t="s">
        <v>55</v>
      </c>
      <c r="AJ75" s="37" t="s">
        <v>55</v>
      </c>
      <c r="AK75" s="39" t="s">
        <v>53</v>
      </c>
    </row>
    <row r="76" spans="1:37" x14ac:dyDescent="0.25">
      <c r="A76" s="15" t="s">
        <v>188</v>
      </c>
      <c r="B76" s="36">
        <v>29.593085686096611</v>
      </c>
      <c r="C76" s="37">
        <v>0.62173692917800871</v>
      </c>
      <c r="D76" s="38" t="s">
        <v>53</v>
      </c>
      <c r="E76" s="36">
        <v>70.406914313903386</v>
      </c>
      <c r="F76" s="37">
        <v>0.62173692917801759</v>
      </c>
      <c r="G76" s="38" t="s">
        <v>53</v>
      </c>
      <c r="H76" s="36">
        <v>54.914810025073422</v>
      </c>
      <c r="I76" s="37">
        <v>0.63149205353338678</v>
      </c>
      <c r="J76" s="38" t="s">
        <v>53</v>
      </c>
      <c r="K76" s="36">
        <v>15.492104288829969</v>
      </c>
      <c r="L76" s="37">
        <v>0.41174991665034055</v>
      </c>
      <c r="M76" s="38" t="s">
        <v>53</v>
      </c>
      <c r="N76" s="36">
        <v>37.125781975453428</v>
      </c>
      <c r="O76" s="37">
        <v>0.67146253797097288</v>
      </c>
      <c r="P76" s="38" t="s">
        <v>53</v>
      </c>
      <c r="Q76" s="36">
        <v>62.874218024546593</v>
      </c>
      <c r="R76" s="37">
        <v>0.67146253797098487</v>
      </c>
      <c r="S76" s="38" t="s">
        <v>53</v>
      </c>
      <c r="T76" s="36">
        <v>36.793458388631443</v>
      </c>
      <c r="U76" s="37">
        <v>0.76917151099086745</v>
      </c>
      <c r="V76" s="38" t="s">
        <v>53</v>
      </c>
      <c r="W76" s="36">
        <v>26.08075963591514</v>
      </c>
      <c r="X76" s="37">
        <v>0.61338324683477308</v>
      </c>
      <c r="Y76" s="38" t="s">
        <v>53</v>
      </c>
      <c r="Z76" s="36">
        <v>7.5326962471008301</v>
      </c>
      <c r="AA76" s="37">
        <v>0.91510587930679321</v>
      </c>
      <c r="AB76" s="38" t="s">
        <v>53</v>
      </c>
      <c r="AC76" s="36">
        <v>-7.5326962471008301</v>
      </c>
      <c r="AD76" s="37">
        <v>0.91510587930679321</v>
      </c>
      <c r="AE76" s="38" t="s">
        <v>53</v>
      </c>
      <c r="AF76" s="36">
        <v>-18.12135124206543</v>
      </c>
      <c r="AG76" s="37">
        <v>0.99519193172454834</v>
      </c>
      <c r="AH76" s="38" t="s">
        <v>53</v>
      </c>
      <c r="AI76" s="36">
        <v>10.588655471801758</v>
      </c>
      <c r="AJ76" s="37">
        <v>0.73876720666885376</v>
      </c>
      <c r="AK76" s="39" t="s">
        <v>53</v>
      </c>
    </row>
    <row r="77" spans="1:37" x14ac:dyDescent="0.25">
      <c r="A77" s="15" t="s">
        <v>189</v>
      </c>
      <c r="B77" s="36">
        <v>98.66300245190294</v>
      </c>
      <c r="C77" s="37">
        <v>0.253940158892141</v>
      </c>
      <c r="D77" s="38" t="s">
        <v>53</v>
      </c>
      <c r="E77" s="36">
        <v>1.3369975480970719</v>
      </c>
      <c r="F77" s="37">
        <v>0.25394015889214194</v>
      </c>
      <c r="G77" s="38" t="s">
        <v>53</v>
      </c>
      <c r="H77" s="36">
        <v>1.1869385496149141</v>
      </c>
      <c r="I77" s="37">
        <v>0.25190711819327322</v>
      </c>
      <c r="J77" s="38" t="s">
        <v>53</v>
      </c>
      <c r="K77" s="36">
        <v>0.15005899848214771</v>
      </c>
      <c r="L77" s="37">
        <v>5.587424560977864E-2</v>
      </c>
      <c r="M77" s="38" t="s">
        <v>53</v>
      </c>
      <c r="N77" s="36">
        <v>98.351908480399089</v>
      </c>
      <c r="O77" s="37">
        <v>0.22052586057016296</v>
      </c>
      <c r="P77" s="38" t="s">
        <v>53</v>
      </c>
      <c r="Q77" s="36">
        <v>1.648091519600932</v>
      </c>
      <c r="R77" s="37">
        <v>0.22052586057016091</v>
      </c>
      <c r="S77" s="38" t="s">
        <v>53</v>
      </c>
      <c r="T77" s="36">
        <v>1.192786469159056</v>
      </c>
      <c r="U77" s="37">
        <v>0.21418472926786503</v>
      </c>
      <c r="V77" s="38" t="s">
        <v>53</v>
      </c>
      <c r="W77" s="36">
        <v>0.45530505044186942</v>
      </c>
      <c r="X77" s="37">
        <v>0.13164402993293714</v>
      </c>
      <c r="Y77" s="38" t="s">
        <v>53</v>
      </c>
      <c r="Z77" s="36">
        <v>-0.31109398603439331</v>
      </c>
      <c r="AA77" s="37">
        <v>0.33632910251617432</v>
      </c>
      <c r="AB77" s="38" t="s">
        <v>53</v>
      </c>
      <c r="AC77" s="36">
        <v>0.31109398603439331</v>
      </c>
      <c r="AD77" s="37">
        <v>0.33632910251617432</v>
      </c>
      <c r="AE77" s="38" t="s">
        <v>53</v>
      </c>
      <c r="AF77" s="36">
        <v>5.8479197323322296E-3</v>
      </c>
      <c r="AG77" s="37">
        <v>0.33065435290336609</v>
      </c>
      <c r="AH77" s="38" t="s">
        <v>53</v>
      </c>
      <c r="AI77" s="36">
        <v>0.30524605512619019</v>
      </c>
      <c r="AJ77" s="37">
        <v>0.14301078021526337</v>
      </c>
      <c r="AK77" s="39" t="s">
        <v>53</v>
      </c>
    </row>
    <row r="78" spans="1:37" x14ac:dyDescent="0.25">
      <c r="A78" s="15" t="s">
        <v>190</v>
      </c>
      <c r="B78" s="36">
        <v>97.475161295131528</v>
      </c>
      <c r="C78" s="37">
        <v>0.29863548573200999</v>
      </c>
      <c r="D78" s="38" t="s">
        <v>53</v>
      </c>
      <c r="E78" s="36">
        <v>2.5248387048684919</v>
      </c>
      <c r="F78" s="37">
        <v>0.29863548573200732</v>
      </c>
      <c r="G78" s="38" t="s">
        <v>53</v>
      </c>
      <c r="H78" s="36">
        <v>0.73756520364471312</v>
      </c>
      <c r="I78" s="37">
        <v>0.16755396838693365</v>
      </c>
      <c r="J78" s="38" t="s">
        <v>53</v>
      </c>
      <c r="K78" s="36">
        <v>1.7872735012237471</v>
      </c>
      <c r="L78" s="37">
        <v>0.24656040043315919</v>
      </c>
      <c r="M78" s="38" t="s">
        <v>53</v>
      </c>
      <c r="N78" s="36">
        <v>91.211553997478617</v>
      </c>
      <c r="O78" s="37">
        <v>0.43858351153640412</v>
      </c>
      <c r="P78" s="38" t="s">
        <v>53</v>
      </c>
      <c r="Q78" s="36">
        <v>8.788446002521102</v>
      </c>
      <c r="R78" s="37">
        <v>0.43858351153635144</v>
      </c>
      <c r="S78" s="38" t="s">
        <v>53</v>
      </c>
      <c r="T78" s="36">
        <v>2.1412394610485839</v>
      </c>
      <c r="U78" s="37">
        <v>0.24868953200456667</v>
      </c>
      <c r="V78" s="38" t="s">
        <v>53</v>
      </c>
      <c r="W78" s="36">
        <v>6.647206541472797</v>
      </c>
      <c r="X78" s="37">
        <v>0.41445088721268369</v>
      </c>
      <c r="Y78" s="38" t="s">
        <v>53</v>
      </c>
      <c r="Z78" s="36">
        <v>-6.2636075019836426</v>
      </c>
      <c r="AA78" s="37">
        <v>0.53060215711593628</v>
      </c>
      <c r="AB78" s="38" t="s">
        <v>53</v>
      </c>
      <c r="AC78" s="36">
        <v>6.2636075019836426</v>
      </c>
      <c r="AD78" s="37">
        <v>0.53060215711593628</v>
      </c>
      <c r="AE78" s="38" t="s">
        <v>53</v>
      </c>
      <c r="AF78" s="36">
        <v>1.4036742448806763</v>
      </c>
      <c r="AG78" s="37">
        <v>0.29986798763275146</v>
      </c>
      <c r="AH78" s="38" t="s">
        <v>53</v>
      </c>
      <c r="AI78" s="36">
        <v>4.8599328994750977</v>
      </c>
      <c r="AJ78" s="37">
        <v>0.48224636912345886</v>
      </c>
      <c r="AK78" s="39" t="s">
        <v>53</v>
      </c>
    </row>
    <row r="79" spans="1:37" x14ac:dyDescent="0.25">
      <c r="A79" s="15" t="s">
        <v>191</v>
      </c>
      <c r="B79" s="36">
        <v>98.662732451746777</v>
      </c>
      <c r="C79" s="37">
        <v>0.2022790646136616</v>
      </c>
      <c r="D79" s="38" t="s">
        <v>53</v>
      </c>
      <c r="E79" s="36">
        <v>1.3372675482531671</v>
      </c>
      <c r="F79" s="37">
        <v>0.20227906461366377</v>
      </c>
      <c r="G79" s="38" t="s">
        <v>53</v>
      </c>
      <c r="H79" s="36">
        <v>1.0898865209457229</v>
      </c>
      <c r="I79" s="37">
        <v>0.19557711850914569</v>
      </c>
      <c r="J79" s="38" t="s">
        <v>53</v>
      </c>
      <c r="K79" s="36">
        <v>0.24738102730749639</v>
      </c>
      <c r="L79" s="37">
        <v>5.5369420757123609E-2</v>
      </c>
      <c r="M79" s="38" t="s">
        <v>53</v>
      </c>
      <c r="N79" s="36">
        <v>98.553476536954278</v>
      </c>
      <c r="O79" s="37">
        <v>0.16410339723422293</v>
      </c>
      <c r="P79" s="38" t="s">
        <v>53</v>
      </c>
      <c r="Q79" s="36">
        <v>1.446523463045726</v>
      </c>
      <c r="R79" s="37">
        <v>0.1641033972342269</v>
      </c>
      <c r="S79" s="38" t="s">
        <v>53</v>
      </c>
      <c r="T79" s="36">
        <v>1.1228487857616001</v>
      </c>
      <c r="U79" s="37">
        <v>0.13465702575690378</v>
      </c>
      <c r="V79" s="38" t="s">
        <v>53</v>
      </c>
      <c r="W79" s="36">
        <v>0.32367467728412008</v>
      </c>
      <c r="X79" s="37">
        <v>9.0510656677507337E-2</v>
      </c>
      <c r="Y79" s="38" t="s">
        <v>53</v>
      </c>
      <c r="Z79" s="36">
        <v>-0.10925591737031937</v>
      </c>
      <c r="AA79" s="37">
        <v>0.26047408580780029</v>
      </c>
      <c r="AB79" s="38" t="s">
        <v>53</v>
      </c>
      <c r="AC79" s="36">
        <v>0.10925591737031937</v>
      </c>
      <c r="AD79" s="37">
        <v>0.26047408580780029</v>
      </c>
      <c r="AE79" s="38" t="s">
        <v>53</v>
      </c>
      <c r="AF79" s="36">
        <v>3.2962266355752945E-2</v>
      </c>
      <c r="AG79" s="37">
        <v>0.23745088279247284</v>
      </c>
      <c r="AH79" s="38" t="s">
        <v>53</v>
      </c>
      <c r="AI79" s="36">
        <v>7.6293647289276123E-2</v>
      </c>
      <c r="AJ79" s="37">
        <v>0.10610349476337433</v>
      </c>
      <c r="AK79" s="39" t="s">
        <v>53</v>
      </c>
    </row>
    <row r="80" spans="1:37" x14ac:dyDescent="0.25">
      <c r="A80" s="15" t="s">
        <v>192</v>
      </c>
      <c r="B80" s="36">
        <v>93.430807080871929</v>
      </c>
      <c r="C80" s="37">
        <v>0.41670564528941484</v>
      </c>
      <c r="D80" s="38" t="s">
        <v>53</v>
      </c>
      <c r="E80" s="36">
        <v>6.5691929191280094</v>
      </c>
      <c r="F80" s="37">
        <v>0.41670564528942505</v>
      </c>
      <c r="G80" s="38" t="s">
        <v>53</v>
      </c>
      <c r="H80" s="36">
        <v>2.516776089642474</v>
      </c>
      <c r="I80" s="37">
        <v>0.31387852523806964</v>
      </c>
      <c r="J80" s="38" t="s">
        <v>53</v>
      </c>
      <c r="K80" s="36">
        <v>4.0524168294855913</v>
      </c>
      <c r="L80" s="37">
        <v>0.30366178153495432</v>
      </c>
      <c r="M80" s="38" t="s">
        <v>53</v>
      </c>
      <c r="N80" s="36">
        <v>94.20047690918571</v>
      </c>
      <c r="O80" s="37">
        <v>0.2934780015319805</v>
      </c>
      <c r="P80" s="38" t="s">
        <v>53</v>
      </c>
      <c r="Q80" s="36">
        <v>5.7995230908142004</v>
      </c>
      <c r="R80" s="37">
        <v>0.29347800153195619</v>
      </c>
      <c r="S80" s="38" t="s">
        <v>53</v>
      </c>
      <c r="T80" s="36">
        <v>3.5959608504423599</v>
      </c>
      <c r="U80" s="37">
        <v>0.2401849646655583</v>
      </c>
      <c r="V80" s="38" t="s">
        <v>53</v>
      </c>
      <c r="W80" s="36">
        <v>2.2035622403719288</v>
      </c>
      <c r="X80" s="37">
        <v>0.17838846344683776</v>
      </c>
      <c r="Y80" s="38" t="s">
        <v>53</v>
      </c>
      <c r="Z80" s="36">
        <v>0.76966983079910278</v>
      </c>
      <c r="AA80" s="37">
        <v>0.50967925786972046</v>
      </c>
      <c r="AB80" s="38" t="s">
        <v>53</v>
      </c>
      <c r="AC80" s="36">
        <v>-0.76966983079910278</v>
      </c>
      <c r="AD80" s="37">
        <v>0.50967925786972046</v>
      </c>
      <c r="AE80" s="38" t="s">
        <v>53</v>
      </c>
      <c r="AF80" s="36">
        <v>1.0791847705841064</v>
      </c>
      <c r="AG80" s="37">
        <v>0.39523226022720337</v>
      </c>
      <c r="AH80" s="38" t="s">
        <v>53</v>
      </c>
      <c r="AI80" s="36">
        <v>-1.8488545417785645</v>
      </c>
      <c r="AJ80" s="37">
        <v>0.35218307375907898</v>
      </c>
      <c r="AK80" s="39" t="s">
        <v>53</v>
      </c>
    </row>
    <row r="81" spans="1:37" x14ac:dyDescent="0.25">
      <c r="A81" s="15" t="s">
        <v>193</v>
      </c>
      <c r="B81" s="36" t="s">
        <v>55</v>
      </c>
      <c r="C81" s="37" t="s">
        <v>55</v>
      </c>
      <c r="D81" s="38" t="s">
        <v>53</v>
      </c>
      <c r="E81" s="36" t="s">
        <v>55</v>
      </c>
      <c r="F81" s="37" t="s">
        <v>55</v>
      </c>
      <c r="G81" s="38" t="s">
        <v>53</v>
      </c>
      <c r="H81" s="36" t="s">
        <v>55</v>
      </c>
      <c r="I81" s="37" t="s">
        <v>55</v>
      </c>
      <c r="J81" s="38" t="s">
        <v>53</v>
      </c>
      <c r="K81" s="36" t="s">
        <v>55</v>
      </c>
      <c r="L81" s="37" t="s">
        <v>55</v>
      </c>
      <c r="M81" s="38" t="s">
        <v>53</v>
      </c>
      <c r="N81" s="36">
        <v>99.217134305886873</v>
      </c>
      <c r="O81" s="37">
        <v>0.1075189892089829</v>
      </c>
      <c r="P81" s="38" t="s">
        <v>53</v>
      </c>
      <c r="Q81" s="36">
        <v>0.78286569411311713</v>
      </c>
      <c r="R81" s="37">
        <v>0.10751898920898165</v>
      </c>
      <c r="S81" s="38" t="s">
        <v>53</v>
      </c>
      <c r="T81" s="36">
        <v>0.412918823107288</v>
      </c>
      <c r="U81" s="37">
        <v>8.6294485630687534E-2</v>
      </c>
      <c r="V81" s="38" t="s">
        <v>53</v>
      </c>
      <c r="W81" s="36">
        <v>0.36994687100583351</v>
      </c>
      <c r="X81" s="37">
        <v>6.4007449413789566E-2</v>
      </c>
      <c r="Y81" s="38" t="s">
        <v>53</v>
      </c>
      <c r="Z81" s="36" t="s">
        <v>55</v>
      </c>
      <c r="AA81" s="37" t="s">
        <v>55</v>
      </c>
      <c r="AB81" s="38" t="s">
        <v>53</v>
      </c>
      <c r="AC81" s="36" t="s">
        <v>55</v>
      </c>
      <c r="AD81" s="37" t="s">
        <v>55</v>
      </c>
      <c r="AE81" s="38" t="s">
        <v>53</v>
      </c>
      <c r="AF81" s="36" t="s">
        <v>55</v>
      </c>
      <c r="AG81" s="37" t="s">
        <v>55</v>
      </c>
      <c r="AH81" s="38" t="s">
        <v>53</v>
      </c>
      <c r="AI81" s="36" t="s">
        <v>55</v>
      </c>
      <c r="AJ81" s="37" t="s">
        <v>55</v>
      </c>
      <c r="AK81" s="39" t="s">
        <v>53</v>
      </c>
    </row>
    <row r="82" spans="1:37" x14ac:dyDescent="0.25">
      <c r="A82" s="15" t="s">
        <v>194</v>
      </c>
      <c r="B82" s="36" t="s">
        <v>55</v>
      </c>
      <c r="C82" s="37" t="s">
        <v>55</v>
      </c>
      <c r="D82" s="38" t="s">
        <v>53</v>
      </c>
      <c r="E82" s="36" t="s">
        <v>55</v>
      </c>
      <c r="F82" s="37" t="s">
        <v>55</v>
      </c>
      <c r="G82" s="38" t="s">
        <v>53</v>
      </c>
      <c r="H82" s="36" t="s">
        <v>55</v>
      </c>
      <c r="I82" s="37" t="s">
        <v>55</v>
      </c>
      <c r="J82" s="38" t="s">
        <v>53</v>
      </c>
      <c r="K82" s="36" t="s">
        <v>55</v>
      </c>
      <c r="L82" s="37" t="s">
        <v>55</v>
      </c>
      <c r="M82" s="38" t="s">
        <v>53</v>
      </c>
      <c r="N82" s="36">
        <v>98.375718682888703</v>
      </c>
      <c r="O82" s="37">
        <v>0.22955526457298236</v>
      </c>
      <c r="P82" s="38" t="s">
        <v>53</v>
      </c>
      <c r="Q82" s="36">
        <v>1.624281317111322</v>
      </c>
      <c r="R82" s="37">
        <v>0.2295552645729679</v>
      </c>
      <c r="S82" s="38" t="s">
        <v>53</v>
      </c>
      <c r="T82" s="36">
        <v>1.084712721448738</v>
      </c>
      <c r="U82" s="37">
        <v>0.1870887048233987</v>
      </c>
      <c r="V82" s="38" t="s">
        <v>53</v>
      </c>
      <c r="W82" s="36">
        <v>0.53956859566256554</v>
      </c>
      <c r="X82" s="37">
        <v>0.11779188411701508</v>
      </c>
      <c r="Y82" s="38" t="s">
        <v>53</v>
      </c>
      <c r="Z82" s="36" t="s">
        <v>55</v>
      </c>
      <c r="AA82" s="37" t="s">
        <v>55</v>
      </c>
      <c r="AB82" s="38" t="s">
        <v>53</v>
      </c>
      <c r="AC82" s="36" t="s">
        <v>55</v>
      </c>
      <c r="AD82" s="37" t="s">
        <v>55</v>
      </c>
      <c r="AE82" s="38" t="s">
        <v>53</v>
      </c>
      <c r="AF82" s="36" t="s">
        <v>55</v>
      </c>
      <c r="AG82" s="37" t="s">
        <v>55</v>
      </c>
      <c r="AH82" s="38" t="s">
        <v>53</v>
      </c>
      <c r="AI82" s="36" t="s">
        <v>55</v>
      </c>
      <c r="AJ82" s="37" t="s">
        <v>55</v>
      </c>
      <c r="AK82" s="39" t="s">
        <v>53</v>
      </c>
    </row>
    <row r="83" spans="1:37" x14ac:dyDescent="0.25">
      <c r="A83" s="15" t="s">
        <v>195</v>
      </c>
      <c r="B83" s="36">
        <v>96.123315657333436</v>
      </c>
      <c r="C83" s="37">
        <v>0.7772409353106049</v>
      </c>
      <c r="D83" s="38" t="s">
        <v>53</v>
      </c>
      <c r="E83" s="36">
        <v>3.876684342666564</v>
      </c>
      <c r="F83" s="37">
        <v>0.77724093531060678</v>
      </c>
      <c r="G83" s="38" t="s">
        <v>53</v>
      </c>
      <c r="H83" s="36">
        <v>1.383355189259974</v>
      </c>
      <c r="I83" s="37">
        <v>0.30001957643544258</v>
      </c>
      <c r="J83" s="38" t="s">
        <v>53</v>
      </c>
      <c r="K83" s="36">
        <v>2.4933291534065911</v>
      </c>
      <c r="L83" s="37">
        <v>0.68077125145678197</v>
      </c>
      <c r="M83" s="38" t="s">
        <v>53</v>
      </c>
      <c r="N83" s="36">
        <v>94.030003568638506</v>
      </c>
      <c r="O83" s="37">
        <v>0.73436898142230678</v>
      </c>
      <c r="P83" s="38" t="s">
        <v>53</v>
      </c>
      <c r="Q83" s="36">
        <v>5.9699964313614693</v>
      </c>
      <c r="R83" s="37">
        <v>0.73436898142229345</v>
      </c>
      <c r="S83" s="38" t="s">
        <v>53</v>
      </c>
      <c r="T83" s="36">
        <v>2.0829510073310362</v>
      </c>
      <c r="U83" s="37">
        <v>0.41072576487345069</v>
      </c>
      <c r="V83" s="38" t="s">
        <v>53</v>
      </c>
      <c r="W83" s="36">
        <v>3.8870454240304722</v>
      </c>
      <c r="X83" s="37">
        <v>0.56132602639048723</v>
      </c>
      <c r="Y83" s="38" t="s">
        <v>53</v>
      </c>
      <c r="Z83" s="36">
        <v>-2.0933120250701904</v>
      </c>
      <c r="AA83" s="37">
        <v>1.0692994594573975</v>
      </c>
      <c r="AB83" s="38" t="s">
        <v>53</v>
      </c>
      <c r="AC83" s="36">
        <v>2.0933120250701904</v>
      </c>
      <c r="AD83" s="37">
        <v>1.0692994594573975</v>
      </c>
      <c r="AE83" s="38" t="s">
        <v>53</v>
      </c>
      <c r="AF83" s="36">
        <v>0.69959580898284912</v>
      </c>
      <c r="AG83" s="37">
        <v>0.50863289833068848</v>
      </c>
      <c r="AH83" s="38" t="s">
        <v>53</v>
      </c>
      <c r="AI83" s="36">
        <v>1.3937162160873413</v>
      </c>
      <c r="AJ83" s="37">
        <v>0.88234710693359375</v>
      </c>
      <c r="AK83" s="39" t="s">
        <v>53</v>
      </c>
    </row>
    <row r="84" spans="1:37" x14ac:dyDescent="0.25">
      <c r="A84" s="15" t="s">
        <v>196</v>
      </c>
      <c r="B84" s="36">
        <v>99.555469355942833</v>
      </c>
      <c r="C84" s="37">
        <v>8.1132456731083172E-2</v>
      </c>
      <c r="D84" s="38" t="s">
        <v>53</v>
      </c>
      <c r="E84" s="36">
        <v>0.4445306440571814</v>
      </c>
      <c r="F84" s="37">
        <v>8.1132456731082728E-2</v>
      </c>
      <c r="G84" s="38" t="s">
        <v>53</v>
      </c>
      <c r="H84" s="36">
        <v>0.27342304649245153</v>
      </c>
      <c r="I84" s="37">
        <v>6.0484054238507869E-2</v>
      </c>
      <c r="J84" s="38" t="s">
        <v>53</v>
      </c>
      <c r="K84" s="36">
        <v>0.17110759756472499</v>
      </c>
      <c r="L84" s="37">
        <v>5.6011008987882159E-2</v>
      </c>
      <c r="M84" s="38" t="s">
        <v>53</v>
      </c>
      <c r="N84" s="36">
        <v>99.5097212007487</v>
      </c>
      <c r="O84" s="37">
        <v>9.9801677578823245E-2</v>
      </c>
      <c r="P84" s="38" t="s">
        <v>53</v>
      </c>
      <c r="Q84" s="36">
        <v>0.49027879925129919</v>
      </c>
      <c r="R84" s="37">
        <v>9.9801677578821316E-2</v>
      </c>
      <c r="S84" s="38" t="s">
        <v>53</v>
      </c>
      <c r="T84" s="36">
        <v>0.36144591846970381</v>
      </c>
      <c r="U84" s="37">
        <v>9.3322073162686828E-2</v>
      </c>
      <c r="V84" s="38" t="s">
        <v>53</v>
      </c>
      <c r="W84" s="36">
        <v>0.12883288078159669</v>
      </c>
      <c r="X84" s="37">
        <v>4.7041029808748032E-2</v>
      </c>
      <c r="Y84" s="38" t="s">
        <v>53</v>
      </c>
      <c r="Z84" s="36">
        <v>-4.5748155564069748E-2</v>
      </c>
      <c r="AA84" s="37">
        <v>0.12861901521682739</v>
      </c>
      <c r="AB84" s="38" t="s">
        <v>53</v>
      </c>
      <c r="AC84" s="36">
        <v>4.5748155564069748E-2</v>
      </c>
      <c r="AD84" s="37">
        <v>0.12861901521682739</v>
      </c>
      <c r="AE84" s="38" t="s">
        <v>53</v>
      </c>
      <c r="AF84" s="36">
        <v>8.8022872805595398E-2</v>
      </c>
      <c r="AG84" s="37">
        <v>0.11120849847793579</v>
      </c>
      <c r="AH84" s="38" t="s">
        <v>53</v>
      </c>
      <c r="AI84" s="36">
        <v>-4.227471724152565E-2</v>
      </c>
      <c r="AJ84" s="37">
        <v>7.3144324123859406E-2</v>
      </c>
      <c r="AK84" s="39" t="s">
        <v>53</v>
      </c>
    </row>
    <row r="85" spans="1:37" x14ac:dyDescent="0.25">
      <c r="A85" s="15" t="s">
        <v>197</v>
      </c>
      <c r="B85" s="36" t="s">
        <v>55</v>
      </c>
      <c r="C85" s="37" t="s">
        <v>55</v>
      </c>
      <c r="D85" s="38" t="s">
        <v>53</v>
      </c>
      <c r="E85" s="36" t="s">
        <v>55</v>
      </c>
      <c r="F85" s="37" t="s">
        <v>55</v>
      </c>
      <c r="G85" s="38" t="s">
        <v>53</v>
      </c>
      <c r="H85" s="36" t="s">
        <v>55</v>
      </c>
      <c r="I85" s="37" t="s">
        <v>55</v>
      </c>
      <c r="J85" s="38" t="s">
        <v>53</v>
      </c>
      <c r="K85" s="36" t="s">
        <v>55</v>
      </c>
      <c r="L85" s="37" t="s">
        <v>55</v>
      </c>
      <c r="M85" s="38" t="s">
        <v>53</v>
      </c>
      <c r="N85" s="36">
        <v>98.963260544652201</v>
      </c>
      <c r="O85" s="37">
        <v>0.15659271343212172</v>
      </c>
      <c r="P85" s="38" t="s">
        <v>53</v>
      </c>
      <c r="Q85" s="36">
        <v>1.0367394553477971</v>
      </c>
      <c r="R85" s="37">
        <v>0.15659271343211451</v>
      </c>
      <c r="S85" s="38" t="s">
        <v>53</v>
      </c>
      <c r="T85" s="36">
        <v>0.41875983753399992</v>
      </c>
      <c r="U85" s="37">
        <v>7.9112317292630907E-2</v>
      </c>
      <c r="V85" s="38" t="s">
        <v>53</v>
      </c>
      <c r="W85" s="36">
        <v>0.61797961781380362</v>
      </c>
      <c r="X85" s="37">
        <v>0.12313964757361888</v>
      </c>
      <c r="Y85" s="38" t="s">
        <v>53</v>
      </c>
      <c r="Z85" s="36" t="s">
        <v>55</v>
      </c>
      <c r="AA85" s="37" t="s">
        <v>55</v>
      </c>
      <c r="AB85" s="38" t="s">
        <v>53</v>
      </c>
      <c r="AC85" s="36" t="s">
        <v>55</v>
      </c>
      <c r="AD85" s="37" t="s">
        <v>55</v>
      </c>
      <c r="AE85" s="38" t="s">
        <v>53</v>
      </c>
      <c r="AF85" s="36" t="s">
        <v>55</v>
      </c>
      <c r="AG85" s="37" t="s">
        <v>55</v>
      </c>
      <c r="AH85" s="38" t="s">
        <v>53</v>
      </c>
      <c r="AI85" s="36" t="s">
        <v>55</v>
      </c>
      <c r="AJ85" s="37" t="s">
        <v>55</v>
      </c>
      <c r="AK85" s="39" t="s">
        <v>53</v>
      </c>
    </row>
    <row r="86" spans="1:37" x14ac:dyDescent="0.25">
      <c r="A86" s="15" t="s">
        <v>198</v>
      </c>
      <c r="B86" s="36">
        <v>53.63249730436398</v>
      </c>
      <c r="C86" s="37">
        <v>0.42971037593098338</v>
      </c>
      <c r="D86" s="38" t="s">
        <v>53</v>
      </c>
      <c r="E86" s="36">
        <v>46.367502695636212</v>
      </c>
      <c r="F86" s="37">
        <v>0.42971037593105316</v>
      </c>
      <c r="G86" s="38" t="s">
        <v>53</v>
      </c>
      <c r="H86" s="36">
        <v>19.96034402515734</v>
      </c>
      <c r="I86" s="37">
        <v>0.41183793294164228</v>
      </c>
      <c r="J86" s="38" t="s">
        <v>53</v>
      </c>
      <c r="K86" s="36">
        <v>26.40715867047868</v>
      </c>
      <c r="L86" s="37">
        <v>0.40740328980956664</v>
      </c>
      <c r="M86" s="38" t="s">
        <v>53</v>
      </c>
      <c r="N86" s="36">
        <v>43.194652095826783</v>
      </c>
      <c r="O86" s="37">
        <v>0.3692223839513914</v>
      </c>
      <c r="P86" s="38" t="s">
        <v>53</v>
      </c>
      <c r="Q86" s="36">
        <v>56.805347904173573</v>
      </c>
      <c r="R86" s="37">
        <v>0.36922238395152379</v>
      </c>
      <c r="S86" s="38" t="s">
        <v>53</v>
      </c>
      <c r="T86" s="36">
        <v>16.97841253652188</v>
      </c>
      <c r="U86" s="37">
        <v>0.32622768964909132</v>
      </c>
      <c r="V86" s="38" t="s">
        <v>53</v>
      </c>
      <c r="W86" s="36">
        <v>39.826935367651338</v>
      </c>
      <c r="X86" s="37">
        <v>0.29360467917391819</v>
      </c>
      <c r="Y86" s="38" t="s">
        <v>53</v>
      </c>
      <c r="Z86" s="36">
        <v>-10.437845230102539</v>
      </c>
      <c r="AA86" s="37">
        <v>0.56654757261276245</v>
      </c>
      <c r="AB86" s="38" t="s">
        <v>53</v>
      </c>
      <c r="AC86" s="36">
        <v>10.437845230102539</v>
      </c>
      <c r="AD86" s="37">
        <v>0.56654757261276245</v>
      </c>
      <c r="AE86" s="38" t="s">
        <v>53</v>
      </c>
      <c r="AF86" s="36">
        <v>-2.9819314479827881</v>
      </c>
      <c r="AG86" s="37">
        <v>0.52539032697677612</v>
      </c>
      <c r="AH86" s="38" t="s">
        <v>53</v>
      </c>
      <c r="AI86" s="36">
        <v>13.419776916503906</v>
      </c>
      <c r="AJ86" s="37">
        <v>0.50217640399932861</v>
      </c>
      <c r="AK86" s="39" t="s">
        <v>53</v>
      </c>
    </row>
    <row r="87" spans="1:37" x14ac:dyDescent="0.25">
      <c r="A87" s="15" t="s">
        <v>199</v>
      </c>
      <c r="B87" s="36">
        <v>99.672404904031524</v>
      </c>
      <c r="C87" s="37">
        <v>8.0469537193249507E-2</v>
      </c>
      <c r="D87" s="38" t="s">
        <v>53</v>
      </c>
      <c r="E87" s="36">
        <v>0.32759509596848801</v>
      </c>
      <c r="F87" s="37">
        <v>8.0469537193246385E-2</v>
      </c>
      <c r="G87" s="38" t="s">
        <v>53</v>
      </c>
      <c r="H87" s="36">
        <v>8.1243407641697699E-2</v>
      </c>
      <c r="I87" s="37">
        <v>4.8725104851601343E-2</v>
      </c>
      <c r="J87" s="38" t="s">
        <v>53</v>
      </c>
      <c r="K87" s="36">
        <v>0.24635168832678711</v>
      </c>
      <c r="L87" s="37">
        <v>6.4288803958504961E-2</v>
      </c>
      <c r="M87" s="38" t="s">
        <v>53</v>
      </c>
      <c r="N87" s="36">
        <v>99.219668873030997</v>
      </c>
      <c r="O87" s="37">
        <v>0.17564163445412112</v>
      </c>
      <c r="P87" s="38" t="s">
        <v>54</v>
      </c>
      <c r="Q87" s="36">
        <v>0.78033112696900298</v>
      </c>
      <c r="R87" s="37">
        <v>0.17564163445411757</v>
      </c>
      <c r="S87" s="38" t="s">
        <v>54</v>
      </c>
      <c r="T87" s="36">
        <v>0.50955035465351384</v>
      </c>
      <c r="U87" s="37">
        <v>0.13485842978747331</v>
      </c>
      <c r="V87" s="38" t="s">
        <v>54</v>
      </c>
      <c r="W87" s="36">
        <v>0.27078077231549352</v>
      </c>
      <c r="X87" s="37">
        <v>0.10099248965371591</v>
      </c>
      <c r="Y87" s="38" t="s">
        <v>54</v>
      </c>
      <c r="Z87" s="36">
        <v>-0.4527360200881958</v>
      </c>
      <c r="AA87" s="37">
        <v>0.19319765269756317</v>
      </c>
      <c r="AB87" s="38" t="s">
        <v>53</v>
      </c>
      <c r="AC87" s="36">
        <v>0.4527360200881958</v>
      </c>
      <c r="AD87" s="37">
        <v>0.19319765269756317</v>
      </c>
      <c r="AE87" s="38" t="s">
        <v>53</v>
      </c>
      <c r="AF87" s="36">
        <v>0.4283069372177124</v>
      </c>
      <c r="AG87" s="37">
        <v>0.14339083433151245</v>
      </c>
      <c r="AH87" s="38" t="s">
        <v>53</v>
      </c>
      <c r="AI87" s="36">
        <v>2.4429084733128548E-2</v>
      </c>
      <c r="AJ87" s="37">
        <v>0.11971855908632278</v>
      </c>
      <c r="AK87" s="39" t="s">
        <v>53</v>
      </c>
    </row>
    <row r="88" spans="1:37" x14ac:dyDescent="0.25">
      <c r="A88" s="15" t="s">
        <v>200</v>
      </c>
      <c r="B88" s="36">
        <v>87.902376623881622</v>
      </c>
      <c r="C88" s="37">
        <v>0.74516844748571431</v>
      </c>
      <c r="D88" s="38" t="s">
        <v>53</v>
      </c>
      <c r="E88" s="36">
        <v>12.097623376118371</v>
      </c>
      <c r="F88" s="37">
        <v>0.74516844748571254</v>
      </c>
      <c r="G88" s="38" t="s">
        <v>53</v>
      </c>
      <c r="H88" s="36">
        <v>7.2120347176018909</v>
      </c>
      <c r="I88" s="37">
        <v>0.65759748229082704</v>
      </c>
      <c r="J88" s="38" t="s">
        <v>53</v>
      </c>
      <c r="K88" s="36">
        <v>4.8855886585164816</v>
      </c>
      <c r="L88" s="37">
        <v>0.38118836518027288</v>
      </c>
      <c r="M88" s="38" t="s">
        <v>53</v>
      </c>
      <c r="N88" s="36">
        <v>94.229399074636447</v>
      </c>
      <c r="O88" s="37">
        <v>0.30960017898991382</v>
      </c>
      <c r="P88" s="38" t="s">
        <v>53</v>
      </c>
      <c r="Q88" s="36">
        <v>5.7706009253634853</v>
      </c>
      <c r="R88" s="37">
        <v>0.30960017898992492</v>
      </c>
      <c r="S88" s="38" t="s">
        <v>53</v>
      </c>
      <c r="T88" s="36">
        <v>3.5461255402337848</v>
      </c>
      <c r="U88" s="37">
        <v>0.23032710739688922</v>
      </c>
      <c r="V88" s="38" t="s">
        <v>53</v>
      </c>
      <c r="W88" s="36">
        <v>2.2244753851297712</v>
      </c>
      <c r="X88" s="37">
        <v>0.20178641102953646</v>
      </c>
      <c r="Y88" s="38" t="s">
        <v>53</v>
      </c>
      <c r="Z88" s="36">
        <v>6.3270225524902344</v>
      </c>
      <c r="AA88" s="37">
        <v>0.80692517757415771</v>
      </c>
      <c r="AB88" s="38" t="s">
        <v>53</v>
      </c>
      <c r="AC88" s="36">
        <v>-6.3270225524902344</v>
      </c>
      <c r="AD88" s="37">
        <v>0.80692517757415771</v>
      </c>
      <c r="AE88" s="38" t="s">
        <v>53</v>
      </c>
      <c r="AF88" s="36">
        <v>-3.6659092903137207</v>
      </c>
      <c r="AG88" s="37">
        <v>0.69676756858825684</v>
      </c>
      <c r="AH88" s="38" t="s">
        <v>53</v>
      </c>
      <c r="AI88" s="36">
        <v>-2.6611132621765137</v>
      </c>
      <c r="AJ88" s="37">
        <v>0.43130305409431458</v>
      </c>
      <c r="AK88" s="39" t="s">
        <v>53</v>
      </c>
    </row>
    <row r="89" spans="1:37" x14ac:dyDescent="0.25">
      <c r="A89" s="15" t="s">
        <v>201</v>
      </c>
      <c r="B89" s="36" t="s">
        <v>55</v>
      </c>
      <c r="C89" s="37" t="s">
        <v>55</v>
      </c>
      <c r="D89" s="38" t="s">
        <v>53</v>
      </c>
      <c r="E89" s="36" t="s">
        <v>55</v>
      </c>
      <c r="F89" s="37" t="s">
        <v>55</v>
      </c>
      <c r="G89" s="38" t="s">
        <v>53</v>
      </c>
      <c r="H89" s="36" t="s">
        <v>55</v>
      </c>
      <c r="I89" s="37" t="s">
        <v>55</v>
      </c>
      <c r="J89" s="38" t="s">
        <v>53</v>
      </c>
      <c r="K89" s="36" t="s">
        <v>55</v>
      </c>
      <c r="L89" s="37" t="s">
        <v>55</v>
      </c>
      <c r="M89" s="38" t="s">
        <v>53</v>
      </c>
      <c r="N89" s="36">
        <v>88.132561385912908</v>
      </c>
      <c r="O89" s="37">
        <v>1.0844814315090792</v>
      </c>
      <c r="P89" s="38" t="s">
        <v>53</v>
      </c>
      <c r="Q89" s="36">
        <v>11.867438614087</v>
      </c>
      <c r="R89" s="37">
        <v>1.0844814315091003</v>
      </c>
      <c r="S89" s="38" t="s">
        <v>53</v>
      </c>
      <c r="T89" s="36">
        <v>6.415028557620321</v>
      </c>
      <c r="U89" s="37">
        <v>0.67380874165274385</v>
      </c>
      <c r="V89" s="38" t="s">
        <v>53</v>
      </c>
      <c r="W89" s="36">
        <v>5.4524100564667766</v>
      </c>
      <c r="X89" s="37">
        <v>0.50976358768316299</v>
      </c>
      <c r="Y89" s="38" t="s">
        <v>53</v>
      </c>
      <c r="Z89" s="36" t="s">
        <v>55</v>
      </c>
      <c r="AA89" s="37" t="s">
        <v>55</v>
      </c>
      <c r="AB89" s="38" t="s">
        <v>53</v>
      </c>
      <c r="AC89" s="36" t="s">
        <v>55</v>
      </c>
      <c r="AD89" s="37" t="s">
        <v>55</v>
      </c>
      <c r="AE89" s="38" t="s">
        <v>53</v>
      </c>
      <c r="AF89" s="36" t="s">
        <v>55</v>
      </c>
      <c r="AG89" s="37" t="s">
        <v>55</v>
      </c>
      <c r="AH89" s="38" t="s">
        <v>53</v>
      </c>
      <c r="AI89" s="36" t="s">
        <v>55</v>
      </c>
      <c r="AJ89" s="37" t="s">
        <v>55</v>
      </c>
      <c r="AK89" s="39" t="s">
        <v>53</v>
      </c>
    </row>
    <row r="90" spans="1:37" x14ac:dyDescent="0.25">
      <c r="A90" s="15" t="s">
        <v>202</v>
      </c>
      <c r="B90" s="36">
        <v>90.541002861149991</v>
      </c>
      <c r="C90" s="37">
        <v>0.56454595610899028</v>
      </c>
      <c r="D90" s="38" t="s">
        <v>53</v>
      </c>
      <c r="E90" s="36">
        <v>9.4589971388500551</v>
      </c>
      <c r="F90" s="37">
        <v>0.56454595610897806</v>
      </c>
      <c r="G90" s="38" t="s">
        <v>53</v>
      </c>
      <c r="H90" s="36">
        <v>5.1612310387107012</v>
      </c>
      <c r="I90" s="37">
        <v>0.3517228900361879</v>
      </c>
      <c r="J90" s="38" t="s">
        <v>53</v>
      </c>
      <c r="K90" s="36">
        <v>4.2977661001393139</v>
      </c>
      <c r="L90" s="37">
        <v>0.41342740458864335</v>
      </c>
      <c r="M90" s="38" t="s">
        <v>53</v>
      </c>
      <c r="N90" s="36">
        <v>90.678710474612075</v>
      </c>
      <c r="O90" s="37">
        <v>0.41176693146581567</v>
      </c>
      <c r="P90" s="38" t="s">
        <v>53</v>
      </c>
      <c r="Q90" s="36">
        <v>9.3212895253879164</v>
      </c>
      <c r="R90" s="37">
        <v>0.41176693146583265</v>
      </c>
      <c r="S90" s="38" t="s">
        <v>53</v>
      </c>
      <c r="T90" s="36">
        <v>8.2832412466473144</v>
      </c>
      <c r="U90" s="37">
        <v>0.38068686958489861</v>
      </c>
      <c r="V90" s="38" t="s">
        <v>53</v>
      </c>
      <c r="W90" s="36">
        <v>1.038048278740612</v>
      </c>
      <c r="X90" s="37">
        <v>0.12806124096954216</v>
      </c>
      <c r="Y90" s="38" t="s">
        <v>53</v>
      </c>
      <c r="Z90" s="36">
        <v>0.13770762085914612</v>
      </c>
      <c r="AA90" s="37">
        <v>0.69875901937484741</v>
      </c>
      <c r="AB90" s="38" t="s">
        <v>53</v>
      </c>
      <c r="AC90" s="36">
        <v>-0.13770762085914612</v>
      </c>
      <c r="AD90" s="37">
        <v>0.69875901937484741</v>
      </c>
      <c r="AE90" s="38" t="s">
        <v>53</v>
      </c>
      <c r="AF90" s="36">
        <v>3.1220102310180664</v>
      </c>
      <c r="AG90" s="37">
        <v>0.51829671859741211</v>
      </c>
      <c r="AH90" s="38" t="s">
        <v>53</v>
      </c>
      <c r="AI90" s="36">
        <v>-3.2597177028656006</v>
      </c>
      <c r="AJ90" s="37">
        <v>0.43280699849128723</v>
      </c>
      <c r="AK90" s="39" t="s">
        <v>53</v>
      </c>
    </row>
    <row r="91" spans="1:37" x14ac:dyDescent="0.25">
      <c r="A91" s="15" t="s">
        <v>203</v>
      </c>
      <c r="B91" s="36">
        <v>85.642234885073293</v>
      </c>
      <c r="C91" s="37">
        <v>0.6634933111167115</v>
      </c>
      <c r="D91" s="38" t="s">
        <v>53</v>
      </c>
      <c r="E91" s="36">
        <v>14.35776511492676</v>
      </c>
      <c r="F91" s="37">
        <v>0.66349331111670229</v>
      </c>
      <c r="G91" s="38" t="s">
        <v>53</v>
      </c>
      <c r="H91" s="36">
        <v>4.7755524538474896</v>
      </c>
      <c r="I91" s="37">
        <v>0.3536818506004894</v>
      </c>
      <c r="J91" s="38" t="s">
        <v>53</v>
      </c>
      <c r="K91" s="36">
        <v>9.5822126610792306</v>
      </c>
      <c r="L91" s="37">
        <v>0.4745222580295137</v>
      </c>
      <c r="M91" s="38" t="s">
        <v>53</v>
      </c>
      <c r="N91" s="36">
        <v>75.181122245902927</v>
      </c>
      <c r="O91" s="37">
        <v>0.66661225468237639</v>
      </c>
      <c r="P91" s="38" t="s">
        <v>53</v>
      </c>
      <c r="Q91" s="36">
        <v>24.81887775409696</v>
      </c>
      <c r="R91" s="37">
        <v>0.66661225468237284</v>
      </c>
      <c r="S91" s="38" t="s">
        <v>53</v>
      </c>
      <c r="T91" s="36">
        <v>8.111300409735124</v>
      </c>
      <c r="U91" s="37">
        <v>0.31600753332008746</v>
      </c>
      <c r="V91" s="38" t="s">
        <v>53</v>
      </c>
      <c r="W91" s="36">
        <v>16.707577344361962</v>
      </c>
      <c r="X91" s="37">
        <v>0.74751675222889491</v>
      </c>
      <c r="Y91" s="38" t="s">
        <v>53</v>
      </c>
      <c r="Z91" s="36">
        <v>-10.461112976074219</v>
      </c>
      <c r="AA91" s="37">
        <v>0.9405292272567749</v>
      </c>
      <c r="AB91" s="38" t="s">
        <v>53</v>
      </c>
      <c r="AC91" s="36">
        <v>10.461112976074219</v>
      </c>
      <c r="AD91" s="37">
        <v>0.9405292272567749</v>
      </c>
      <c r="AE91" s="38" t="s">
        <v>53</v>
      </c>
      <c r="AF91" s="36">
        <v>3.3357479572296143</v>
      </c>
      <c r="AG91" s="37">
        <v>0.4742906391620636</v>
      </c>
      <c r="AH91" s="38" t="s">
        <v>53</v>
      </c>
      <c r="AI91" s="36">
        <v>7.1253647804260254</v>
      </c>
      <c r="AJ91" s="37">
        <v>0.88541102409362793</v>
      </c>
      <c r="AK91" s="39" t="s">
        <v>53</v>
      </c>
    </row>
    <row r="92" spans="1:37" x14ac:dyDescent="0.25">
      <c r="A92" s="15" t="s">
        <v>204</v>
      </c>
      <c r="B92" s="36">
        <v>99.592556486359967</v>
      </c>
      <c r="C92" s="37">
        <v>0.10864037407547708</v>
      </c>
      <c r="D92" s="38" t="s">
        <v>53</v>
      </c>
      <c r="E92" s="36">
        <v>0.4074435136400138</v>
      </c>
      <c r="F92" s="37">
        <v>0.10864037407547381</v>
      </c>
      <c r="G92" s="38" t="s">
        <v>53</v>
      </c>
      <c r="H92" s="36">
        <v>0.24720145502937371</v>
      </c>
      <c r="I92" s="37">
        <v>8.0622338284159281E-2</v>
      </c>
      <c r="J92" s="38" t="s">
        <v>53</v>
      </c>
      <c r="K92" s="36">
        <v>0.160242058610643</v>
      </c>
      <c r="L92" s="37">
        <v>6.781891888377764E-2</v>
      </c>
      <c r="M92" s="38" t="s">
        <v>53</v>
      </c>
      <c r="N92" s="36">
        <v>99.296697979972961</v>
      </c>
      <c r="O92" s="37">
        <v>0.17353560800536333</v>
      </c>
      <c r="P92" s="38" t="s">
        <v>53</v>
      </c>
      <c r="Q92" s="36">
        <v>0.70330202002704301</v>
      </c>
      <c r="R92" s="37">
        <v>0.1735356080053603</v>
      </c>
      <c r="S92" s="38" t="s">
        <v>53</v>
      </c>
      <c r="T92" s="36">
        <v>0.38691774584863142</v>
      </c>
      <c r="U92" s="37">
        <v>8.0249604069261765E-2</v>
      </c>
      <c r="V92" s="38" t="s">
        <v>53</v>
      </c>
      <c r="W92" s="36">
        <v>0.31638427417841308</v>
      </c>
      <c r="X92" s="37">
        <v>0.11782716633001063</v>
      </c>
      <c r="Y92" s="38" t="s">
        <v>53</v>
      </c>
      <c r="Z92" s="36">
        <v>-0.29585850238800049</v>
      </c>
      <c r="AA92" s="37">
        <v>0.20473724603652954</v>
      </c>
      <c r="AB92" s="38" t="s">
        <v>53</v>
      </c>
      <c r="AC92" s="36">
        <v>0.29585850238800049</v>
      </c>
      <c r="AD92" s="37">
        <v>0.20473724603652954</v>
      </c>
      <c r="AE92" s="38" t="s">
        <v>53</v>
      </c>
      <c r="AF92" s="36">
        <v>0.13971629738807678</v>
      </c>
      <c r="AG92" s="37">
        <v>0.11375394463539124</v>
      </c>
      <c r="AH92" s="38" t="s">
        <v>53</v>
      </c>
      <c r="AI92" s="36">
        <v>0.1561422199010849</v>
      </c>
      <c r="AJ92" s="37">
        <v>0.13595089316368103</v>
      </c>
      <c r="AK92" s="39" t="s">
        <v>53</v>
      </c>
    </row>
    <row r="93" spans="1:37" x14ac:dyDescent="0.25">
      <c r="A93" s="15" t="s">
        <v>205</v>
      </c>
      <c r="B93" s="36">
        <v>100</v>
      </c>
      <c r="C93" s="37" t="s">
        <v>56</v>
      </c>
      <c r="D93" s="38" t="s">
        <v>53</v>
      </c>
      <c r="E93" s="36">
        <v>0</v>
      </c>
      <c r="F93" s="37" t="s">
        <v>56</v>
      </c>
      <c r="G93" s="38" t="s">
        <v>53</v>
      </c>
      <c r="H93" s="36">
        <v>0</v>
      </c>
      <c r="I93" s="37" t="s">
        <v>56</v>
      </c>
      <c r="J93" s="38" t="s">
        <v>53</v>
      </c>
      <c r="K93" s="36">
        <v>0</v>
      </c>
      <c r="L93" s="37" t="s">
        <v>56</v>
      </c>
      <c r="M93" s="38" t="s">
        <v>53</v>
      </c>
      <c r="N93" s="36">
        <v>98.928634062675613</v>
      </c>
      <c r="O93" s="37">
        <v>0.43149317383496522</v>
      </c>
      <c r="P93" s="38" t="s">
        <v>53</v>
      </c>
      <c r="Q93" s="36">
        <v>1.0713659373244</v>
      </c>
      <c r="R93" s="37">
        <v>0.43149317383496411</v>
      </c>
      <c r="S93" s="38" t="s">
        <v>53</v>
      </c>
      <c r="T93" s="36">
        <v>0.74865656411757076</v>
      </c>
      <c r="U93" s="37">
        <v>0.34407147147359712</v>
      </c>
      <c r="V93" s="38" t="s">
        <v>53</v>
      </c>
      <c r="W93" s="36">
        <v>0.32270937320682608</v>
      </c>
      <c r="X93" s="37">
        <v>0.11745566738863022</v>
      </c>
      <c r="Y93" s="38" t="s">
        <v>53</v>
      </c>
      <c r="Z93" s="36">
        <v>-1.0713659524917603</v>
      </c>
      <c r="AA93" s="37">
        <v>0.43149316310882568</v>
      </c>
      <c r="AB93" s="38" t="s">
        <v>53</v>
      </c>
      <c r="AC93" s="36">
        <v>1.0713659524917603</v>
      </c>
      <c r="AD93" s="37">
        <v>0.43149316310882568</v>
      </c>
      <c r="AE93" s="38" t="s">
        <v>53</v>
      </c>
      <c r="AF93" s="36">
        <v>0.74865657091140747</v>
      </c>
      <c r="AG93" s="37">
        <v>0.34407147765159607</v>
      </c>
      <c r="AH93" s="38" t="s">
        <v>53</v>
      </c>
      <c r="AI93" s="36">
        <v>0.32270938158035278</v>
      </c>
      <c r="AJ93" s="37">
        <v>0.11745566874742508</v>
      </c>
      <c r="AK93" s="39" t="s">
        <v>53</v>
      </c>
    </row>
    <row r="94" spans="1:37" x14ac:dyDescent="0.25">
      <c r="A94" s="15" t="s">
        <v>206</v>
      </c>
      <c r="B94" s="36" t="s">
        <v>55</v>
      </c>
      <c r="C94" s="37" t="s">
        <v>55</v>
      </c>
      <c r="D94" s="38" t="s">
        <v>53</v>
      </c>
      <c r="E94" s="36" t="s">
        <v>55</v>
      </c>
      <c r="F94" s="37" t="s">
        <v>55</v>
      </c>
      <c r="G94" s="38" t="s">
        <v>53</v>
      </c>
      <c r="H94" s="36" t="s">
        <v>55</v>
      </c>
      <c r="I94" s="37" t="s">
        <v>55</v>
      </c>
      <c r="J94" s="38" t="s">
        <v>53</v>
      </c>
      <c r="K94" s="36" t="s">
        <v>55</v>
      </c>
      <c r="L94" s="37" t="s">
        <v>55</v>
      </c>
      <c r="M94" s="38" t="s">
        <v>53</v>
      </c>
      <c r="N94" s="36">
        <v>97.685063961788316</v>
      </c>
      <c r="O94" s="37">
        <v>0.21824514112816742</v>
      </c>
      <c r="P94" s="38" t="s">
        <v>53</v>
      </c>
      <c r="Q94" s="36">
        <v>2.3149360382116502</v>
      </c>
      <c r="R94" s="37">
        <v>0.21824514112817359</v>
      </c>
      <c r="S94" s="38" t="s">
        <v>53</v>
      </c>
      <c r="T94" s="36">
        <v>1.5268072516221201</v>
      </c>
      <c r="U94" s="37">
        <v>0.15821704032937539</v>
      </c>
      <c r="V94" s="38" t="s">
        <v>53</v>
      </c>
      <c r="W94" s="36">
        <v>0.78812878658956576</v>
      </c>
      <c r="X94" s="37">
        <v>0.13373137382167455</v>
      </c>
      <c r="Y94" s="38" t="s">
        <v>53</v>
      </c>
      <c r="Z94" s="36" t="s">
        <v>55</v>
      </c>
      <c r="AA94" s="37" t="s">
        <v>55</v>
      </c>
      <c r="AB94" s="38" t="s">
        <v>53</v>
      </c>
      <c r="AC94" s="36" t="s">
        <v>55</v>
      </c>
      <c r="AD94" s="37" t="s">
        <v>55</v>
      </c>
      <c r="AE94" s="38" t="s">
        <v>53</v>
      </c>
      <c r="AF94" s="36" t="s">
        <v>55</v>
      </c>
      <c r="AG94" s="37" t="s">
        <v>55</v>
      </c>
      <c r="AH94" s="38" t="s">
        <v>53</v>
      </c>
      <c r="AI94" s="36" t="s">
        <v>55</v>
      </c>
      <c r="AJ94" s="37" t="s">
        <v>55</v>
      </c>
      <c r="AK94" s="39" t="s">
        <v>53</v>
      </c>
    </row>
    <row r="95" spans="1:37" x14ac:dyDescent="0.25">
      <c r="A95" s="15" t="s">
        <v>207</v>
      </c>
      <c r="B95" s="36" t="s">
        <v>55</v>
      </c>
      <c r="C95" s="37" t="s">
        <v>55</v>
      </c>
      <c r="D95" s="38" t="s">
        <v>53</v>
      </c>
      <c r="E95" s="36" t="s">
        <v>55</v>
      </c>
      <c r="F95" s="37" t="s">
        <v>55</v>
      </c>
      <c r="G95" s="38" t="s">
        <v>53</v>
      </c>
      <c r="H95" s="36" t="s">
        <v>55</v>
      </c>
      <c r="I95" s="37" t="s">
        <v>55</v>
      </c>
      <c r="J95" s="38" t="s">
        <v>53</v>
      </c>
      <c r="K95" s="36" t="s">
        <v>55</v>
      </c>
      <c r="L95" s="37" t="s">
        <v>55</v>
      </c>
      <c r="M95" s="38" t="s">
        <v>53</v>
      </c>
      <c r="N95" s="36">
        <v>44.21874477177267</v>
      </c>
      <c r="O95" s="37">
        <v>0.78306140903695065</v>
      </c>
      <c r="P95" s="38" t="s">
        <v>53</v>
      </c>
      <c r="Q95" s="36">
        <v>55.781255228227387</v>
      </c>
      <c r="R95" s="37">
        <v>0.78306140903694188</v>
      </c>
      <c r="S95" s="38" t="s">
        <v>53</v>
      </c>
      <c r="T95" s="36">
        <v>23.036516994216392</v>
      </c>
      <c r="U95" s="37">
        <v>0.41241613322738557</v>
      </c>
      <c r="V95" s="38" t="s">
        <v>53</v>
      </c>
      <c r="W95" s="36">
        <v>32.744738234010931</v>
      </c>
      <c r="X95" s="37">
        <v>0.73827914221026703</v>
      </c>
      <c r="Y95" s="38" t="s">
        <v>53</v>
      </c>
      <c r="Z95" s="36" t="s">
        <v>55</v>
      </c>
      <c r="AA95" s="37" t="s">
        <v>55</v>
      </c>
      <c r="AB95" s="38" t="s">
        <v>53</v>
      </c>
      <c r="AC95" s="36" t="s">
        <v>55</v>
      </c>
      <c r="AD95" s="37" t="s">
        <v>55</v>
      </c>
      <c r="AE95" s="38" t="s">
        <v>53</v>
      </c>
      <c r="AF95" s="36" t="s">
        <v>55</v>
      </c>
      <c r="AG95" s="37" t="s">
        <v>55</v>
      </c>
      <c r="AH95" s="38" t="s">
        <v>53</v>
      </c>
      <c r="AI95" s="36" t="s">
        <v>55</v>
      </c>
      <c r="AJ95" s="37" t="s">
        <v>55</v>
      </c>
      <c r="AK95" s="39" t="s">
        <v>53</v>
      </c>
    </row>
    <row r="96" spans="1:37" x14ac:dyDescent="0.25">
      <c r="A96" s="15" t="s">
        <v>208</v>
      </c>
      <c r="B96" s="36">
        <v>99.444158104664439</v>
      </c>
      <c r="C96" s="37">
        <v>0.12236009581945204</v>
      </c>
      <c r="D96" s="38" t="s">
        <v>53</v>
      </c>
      <c r="E96" s="36">
        <v>0.55584189533555928</v>
      </c>
      <c r="F96" s="37">
        <v>0.12236009581945485</v>
      </c>
      <c r="G96" s="38" t="s">
        <v>53</v>
      </c>
      <c r="H96" s="36">
        <v>0.25287032437354151</v>
      </c>
      <c r="I96" s="37">
        <v>8.8068709702204914E-2</v>
      </c>
      <c r="J96" s="38" t="s">
        <v>53</v>
      </c>
      <c r="K96" s="36">
        <v>0.30297157096201871</v>
      </c>
      <c r="L96" s="37">
        <v>8.4638309222304559E-2</v>
      </c>
      <c r="M96" s="38" t="s">
        <v>53</v>
      </c>
      <c r="N96" s="36">
        <v>98.730173330549206</v>
      </c>
      <c r="O96" s="37">
        <v>0.18673082341050681</v>
      </c>
      <c r="P96" s="38" t="s">
        <v>53</v>
      </c>
      <c r="Q96" s="36">
        <v>1.2698266694508</v>
      </c>
      <c r="R96" s="37">
        <v>0.18673082341050903</v>
      </c>
      <c r="S96" s="38" t="s">
        <v>53</v>
      </c>
      <c r="T96" s="36">
        <v>0.62785617444992903</v>
      </c>
      <c r="U96" s="37">
        <v>0.13187469691169607</v>
      </c>
      <c r="V96" s="38" t="s">
        <v>53</v>
      </c>
      <c r="W96" s="36">
        <v>0.64197049500086512</v>
      </c>
      <c r="X96" s="37">
        <v>0.13067314172653471</v>
      </c>
      <c r="Y96" s="38" t="s">
        <v>53</v>
      </c>
      <c r="Z96" s="36">
        <v>-0.71398478746414185</v>
      </c>
      <c r="AA96" s="37">
        <v>0.22324961423873901</v>
      </c>
      <c r="AB96" s="38" t="s">
        <v>53</v>
      </c>
      <c r="AC96" s="36">
        <v>0.71398478746414185</v>
      </c>
      <c r="AD96" s="37">
        <v>0.22324961423873901</v>
      </c>
      <c r="AE96" s="38" t="s">
        <v>53</v>
      </c>
      <c r="AF96" s="36">
        <v>0.37498584389686584</v>
      </c>
      <c r="AG96" s="37">
        <v>0.15857815742492676</v>
      </c>
      <c r="AH96" s="38" t="s">
        <v>53</v>
      </c>
      <c r="AI96" s="36">
        <v>0.33899891376495361</v>
      </c>
      <c r="AJ96" s="37">
        <v>0.15568915009498596</v>
      </c>
      <c r="AK96" s="39" t="s">
        <v>53</v>
      </c>
    </row>
    <row r="97" spans="1:37" ht="13.8" thickBot="1" x14ac:dyDescent="0.3">
      <c r="A97" s="18" t="s">
        <v>209</v>
      </c>
      <c r="B97" s="40" t="s">
        <v>55</v>
      </c>
      <c r="C97" s="41" t="s">
        <v>55</v>
      </c>
      <c r="D97" s="42" t="s">
        <v>53</v>
      </c>
      <c r="E97" s="40" t="s">
        <v>55</v>
      </c>
      <c r="F97" s="41" t="s">
        <v>55</v>
      </c>
      <c r="G97" s="42" t="s">
        <v>53</v>
      </c>
      <c r="H97" s="40" t="s">
        <v>55</v>
      </c>
      <c r="I97" s="41" t="s">
        <v>55</v>
      </c>
      <c r="J97" s="42" t="s">
        <v>53</v>
      </c>
      <c r="K97" s="40" t="s">
        <v>55</v>
      </c>
      <c r="L97" s="41" t="s">
        <v>55</v>
      </c>
      <c r="M97" s="42" t="s">
        <v>53</v>
      </c>
      <c r="N97" s="40">
        <v>99.937460881040607</v>
      </c>
      <c r="O97" s="41">
        <v>3.1144341727336579E-2</v>
      </c>
      <c r="P97" s="42" t="s">
        <v>53</v>
      </c>
      <c r="Q97" s="40">
        <v>6.2539118959409695E-2</v>
      </c>
      <c r="R97" s="41">
        <v>3.114434172733457E-2</v>
      </c>
      <c r="S97" s="42" t="s">
        <v>53</v>
      </c>
      <c r="T97" s="40">
        <v>2.3965499023094802E-2</v>
      </c>
      <c r="U97" s="41">
        <v>2.0045388736851508E-2</v>
      </c>
      <c r="V97" s="42" t="s">
        <v>53</v>
      </c>
      <c r="W97" s="40">
        <v>3.8573619936313697E-2</v>
      </c>
      <c r="X97" s="41">
        <v>2.3645250379506638E-2</v>
      </c>
      <c r="Y97" s="42" t="s">
        <v>53</v>
      </c>
      <c r="Z97" s="40" t="s">
        <v>55</v>
      </c>
      <c r="AA97" s="41" t="s">
        <v>55</v>
      </c>
      <c r="AB97" s="42" t="s">
        <v>53</v>
      </c>
      <c r="AC97" s="40" t="s">
        <v>55</v>
      </c>
      <c r="AD97" s="41" t="s">
        <v>55</v>
      </c>
      <c r="AE97" s="42" t="s">
        <v>53</v>
      </c>
      <c r="AF97" s="40" t="s">
        <v>55</v>
      </c>
      <c r="AG97" s="41" t="s">
        <v>55</v>
      </c>
      <c r="AH97" s="42" t="s">
        <v>53</v>
      </c>
      <c r="AI97" s="40" t="s">
        <v>55</v>
      </c>
      <c r="AJ97" s="41" t="s">
        <v>55</v>
      </c>
      <c r="AK97" s="43" t="s">
        <v>53</v>
      </c>
    </row>
    <row r="98" spans="1:37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</row>
    <row r="99" spans="1:37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</row>
    <row r="100" spans="1:37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</row>
    <row r="101" spans="1:37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</row>
    <row r="104" spans="1:37" x14ac:dyDescent="0.25">
      <c r="A104" t="s">
        <v>220</v>
      </c>
    </row>
    <row r="105" spans="1:37" x14ac:dyDescent="0.25">
      <c r="A105" s="33" t="s">
        <v>116</v>
      </c>
      <c r="B105" s="33"/>
      <c r="C105" s="33"/>
      <c r="D105" s="33"/>
      <c r="E105" s="33"/>
      <c r="F105" s="33"/>
      <c r="G105" s="33"/>
      <c r="H105" s="33"/>
      <c r="I105" s="33"/>
      <c r="J105" s="33"/>
      <c r="K105" s="33"/>
      <c r="L105" s="33"/>
      <c r="M105" s="33"/>
      <c r="N105" s="33"/>
      <c r="O105" s="33"/>
      <c r="P105" s="33"/>
      <c r="Q105" s="33"/>
      <c r="R105" s="33"/>
      <c r="S105" s="33"/>
    </row>
    <row r="106" spans="1:37" x14ac:dyDescent="0.25">
      <c r="A106" t="s">
        <v>78</v>
      </c>
    </row>
    <row r="107" spans="1:37" x14ac:dyDescent="0.25">
      <c r="A107" s="27" t="s">
        <v>212</v>
      </c>
    </row>
  </sheetData>
  <mergeCells count="18">
    <mergeCell ref="Z11:AK11"/>
    <mergeCell ref="Z12:AK12"/>
    <mergeCell ref="Z13:AB13"/>
    <mergeCell ref="AC13:AE13"/>
    <mergeCell ref="AF13:AH13"/>
    <mergeCell ref="AI13:AK13"/>
    <mergeCell ref="B12:M12"/>
    <mergeCell ref="B11:M11"/>
    <mergeCell ref="B13:D13"/>
    <mergeCell ref="K13:M13"/>
    <mergeCell ref="H13:J13"/>
    <mergeCell ref="E13:G13"/>
    <mergeCell ref="N11:Y11"/>
    <mergeCell ref="N12:Y12"/>
    <mergeCell ref="N13:P13"/>
    <mergeCell ref="Q13:S13"/>
    <mergeCell ref="T13:V13"/>
    <mergeCell ref="W13:Y13"/>
  </mergeCells>
  <conditionalFormatting sqref="Z16:Z97">
    <cfRule type="expression" dxfId="8" priority="4">
      <formula>ABS(Z16/AA16)&gt;1.96</formula>
    </cfRule>
  </conditionalFormatting>
  <conditionalFormatting sqref="AC16:AC97">
    <cfRule type="expression" dxfId="7" priority="3">
      <formula>ABS(AC16/AD16)&gt;1.96</formula>
    </cfRule>
  </conditionalFormatting>
  <conditionalFormatting sqref="AF16:AF97">
    <cfRule type="expression" dxfId="6" priority="2">
      <formula>ABS(AF16/AG16)&gt;1.96</formula>
    </cfRule>
  </conditionalFormatting>
  <conditionalFormatting sqref="AI16:AI97">
    <cfRule type="expression" dxfId="5" priority="1">
      <formula>ABS(AI16/AJ16)&gt;1.96</formula>
    </cfRule>
  </conditionalFormatting>
  <hyperlinks>
    <hyperlink ref="A1" r:id="rId1" display="https://doi.org/10.1787/b5fd1b8f-en"/>
    <hyperlink ref="A4" r:id="rId2"/>
  </hyperlinks>
  <pageMargins left="0.7" right="0.7" top="0.75" bottom="0.75" header="0.3" footer="0.3"/>
  <pageSetup paperSize="9" orientation="portrait"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107"/>
  <sheetViews>
    <sheetView showGridLines="0" zoomScale="80" zoomScaleNormal="80" workbookViewId="0"/>
  </sheetViews>
  <sheetFormatPr defaultRowHeight="13.2" x14ac:dyDescent="0.25"/>
  <cols>
    <col min="1" max="1" width="28.33203125" customWidth="1"/>
    <col min="2" max="3" width="9" customWidth="1"/>
    <col min="4" max="4" width="2.44140625" customWidth="1"/>
    <col min="5" max="6" width="9" customWidth="1"/>
    <col min="7" max="7" width="2.44140625" customWidth="1"/>
    <col min="8" max="9" width="9" customWidth="1"/>
    <col min="10" max="10" width="2.44140625" customWidth="1"/>
    <col min="11" max="12" width="9" customWidth="1"/>
    <col min="13" max="13" width="2.44140625" customWidth="1"/>
    <col min="14" max="15" width="9" customWidth="1"/>
    <col min="16" max="16" width="2.44140625" customWidth="1"/>
    <col min="17" max="18" width="9" customWidth="1"/>
    <col min="19" max="19" width="2.44140625" customWidth="1"/>
    <col min="20" max="21" width="9" customWidth="1"/>
    <col min="22" max="22" width="2.44140625" customWidth="1"/>
    <col min="23" max="24" width="9" customWidth="1"/>
    <col min="25" max="25" width="2.44140625" customWidth="1"/>
    <col min="26" max="27" width="9" customWidth="1"/>
    <col min="28" max="28" width="2.44140625" customWidth="1"/>
    <col min="29" max="30" width="9" customWidth="1"/>
    <col min="31" max="31" width="2.44140625" customWidth="1"/>
    <col min="32" max="33" width="9" customWidth="1"/>
    <col min="34" max="34" width="2.44140625" customWidth="1"/>
    <col min="35" max="36" width="9" customWidth="1"/>
    <col min="37" max="37" width="2.44140625" customWidth="1"/>
    <col min="38" max="39" width="9" customWidth="1"/>
    <col min="40" max="40" width="2.44140625" customWidth="1"/>
    <col min="41" max="42" width="9" customWidth="1"/>
    <col min="43" max="43" width="2.44140625" customWidth="1"/>
    <col min="44" max="45" width="9" customWidth="1"/>
    <col min="46" max="46" width="2.44140625" customWidth="1"/>
  </cols>
  <sheetData>
    <row r="1" spans="1:46" s="115" customFormat="1" x14ac:dyDescent="0.25">
      <c r="A1" s="116" t="s">
        <v>232</v>
      </c>
    </row>
    <row r="2" spans="1:46" s="115" customFormat="1" x14ac:dyDescent="0.25">
      <c r="A2" s="115" t="s">
        <v>233</v>
      </c>
      <c r="B2" s="115" t="s">
        <v>234</v>
      </c>
    </row>
    <row r="3" spans="1:46" s="115" customFormat="1" x14ac:dyDescent="0.25">
      <c r="A3" s="115" t="s">
        <v>235</v>
      </c>
    </row>
    <row r="4" spans="1:46" s="115" customFormat="1" x14ac:dyDescent="0.25">
      <c r="A4" s="116" t="s">
        <v>236</v>
      </c>
    </row>
    <row r="5" spans="1:46" s="115" customFormat="1" x14ac:dyDescent="0.25"/>
    <row r="6" spans="1:46" x14ac:dyDescent="0.25">
      <c r="A6" s="2" t="s">
        <v>126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N6" s="1"/>
      <c r="O6" s="1"/>
      <c r="P6" s="1"/>
      <c r="Q6" s="1"/>
      <c r="R6" s="1"/>
      <c r="S6" s="1"/>
      <c r="T6" s="1"/>
      <c r="U6" s="1"/>
      <c r="V6" s="1"/>
      <c r="W6" s="2"/>
      <c r="X6" s="2"/>
      <c r="Y6" s="5"/>
      <c r="Z6" s="2"/>
    </row>
    <row r="7" spans="1:46" x14ac:dyDescent="0.25">
      <c r="A7" s="6" t="s">
        <v>107</v>
      </c>
      <c r="B7" s="6"/>
      <c r="C7" s="6"/>
      <c r="D7" s="6"/>
      <c r="E7" s="6"/>
      <c r="F7" s="6"/>
      <c r="G7" s="6"/>
      <c r="H7" s="6"/>
      <c r="I7" s="2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2"/>
      <c r="X7" s="2"/>
      <c r="Y7" s="2"/>
      <c r="Z7" s="2"/>
    </row>
    <row r="8" spans="1:46" x14ac:dyDescent="0.25">
      <c r="A8" s="28" t="s">
        <v>27</v>
      </c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2"/>
      <c r="X8" s="2"/>
      <c r="Y8" s="2"/>
      <c r="Z8" s="2"/>
    </row>
    <row r="9" spans="1:46" x14ac:dyDescent="0.25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2"/>
      <c r="X9" s="2"/>
      <c r="Y9" s="2"/>
      <c r="Z9" s="2"/>
    </row>
    <row r="10" spans="1:46" ht="13.5" customHeight="1" thickBot="1" x14ac:dyDescent="0.3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1:46" ht="15" customHeight="1" x14ac:dyDescent="0.25">
      <c r="A11" s="8"/>
      <c r="B11" s="83" t="s">
        <v>11</v>
      </c>
      <c r="C11" s="77"/>
      <c r="D11" s="77"/>
      <c r="E11" s="77"/>
      <c r="F11" s="77"/>
      <c r="G11" s="77"/>
      <c r="H11" s="77"/>
      <c r="I11" s="77"/>
      <c r="J11" s="77"/>
      <c r="K11" s="77"/>
      <c r="L11" s="77"/>
      <c r="M11" s="77"/>
      <c r="N11" s="77"/>
      <c r="O11" s="77"/>
      <c r="P11" s="77"/>
      <c r="Q11" s="77"/>
      <c r="R11" s="77"/>
      <c r="S11" s="77"/>
      <c r="T11" s="77"/>
      <c r="U11" s="77"/>
      <c r="V11" s="77"/>
      <c r="W11" s="77"/>
      <c r="X11" s="77"/>
      <c r="Y11" s="77"/>
      <c r="Z11" s="77"/>
      <c r="AA11" s="77"/>
      <c r="AB11" s="77"/>
      <c r="AC11" s="77"/>
      <c r="AD11" s="77"/>
      <c r="AE11" s="77"/>
      <c r="AF11" s="71" t="s">
        <v>109</v>
      </c>
      <c r="AG11" s="72"/>
      <c r="AH11" s="72"/>
      <c r="AI11" s="72"/>
      <c r="AJ11" s="72"/>
      <c r="AK11" s="72"/>
      <c r="AL11" s="72"/>
      <c r="AM11" s="72"/>
      <c r="AN11" s="72"/>
      <c r="AO11" s="72"/>
      <c r="AP11" s="72"/>
      <c r="AQ11" s="72"/>
      <c r="AR11" s="72"/>
      <c r="AS11" s="72"/>
      <c r="AT11" s="110"/>
    </row>
    <row r="12" spans="1:46" ht="15" customHeight="1" x14ac:dyDescent="0.25">
      <c r="A12" s="9"/>
      <c r="B12" s="106" t="s">
        <v>105</v>
      </c>
      <c r="C12" s="107"/>
      <c r="D12" s="107"/>
      <c r="E12" s="107"/>
      <c r="F12" s="107"/>
      <c r="G12" s="107"/>
      <c r="H12" s="107"/>
      <c r="I12" s="107"/>
      <c r="J12" s="107"/>
      <c r="K12" s="107"/>
      <c r="L12" s="107"/>
      <c r="M12" s="107"/>
      <c r="N12" s="107"/>
      <c r="O12" s="107"/>
      <c r="P12" s="108"/>
      <c r="Q12" s="106" t="s">
        <v>4</v>
      </c>
      <c r="R12" s="107"/>
      <c r="S12" s="107"/>
      <c r="T12" s="107"/>
      <c r="U12" s="107"/>
      <c r="V12" s="107"/>
      <c r="W12" s="107"/>
      <c r="X12" s="107"/>
      <c r="Y12" s="107"/>
      <c r="Z12" s="107"/>
      <c r="AA12" s="107"/>
      <c r="AB12" s="107"/>
      <c r="AC12" s="107"/>
      <c r="AD12" s="107"/>
      <c r="AE12" s="107"/>
      <c r="AF12" s="111"/>
      <c r="AG12" s="112"/>
      <c r="AH12" s="112"/>
      <c r="AI12" s="112"/>
      <c r="AJ12" s="112"/>
      <c r="AK12" s="112"/>
      <c r="AL12" s="112"/>
      <c r="AM12" s="112"/>
      <c r="AN12" s="112"/>
      <c r="AO12" s="112"/>
      <c r="AP12" s="112"/>
      <c r="AQ12" s="112"/>
      <c r="AR12" s="112"/>
      <c r="AS12" s="112"/>
      <c r="AT12" s="113"/>
    </row>
    <row r="13" spans="1:46" ht="25.5" customHeight="1" x14ac:dyDescent="0.25">
      <c r="A13" s="9"/>
      <c r="B13" s="82" t="s">
        <v>26</v>
      </c>
      <c r="C13" s="80"/>
      <c r="D13" s="81"/>
      <c r="E13" s="82" t="s">
        <v>66</v>
      </c>
      <c r="F13" s="80"/>
      <c r="G13" s="81"/>
      <c r="H13" s="82" t="s">
        <v>67</v>
      </c>
      <c r="I13" s="80"/>
      <c r="J13" s="81"/>
      <c r="K13" s="82" t="s">
        <v>45</v>
      </c>
      <c r="L13" s="80"/>
      <c r="M13" s="81"/>
      <c r="N13" s="82" t="s">
        <v>46</v>
      </c>
      <c r="O13" s="80"/>
      <c r="P13" s="81"/>
      <c r="Q13" s="82" t="s">
        <v>26</v>
      </c>
      <c r="R13" s="80"/>
      <c r="S13" s="81"/>
      <c r="T13" s="82" t="s">
        <v>66</v>
      </c>
      <c r="U13" s="80"/>
      <c r="V13" s="81"/>
      <c r="W13" s="82" t="s">
        <v>67</v>
      </c>
      <c r="X13" s="80"/>
      <c r="Y13" s="81"/>
      <c r="Z13" s="82" t="s">
        <v>45</v>
      </c>
      <c r="AA13" s="80"/>
      <c r="AB13" s="81"/>
      <c r="AC13" s="82" t="s">
        <v>46</v>
      </c>
      <c r="AD13" s="80"/>
      <c r="AE13" s="81"/>
      <c r="AF13" s="82" t="s">
        <v>26</v>
      </c>
      <c r="AG13" s="80"/>
      <c r="AH13" s="81"/>
      <c r="AI13" s="82" t="s">
        <v>66</v>
      </c>
      <c r="AJ13" s="80"/>
      <c r="AK13" s="81"/>
      <c r="AL13" s="82" t="s">
        <v>67</v>
      </c>
      <c r="AM13" s="80"/>
      <c r="AN13" s="81"/>
      <c r="AO13" s="82" t="s">
        <v>45</v>
      </c>
      <c r="AP13" s="80"/>
      <c r="AQ13" s="81"/>
      <c r="AR13" s="82" t="s">
        <v>46</v>
      </c>
      <c r="AS13" s="80"/>
      <c r="AT13" s="84"/>
    </row>
    <row r="14" spans="1:46" ht="26.4" x14ac:dyDescent="0.25">
      <c r="A14" s="10"/>
      <c r="B14" s="11" t="s">
        <v>12</v>
      </c>
      <c r="C14" s="12" t="s">
        <v>1</v>
      </c>
      <c r="D14" s="13" t="s">
        <v>2</v>
      </c>
      <c r="E14" s="11" t="s">
        <v>12</v>
      </c>
      <c r="F14" s="12" t="s">
        <v>1</v>
      </c>
      <c r="G14" s="13" t="s">
        <v>2</v>
      </c>
      <c r="H14" s="11" t="s">
        <v>12</v>
      </c>
      <c r="I14" s="12" t="s">
        <v>1</v>
      </c>
      <c r="J14" s="13" t="s">
        <v>2</v>
      </c>
      <c r="K14" s="11" t="s">
        <v>12</v>
      </c>
      <c r="L14" s="12" t="s">
        <v>1</v>
      </c>
      <c r="M14" s="13" t="s">
        <v>2</v>
      </c>
      <c r="N14" s="11" t="s">
        <v>12</v>
      </c>
      <c r="O14" s="12" t="s">
        <v>1</v>
      </c>
      <c r="P14" s="13" t="s">
        <v>2</v>
      </c>
      <c r="Q14" s="11" t="s">
        <v>12</v>
      </c>
      <c r="R14" s="12" t="s">
        <v>1</v>
      </c>
      <c r="S14" s="13" t="s">
        <v>2</v>
      </c>
      <c r="T14" s="11" t="s">
        <v>12</v>
      </c>
      <c r="U14" s="12" t="s">
        <v>1</v>
      </c>
      <c r="V14" s="13" t="s">
        <v>2</v>
      </c>
      <c r="W14" s="11" t="s">
        <v>12</v>
      </c>
      <c r="X14" s="12" t="s">
        <v>1</v>
      </c>
      <c r="Y14" s="13" t="s">
        <v>2</v>
      </c>
      <c r="Z14" s="11" t="s">
        <v>12</v>
      </c>
      <c r="AA14" s="12" t="s">
        <v>1</v>
      </c>
      <c r="AB14" s="13" t="s">
        <v>2</v>
      </c>
      <c r="AC14" s="11" t="s">
        <v>12</v>
      </c>
      <c r="AD14" s="12" t="s">
        <v>1</v>
      </c>
      <c r="AE14" s="13" t="s">
        <v>2</v>
      </c>
      <c r="AF14" s="11" t="s">
        <v>17</v>
      </c>
      <c r="AG14" s="12" t="s">
        <v>1</v>
      </c>
      <c r="AH14" s="13" t="s">
        <v>2</v>
      </c>
      <c r="AI14" s="11" t="s">
        <v>17</v>
      </c>
      <c r="AJ14" s="12" t="s">
        <v>1</v>
      </c>
      <c r="AK14" s="13" t="s">
        <v>2</v>
      </c>
      <c r="AL14" s="11" t="s">
        <v>17</v>
      </c>
      <c r="AM14" s="12" t="s">
        <v>1</v>
      </c>
      <c r="AN14" s="13" t="s">
        <v>2</v>
      </c>
      <c r="AO14" s="11" t="s">
        <v>17</v>
      </c>
      <c r="AP14" s="12" t="s">
        <v>1</v>
      </c>
      <c r="AQ14" s="13" t="s">
        <v>2</v>
      </c>
      <c r="AR14" s="11" t="s">
        <v>17</v>
      </c>
      <c r="AS14" s="12" t="s">
        <v>1</v>
      </c>
      <c r="AT14" s="14" t="s">
        <v>2</v>
      </c>
    </row>
    <row r="15" spans="1:46" ht="13.5" customHeight="1" x14ac:dyDescent="0.25">
      <c r="A15" s="51" t="s">
        <v>210</v>
      </c>
      <c r="B15" s="52"/>
      <c r="C15" s="53"/>
      <c r="D15" s="54"/>
      <c r="E15" s="52"/>
      <c r="F15" s="53"/>
      <c r="G15" s="54"/>
      <c r="H15" s="52"/>
      <c r="I15" s="53"/>
      <c r="J15" s="54"/>
      <c r="K15" s="55"/>
      <c r="L15" s="54"/>
      <c r="M15" s="54"/>
      <c r="N15" s="55"/>
      <c r="O15" s="54"/>
      <c r="P15" s="54"/>
      <c r="Q15" s="52"/>
      <c r="R15" s="53"/>
      <c r="S15" s="54"/>
      <c r="T15" s="52"/>
      <c r="U15" s="53"/>
      <c r="V15" s="54"/>
      <c r="W15" s="52"/>
      <c r="X15" s="53"/>
      <c r="Y15" s="54"/>
      <c r="Z15" s="55"/>
      <c r="AA15" s="54"/>
      <c r="AB15" s="54"/>
      <c r="AC15" s="55"/>
      <c r="AD15" s="54"/>
      <c r="AE15" s="54"/>
      <c r="AF15" s="52"/>
      <c r="AG15" s="53"/>
      <c r="AH15" s="54"/>
      <c r="AI15" s="52"/>
      <c r="AJ15" s="53"/>
      <c r="AK15" s="54"/>
      <c r="AL15" s="52"/>
      <c r="AM15" s="53"/>
      <c r="AN15" s="54"/>
      <c r="AO15" s="55"/>
      <c r="AP15" s="54"/>
      <c r="AQ15" s="54"/>
      <c r="AR15" s="55"/>
      <c r="AS15" s="54"/>
      <c r="AT15" s="56"/>
    </row>
    <row r="16" spans="1:46" x14ac:dyDescent="0.25">
      <c r="A16" s="15" t="s">
        <v>130</v>
      </c>
      <c r="B16" s="44">
        <v>514.90065519726579</v>
      </c>
      <c r="C16" s="37">
        <v>2.3374214535585187</v>
      </c>
      <c r="D16" s="38" t="s">
        <v>53</v>
      </c>
      <c r="E16" s="44">
        <v>514.64447781674266</v>
      </c>
      <c r="F16" s="37">
        <v>2.0882282899982472</v>
      </c>
      <c r="G16" s="38" t="s">
        <v>53</v>
      </c>
      <c r="H16" s="44">
        <v>524.46591812678639</v>
      </c>
      <c r="I16" s="37">
        <v>5.8431538274561401</v>
      </c>
      <c r="J16" s="38" t="s">
        <v>53</v>
      </c>
      <c r="K16" s="44">
        <v>530.34114516417071</v>
      </c>
      <c r="L16" s="37">
        <v>6.2497851039233563</v>
      </c>
      <c r="M16" s="38" t="s">
        <v>53</v>
      </c>
      <c r="N16" s="44">
        <v>518.08102037955939</v>
      </c>
      <c r="O16" s="37">
        <v>6.3281868344288483</v>
      </c>
      <c r="P16" s="38" t="s">
        <v>53</v>
      </c>
      <c r="Q16" s="44">
        <v>502.63172442266045</v>
      </c>
      <c r="R16" s="37">
        <v>1.6343430782949673</v>
      </c>
      <c r="S16" s="38" t="s">
        <v>53</v>
      </c>
      <c r="T16" s="44">
        <v>503.91230694215147</v>
      </c>
      <c r="U16" s="37">
        <v>1.9512079998398522</v>
      </c>
      <c r="V16" s="38" t="s">
        <v>53</v>
      </c>
      <c r="W16" s="44">
        <v>511.46357821160137</v>
      </c>
      <c r="X16" s="37">
        <v>3.3466746932350087</v>
      </c>
      <c r="Y16" s="38" t="s">
        <v>53</v>
      </c>
      <c r="Z16" s="44">
        <v>522.69431745486088</v>
      </c>
      <c r="AA16" s="37">
        <v>4.4797664214706012</v>
      </c>
      <c r="AB16" s="38" t="s">
        <v>53</v>
      </c>
      <c r="AC16" s="44">
        <v>500.7470398938388</v>
      </c>
      <c r="AD16" s="37">
        <v>3.8553389762855743</v>
      </c>
      <c r="AE16" s="38" t="s">
        <v>53</v>
      </c>
      <c r="AF16" s="44">
        <v>-12.268930435180664</v>
      </c>
      <c r="AG16" s="37">
        <v>4.530454158782959</v>
      </c>
      <c r="AH16" s="38" t="s">
        <v>53</v>
      </c>
      <c r="AI16" s="44">
        <v>-10.732171058654785</v>
      </c>
      <c r="AJ16" s="37">
        <v>4.5341272354125977</v>
      </c>
      <c r="AK16" s="38" t="s">
        <v>53</v>
      </c>
      <c r="AL16" s="44">
        <v>-13.002340316772461</v>
      </c>
      <c r="AM16" s="37">
        <v>7.5982284545898438</v>
      </c>
      <c r="AN16" s="38" t="s">
        <v>53</v>
      </c>
      <c r="AO16" s="44">
        <v>-7.6468276977539063</v>
      </c>
      <c r="AP16" s="37">
        <v>8.4568624496459961</v>
      </c>
      <c r="AQ16" s="38" t="s">
        <v>53</v>
      </c>
      <c r="AR16" s="44">
        <v>-17.333980560302734</v>
      </c>
      <c r="AS16" s="37">
        <v>8.2036571502685547</v>
      </c>
      <c r="AT16" s="39" t="s">
        <v>53</v>
      </c>
    </row>
    <row r="17" spans="1:46" x14ac:dyDescent="0.25">
      <c r="A17" s="15" t="s">
        <v>131</v>
      </c>
      <c r="B17" s="44" t="s">
        <v>55</v>
      </c>
      <c r="C17" s="37" t="s">
        <v>55</v>
      </c>
      <c r="D17" s="38" t="s">
        <v>53</v>
      </c>
      <c r="E17" s="44" t="s">
        <v>55</v>
      </c>
      <c r="F17" s="37" t="s">
        <v>55</v>
      </c>
      <c r="G17" s="38" t="s">
        <v>53</v>
      </c>
      <c r="H17" s="44" t="s">
        <v>55</v>
      </c>
      <c r="I17" s="37" t="s">
        <v>55</v>
      </c>
      <c r="J17" s="38" t="s">
        <v>53</v>
      </c>
      <c r="K17" s="44" t="s">
        <v>55</v>
      </c>
      <c r="L17" s="37" t="s">
        <v>55</v>
      </c>
      <c r="M17" s="38" t="s">
        <v>53</v>
      </c>
      <c r="N17" s="44" t="s">
        <v>55</v>
      </c>
      <c r="O17" s="37" t="s">
        <v>55</v>
      </c>
      <c r="P17" s="38" t="s">
        <v>53</v>
      </c>
      <c r="Q17" s="44">
        <v>484.3925685119973</v>
      </c>
      <c r="R17" s="37">
        <v>2.6974721130727501</v>
      </c>
      <c r="S17" s="38" t="s">
        <v>53</v>
      </c>
      <c r="T17" s="44">
        <v>499.74545681917056</v>
      </c>
      <c r="U17" s="37">
        <v>2.5553271336043339</v>
      </c>
      <c r="V17" s="38" t="s">
        <v>53</v>
      </c>
      <c r="W17" s="44">
        <v>437.19820510229039</v>
      </c>
      <c r="X17" s="37">
        <v>4.2295541700043824</v>
      </c>
      <c r="Y17" s="38" t="s">
        <v>53</v>
      </c>
      <c r="Z17" s="44">
        <v>445.84613756485874</v>
      </c>
      <c r="AA17" s="37">
        <v>4.3424548389167015</v>
      </c>
      <c r="AB17" s="38" t="s">
        <v>53</v>
      </c>
      <c r="AC17" s="44">
        <v>420.69767351842421</v>
      </c>
      <c r="AD17" s="37">
        <v>5.5425713024596783</v>
      </c>
      <c r="AE17" s="38" t="s">
        <v>53</v>
      </c>
      <c r="AF17" s="44" t="s">
        <v>55</v>
      </c>
      <c r="AG17" s="37" t="s">
        <v>55</v>
      </c>
      <c r="AH17" s="38" t="s">
        <v>53</v>
      </c>
      <c r="AI17" s="44" t="s">
        <v>55</v>
      </c>
      <c r="AJ17" s="37" t="s">
        <v>55</v>
      </c>
      <c r="AK17" s="38" t="s">
        <v>53</v>
      </c>
      <c r="AL17" s="44" t="s">
        <v>55</v>
      </c>
      <c r="AM17" s="37" t="s">
        <v>55</v>
      </c>
      <c r="AN17" s="38" t="s">
        <v>53</v>
      </c>
      <c r="AO17" s="44" t="s">
        <v>55</v>
      </c>
      <c r="AP17" s="37" t="s">
        <v>55</v>
      </c>
      <c r="AQ17" s="38" t="s">
        <v>53</v>
      </c>
      <c r="AR17" s="44" t="s">
        <v>55</v>
      </c>
      <c r="AS17" s="37" t="s">
        <v>55</v>
      </c>
      <c r="AT17" s="39" t="s">
        <v>53</v>
      </c>
    </row>
    <row r="18" spans="1:46" x14ac:dyDescent="0.25">
      <c r="A18" s="15" t="s">
        <v>132</v>
      </c>
      <c r="B18" s="44">
        <v>505.94579615868929</v>
      </c>
      <c r="C18" s="37">
        <v>2.3497604296086698</v>
      </c>
      <c r="D18" s="38" t="s">
        <v>53</v>
      </c>
      <c r="E18" s="44">
        <v>518.93556856848488</v>
      </c>
      <c r="F18" s="37">
        <v>2.1908170320970224</v>
      </c>
      <c r="G18" s="38" t="s">
        <v>53</v>
      </c>
      <c r="H18" s="44">
        <v>451.3386700279608</v>
      </c>
      <c r="I18" s="37">
        <v>6.3631075279266351</v>
      </c>
      <c r="J18" s="38" t="s">
        <v>53</v>
      </c>
      <c r="K18" s="44">
        <v>454.37105804310522</v>
      </c>
      <c r="L18" s="37">
        <v>6.9871566430334786</v>
      </c>
      <c r="M18" s="38" t="s">
        <v>53</v>
      </c>
      <c r="N18" s="44">
        <v>447.91198424169602</v>
      </c>
      <c r="O18" s="37">
        <v>8.3161779979050685</v>
      </c>
      <c r="P18" s="38" t="s">
        <v>53</v>
      </c>
      <c r="Q18" s="44">
        <v>492.86443860384173</v>
      </c>
      <c r="R18" s="37">
        <v>2.3219733225544985</v>
      </c>
      <c r="S18" s="38" t="s">
        <v>53</v>
      </c>
      <c r="T18" s="44">
        <v>506.33143590594074</v>
      </c>
      <c r="U18" s="37">
        <v>2.396859601961264</v>
      </c>
      <c r="V18" s="38" t="s">
        <v>53</v>
      </c>
      <c r="W18" s="44">
        <v>444.84524189475309</v>
      </c>
      <c r="X18" s="37">
        <v>3.8208510211458622</v>
      </c>
      <c r="Y18" s="38" t="s">
        <v>53</v>
      </c>
      <c r="Z18" s="44">
        <v>458.6408699459551</v>
      </c>
      <c r="AA18" s="37">
        <v>4.6961355534684559</v>
      </c>
      <c r="AB18" s="38" t="s">
        <v>53</v>
      </c>
      <c r="AC18" s="44">
        <v>426.80514801370902</v>
      </c>
      <c r="AD18" s="37">
        <v>5.2161716771897684</v>
      </c>
      <c r="AE18" s="38" t="s">
        <v>53</v>
      </c>
      <c r="AF18" s="44">
        <v>-13.081357955932617</v>
      </c>
      <c r="AG18" s="37">
        <v>4.8273525238037109</v>
      </c>
      <c r="AH18" s="38" t="s">
        <v>53</v>
      </c>
      <c r="AI18" s="44">
        <v>-12.604132652282715</v>
      </c>
      <c r="AJ18" s="37">
        <v>4.7890515327453613</v>
      </c>
      <c r="AK18" s="38" t="s">
        <v>53</v>
      </c>
      <c r="AL18" s="44">
        <v>-6.4934282302856445</v>
      </c>
      <c r="AM18" s="37">
        <v>8.2145261764526367</v>
      </c>
      <c r="AN18" s="38" t="s">
        <v>53</v>
      </c>
      <c r="AO18" s="44">
        <v>4.2698121070861816</v>
      </c>
      <c r="AP18" s="37">
        <v>9.1249351501464844</v>
      </c>
      <c r="AQ18" s="38" t="s">
        <v>53</v>
      </c>
      <c r="AR18" s="44">
        <v>-21.106836318969727</v>
      </c>
      <c r="AS18" s="37">
        <v>10.428693771362305</v>
      </c>
      <c r="AT18" s="39" t="s">
        <v>53</v>
      </c>
    </row>
    <row r="19" spans="1:46" x14ac:dyDescent="0.25">
      <c r="A19" s="15" t="s">
        <v>133</v>
      </c>
      <c r="B19" s="44">
        <v>524.24183340857905</v>
      </c>
      <c r="C19" s="37">
        <v>1.4831774133611004</v>
      </c>
      <c r="D19" s="38" t="s">
        <v>53</v>
      </c>
      <c r="E19" s="44">
        <v>527.87067584837223</v>
      </c>
      <c r="F19" s="37">
        <v>1.5173700010008684</v>
      </c>
      <c r="G19" s="38" t="s">
        <v>53</v>
      </c>
      <c r="H19" s="44">
        <v>521.18822345403532</v>
      </c>
      <c r="I19" s="37">
        <v>3.4023878938683376</v>
      </c>
      <c r="J19" s="38" t="s">
        <v>53</v>
      </c>
      <c r="K19" s="44">
        <v>522.38964112305291</v>
      </c>
      <c r="L19" s="37">
        <v>3.622242288922477</v>
      </c>
      <c r="M19" s="38" t="s">
        <v>53</v>
      </c>
      <c r="N19" s="44">
        <v>519.6565549730592</v>
      </c>
      <c r="O19" s="37">
        <v>4.5566892812069346</v>
      </c>
      <c r="P19" s="38" t="s">
        <v>53</v>
      </c>
      <c r="Q19" s="44">
        <v>520.08552092652087</v>
      </c>
      <c r="R19" s="37">
        <v>1.7997161634459793</v>
      </c>
      <c r="S19" s="38" t="s">
        <v>53</v>
      </c>
      <c r="T19" s="44">
        <v>524.68102426748919</v>
      </c>
      <c r="U19" s="37">
        <v>1.6334609638066961</v>
      </c>
      <c r="V19" s="38" t="s">
        <v>53</v>
      </c>
      <c r="W19" s="44">
        <v>521.71187122262052</v>
      </c>
      <c r="X19" s="37">
        <v>3.0378806740988953</v>
      </c>
      <c r="Y19" s="38" t="s">
        <v>53</v>
      </c>
      <c r="Z19" s="44">
        <v>535.21125601683877</v>
      </c>
      <c r="AA19" s="37">
        <v>3.8710753747577065</v>
      </c>
      <c r="AB19" s="38" t="s">
        <v>53</v>
      </c>
      <c r="AC19" s="44">
        <v>507.56569193805984</v>
      </c>
      <c r="AD19" s="37">
        <v>3.6246895216881927</v>
      </c>
      <c r="AE19" s="38" t="s">
        <v>53</v>
      </c>
      <c r="AF19" s="44">
        <v>-4.1563124656677246</v>
      </c>
      <c r="AG19" s="37">
        <v>4.2224631309509277</v>
      </c>
      <c r="AH19" s="38" t="s">
        <v>53</v>
      </c>
      <c r="AI19" s="44">
        <v>-3.1896514892578125</v>
      </c>
      <c r="AJ19" s="37">
        <v>4.166654109954834</v>
      </c>
      <c r="AK19" s="38" t="s">
        <v>53</v>
      </c>
      <c r="AL19" s="44">
        <v>0.52364778518676758</v>
      </c>
      <c r="AM19" s="37">
        <v>5.7615418434143066</v>
      </c>
      <c r="AN19" s="38" t="s">
        <v>53</v>
      </c>
      <c r="AO19" s="44">
        <v>12.821615219116211</v>
      </c>
      <c r="AP19" s="37">
        <v>6.3636674880981445</v>
      </c>
      <c r="AQ19" s="38" t="s">
        <v>53</v>
      </c>
      <c r="AR19" s="44">
        <v>-12.090863227844238</v>
      </c>
      <c r="AS19" s="37">
        <v>6.8038363456726074</v>
      </c>
      <c r="AT19" s="39" t="s">
        <v>53</v>
      </c>
    </row>
    <row r="20" spans="1:46" x14ac:dyDescent="0.25">
      <c r="A20" s="15" t="s">
        <v>134</v>
      </c>
      <c r="B20" s="44">
        <v>449.36960681750799</v>
      </c>
      <c r="C20" s="37">
        <v>3.125474097741535</v>
      </c>
      <c r="D20" s="38" t="s">
        <v>53</v>
      </c>
      <c r="E20" s="44">
        <v>451.57454303521286</v>
      </c>
      <c r="F20" s="37">
        <v>3.0052130417056899</v>
      </c>
      <c r="G20" s="38" t="s">
        <v>53</v>
      </c>
      <c r="H20" s="44" t="s">
        <v>56</v>
      </c>
      <c r="I20" s="37" t="s">
        <v>56</v>
      </c>
      <c r="J20" s="38" t="s">
        <v>53</v>
      </c>
      <c r="K20" s="44" t="s">
        <v>56</v>
      </c>
      <c r="L20" s="37" t="s">
        <v>56</v>
      </c>
      <c r="M20" s="38" t="s">
        <v>53</v>
      </c>
      <c r="N20" s="44" t="s">
        <v>56</v>
      </c>
      <c r="O20" s="37" t="s">
        <v>56</v>
      </c>
      <c r="P20" s="38" t="s">
        <v>53</v>
      </c>
      <c r="Q20" s="44">
        <v>452.27255409198017</v>
      </c>
      <c r="R20" s="37">
        <v>2.6437662224570233</v>
      </c>
      <c r="S20" s="38" t="s">
        <v>53</v>
      </c>
      <c r="T20" s="44">
        <v>456.19479181977067</v>
      </c>
      <c r="U20" s="37">
        <v>2.7163773924370345</v>
      </c>
      <c r="V20" s="38" t="s">
        <v>53</v>
      </c>
      <c r="W20" s="44">
        <v>437.76712773449839</v>
      </c>
      <c r="X20" s="37">
        <v>7.4834392446217413</v>
      </c>
      <c r="Y20" s="38" t="s">
        <v>53</v>
      </c>
      <c r="Z20" s="44">
        <v>447.05768698391171</v>
      </c>
      <c r="AA20" s="37">
        <v>18.300349600368069</v>
      </c>
      <c r="AB20" s="38" t="s">
        <v>53</v>
      </c>
      <c r="AC20" s="44">
        <v>435.38354519042588</v>
      </c>
      <c r="AD20" s="37">
        <v>8.4970364068467106</v>
      </c>
      <c r="AE20" s="38" t="s">
        <v>53</v>
      </c>
      <c r="AF20" s="44">
        <v>2.9029471874237061</v>
      </c>
      <c r="AG20" s="37">
        <v>5.3989338874816895</v>
      </c>
      <c r="AH20" s="38" t="s">
        <v>53</v>
      </c>
      <c r="AI20" s="44">
        <v>4.6202487945556641</v>
      </c>
      <c r="AJ20" s="37">
        <v>5.3666014671325684</v>
      </c>
      <c r="AK20" s="38" t="s">
        <v>53</v>
      </c>
      <c r="AL20" s="44" t="s">
        <v>55</v>
      </c>
      <c r="AM20" s="37" t="s">
        <v>55</v>
      </c>
      <c r="AN20" s="38" t="s">
        <v>53</v>
      </c>
      <c r="AO20" s="44" t="s">
        <v>55</v>
      </c>
      <c r="AP20" s="37" t="s">
        <v>55</v>
      </c>
      <c r="AQ20" s="38" t="s">
        <v>53</v>
      </c>
      <c r="AR20" s="44" t="s">
        <v>55</v>
      </c>
      <c r="AS20" s="37" t="s">
        <v>55</v>
      </c>
      <c r="AT20" s="39" t="s">
        <v>53</v>
      </c>
    </row>
    <row r="21" spans="1:46" x14ac:dyDescent="0.25">
      <c r="A21" s="15" t="s">
        <v>135</v>
      </c>
      <c r="B21" s="44">
        <v>413.18149914182345</v>
      </c>
      <c r="C21" s="37">
        <v>3.7425938037811957</v>
      </c>
      <c r="D21" s="38" t="s">
        <v>53</v>
      </c>
      <c r="E21" s="44">
        <v>415.38389732121863</v>
      </c>
      <c r="F21" s="37">
        <v>3.6015860700506881</v>
      </c>
      <c r="G21" s="38" t="s">
        <v>53</v>
      </c>
      <c r="H21" s="44">
        <v>313.22539509982022</v>
      </c>
      <c r="I21" s="37">
        <v>24.816252946449456</v>
      </c>
      <c r="J21" s="38" t="s">
        <v>53</v>
      </c>
      <c r="K21" s="44" t="s">
        <v>56</v>
      </c>
      <c r="L21" s="37" t="s">
        <v>56</v>
      </c>
      <c r="M21" s="38" t="s">
        <v>53</v>
      </c>
      <c r="N21" s="44" t="s">
        <v>56</v>
      </c>
      <c r="O21" s="37" t="s">
        <v>56</v>
      </c>
      <c r="P21" s="38" t="s">
        <v>53</v>
      </c>
      <c r="Q21" s="44">
        <v>412.29508567556314</v>
      </c>
      <c r="R21" s="37">
        <v>3.2513437048035891</v>
      </c>
      <c r="S21" s="38" t="s">
        <v>53</v>
      </c>
      <c r="T21" s="44">
        <v>414.21725450666918</v>
      </c>
      <c r="U21" s="37">
        <v>3.3107892918026822</v>
      </c>
      <c r="V21" s="38" t="s">
        <v>53</v>
      </c>
      <c r="W21" s="44">
        <v>355.4441645943341</v>
      </c>
      <c r="X21" s="37">
        <v>13.867266131316024</v>
      </c>
      <c r="Y21" s="38" t="s">
        <v>53</v>
      </c>
      <c r="Z21" s="44" t="s">
        <v>56</v>
      </c>
      <c r="AA21" s="37" t="s">
        <v>56</v>
      </c>
      <c r="AB21" s="38" t="s">
        <v>53</v>
      </c>
      <c r="AC21" s="44" t="s">
        <v>56</v>
      </c>
      <c r="AD21" s="37" t="s">
        <v>56</v>
      </c>
      <c r="AE21" s="38" t="s">
        <v>53</v>
      </c>
      <c r="AF21" s="44">
        <v>-0.88641345500946045</v>
      </c>
      <c r="AG21" s="37">
        <v>6.0801844596862793</v>
      </c>
      <c r="AH21" s="38" t="s">
        <v>53</v>
      </c>
      <c r="AI21" s="44">
        <v>-1.1666427850723267</v>
      </c>
      <c r="AJ21" s="37">
        <v>6.0268688201904297</v>
      </c>
      <c r="AK21" s="38" t="s">
        <v>53</v>
      </c>
      <c r="AL21" s="44">
        <v>42.218769073486328</v>
      </c>
      <c r="AM21" s="37">
        <v>28.64503288269043</v>
      </c>
      <c r="AN21" s="38" t="s">
        <v>53</v>
      </c>
      <c r="AO21" s="44" t="s">
        <v>55</v>
      </c>
      <c r="AP21" s="37" t="s">
        <v>55</v>
      </c>
      <c r="AQ21" s="38" t="s">
        <v>53</v>
      </c>
      <c r="AR21" s="44" t="s">
        <v>55</v>
      </c>
      <c r="AS21" s="37" t="s">
        <v>55</v>
      </c>
      <c r="AT21" s="39" t="s">
        <v>53</v>
      </c>
    </row>
    <row r="22" spans="1:46" x14ac:dyDescent="0.25">
      <c r="A22" s="15" t="s">
        <v>136</v>
      </c>
      <c r="B22" s="44">
        <v>478.18672057933946</v>
      </c>
      <c r="C22" s="37">
        <v>2.8921209324046822</v>
      </c>
      <c r="D22" s="38" t="s">
        <v>53</v>
      </c>
      <c r="E22" s="44">
        <v>479.23378100292234</v>
      </c>
      <c r="F22" s="37">
        <v>2.8487067577279643</v>
      </c>
      <c r="G22" s="38" t="s">
        <v>53</v>
      </c>
      <c r="H22" s="44">
        <v>456.95025024963491</v>
      </c>
      <c r="I22" s="37">
        <v>13.680278858722444</v>
      </c>
      <c r="J22" s="38" t="s">
        <v>53</v>
      </c>
      <c r="K22" s="44">
        <v>447.95547431854021</v>
      </c>
      <c r="L22" s="37">
        <v>17.869586580702691</v>
      </c>
      <c r="M22" s="38" t="s">
        <v>53</v>
      </c>
      <c r="N22" s="44">
        <v>472.39218714695971</v>
      </c>
      <c r="O22" s="37">
        <v>17.504272494058483</v>
      </c>
      <c r="P22" s="38" t="s">
        <v>53</v>
      </c>
      <c r="Q22" s="44">
        <v>490.21881502637234</v>
      </c>
      <c r="R22" s="37">
        <v>2.5478509476001521</v>
      </c>
      <c r="S22" s="38" t="s">
        <v>53</v>
      </c>
      <c r="T22" s="44">
        <v>493.06560502684135</v>
      </c>
      <c r="U22" s="37">
        <v>2.4655619386169794</v>
      </c>
      <c r="V22" s="38" t="s">
        <v>53</v>
      </c>
      <c r="W22" s="44">
        <v>439.84245868257642</v>
      </c>
      <c r="X22" s="37">
        <v>9.7407124324388743</v>
      </c>
      <c r="Y22" s="38" t="s">
        <v>53</v>
      </c>
      <c r="Z22" s="44">
        <v>459.45838105420063</v>
      </c>
      <c r="AA22" s="37">
        <v>10.489840877840347</v>
      </c>
      <c r="AB22" s="38" t="s">
        <v>53</v>
      </c>
      <c r="AC22" s="44">
        <v>421.01252818987854</v>
      </c>
      <c r="AD22" s="37">
        <v>14.4456811051943</v>
      </c>
      <c r="AE22" s="38" t="s">
        <v>53</v>
      </c>
      <c r="AF22" s="44">
        <v>12.03209400177002</v>
      </c>
      <c r="AG22" s="37">
        <v>5.2197995185852051</v>
      </c>
      <c r="AH22" s="38" t="s">
        <v>53</v>
      </c>
      <c r="AI22" s="44">
        <v>13.83182430267334</v>
      </c>
      <c r="AJ22" s="37">
        <v>5.1560182571411133</v>
      </c>
      <c r="AK22" s="38" t="s">
        <v>53</v>
      </c>
      <c r="AL22" s="44">
        <v>-17.107791900634766</v>
      </c>
      <c r="AM22" s="37">
        <v>17.158727645874023</v>
      </c>
      <c r="AN22" s="38" t="s">
        <v>53</v>
      </c>
      <c r="AO22" s="44">
        <v>11.502906799316406</v>
      </c>
      <c r="AP22" s="37">
        <v>21.017831802368164</v>
      </c>
      <c r="AQ22" s="38" t="s">
        <v>53</v>
      </c>
      <c r="AR22" s="44">
        <v>-51.379657745361328</v>
      </c>
      <c r="AS22" s="37">
        <v>22.966663360595703</v>
      </c>
      <c r="AT22" s="39" t="s">
        <v>53</v>
      </c>
    </row>
    <row r="23" spans="1:46" x14ac:dyDescent="0.25">
      <c r="A23" s="15" t="s">
        <v>137</v>
      </c>
      <c r="B23" s="44">
        <v>494.91616179640107</v>
      </c>
      <c r="C23" s="37">
        <v>2.0739167030795365</v>
      </c>
      <c r="D23" s="38" t="s">
        <v>53</v>
      </c>
      <c r="E23" s="44">
        <v>501.54771424762043</v>
      </c>
      <c r="F23" s="37">
        <v>2.1728492778464008</v>
      </c>
      <c r="G23" s="38" t="s">
        <v>53</v>
      </c>
      <c r="H23" s="44">
        <v>438.36812032496476</v>
      </c>
      <c r="I23" s="37">
        <v>3.8401194380037946</v>
      </c>
      <c r="J23" s="38" t="s">
        <v>53</v>
      </c>
      <c r="K23" s="44">
        <v>446.02079124641415</v>
      </c>
      <c r="L23" s="37">
        <v>4.2908339269363234</v>
      </c>
      <c r="M23" s="38" t="s">
        <v>53</v>
      </c>
      <c r="N23" s="44">
        <v>422.10886689329914</v>
      </c>
      <c r="O23" s="37">
        <v>6.1938926315020533</v>
      </c>
      <c r="P23" s="38" t="s">
        <v>53</v>
      </c>
      <c r="Q23" s="44">
        <v>501.12993377404803</v>
      </c>
      <c r="R23" s="37">
        <v>1.7954575451334636</v>
      </c>
      <c r="S23" s="38" t="s">
        <v>53</v>
      </c>
      <c r="T23" s="44">
        <v>509.43313056913922</v>
      </c>
      <c r="U23" s="37">
        <v>1.8802014416850124</v>
      </c>
      <c r="V23" s="38" t="s">
        <v>53</v>
      </c>
      <c r="W23" s="44">
        <v>444.01161345648427</v>
      </c>
      <c r="X23" s="37">
        <v>3.5176100258283802</v>
      </c>
      <c r="Y23" s="38" t="s">
        <v>53</v>
      </c>
      <c r="Z23" s="44">
        <v>446.53502660499754</v>
      </c>
      <c r="AA23" s="37">
        <v>3.7389257443584265</v>
      </c>
      <c r="AB23" s="38" t="s">
        <v>53</v>
      </c>
      <c r="AC23" s="44">
        <v>434.57382481899731</v>
      </c>
      <c r="AD23" s="37">
        <v>7.4277439159681418</v>
      </c>
      <c r="AE23" s="38" t="s">
        <v>53</v>
      </c>
      <c r="AF23" s="44">
        <v>6.2137718200683594</v>
      </c>
      <c r="AG23" s="37">
        <v>4.4626445770263672</v>
      </c>
      <c r="AH23" s="38" t="s">
        <v>53</v>
      </c>
      <c r="AI23" s="44">
        <v>7.8854165077209473</v>
      </c>
      <c r="AJ23" s="37">
        <v>4.5438785552978516</v>
      </c>
      <c r="AK23" s="38" t="s">
        <v>53</v>
      </c>
      <c r="AL23" s="44">
        <v>5.6434931755065918</v>
      </c>
      <c r="AM23" s="37">
        <v>6.2857375144958496</v>
      </c>
      <c r="AN23" s="38" t="s">
        <v>53</v>
      </c>
      <c r="AO23" s="44">
        <v>0.51423537731170654</v>
      </c>
      <c r="AP23" s="37">
        <v>6.6918773651123047</v>
      </c>
      <c r="AQ23" s="38" t="s">
        <v>53</v>
      </c>
      <c r="AR23" s="44">
        <v>12.464958190917969</v>
      </c>
      <c r="AS23" s="37">
        <v>10.29203987121582</v>
      </c>
      <c r="AT23" s="39" t="s">
        <v>53</v>
      </c>
    </row>
    <row r="24" spans="1:46" x14ac:dyDescent="0.25">
      <c r="A24" s="15" t="s">
        <v>138</v>
      </c>
      <c r="B24" s="44">
        <v>500.96186551205005</v>
      </c>
      <c r="C24" s="37">
        <v>2.635479688393652</v>
      </c>
      <c r="D24" s="38" t="s">
        <v>53</v>
      </c>
      <c r="E24" s="44">
        <v>504.75559909978432</v>
      </c>
      <c r="F24" s="37">
        <v>2.6630832517033962</v>
      </c>
      <c r="G24" s="38" t="s">
        <v>53</v>
      </c>
      <c r="H24" s="44">
        <v>469.69975655914851</v>
      </c>
      <c r="I24" s="37">
        <v>6.5031231477835103</v>
      </c>
      <c r="J24" s="38" t="s">
        <v>53</v>
      </c>
      <c r="K24" s="44">
        <v>469.66653758184469</v>
      </c>
      <c r="L24" s="37">
        <v>6.5815044095600523</v>
      </c>
      <c r="M24" s="38" t="s">
        <v>53</v>
      </c>
      <c r="N24" s="44">
        <v>470.08501290645893</v>
      </c>
      <c r="O24" s="37">
        <v>17.370692083835486</v>
      </c>
      <c r="P24" s="38" t="s">
        <v>53</v>
      </c>
      <c r="Q24" s="44">
        <v>523.01701842526472</v>
      </c>
      <c r="R24" s="37">
        <v>1.8422422127632565</v>
      </c>
      <c r="S24" s="38" t="s">
        <v>53</v>
      </c>
      <c r="T24" s="44">
        <v>528.28938346685925</v>
      </c>
      <c r="U24" s="37">
        <v>1.8949545428246153</v>
      </c>
      <c r="V24" s="38" t="s">
        <v>53</v>
      </c>
      <c r="W24" s="44">
        <v>489.34545879489315</v>
      </c>
      <c r="X24" s="37">
        <v>4.5428460943891142</v>
      </c>
      <c r="Y24" s="38" t="s">
        <v>53</v>
      </c>
      <c r="Z24" s="44">
        <v>492.16591364297437</v>
      </c>
      <c r="AA24" s="37">
        <v>4.8818743354103953</v>
      </c>
      <c r="AB24" s="38" t="s">
        <v>53</v>
      </c>
      <c r="AC24" s="44">
        <v>452.88086055751893</v>
      </c>
      <c r="AD24" s="37">
        <v>16.831925247165628</v>
      </c>
      <c r="AE24" s="38" t="s">
        <v>53</v>
      </c>
      <c r="AF24" s="44">
        <v>22.055152893066406</v>
      </c>
      <c r="AG24" s="37">
        <v>4.7676000595092773</v>
      </c>
      <c r="AH24" s="38" t="s">
        <v>53</v>
      </c>
      <c r="AI24" s="44">
        <v>23.533784866333008</v>
      </c>
      <c r="AJ24" s="37">
        <v>4.8034639358520508</v>
      </c>
      <c r="AK24" s="38" t="s">
        <v>53</v>
      </c>
      <c r="AL24" s="44">
        <v>19.645702362060547</v>
      </c>
      <c r="AM24" s="37">
        <v>8.6786212921142578</v>
      </c>
      <c r="AN24" s="38" t="s">
        <v>53</v>
      </c>
      <c r="AO24" s="44">
        <v>22.49937629699707</v>
      </c>
      <c r="AP24" s="37">
        <v>8.9184808731079102</v>
      </c>
      <c r="AQ24" s="38" t="s">
        <v>53</v>
      </c>
      <c r="AR24" s="44">
        <v>-17.204153060913086</v>
      </c>
      <c r="AS24" s="37">
        <v>24.442689895629883</v>
      </c>
      <c r="AT24" s="39" t="s">
        <v>53</v>
      </c>
    </row>
    <row r="25" spans="1:46" x14ac:dyDescent="0.25">
      <c r="A25" s="15" t="s">
        <v>139</v>
      </c>
      <c r="B25" s="44">
        <v>535.87798449465811</v>
      </c>
      <c r="C25" s="37">
        <v>2.2538282769790188</v>
      </c>
      <c r="D25" s="38" t="s">
        <v>53</v>
      </c>
      <c r="E25" s="44">
        <v>538.06491935650774</v>
      </c>
      <c r="F25" s="37">
        <v>2.2102623021207783</v>
      </c>
      <c r="G25" s="38" t="s">
        <v>53</v>
      </c>
      <c r="H25" s="44">
        <v>468.37706632582905</v>
      </c>
      <c r="I25" s="37">
        <v>12.773838670925462</v>
      </c>
      <c r="J25" s="38" t="s">
        <v>53</v>
      </c>
      <c r="K25" s="44">
        <v>492.60238502835364</v>
      </c>
      <c r="L25" s="37">
        <v>13.855977484898434</v>
      </c>
      <c r="M25" s="38" t="s">
        <v>53</v>
      </c>
      <c r="N25" s="44">
        <v>449.10100276745544</v>
      </c>
      <c r="O25" s="37">
        <v>17.72539482413092</v>
      </c>
      <c r="P25" s="38" t="s">
        <v>53</v>
      </c>
      <c r="Q25" s="44">
        <v>520.07874831668892</v>
      </c>
      <c r="R25" s="37">
        <v>2.3071019944848046</v>
      </c>
      <c r="S25" s="38" t="s">
        <v>53</v>
      </c>
      <c r="T25" s="44">
        <v>527.46534387402608</v>
      </c>
      <c r="U25" s="37">
        <v>2.0653459429476948</v>
      </c>
      <c r="V25" s="38" t="s">
        <v>53</v>
      </c>
      <c r="W25" s="44">
        <v>435.2677072438853</v>
      </c>
      <c r="X25" s="37">
        <v>7.4636437275884155</v>
      </c>
      <c r="Y25" s="38" t="s">
        <v>53</v>
      </c>
      <c r="Z25" s="44">
        <v>455.64753878640204</v>
      </c>
      <c r="AA25" s="37">
        <v>10.280567722920848</v>
      </c>
      <c r="AB25" s="38" t="s">
        <v>53</v>
      </c>
      <c r="AC25" s="44">
        <v>420.21567244734609</v>
      </c>
      <c r="AD25" s="37">
        <v>8.9588837417020653</v>
      </c>
      <c r="AE25" s="38" t="s">
        <v>53</v>
      </c>
      <c r="AF25" s="44">
        <v>-15.799236297607422</v>
      </c>
      <c r="AG25" s="37">
        <v>4.7741870880126953</v>
      </c>
      <c r="AH25" s="38" t="s">
        <v>53</v>
      </c>
      <c r="AI25" s="44">
        <v>-10.599575042724609</v>
      </c>
      <c r="AJ25" s="37">
        <v>4.6412620544433594</v>
      </c>
      <c r="AK25" s="38" t="s">
        <v>53</v>
      </c>
      <c r="AL25" s="44">
        <v>-33.109359741210938</v>
      </c>
      <c r="AM25" s="37">
        <v>15.207476615905762</v>
      </c>
      <c r="AN25" s="38" t="s">
        <v>53</v>
      </c>
      <c r="AO25" s="44">
        <v>-36.954845428466797</v>
      </c>
      <c r="AP25" s="37">
        <v>17.6087646484375</v>
      </c>
      <c r="AQ25" s="38" t="s">
        <v>53</v>
      </c>
      <c r="AR25" s="44">
        <v>-28.885330200195313</v>
      </c>
      <c r="AS25" s="37">
        <v>20.170314788818359</v>
      </c>
      <c r="AT25" s="39" t="s">
        <v>53</v>
      </c>
    </row>
    <row r="26" spans="1:46" x14ac:dyDescent="0.25">
      <c r="A26" s="15" t="s">
        <v>140</v>
      </c>
      <c r="B26" s="44">
        <v>495.61654131094139</v>
      </c>
      <c r="C26" s="37">
        <v>3.4418675654450732</v>
      </c>
      <c r="D26" s="38" t="s">
        <v>53</v>
      </c>
      <c r="E26" s="44">
        <v>504.58162290695583</v>
      </c>
      <c r="F26" s="37">
        <v>3.7547236339274517</v>
      </c>
      <c r="G26" s="38" t="s">
        <v>53</v>
      </c>
      <c r="H26" s="44">
        <v>444.11604277846646</v>
      </c>
      <c r="I26" s="37">
        <v>8.5436540254250097</v>
      </c>
      <c r="J26" s="38" t="s">
        <v>53</v>
      </c>
      <c r="K26" s="44">
        <v>449.32948895987397</v>
      </c>
      <c r="L26" s="37">
        <v>8.8816555195787465</v>
      </c>
      <c r="M26" s="38" t="s">
        <v>53</v>
      </c>
      <c r="N26" s="44">
        <v>427.70190345073337</v>
      </c>
      <c r="O26" s="37">
        <v>15.92513268340549</v>
      </c>
      <c r="P26" s="38" t="s">
        <v>53</v>
      </c>
      <c r="Q26" s="44">
        <v>492.60648133455328</v>
      </c>
      <c r="R26" s="37">
        <v>2.3209785699770027</v>
      </c>
      <c r="S26" s="38" t="s">
        <v>53</v>
      </c>
      <c r="T26" s="44">
        <v>501.62108514998749</v>
      </c>
      <c r="U26" s="37">
        <v>2.7047716440525611</v>
      </c>
      <c r="V26" s="38" t="s">
        <v>53</v>
      </c>
      <c r="W26" s="44">
        <v>449.46690144211874</v>
      </c>
      <c r="X26" s="37">
        <v>5.2803393664282821</v>
      </c>
      <c r="Y26" s="38" t="s">
        <v>53</v>
      </c>
      <c r="Z26" s="44">
        <v>461.3240212769856</v>
      </c>
      <c r="AA26" s="37">
        <v>5.7251919672611802</v>
      </c>
      <c r="AB26" s="38" t="s">
        <v>53</v>
      </c>
      <c r="AC26" s="44">
        <v>425.15798572314975</v>
      </c>
      <c r="AD26" s="37">
        <v>7.4824822345350244</v>
      </c>
      <c r="AE26" s="38" t="s">
        <v>53</v>
      </c>
      <c r="AF26" s="44">
        <v>-3.0100600719451904</v>
      </c>
      <c r="AG26" s="37">
        <v>5.4427742958068848</v>
      </c>
      <c r="AH26" s="38" t="s">
        <v>53</v>
      </c>
      <c r="AI26" s="44">
        <v>-2.9605376720428467</v>
      </c>
      <c r="AJ26" s="37">
        <v>5.8141326904296875</v>
      </c>
      <c r="AK26" s="38" t="s">
        <v>53</v>
      </c>
      <c r="AL26" s="44">
        <v>5.3508586883544922</v>
      </c>
      <c r="AM26" s="37">
        <v>10.642669677734375</v>
      </c>
      <c r="AN26" s="38" t="s">
        <v>53</v>
      </c>
      <c r="AO26" s="44">
        <v>11.994532585144043</v>
      </c>
      <c r="AP26" s="37">
        <v>11.13786506652832</v>
      </c>
      <c r="AQ26" s="38" t="s">
        <v>53</v>
      </c>
      <c r="AR26" s="44">
        <v>-2.5439176559448242</v>
      </c>
      <c r="AS26" s="37">
        <v>17.94401741027832</v>
      </c>
      <c r="AT26" s="39" t="s">
        <v>53</v>
      </c>
    </row>
    <row r="27" spans="1:46" x14ac:dyDescent="0.25">
      <c r="A27" s="15" t="s">
        <v>141</v>
      </c>
      <c r="B27" s="44">
        <v>497.305058150886</v>
      </c>
      <c r="C27" s="37">
        <v>2.6558081602114494</v>
      </c>
      <c r="D27" s="38" t="s">
        <v>53</v>
      </c>
      <c r="E27" s="44">
        <v>511.20816892645138</v>
      </c>
      <c r="F27" s="37">
        <v>2.6186234301518283</v>
      </c>
      <c r="G27" s="38" t="s">
        <v>53</v>
      </c>
      <c r="H27" s="44">
        <v>455.06697100501208</v>
      </c>
      <c r="I27" s="37">
        <v>4.6604396858282007</v>
      </c>
      <c r="J27" s="38" t="s">
        <v>53</v>
      </c>
      <c r="K27" s="44">
        <v>457.45079146769632</v>
      </c>
      <c r="L27" s="37">
        <v>6.1100534760245528</v>
      </c>
      <c r="M27" s="38" t="s">
        <v>53</v>
      </c>
      <c r="N27" s="44">
        <v>450.33611437332269</v>
      </c>
      <c r="O27" s="37">
        <v>5.7174275980502873</v>
      </c>
      <c r="P27" s="38" t="s">
        <v>53</v>
      </c>
      <c r="Q27" s="44">
        <v>498.27925642959156</v>
      </c>
      <c r="R27" s="37">
        <v>3.0254079122693804</v>
      </c>
      <c r="S27" s="38" t="s">
        <v>53</v>
      </c>
      <c r="T27" s="44">
        <v>518.89767605581937</v>
      </c>
      <c r="U27" s="37">
        <v>3.3154584178370077</v>
      </c>
      <c r="V27" s="38" t="s">
        <v>53</v>
      </c>
      <c r="W27" s="44">
        <v>456.09491466698648</v>
      </c>
      <c r="X27" s="37">
        <v>6.4947134464873724</v>
      </c>
      <c r="Y27" s="38" t="s">
        <v>53</v>
      </c>
      <c r="Z27" s="44">
        <v>477.30586621484758</v>
      </c>
      <c r="AA27" s="37">
        <v>6.6207428916166835</v>
      </c>
      <c r="AB27" s="38" t="s">
        <v>53</v>
      </c>
      <c r="AC27" s="44">
        <v>404.54592939031386</v>
      </c>
      <c r="AD27" s="37">
        <v>11.754542274721846</v>
      </c>
      <c r="AE27" s="38" t="s">
        <v>53</v>
      </c>
      <c r="AF27" s="44">
        <v>0.97419828176498413</v>
      </c>
      <c r="AG27" s="37">
        <v>5.3475985527038574</v>
      </c>
      <c r="AH27" s="38" t="s">
        <v>53</v>
      </c>
      <c r="AI27" s="44">
        <v>7.689507007598877</v>
      </c>
      <c r="AJ27" s="37">
        <v>5.499077320098877</v>
      </c>
      <c r="AK27" s="38" t="s">
        <v>53</v>
      </c>
      <c r="AL27" s="44">
        <v>1.0279436111450195</v>
      </c>
      <c r="AM27" s="37">
        <v>8.7344951629638672</v>
      </c>
      <c r="AN27" s="38" t="s">
        <v>53</v>
      </c>
      <c r="AO27" s="44">
        <v>19.855073928833008</v>
      </c>
      <c r="AP27" s="37">
        <v>9.6725072860717773</v>
      </c>
      <c r="AQ27" s="38" t="s">
        <v>53</v>
      </c>
      <c r="AR27" s="44">
        <v>-45.790184020996094</v>
      </c>
      <c r="AS27" s="37">
        <v>13.536935806274414</v>
      </c>
      <c r="AT27" s="39" t="s">
        <v>53</v>
      </c>
    </row>
    <row r="28" spans="1:46" x14ac:dyDescent="0.25">
      <c r="A28" s="15" t="s">
        <v>142</v>
      </c>
      <c r="B28" s="44">
        <v>482.77624196128494</v>
      </c>
      <c r="C28" s="37">
        <v>4.3221523430668656</v>
      </c>
      <c r="D28" s="38" t="s">
        <v>53</v>
      </c>
      <c r="E28" s="44">
        <v>488.95750636711466</v>
      </c>
      <c r="F28" s="37">
        <v>4.2499916172573124</v>
      </c>
      <c r="G28" s="38" t="s">
        <v>53</v>
      </c>
      <c r="H28" s="44">
        <v>431.5252519720766</v>
      </c>
      <c r="I28" s="37">
        <v>11.480569545983288</v>
      </c>
      <c r="J28" s="38" t="s">
        <v>53</v>
      </c>
      <c r="K28" s="44">
        <v>455.66543470764321</v>
      </c>
      <c r="L28" s="37">
        <v>10.377242958805267</v>
      </c>
      <c r="M28" s="38" t="s">
        <v>53</v>
      </c>
      <c r="N28" s="44">
        <v>419.98694563066221</v>
      </c>
      <c r="O28" s="37">
        <v>15.492851350765044</v>
      </c>
      <c r="P28" s="38" t="s">
        <v>53</v>
      </c>
      <c r="Q28" s="44">
        <v>457.41439470369306</v>
      </c>
      <c r="R28" s="37">
        <v>3.6209996580630088</v>
      </c>
      <c r="S28" s="38" t="s">
        <v>53</v>
      </c>
      <c r="T28" s="44">
        <v>465.21236993930864</v>
      </c>
      <c r="U28" s="37">
        <v>3.4340114788943001</v>
      </c>
      <c r="V28" s="38" t="s">
        <v>53</v>
      </c>
      <c r="W28" s="44">
        <v>413.88988551993526</v>
      </c>
      <c r="X28" s="37">
        <v>6.1000893920257875</v>
      </c>
      <c r="Y28" s="38" t="s">
        <v>53</v>
      </c>
      <c r="Z28" s="44">
        <v>420.11793957719186</v>
      </c>
      <c r="AA28" s="37">
        <v>6.9111881047206323</v>
      </c>
      <c r="AB28" s="38" t="s">
        <v>53</v>
      </c>
      <c r="AC28" s="44">
        <v>397.01116285340862</v>
      </c>
      <c r="AD28" s="37">
        <v>9.1962334505382106</v>
      </c>
      <c r="AE28" s="38" t="s">
        <v>53</v>
      </c>
      <c r="AF28" s="44">
        <v>-25.361846923828125</v>
      </c>
      <c r="AG28" s="37">
        <v>6.6470322608947754</v>
      </c>
      <c r="AH28" s="38" t="s">
        <v>53</v>
      </c>
      <c r="AI28" s="44">
        <v>-23.745136260986328</v>
      </c>
      <c r="AJ28" s="37">
        <v>6.4996356964111328</v>
      </c>
      <c r="AK28" s="38" t="s">
        <v>53</v>
      </c>
      <c r="AL28" s="44">
        <v>-17.635366439819336</v>
      </c>
      <c r="AM28" s="37">
        <v>13.468666076660156</v>
      </c>
      <c r="AN28" s="38" t="s">
        <v>53</v>
      </c>
      <c r="AO28" s="44">
        <v>-35.547496795654297</v>
      </c>
      <c r="AP28" s="37">
        <v>12.955389022827148</v>
      </c>
      <c r="AQ28" s="38" t="s">
        <v>53</v>
      </c>
      <c r="AR28" s="44">
        <v>-22.97578239440918</v>
      </c>
      <c r="AS28" s="37">
        <v>18.357275009155273</v>
      </c>
      <c r="AT28" s="39" t="s">
        <v>53</v>
      </c>
    </row>
    <row r="29" spans="1:46" x14ac:dyDescent="0.25">
      <c r="A29" s="15" t="s">
        <v>143</v>
      </c>
      <c r="B29" s="44">
        <v>494.17875334322025</v>
      </c>
      <c r="C29" s="37">
        <v>3.1747481649915654</v>
      </c>
      <c r="D29" s="38" t="s">
        <v>53</v>
      </c>
      <c r="E29" s="44">
        <v>494.94132830044128</v>
      </c>
      <c r="F29" s="37">
        <v>3.1064882606585256</v>
      </c>
      <c r="G29" s="38" t="s">
        <v>53</v>
      </c>
      <c r="H29" s="44">
        <v>507.28054727311496</v>
      </c>
      <c r="I29" s="37">
        <v>8.2894616804427113</v>
      </c>
      <c r="J29" s="38" t="s">
        <v>53</v>
      </c>
      <c r="K29" s="44">
        <v>526.87562424261023</v>
      </c>
      <c r="L29" s="37">
        <v>12.386435962865425</v>
      </c>
      <c r="M29" s="38" t="s">
        <v>53</v>
      </c>
      <c r="N29" s="44">
        <v>492.66339956015673</v>
      </c>
      <c r="O29" s="37">
        <v>11.550159936388981</v>
      </c>
      <c r="P29" s="38" t="s">
        <v>53</v>
      </c>
      <c r="Q29" s="44">
        <v>475.98667224503328</v>
      </c>
      <c r="R29" s="37">
        <v>2.2509620905298031</v>
      </c>
      <c r="S29" s="38" t="s">
        <v>53</v>
      </c>
      <c r="T29" s="44">
        <v>476.65005156342613</v>
      </c>
      <c r="U29" s="37">
        <v>2.2839300691541218</v>
      </c>
      <c r="V29" s="38" t="s">
        <v>53</v>
      </c>
      <c r="W29" s="44">
        <v>489.69457454376828</v>
      </c>
      <c r="X29" s="37">
        <v>9.7957598702506914</v>
      </c>
      <c r="Y29" s="38" t="s">
        <v>53</v>
      </c>
      <c r="Z29" s="44">
        <v>509.92331823074795</v>
      </c>
      <c r="AA29" s="37">
        <v>11.126283092689491</v>
      </c>
      <c r="AB29" s="38" t="s">
        <v>53</v>
      </c>
      <c r="AC29" s="44">
        <v>468.3828488843123</v>
      </c>
      <c r="AD29" s="37">
        <v>16.473514961782168</v>
      </c>
      <c r="AE29" s="38" t="s">
        <v>53</v>
      </c>
      <c r="AF29" s="44">
        <v>-18.192081451416016</v>
      </c>
      <c r="AG29" s="37">
        <v>5.247499942779541</v>
      </c>
      <c r="AH29" s="38" t="s">
        <v>53</v>
      </c>
      <c r="AI29" s="44">
        <v>-18.291276931762695</v>
      </c>
      <c r="AJ29" s="37">
        <v>5.2208242416381836</v>
      </c>
      <c r="AK29" s="38" t="s">
        <v>53</v>
      </c>
      <c r="AL29" s="44">
        <v>-17.585971832275391</v>
      </c>
      <c r="AM29" s="37">
        <v>13.306483268737793</v>
      </c>
      <c r="AN29" s="38" t="s">
        <v>53</v>
      </c>
      <c r="AO29" s="44">
        <v>-16.952306747436523</v>
      </c>
      <c r="AP29" s="37">
        <v>17.01788330078125</v>
      </c>
      <c r="AQ29" s="38" t="s">
        <v>53</v>
      </c>
      <c r="AR29" s="44">
        <v>-24.280550003051758</v>
      </c>
      <c r="AS29" s="37">
        <v>20.424819946289063</v>
      </c>
      <c r="AT29" s="39" t="s">
        <v>53</v>
      </c>
    </row>
    <row r="30" spans="1:46" x14ac:dyDescent="0.25">
      <c r="A30" s="15" t="s">
        <v>144</v>
      </c>
      <c r="B30" s="44">
        <v>500.28331925631039</v>
      </c>
      <c r="C30" s="37">
        <v>1.4093757192498597</v>
      </c>
      <c r="D30" s="38" t="s">
        <v>53</v>
      </c>
      <c r="E30" s="44">
        <v>503.79589630150787</v>
      </c>
      <c r="F30" s="37">
        <v>1.4199908873565956</v>
      </c>
      <c r="G30" s="38" t="s">
        <v>53</v>
      </c>
      <c r="H30" s="44">
        <v>422.88318089751186</v>
      </c>
      <c r="I30" s="37">
        <v>11.660893100570776</v>
      </c>
      <c r="J30" s="38" t="s">
        <v>53</v>
      </c>
      <c r="K30" s="44" t="s">
        <v>56</v>
      </c>
      <c r="L30" s="37" t="s">
        <v>56</v>
      </c>
      <c r="M30" s="38" t="s">
        <v>53</v>
      </c>
      <c r="N30" s="44">
        <v>417.26530117696842</v>
      </c>
      <c r="O30" s="37">
        <v>12.37030965717876</v>
      </c>
      <c r="P30" s="38" t="s">
        <v>53</v>
      </c>
      <c r="Q30" s="44">
        <v>473.9743167673447</v>
      </c>
      <c r="R30" s="37">
        <v>1.741510568561754</v>
      </c>
      <c r="S30" s="38" t="s">
        <v>53</v>
      </c>
      <c r="T30" s="44">
        <v>480.61498308410131</v>
      </c>
      <c r="U30" s="37">
        <v>1.848640050920564</v>
      </c>
      <c r="V30" s="38" t="s">
        <v>53</v>
      </c>
      <c r="W30" s="44">
        <v>406.81494641015405</v>
      </c>
      <c r="X30" s="37">
        <v>7.6485078516916678</v>
      </c>
      <c r="Y30" s="38" t="s">
        <v>53</v>
      </c>
      <c r="Z30" s="44">
        <v>412.43602793263182</v>
      </c>
      <c r="AA30" s="37">
        <v>10.851300619705761</v>
      </c>
      <c r="AB30" s="38" t="s">
        <v>53</v>
      </c>
      <c r="AC30" s="44">
        <v>402.31924523261478</v>
      </c>
      <c r="AD30" s="37">
        <v>9.5166080250105498</v>
      </c>
      <c r="AE30" s="38" t="s">
        <v>53</v>
      </c>
      <c r="AF30" s="44">
        <v>-26.309001922607422</v>
      </c>
      <c r="AG30" s="37">
        <v>4.1724810600280762</v>
      </c>
      <c r="AH30" s="38" t="s">
        <v>53</v>
      </c>
      <c r="AI30" s="44">
        <v>-23.180913925170898</v>
      </c>
      <c r="AJ30" s="37">
        <v>4.2218766212463379</v>
      </c>
      <c r="AK30" s="38" t="s">
        <v>53</v>
      </c>
      <c r="AL30" s="44">
        <v>-16.068235397338867</v>
      </c>
      <c r="AM30" s="37">
        <v>14.382854461669922</v>
      </c>
      <c r="AN30" s="38" t="s">
        <v>53</v>
      </c>
      <c r="AO30" s="44" t="s">
        <v>55</v>
      </c>
      <c r="AP30" s="37" t="s">
        <v>55</v>
      </c>
      <c r="AQ30" s="38" t="s">
        <v>53</v>
      </c>
      <c r="AR30" s="44">
        <v>-14.946056365966797</v>
      </c>
      <c r="AS30" s="37">
        <v>15.999399185180664</v>
      </c>
      <c r="AT30" s="39" t="s">
        <v>53</v>
      </c>
    </row>
    <row r="31" spans="1:46" x14ac:dyDescent="0.25">
      <c r="A31" s="15" t="s">
        <v>145</v>
      </c>
      <c r="B31" s="44">
        <v>495.63910877454566</v>
      </c>
      <c r="C31" s="37">
        <v>2.9719043217388492</v>
      </c>
      <c r="D31" s="38" t="s">
        <v>53</v>
      </c>
      <c r="E31" s="44">
        <v>501.92913659471162</v>
      </c>
      <c r="F31" s="37">
        <v>3.007963210920491</v>
      </c>
      <c r="G31" s="38" t="s">
        <v>53</v>
      </c>
      <c r="H31" s="44">
        <v>473.09944770251195</v>
      </c>
      <c r="I31" s="37">
        <v>7.1155947392801266</v>
      </c>
      <c r="J31" s="38" t="s">
        <v>53</v>
      </c>
      <c r="K31" s="44">
        <v>508.19414041989296</v>
      </c>
      <c r="L31" s="37">
        <v>12.782135112882679</v>
      </c>
      <c r="M31" s="38" t="s">
        <v>53</v>
      </c>
      <c r="N31" s="44">
        <v>465.69957371300461</v>
      </c>
      <c r="O31" s="37">
        <v>7.6367789765978635</v>
      </c>
      <c r="P31" s="38" t="s">
        <v>53</v>
      </c>
      <c r="Q31" s="44">
        <v>518.07845911939353</v>
      </c>
      <c r="R31" s="37">
        <v>2.2444778003871422</v>
      </c>
      <c r="S31" s="38" t="s">
        <v>53</v>
      </c>
      <c r="T31" s="44">
        <v>522.14707429400596</v>
      </c>
      <c r="U31" s="37">
        <v>2.2619281465898031</v>
      </c>
      <c r="V31" s="38" t="s">
        <v>53</v>
      </c>
      <c r="W31" s="44">
        <v>508.47064736966479</v>
      </c>
      <c r="X31" s="37">
        <v>3.831804306287435</v>
      </c>
      <c r="Y31" s="38" t="s">
        <v>53</v>
      </c>
      <c r="Z31" s="44">
        <v>508.811377926055</v>
      </c>
      <c r="AA31" s="37">
        <v>5.2604255560871795</v>
      </c>
      <c r="AB31" s="38" t="s">
        <v>53</v>
      </c>
      <c r="AC31" s="44">
        <v>508.19142184882708</v>
      </c>
      <c r="AD31" s="37">
        <v>5.2883873443684015</v>
      </c>
      <c r="AE31" s="38" t="s">
        <v>53</v>
      </c>
      <c r="AF31" s="44">
        <v>22.439350128173828</v>
      </c>
      <c r="AG31" s="37">
        <v>5.1244802474975586</v>
      </c>
      <c r="AH31" s="38" t="s">
        <v>53</v>
      </c>
      <c r="AI31" s="44">
        <v>20.217937469482422</v>
      </c>
      <c r="AJ31" s="37">
        <v>5.1531119346618652</v>
      </c>
      <c r="AK31" s="38" t="s">
        <v>53</v>
      </c>
      <c r="AL31" s="44">
        <v>35.371200561523438</v>
      </c>
      <c r="AM31" s="37">
        <v>8.815032958984375</v>
      </c>
      <c r="AN31" s="38" t="s">
        <v>53</v>
      </c>
      <c r="AO31" s="44">
        <v>0.61723750829696655</v>
      </c>
      <c r="AP31" s="37">
        <v>14.263430595397949</v>
      </c>
      <c r="AQ31" s="38" t="s">
        <v>53</v>
      </c>
      <c r="AR31" s="44">
        <v>42.491847991943359</v>
      </c>
      <c r="AS31" s="37">
        <v>9.9336719512939453</v>
      </c>
      <c r="AT31" s="39" t="s">
        <v>53</v>
      </c>
    </row>
    <row r="32" spans="1:46" x14ac:dyDescent="0.25">
      <c r="A32" s="15" t="s">
        <v>146</v>
      </c>
      <c r="B32" s="44">
        <v>473.98995043365397</v>
      </c>
      <c r="C32" s="37">
        <v>3.6337335691564423</v>
      </c>
      <c r="D32" s="38" t="s">
        <v>53</v>
      </c>
      <c r="E32" s="44">
        <v>479.8833230609207</v>
      </c>
      <c r="F32" s="37">
        <v>3.3216430258504501</v>
      </c>
      <c r="G32" s="38" t="s">
        <v>53</v>
      </c>
      <c r="H32" s="44">
        <v>478.02290107759393</v>
      </c>
      <c r="I32" s="37">
        <v>6.3601152207149987</v>
      </c>
      <c r="J32" s="38" t="s">
        <v>53</v>
      </c>
      <c r="K32" s="44">
        <v>486.96496427619422</v>
      </c>
      <c r="L32" s="37">
        <v>6.4756140253867454</v>
      </c>
      <c r="M32" s="38" t="s">
        <v>53</v>
      </c>
      <c r="N32" s="44">
        <v>462.23410765094661</v>
      </c>
      <c r="O32" s="37">
        <v>9.157289986247358</v>
      </c>
      <c r="P32" s="38" t="s">
        <v>53</v>
      </c>
      <c r="Q32" s="44">
        <v>470.41517797924456</v>
      </c>
      <c r="R32" s="37">
        <v>3.670985340667654</v>
      </c>
      <c r="S32" s="38" t="s">
        <v>53</v>
      </c>
      <c r="T32" s="44">
        <v>480.54756118864634</v>
      </c>
      <c r="U32" s="37">
        <v>3.5014489915320897</v>
      </c>
      <c r="V32" s="38" t="s">
        <v>53</v>
      </c>
      <c r="W32" s="44">
        <v>469.79154428892753</v>
      </c>
      <c r="X32" s="37">
        <v>6.6289829025354914</v>
      </c>
      <c r="Y32" s="38" t="s">
        <v>53</v>
      </c>
      <c r="Z32" s="44">
        <v>492.6714778796827</v>
      </c>
      <c r="AA32" s="37">
        <v>6.1346967041047886</v>
      </c>
      <c r="AB32" s="38" t="s">
        <v>53</v>
      </c>
      <c r="AC32" s="44">
        <v>398.4681806417783</v>
      </c>
      <c r="AD32" s="37">
        <v>10.440409927492674</v>
      </c>
      <c r="AE32" s="38" t="s">
        <v>53</v>
      </c>
      <c r="AF32" s="44">
        <v>-3.5747723579406738</v>
      </c>
      <c r="AG32" s="37">
        <v>6.2506442070007324</v>
      </c>
      <c r="AH32" s="38" t="s">
        <v>53</v>
      </c>
      <c r="AI32" s="44">
        <v>0.66423815488815308</v>
      </c>
      <c r="AJ32" s="37">
        <v>5.9735965728759766</v>
      </c>
      <c r="AK32" s="38" t="s">
        <v>53</v>
      </c>
      <c r="AL32" s="44">
        <v>-8.2313566207885742</v>
      </c>
      <c r="AM32" s="37">
        <v>9.8379306793212891</v>
      </c>
      <c r="AN32" s="38" t="s">
        <v>53</v>
      </c>
      <c r="AO32" s="44">
        <v>5.7065134048461914</v>
      </c>
      <c r="AP32" s="37">
        <v>9.5894985198974609</v>
      </c>
      <c r="AQ32" s="38" t="s">
        <v>53</v>
      </c>
      <c r="AR32" s="44">
        <v>-63.765926361083984</v>
      </c>
      <c r="AS32" s="37">
        <v>14.326497077941895</v>
      </c>
      <c r="AT32" s="39" t="s">
        <v>53</v>
      </c>
    </row>
    <row r="33" spans="1:46" x14ac:dyDescent="0.25">
      <c r="A33" s="15" t="s">
        <v>147</v>
      </c>
      <c r="B33" s="44">
        <v>486.05109878153962</v>
      </c>
      <c r="C33" s="37">
        <v>1.5721541044820779</v>
      </c>
      <c r="D33" s="38" t="s">
        <v>53</v>
      </c>
      <c r="E33" s="44">
        <v>490.8770679638464</v>
      </c>
      <c r="F33" s="37">
        <v>1.602430998784057</v>
      </c>
      <c r="G33" s="38" t="s">
        <v>53</v>
      </c>
      <c r="H33" s="44">
        <v>418.37888643212312</v>
      </c>
      <c r="I33" s="37">
        <v>4.2113405575011473</v>
      </c>
      <c r="J33" s="38" t="s">
        <v>53</v>
      </c>
      <c r="K33" s="44">
        <v>445.56666514697594</v>
      </c>
      <c r="L33" s="37">
        <v>9.3502051600209128</v>
      </c>
      <c r="M33" s="38" t="s">
        <v>53</v>
      </c>
      <c r="N33" s="44">
        <v>409.8531493379985</v>
      </c>
      <c r="O33" s="37">
        <v>4.4534965621574205</v>
      </c>
      <c r="P33" s="38" t="s">
        <v>53</v>
      </c>
      <c r="Q33" s="44">
        <v>476.28467969266717</v>
      </c>
      <c r="R33" s="37">
        <v>2.4389103254640507</v>
      </c>
      <c r="S33" s="38" t="s">
        <v>53</v>
      </c>
      <c r="T33" s="44">
        <v>482.40100333796119</v>
      </c>
      <c r="U33" s="37">
        <v>2.600613100655762</v>
      </c>
      <c r="V33" s="38" t="s">
        <v>53</v>
      </c>
      <c r="W33" s="44">
        <v>439.57328649121604</v>
      </c>
      <c r="X33" s="37">
        <v>4.8650842830195939</v>
      </c>
      <c r="Y33" s="38" t="s">
        <v>53</v>
      </c>
      <c r="Z33" s="44">
        <v>444.97239755681471</v>
      </c>
      <c r="AA33" s="37">
        <v>5.8631756943380093</v>
      </c>
      <c r="AB33" s="38" t="s">
        <v>53</v>
      </c>
      <c r="AC33" s="44">
        <v>433.11366730934196</v>
      </c>
      <c r="AD33" s="37">
        <v>7.1448040893716946</v>
      </c>
      <c r="AE33" s="38" t="s">
        <v>53</v>
      </c>
      <c r="AF33" s="44">
        <v>-9.7664194107055664</v>
      </c>
      <c r="AG33" s="37">
        <v>4.5618367195129395</v>
      </c>
      <c r="AH33" s="38" t="s">
        <v>53</v>
      </c>
      <c r="AI33" s="44">
        <v>-8.4760646820068359</v>
      </c>
      <c r="AJ33" s="37">
        <v>4.6606192588806152</v>
      </c>
      <c r="AK33" s="38" t="s">
        <v>53</v>
      </c>
      <c r="AL33" s="44">
        <v>21.194400787353516</v>
      </c>
      <c r="AM33" s="37">
        <v>7.334496021270752</v>
      </c>
      <c r="AN33" s="38" t="s">
        <v>53</v>
      </c>
      <c r="AO33" s="44">
        <v>-0.59426760673522949</v>
      </c>
      <c r="AP33" s="37">
        <v>11.584194183349609</v>
      </c>
      <c r="AQ33" s="38" t="s">
        <v>53</v>
      </c>
      <c r="AR33" s="44">
        <v>23.260517120361328</v>
      </c>
      <c r="AS33" s="37">
        <v>9.1253633499145508</v>
      </c>
      <c r="AT33" s="39" t="s">
        <v>53</v>
      </c>
    </row>
    <row r="34" spans="1:46" x14ac:dyDescent="0.25">
      <c r="A34" s="15" t="s">
        <v>148</v>
      </c>
      <c r="B34" s="44">
        <v>519.85772238868014</v>
      </c>
      <c r="C34" s="37">
        <v>3.4656314208296881</v>
      </c>
      <c r="D34" s="38" t="s">
        <v>53</v>
      </c>
      <c r="E34" s="44">
        <v>520.70064494049916</v>
      </c>
      <c r="F34" s="37">
        <v>3.4156508829953141</v>
      </c>
      <c r="G34" s="38" t="s">
        <v>53</v>
      </c>
      <c r="H34" s="44" t="s">
        <v>56</v>
      </c>
      <c r="I34" s="37" t="s">
        <v>56</v>
      </c>
      <c r="J34" s="38" t="s">
        <v>53</v>
      </c>
      <c r="K34" s="44" t="s">
        <v>56</v>
      </c>
      <c r="L34" s="37" t="s">
        <v>56</v>
      </c>
      <c r="M34" s="38" t="s">
        <v>53</v>
      </c>
      <c r="N34" s="44" t="s">
        <v>56</v>
      </c>
      <c r="O34" s="37" t="s">
        <v>56</v>
      </c>
      <c r="P34" s="38" t="s">
        <v>53</v>
      </c>
      <c r="Q34" s="44">
        <v>503.85604130918574</v>
      </c>
      <c r="R34" s="37">
        <v>2.6709734574974817</v>
      </c>
      <c r="S34" s="38" t="s">
        <v>53</v>
      </c>
      <c r="T34" s="44" t="s">
        <v>128</v>
      </c>
      <c r="U34" s="37" t="s">
        <v>128</v>
      </c>
      <c r="V34" s="38" t="s">
        <v>53</v>
      </c>
      <c r="W34" s="44" t="s">
        <v>128</v>
      </c>
      <c r="X34" s="37" t="s">
        <v>128</v>
      </c>
      <c r="Y34" s="38" t="s">
        <v>53</v>
      </c>
      <c r="Z34" s="44" t="s">
        <v>128</v>
      </c>
      <c r="AA34" s="37" t="s">
        <v>128</v>
      </c>
      <c r="AB34" s="38" t="s">
        <v>53</v>
      </c>
      <c r="AC34" s="44" t="s">
        <v>128</v>
      </c>
      <c r="AD34" s="37" t="s">
        <v>128</v>
      </c>
      <c r="AE34" s="38" t="s">
        <v>53</v>
      </c>
      <c r="AF34" s="44">
        <v>-16.001680374145508</v>
      </c>
      <c r="AG34" s="37">
        <v>5.6156120300292969</v>
      </c>
      <c r="AH34" s="38" t="s">
        <v>53</v>
      </c>
      <c r="AI34" s="44" t="s">
        <v>55</v>
      </c>
      <c r="AJ34" s="37" t="s">
        <v>55</v>
      </c>
      <c r="AK34" s="38" t="s">
        <v>53</v>
      </c>
      <c r="AL34" s="44" t="s">
        <v>55</v>
      </c>
      <c r="AM34" s="37" t="s">
        <v>55</v>
      </c>
      <c r="AN34" s="38" t="s">
        <v>53</v>
      </c>
      <c r="AO34" s="44" t="s">
        <v>55</v>
      </c>
      <c r="AP34" s="37" t="s">
        <v>55</v>
      </c>
      <c r="AQ34" s="38" t="s">
        <v>53</v>
      </c>
      <c r="AR34" s="44" t="s">
        <v>55</v>
      </c>
      <c r="AS34" s="37" t="s">
        <v>55</v>
      </c>
      <c r="AT34" s="39" t="s">
        <v>53</v>
      </c>
    </row>
    <row r="35" spans="1:46" x14ac:dyDescent="0.25">
      <c r="A35" s="15" t="s">
        <v>149</v>
      </c>
      <c r="B35" s="44">
        <v>539.26748342765302</v>
      </c>
      <c r="C35" s="37">
        <v>3.4605638023194736</v>
      </c>
      <c r="D35" s="38" t="s">
        <v>53</v>
      </c>
      <c r="E35" s="44">
        <v>540.30689887638528</v>
      </c>
      <c r="F35" s="37">
        <v>3.429083232675282</v>
      </c>
      <c r="G35" s="38" t="s">
        <v>53</v>
      </c>
      <c r="H35" s="44" t="s">
        <v>56</v>
      </c>
      <c r="I35" s="37" t="s">
        <v>56</v>
      </c>
      <c r="J35" s="38" t="s">
        <v>53</v>
      </c>
      <c r="K35" s="44" t="s">
        <v>56</v>
      </c>
      <c r="L35" s="37" t="s">
        <v>56</v>
      </c>
      <c r="M35" s="38" t="s">
        <v>53</v>
      </c>
      <c r="N35" s="44" t="s">
        <v>55</v>
      </c>
      <c r="O35" s="37" t="s">
        <v>55</v>
      </c>
      <c r="P35" s="38" t="s">
        <v>53</v>
      </c>
      <c r="Q35" s="44">
        <v>514.05228795826918</v>
      </c>
      <c r="R35" s="37">
        <v>2.9405429951517457</v>
      </c>
      <c r="S35" s="38" t="s">
        <v>53</v>
      </c>
      <c r="T35" s="44">
        <v>515.12675211849546</v>
      </c>
      <c r="U35" s="37">
        <v>2.9209103906706293</v>
      </c>
      <c r="V35" s="38" t="s">
        <v>53</v>
      </c>
      <c r="W35" s="44" t="s">
        <v>56</v>
      </c>
      <c r="X35" s="37" t="s">
        <v>56</v>
      </c>
      <c r="Y35" s="38" t="s">
        <v>53</v>
      </c>
      <c r="Z35" s="44" t="s">
        <v>56</v>
      </c>
      <c r="AA35" s="37" t="s">
        <v>56</v>
      </c>
      <c r="AB35" s="38" t="s">
        <v>53</v>
      </c>
      <c r="AC35" s="44" t="s">
        <v>56</v>
      </c>
      <c r="AD35" s="37" t="s">
        <v>56</v>
      </c>
      <c r="AE35" s="38" t="s">
        <v>53</v>
      </c>
      <c r="AF35" s="44">
        <v>-25.215194702148438</v>
      </c>
      <c r="AG35" s="37">
        <v>5.7456674575805664</v>
      </c>
      <c r="AH35" s="38" t="s">
        <v>53</v>
      </c>
      <c r="AI35" s="44">
        <v>-25.180147171020508</v>
      </c>
      <c r="AJ35" s="37">
        <v>5.7167062759399414</v>
      </c>
      <c r="AK35" s="38" t="s">
        <v>53</v>
      </c>
      <c r="AL35" s="44" t="s">
        <v>55</v>
      </c>
      <c r="AM35" s="37" t="s">
        <v>55</v>
      </c>
      <c r="AN35" s="38" t="s">
        <v>53</v>
      </c>
      <c r="AO35" s="44" t="s">
        <v>55</v>
      </c>
      <c r="AP35" s="37" t="s">
        <v>55</v>
      </c>
      <c r="AQ35" s="38" t="s">
        <v>53</v>
      </c>
      <c r="AR35" s="44" t="s">
        <v>55</v>
      </c>
      <c r="AS35" s="37" t="s">
        <v>55</v>
      </c>
      <c r="AT35" s="39" t="s">
        <v>53</v>
      </c>
    </row>
    <row r="36" spans="1:46" x14ac:dyDescent="0.25">
      <c r="A36" s="15" t="s">
        <v>150</v>
      </c>
      <c r="B36" s="44">
        <v>483.96014553422106</v>
      </c>
      <c r="C36" s="37">
        <v>2.9570060803396565</v>
      </c>
      <c r="D36" s="38" t="s">
        <v>53</v>
      </c>
      <c r="E36" s="44">
        <v>485.04897276862249</v>
      </c>
      <c r="F36" s="37">
        <v>2.900064754150542</v>
      </c>
      <c r="G36" s="38" t="s">
        <v>53</v>
      </c>
      <c r="H36" s="44">
        <v>473.77679013252811</v>
      </c>
      <c r="I36" s="37">
        <v>9.0499486819548061</v>
      </c>
      <c r="J36" s="38" t="s">
        <v>53</v>
      </c>
      <c r="K36" s="44">
        <v>472.18199897272171</v>
      </c>
      <c r="L36" s="37">
        <v>9.701138192967278</v>
      </c>
      <c r="M36" s="38" t="s">
        <v>53</v>
      </c>
      <c r="N36" s="44" t="s">
        <v>56</v>
      </c>
      <c r="O36" s="37" t="s">
        <v>56</v>
      </c>
      <c r="P36" s="38" t="s">
        <v>53</v>
      </c>
      <c r="Q36" s="44">
        <v>478.6986741450462</v>
      </c>
      <c r="R36" s="37">
        <v>1.6168557997986752</v>
      </c>
      <c r="S36" s="38" t="s">
        <v>53</v>
      </c>
      <c r="T36" s="44">
        <v>479.93388984860906</v>
      </c>
      <c r="U36" s="37">
        <v>1.6005103385158646</v>
      </c>
      <c r="V36" s="38" t="s">
        <v>53</v>
      </c>
      <c r="W36" s="44">
        <v>475.86420453767778</v>
      </c>
      <c r="X36" s="37">
        <v>8.7498953212393733</v>
      </c>
      <c r="Y36" s="38" t="s">
        <v>53</v>
      </c>
      <c r="Z36" s="44">
        <v>466.55716331097784</v>
      </c>
      <c r="AA36" s="37">
        <v>9.1518703367407941</v>
      </c>
      <c r="AB36" s="38" t="s">
        <v>53</v>
      </c>
      <c r="AC36" s="44">
        <v>514.95121107948069</v>
      </c>
      <c r="AD36" s="37">
        <v>19.900104754515148</v>
      </c>
      <c r="AE36" s="38" t="s">
        <v>53</v>
      </c>
      <c r="AF36" s="44">
        <v>-5.2614712715148926</v>
      </c>
      <c r="AG36" s="37">
        <v>4.8732442855834961</v>
      </c>
      <c r="AH36" s="38" t="s">
        <v>53</v>
      </c>
      <c r="AI36" s="44">
        <v>-5.1150827407836914</v>
      </c>
      <c r="AJ36" s="37">
        <v>4.8334674835205078</v>
      </c>
      <c r="AK36" s="38" t="s">
        <v>53</v>
      </c>
      <c r="AL36" s="44">
        <v>2.0874145030975342</v>
      </c>
      <c r="AM36" s="37">
        <v>13.071061134338379</v>
      </c>
      <c r="AN36" s="38" t="s">
        <v>53</v>
      </c>
      <c r="AO36" s="44">
        <v>-5.6248354911804199</v>
      </c>
      <c r="AP36" s="37">
        <v>13.793448448181152</v>
      </c>
      <c r="AQ36" s="38" t="s">
        <v>53</v>
      </c>
      <c r="AR36" s="44" t="s">
        <v>55</v>
      </c>
      <c r="AS36" s="37" t="s">
        <v>55</v>
      </c>
      <c r="AT36" s="39" t="s">
        <v>53</v>
      </c>
    </row>
    <row r="37" spans="1:46" x14ac:dyDescent="0.25">
      <c r="A37" s="15" t="s">
        <v>151</v>
      </c>
      <c r="B37" s="44">
        <v>468.44273430849557</v>
      </c>
      <c r="C37" s="37">
        <v>2.3910727516895518</v>
      </c>
      <c r="D37" s="38" t="s">
        <v>53</v>
      </c>
      <c r="E37" s="44">
        <v>470.90670295414185</v>
      </c>
      <c r="F37" s="37">
        <v>2.4298343456870048</v>
      </c>
      <c r="G37" s="38" t="s">
        <v>53</v>
      </c>
      <c r="H37" s="44">
        <v>447.58138495875596</v>
      </c>
      <c r="I37" s="37">
        <v>10.517636813893917</v>
      </c>
      <c r="J37" s="38" t="s">
        <v>53</v>
      </c>
      <c r="K37" s="44">
        <v>447.22892017781618</v>
      </c>
      <c r="L37" s="37">
        <v>11.035743303024157</v>
      </c>
      <c r="M37" s="38" t="s">
        <v>53</v>
      </c>
      <c r="N37" s="44" t="s">
        <v>56</v>
      </c>
      <c r="O37" s="37" t="s">
        <v>56</v>
      </c>
      <c r="P37" s="38" t="s">
        <v>53</v>
      </c>
      <c r="Q37" s="44">
        <v>475.87347960821211</v>
      </c>
      <c r="R37" s="37">
        <v>1.5182764468588867</v>
      </c>
      <c r="S37" s="38" t="s">
        <v>53</v>
      </c>
      <c r="T37" s="44">
        <v>477.58021246700866</v>
      </c>
      <c r="U37" s="37">
        <v>1.535214277292575</v>
      </c>
      <c r="V37" s="38" t="s">
        <v>53</v>
      </c>
      <c r="W37" s="44">
        <v>457.02829066139952</v>
      </c>
      <c r="X37" s="37">
        <v>11.073045224807208</v>
      </c>
      <c r="Y37" s="38" t="s">
        <v>53</v>
      </c>
      <c r="Z37" s="44">
        <v>453.72573428961061</v>
      </c>
      <c r="AA37" s="37">
        <v>11.498881914440767</v>
      </c>
      <c r="AB37" s="38" t="s">
        <v>53</v>
      </c>
      <c r="AC37" s="44">
        <v>469.07287505707865</v>
      </c>
      <c r="AD37" s="37">
        <v>27.30935882020383</v>
      </c>
      <c r="AE37" s="38" t="s">
        <v>53</v>
      </c>
      <c r="AF37" s="44">
        <v>7.4307451248168945</v>
      </c>
      <c r="AG37" s="37">
        <v>4.5180516242980957</v>
      </c>
      <c r="AH37" s="38" t="s">
        <v>53</v>
      </c>
      <c r="AI37" s="44">
        <v>6.6735095977783203</v>
      </c>
      <c r="AJ37" s="37">
        <v>4.5443787574768066</v>
      </c>
      <c r="AK37" s="38" t="s">
        <v>53</v>
      </c>
      <c r="AL37" s="44">
        <v>9.4469060897827148</v>
      </c>
      <c r="AM37" s="37">
        <v>15.672377586364746</v>
      </c>
      <c r="AN37" s="38" t="s">
        <v>53</v>
      </c>
      <c r="AO37" s="44">
        <v>6.4968142509460449</v>
      </c>
      <c r="AP37" s="37">
        <v>16.321836471557617</v>
      </c>
      <c r="AQ37" s="38" t="s">
        <v>53</v>
      </c>
      <c r="AR37" s="44" t="s">
        <v>55</v>
      </c>
      <c r="AS37" s="37" t="s">
        <v>55</v>
      </c>
      <c r="AT37" s="39" t="s">
        <v>53</v>
      </c>
    </row>
    <row r="38" spans="1:46" x14ac:dyDescent="0.25">
      <c r="A38" s="15" t="s">
        <v>152</v>
      </c>
      <c r="B38" s="44">
        <v>472.17338671505189</v>
      </c>
      <c r="C38" s="37">
        <v>1.253416219908392</v>
      </c>
      <c r="D38" s="38" t="s">
        <v>53</v>
      </c>
      <c r="E38" s="44">
        <v>494.72364348152701</v>
      </c>
      <c r="F38" s="37">
        <v>1.8935056102421153</v>
      </c>
      <c r="G38" s="38" t="s">
        <v>53</v>
      </c>
      <c r="H38" s="44">
        <v>442.48536546680327</v>
      </c>
      <c r="I38" s="37">
        <v>2.1185404449364564</v>
      </c>
      <c r="J38" s="38" t="s">
        <v>53</v>
      </c>
      <c r="K38" s="44">
        <v>438.92888567883875</v>
      </c>
      <c r="L38" s="37">
        <v>2.8743828513142571</v>
      </c>
      <c r="M38" s="38" t="s">
        <v>53</v>
      </c>
      <c r="N38" s="44">
        <v>447.79197502974404</v>
      </c>
      <c r="O38" s="37">
        <v>4.5027149503751991</v>
      </c>
      <c r="P38" s="38" t="s">
        <v>53</v>
      </c>
      <c r="Q38" s="44">
        <v>469.98538936317885</v>
      </c>
      <c r="R38" s="37">
        <v>1.1258908272900787</v>
      </c>
      <c r="S38" s="38" t="s">
        <v>53</v>
      </c>
      <c r="T38" s="44">
        <v>490.54639238862529</v>
      </c>
      <c r="U38" s="37">
        <v>1.9132342884376028</v>
      </c>
      <c r="V38" s="38" t="s">
        <v>53</v>
      </c>
      <c r="W38" s="44">
        <v>455.11599510355427</v>
      </c>
      <c r="X38" s="37">
        <v>1.6703589404967054</v>
      </c>
      <c r="Y38" s="38" t="s">
        <v>53</v>
      </c>
      <c r="Z38" s="44">
        <v>450.11428040672445</v>
      </c>
      <c r="AA38" s="37">
        <v>2.8600937217816691</v>
      </c>
      <c r="AB38" s="38" t="s">
        <v>53</v>
      </c>
      <c r="AC38" s="44">
        <v>461.30840606112611</v>
      </c>
      <c r="AD38" s="37">
        <v>2.8734824293201386</v>
      </c>
      <c r="AE38" s="38" t="s">
        <v>53</v>
      </c>
      <c r="AF38" s="44">
        <v>-2.1879973411560059</v>
      </c>
      <c r="AG38" s="37">
        <v>3.9024457931518555</v>
      </c>
      <c r="AH38" s="38" t="s">
        <v>53</v>
      </c>
      <c r="AI38" s="44">
        <v>-4.177250862121582</v>
      </c>
      <c r="AJ38" s="37">
        <v>4.4312787055969238</v>
      </c>
      <c r="AK38" s="38" t="s">
        <v>53</v>
      </c>
      <c r="AL38" s="44">
        <v>12.630629539489746</v>
      </c>
      <c r="AM38" s="37">
        <v>4.4349422454833984</v>
      </c>
      <c r="AN38" s="38" t="s">
        <v>53</v>
      </c>
      <c r="AO38" s="44">
        <v>11.185394287109375</v>
      </c>
      <c r="AP38" s="37">
        <v>5.369600772857666</v>
      </c>
      <c r="AQ38" s="38" t="s">
        <v>53</v>
      </c>
      <c r="AR38" s="44">
        <v>13.516430854797363</v>
      </c>
      <c r="AS38" s="37">
        <v>6.397010326385498</v>
      </c>
      <c r="AT38" s="39" t="s">
        <v>53</v>
      </c>
    </row>
    <row r="39" spans="1:46" x14ac:dyDescent="0.25">
      <c r="A39" s="15" t="s">
        <v>153</v>
      </c>
      <c r="B39" s="44">
        <v>425.26529915619869</v>
      </c>
      <c r="C39" s="37">
        <v>1.9532015873317305</v>
      </c>
      <c r="D39" s="38" t="s">
        <v>53</v>
      </c>
      <c r="E39" s="44">
        <v>429.60135348495788</v>
      </c>
      <c r="F39" s="37">
        <v>1.8043528641794566</v>
      </c>
      <c r="G39" s="38" t="s">
        <v>53</v>
      </c>
      <c r="H39" s="44">
        <v>330.71847688700313</v>
      </c>
      <c r="I39" s="37">
        <v>7.8678986203563879</v>
      </c>
      <c r="J39" s="38" t="s">
        <v>53</v>
      </c>
      <c r="K39" s="44">
        <v>340.31425643370261</v>
      </c>
      <c r="L39" s="37">
        <v>9.8693477447277633</v>
      </c>
      <c r="M39" s="38" t="s">
        <v>53</v>
      </c>
      <c r="N39" s="44">
        <v>324.47334205694762</v>
      </c>
      <c r="O39" s="37">
        <v>9.9009670768660065</v>
      </c>
      <c r="P39" s="38" t="s">
        <v>53</v>
      </c>
      <c r="Q39" s="44">
        <v>420.46889277117191</v>
      </c>
      <c r="R39" s="37">
        <v>2.7462788996566898</v>
      </c>
      <c r="S39" s="38" t="s">
        <v>53</v>
      </c>
      <c r="T39" s="44">
        <v>424.06068240376601</v>
      </c>
      <c r="U39" s="37">
        <v>2.7798477136341804</v>
      </c>
      <c r="V39" s="38" t="s">
        <v>53</v>
      </c>
      <c r="W39" s="44">
        <v>328.34087359426991</v>
      </c>
      <c r="X39" s="37">
        <v>14.474499775167533</v>
      </c>
      <c r="Y39" s="38" t="s">
        <v>53</v>
      </c>
      <c r="Z39" s="44">
        <v>331.75902085517441</v>
      </c>
      <c r="AA39" s="37">
        <v>13.436896617695851</v>
      </c>
      <c r="AB39" s="38" t="s">
        <v>53</v>
      </c>
      <c r="AC39" s="44">
        <v>324.12159313183514</v>
      </c>
      <c r="AD39" s="37">
        <v>22.429701146624986</v>
      </c>
      <c r="AE39" s="38" t="s">
        <v>53</v>
      </c>
      <c r="AF39" s="44">
        <v>-4.7964062690734863</v>
      </c>
      <c r="AG39" s="37">
        <v>4.8731350898742676</v>
      </c>
      <c r="AH39" s="38" t="s">
        <v>53</v>
      </c>
      <c r="AI39" s="44">
        <v>-5.5406708717346191</v>
      </c>
      <c r="AJ39" s="37">
        <v>4.8346295356750488</v>
      </c>
      <c r="AK39" s="38" t="s">
        <v>53</v>
      </c>
      <c r="AL39" s="44">
        <v>-2.37760329246521</v>
      </c>
      <c r="AM39" s="37">
        <v>16.846523284912109</v>
      </c>
      <c r="AN39" s="38" t="s">
        <v>53</v>
      </c>
      <c r="AO39" s="44">
        <v>-8.5552358627319336</v>
      </c>
      <c r="AP39" s="37">
        <v>17.039501190185547</v>
      </c>
      <c r="AQ39" s="38" t="s">
        <v>53</v>
      </c>
      <c r="AR39" s="44">
        <v>-0.35174891352653503</v>
      </c>
      <c r="AS39" s="37">
        <v>24.769155502319336</v>
      </c>
      <c r="AT39" s="39" t="s">
        <v>53</v>
      </c>
    </row>
    <row r="40" spans="1:46" x14ac:dyDescent="0.25">
      <c r="A40" s="15" t="s">
        <v>226</v>
      </c>
      <c r="B40" s="44">
        <v>508.40372294455085</v>
      </c>
      <c r="C40" s="37">
        <v>5.1495805796244838</v>
      </c>
      <c r="D40" s="38" t="s">
        <v>53</v>
      </c>
      <c r="E40" s="44">
        <v>515.24783503653953</v>
      </c>
      <c r="F40" s="37">
        <v>5.2260851385654394</v>
      </c>
      <c r="G40" s="38" t="s">
        <v>53</v>
      </c>
      <c r="H40" s="44">
        <v>469.72397851817607</v>
      </c>
      <c r="I40" s="37">
        <v>7.8199723884370842</v>
      </c>
      <c r="J40" s="38" t="s">
        <v>53</v>
      </c>
      <c r="K40" s="44">
        <v>469.22575494809689</v>
      </c>
      <c r="L40" s="37">
        <v>8.1881040859478027</v>
      </c>
      <c r="M40" s="38" t="s">
        <v>53</v>
      </c>
      <c r="N40" s="44">
        <v>471.09334481508216</v>
      </c>
      <c r="O40" s="37">
        <v>12.494969540236909</v>
      </c>
      <c r="P40" s="38" t="s">
        <v>53</v>
      </c>
      <c r="Q40" s="44">
        <v>484.78372537056595</v>
      </c>
      <c r="R40" s="37">
        <v>2.6508645371257917</v>
      </c>
      <c r="S40" s="38" t="s">
        <v>53</v>
      </c>
      <c r="T40" s="44">
        <v>497.77469194366142</v>
      </c>
      <c r="U40" s="37">
        <v>2.9218823424546265</v>
      </c>
      <c r="V40" s="38" t="s">
        <v>53</v>
      </c>
      <c r="W40" s="44">
        <v>425.88382264837668</v>
      </c>
      <c r="X40" s="37">
        <v>6.1727653850250794</v>
      </c>
      <c r="Y40" s="38" t="s">
        <v>53</v>
      </c>
      <c r="Z40" s="44">
        <v>432.66632297899991</v>
      </c>
      <c r="AA40" s="37">
        <v>6.6635328800808935</v>
      </c>
      <c r="AB40" s="38" t="s">
        <v>53</v>
      </c>
      <c r="AC40" s="44">
        <v>398.65321845946409</v>
      </c>
      <c r="AD40" s="37">
        <v>13.027171205518576</v>
      </c>
      <c r="AE40" s="38" t="s">
        <v>53</v>
      </c>
      <c r="AF40" s="44">
        <v>-23.619997024536133</v>
      </c>
      <c r="AG40" s="37">
        <v>6.777585506439209</v>
      </c>
      <c r="AH40" s="38" t="s">
        <v>53</v>
      </c>
      <c r="AI40" s="44">
        <v>-17.473142623901367</v>
      </c>
      <c r="AJ40" s="37">
        <v>6.9454851150512695</v>
      </c>
      <c r="AK40" s="38" t="s">
        <v>53</v>
      </c>
      <c r="AL40" s="44">
        <v>-43.840156555175781</v>
      </c>
      <c r="AM40" s="37">
        <v>10.566238403320313</v>
      </c>
      <c r="AN40" s="38" t="s">
        <v>53</v>
      </c>
      <c r="AO40" s="44">
        <v>-36.559432983398438</v>
      </c>
      <c r="AP40" s="37">
        <v>11.128257751464844</v>
      </c>
      <c r="AQ40" s="38" t="s">
        <v>53</v>
      </c>
      <c r="AR40" s="44">
        <v>-72.44012451171875</v>
      </c>
      <c r="AS40" s="37">
        <v>18.39080810546875</v>
      </c>
      <c r="AT40" s="39" t="s">
        <v>53</v>
      </c>
    </row>
    <row r="41" spans="1:46" x14ac:dyDescent="0.25">
      <c r="A41" s="15" t="s">
        <v>154</v>
      </c>
      <c r="B41" s="44">
        <v>520.88000868659697</v>
      </c>
      <c r="C41" s="37">
        <v>2.3532627107820989</v>
      </c>
      <c r="D41" s="38" t="s">
        <v>53</v>
      </c>
      <c r="E41" s="44">
        <v>526.08772338944664</v>
      </c>
      <c r="F41" s="37">
        <v>2.5648185788173539</v>
      </c>
      <c r="G41" s="38" t="s">
        <v>53</v>
      </c>
      <c r="H41" s="44">
        <v>513.23602136153079</v>
      </c>
      <c r="I41" s="37">
        <v>4.6896979895158477</v>
      </c>
      <c r="J41" s="38" t="s">
        <v>53</v>
      </c>
      <c r="K41" s="44">
        <v>498.32492002163764</v>
      </c>
      <c r="L41" s="37">
        <v>8.3210568458007383</v>
      </c>
      <c r="M41" s="38" t="s">
        <v>53</v>
      </c>
      <c r="N41" s="44">
        <v>520.40437945473093</v>
      </c>
      <c r="O41" s="37">
        <v>4.5462646170916461</v>
      </c>
      <c r="P41" s="38" t="s">
        <v>53</v>
      </c>
      <c r="Q41" s="44">
        <v>505.72728344383086</v>
      </c>
      <c r="R41" s="37">
        <v>2.0431431399532407</v>
      </c>
      <c r="S41" s="38" t="s">
        <v>53</v>
      </c>
      <c r="T41" s="44">
        <v>510.32752196639024</v>
      </c>
      <c r="U41" s="37">
        <v>2.291123659418556</v>
      </c>
      <c r="V41" s="38" t="s">
        <v>53</v>
      </c>
      <c r="W41" s="44">
        <v>508.04419995624687</v>
      </c>
      <c r="X41" s="37">
        <v>3.4912751913866202</v>
      </c>
      <c r="Y41" s="38" t="s">
        <v>53</v>
      </c>
      <c r="Z41" s="44">
        <v>517.88793359034707</v>
      </c>
      <c r="AA41" s="37">
        <v>5.2859078931942776</v>
      </c>
      <c r="AB41" s="38" t="s">
        <v>53</v>
      </c>
      <c r="AC41" s="44">
        <v>500.27103308749474</v>
      </c>
      <c r="AD41" s="37">
        <v>3.9806804392163846</v>
      </c>
      <c r="AE41" s="38" t="s">
        <v>53</v>
      </c>
      <c r="AF41" s="44">
        <v>-15.152725219726563</v>
      </c>
      <c r="AG41" s="37">
        <v>4.7013487815856934</v>
      </c>
      <c r="AH41" s="38" t="s">
        <v>53</v>
      </c>
      <c r="AI41" s="44">
        <v>-15.760201454162598</v>
      </c>
      <c r="AJ41" s="37">
        <v>4.9211726188659668</v>
      </c>
      <c r="AK41" s="38" t="s">
        <v>53</v>
      </c>
      <c r="AL41" s="44">
        <v>-5.1918215751647949</v>
      </c>
      <c r="AM41" s="37">
        <v>6.8244171142578125</v>
      </c>
      <c r="AN41" s="38" t="s">
        <v>53</v>
      </c>
      <c r="AO41" s="44">
        <v>19.563013076782227</v>
      </c>
      <c r="AP41" s="37">
        <v>10.467626571655273</v>
      </c>
      <c r="AQ41" s="38" t="s">
        <v>53</v>
      </c>
      <c r="AR41" s="44">
        <v>-20.133346557617188</v>
      </c>
      <c r="AS41" s="37">
        <v>6.993192195892334</v>
      </c>
      <c r="AT41" s="39" t="s">
        <v>53</v>
      </c>
    </row>
    <row r="42" spans="1:46" x14ac:dyDescent="0.25">
      <c r="A42" s="15" t="s">
        <v>155</v>
      </c>
      <c r="B42" s="44">
        <v>503.2300203653121</v>
      </c>
      <c r="C42" s="37">
        <v>2.5808050667767626</v>
      </c>
      <c r="D42" s="38" t="s">
        <v>53</v>
      </c>
      <c r="E42" s="44">
        <v>507.71887328198693</v>
      </c>
      <c r="F42" s="37">
        <v>2.5740755568167399</v>
      </c>
      <c r="G42" s="38" t="s">
        <v>53</v>
      </c>
      <c r="H42" s="44">
        <v>455.58433905263848</v>
      </c>
      <c r="I42" s="37">
        <v>5.8540539750012863</v>
      </c>
      <c r="J42" s="38" t="s">
        <v>53</v>
      </c>
      <c r="K42" s="44">
        <v>462.8274354600901</v>
      </c>
      <c r="L42" s="37">
        <v>8.0022391112186515</v>
      </c>
      <c r="M42" s="38" t="s">
        <v>53</v>
      </c>
      <c r="N42" s="44">
        <v>447.34644369273155</v>
      </c>
      <c r="O42" s="37">
        <v>7.8185201517212803</v>
      </c>
      <c r="P42" s="38" t="s">
        <v>53</v>
      </c>
      <c r="Q42" s="44">
        <v>499.45095627638415</v>
      </c>
      <c r="R42" s="37">
        <v>2.1718487515464946</v>
      </c>
      <c r="S42" s="38" t="s">
        <v>53</v>
      </c>
      <c r="T42" s="44">
        <v>508.80828824436907</v>
      </c>
      <c r="U42" s="37">
        <v>2.1337358411721707</v>
      </c>
      <c r="V42" s="38" t="s">
        <v>53</v>
      </c>
      <c r="W42" s="44">
        <v>456.68008639428513</v>
      </c>
      <c r="X42" s="37">
        <v>4.6570034720361582</v>
      </c>
      <c r="Y42" s="38" t="s">
        <v>53</v>
      </c>
      <c r="Z42" s="44">
        <v>462.68580999617961</v>
      </c>
      <c r="AA42" s="37">
        <v>6.9735206326191967</v>
      </c>
      <c r="AB42" s="38" t="s">
        <v>53</v>
      </c>
      <c r="AC42" s="44">
        <v>450.6463014157481</v>
      </c>
      <c r="AD42" s="37">
        <v>5.508834518626589</v>
      </c>
      <c r="AE42" s="38" t="s">
        <v>53</v>
      </c>
      <c r="AF42" s="44">
        <v>-3.7790641784667969</v>
      </c>
      <c r="AG42" s="37">
        <v>4.8752312660217285</v>
      </c>
      <c r="AH42" s="38" t="s">
        <v>53</v>
      </c>
      <c r="AI42" s="44">
        <v>1.0894149541854858</v>
      </c>
      <c r="AJ42" s="37">
        <v>4.8548011779785156</v>
      </c>
      <c r="AK42" s="38" t="s">
        <v>53</v>
      </c>
      <c r="AL42" s="44">
        <v>1.0957473516464233</v>
      </c>
      <c r="AM42" s="37">
        <v>8.2672863006591797</v>
      </c>
      <c r="AN42" s="38" t="s">
        <v>53</v>
      </c>
      <c r="AO42" s="44">
        <v>-0.14162546396255493</v>
      </c>
      <c r="AP42" s="37">
        <v>11.182853698730469</v>
      </c>
      <c r="AQ42" s="38" t="s">
        <v>53</v>
      </c>
      <c r="AR42" s="44">
        <v>3.2998576164245605</v>
      </c>
      <c r="AS42" s="37">
        <v>10.191512107849121</v>
      </c>
      <c r="AT42" s="39" t="s">
        <v>53</v>
      </c>
    </row>
    <row r="43" spans="1:46" x14ac:dyDescent="0.25">
      <c r="A43" s="15" t="s">
        <v>156</v>
      </c>
      <c r="B43" s="44">
        <v>500.4784825552581</v>
      </c>
      <c r="C43" s="37">
        <v>2.6048386159063672</v>
      </c>
      <c r="D43" s="38" t="s">
        <v>53</v>
      </c>
      <c r="E43" s="44">
        <v>502.25035859206196</v>
      </c>
      <c r="F43" s="37">
        <v>2.5513659931096937</v>
      </c>
      <c r="G43" s="38" t="s">
        <v>53</v>
      </c>
      <c r="H43" s="44" t="s">
        <v>56</v>
      </c>
      <c r="I43" s="37" t="s">
        <v>56</v>
      </c>
      <c r="J43" s="38" t="s">
        <v>53</v>
      </c>
      <c r="K43" s="44" t="s">
        <v>55</v>
      </c>
      <c r="L43" s="37" t="s">
        <v>55</v>
      </c>
      <c r="M43" s="38" t="s">
        <v>53</v>
      </c>
      <c r="N43" s="44" t="s">
        <v>56</v>
      </c>
      <c r="O43" s="37" t="s">
        <v>56</v>
      </c>
      <c r="P43" s="38" t="s">
        <v>53</v>
      </c>
      <c r="Q43" s="44">
        <v>511.85569535773169</v>
      </c>
      <c r="R43" s="37">
        <v>2.702457979027308</v>
      </c>
      <c r="S43" s="38" t="s">
        <v>53</v>
      </c>
      <c r="T43" s="44">
        <v>513.57453377062541</v>
      </c>
      <c r="U43" s="37">
        <v>2.689365332402661</v>
      </c>
      <c r="V43" s="38" t="s">
        <v>53</v>
      </c>
      <c r="W43" s="44" t="s">
        <v>56</v>
      </c>
      <c r="X43" s="37" t="s">
        <v>56</v>
      </c>
      <c r="Y43" s="38" t="s">
        <v>53</v>
      </c>
      <c r="Z43" s="44" t="s">
        <v>56</v>
      </c>
      <c r="AA43" s="37" t="s">
        <v>56</v>
      </c>
      <c r="AB43" s="38" t="s">
        <v>53</v>
      </c>
      <c r="AC43" s="44" t="s">
        <v>56</v>
      </c>
      <c r="AD43" s="37" t="s">
        <v>56</v>
      </c>
      <c r="AE43" s="38" t="s">
        <v>53</v>
      </c>
      <c r="AF43" s="44">
        <v>11.377212524414063</v>
      </c>
      <c r="AG43" s="37">
        <v>5.1457614898681641</v>
      </c>
      <c r="AH43" s="38" t="s">
        <v>53</v>
      </c>
      <c r="AI43" s="44">
        <v>11.324174880981445</v>
      </c>
      <c r="AJ43" s="37">
        <v>5.1120009422302246</v>
      </c>
      <c r="AK43" s="38" t="s">
        <v>53</v>
      </c>
      <c r="AL43" s="44" t="s">
        <v>55</v>
      </c>
      <c r="AM43" s="37" t="s">
        <v>55</v>
      </c>
      <c r="AN43" s="38" t="s">
        <v>53</v>
      </c>
      <c r="AO43" s="44" t="s">
        <v>55</v>
      </c>
      <c r="AP43" s="37" t="s">
        <v>55</v>
      </c>
      <c r="AQ43" s="38" t="s">
        <v>53</v>
      </c>
      <c r="AR43" s="44" t="s">
        <v>55</v>
      </c>
      <c r="AS43" s="37" t="s">
        <v>55</v>
      </c>
      <c r="AT43" s="39" t="s">
        <v>53</v>
      </c>
    </row>
    <row r="44" spans="1:46" x14ac:dyDescent="0.25">
      <c r="A44" s="15" t="s">
        <v>227</v>
      </c>
      <c r="B44" s="44">
        <v>489.3349239398226</v>
      </c>
      <c r="C44" s="37">
        <v>3.0668586546460213</v>
      </c>
      <c r="D44" s="38" t="s">
        <v>53</v>
      </c>
      <c r="E44" s="44">
        <v>492.10212600152295</v>
      </c>
      <c r="F44" s="37">
        <v>3.1048385274113857</v>
      </c>
      <c r="G44" s="38" t="s">
        <v>53</v>
      </c>
      <c r="H44" s="44">
        <v>465.98291658216743</v>
      </c>
      <c r="I44" s="37">
        <v>6.9435496669344978</v>
      </c>
      <c r="J44" s="38" t="s">
        <v>53</v>
      </c>
      <c r="K44" s="44">
        <v>475.91757285701408</v>
      </c>
      <c r="L44" s="37">
        <v>9.3845867158619356</v>
      </c>
      <c r="M44" s="38" t="s">
        <v>53</v>
      </c>
      <c r="N44" s="44">
        <v>456.19839248160883</v>
      </c>
      <c r="O44" s="37">
        <v>8.7685914708979684</v>
      </c>
      <c r="P44" s="38" t="s">
        <v>53</v>
      </c>
      <c r="Q44" s="44">
        <v>491.80078513683378</v>
      </c>
      <c r="R44" s="37">
        <v>2.42893075340492</v>
      </c>
      <c r="S44" s="38" t="s">
        <v>53</v>
      </c>
      <c r="T44" s="44">
        <v>495.22657876951047</v>
      </c>
      <c r="U44" s="37">
        <v>2.5983994371197094</v>
      </c>
      <c r="V44" s="38" t="s">
        <v>53</v>
      </c>
      <c r="W44" s="44">
        <v>462.85180046370988</v>
      </c>
      <c r="X44" s="37">
        <v>7.8445809824876713</v>
      </c>
      <c r="Y44" s="38" t="s">
        <v>53</v>
      </c>
      <c r="Z44" s="44">
        <v>482.8827532851364</v>
      </c>
      <c r="AA44" s="37">
        <v>10.131723368178292</v>
      </c>
      <c r="AB44" s="38" t="s">
        <v>53</v>
      </c>
      <c r="AC44" s="44">
        <v>435.7090291449793</v>
      </c>
      <c r="AD44" s="37">
        <v>9.0738007851923186</v>
      </c>
      <c r="AE44" s="38" t="s">
        <v>53</v>
      </c>
      <c r="AF44" s="44">
        <v>2.4658610820770264</v>
      </c>
      <c r="AG44" s="37">
        <v>5.2626729011535645</v>
      </c>
      <c r="AH44" s="38" t="s">
        <v>53</v>
      </c>
      <c r="AI44" s="44">
        <v>3.1244528293609619</v>
      </c>
      <c r="AJ44" s="37">
        <v>5.3648953437805176</v>
      </c>
      <c r="AK44" s="38" t="s">
        <v>53</v>
      </c>
      <c r="AL44" s="44">
        <v>-3.1311161518096924</v>
      </c>
      <c r="AM44" s="37">
        <v>11.051730155944824</v>
      </c>
      <c r="AN44" s="38" t="s">
        <v>53</v>
      </c>
      <c r="AO44" s="44">
        <v>6.9651803970336914</v>
      </c>
      <c r="AP44" s="37">
        <v>14.251760482788086</v>
      </c>
      <c r="AQ44" s="38" t="s">
        <v>53</v>
      </c>
      <c r="AR44" s="44">
        <v>-20.489362716674805</v>
      </c>
      <c r="AS44" s="37">
        <v>13.100093841552734</v>
      </c>
      <c r="AT44" s="39" t="s">
        <v>53</v>
      </c>
    </row>
    <row r="45" spans="1:46" x14ac:dyDescent="0.25">
      <c r="A45" s="15" t="s">
        <v>157</v>
      </c>
      <c r="B45" s="44">
        <v>477.44335244583749</v>
      </c>
      <c r="C45" s="37">
        <v>2.5435487656119835</v>
      </c>
      <c r="D45" s="38" t="s">
        <v>53</v>
      </c>
      <c r="E45" s="44">
        <v>478.3950013880721</v>
      </c>
      <c r="F45" s="37">
        <v>2.49305549441815</v>
      </c>
      <c r="G45" s="38" t="s">
        <v>53</v>
      </c>
      <c r="H45" s="44" t="s">
        <v>56</v>
      </c>
      <c r="I45" s="37" t="s">
        <v>56</v>
      </c>
      <c r="J45" s="38" t="s">
        <v>53</v>
      </c>
      <c r="K45" s="44" t="s">
        <v>56</v>
      </c>
      <c r="L45" s="37" t="s">
        <v>56</v>
      </c>
      <c r="M45" s="38" t="s">
        <v>53</v>
      </c>
      <c r="N45" s="44" t="s">
        <v>56</v>
      </c>
      <c r="O45" s="37" t="s">
        <v>56</v>
      </c>
      <c r="P45" s="38" t="s">
        <v>53</v>
      </c>
      <c r="Q45" s="44">
        <v>457.98396704074833</v>
      </c>
      <c r="R45" s="37">
        <v>2.2341291677767803</v>
      </c>
      <c r="S45" s="38" t="s">
        <v>53</v>
      </c>
      <c r="T45" s="44">
        <v>460.11808659943682</v>
      </c>
      <c r="U45" s="37">
        <v>2.2173859921291723</v>
      </c>
      <c r="V45" s="38" t="s">
        <v>53</v>
      </c>
      <c r="W45" s="44">
        <v>406.66978698942523</v>
      </c>
      <c r="X45" s="37">
        <v>13.638390550709198</v>
      </c>
      <c r="Y45" s="38" t="s">
        <v>53</v>
      </c>
      <c r="Z45" s="44">
        <v>424.13696888309119</v>
      </c>
      <c r="AA45" s="37">
        <v>17.780358580618643</v>
      </c>
      <c r="AB45" s="38" t="s">
        <v>53</v>
      </c>
      <c r="AC45" s="44">
        <v>386.97251014759854</v>
      </c>
      <c r="AD45" s="37">
        <v>17.327297503963415</v>
      </c>
      <c r="AE45" s="38" t="s">
        <v>53</v>
      </c>
      <c r="AF45" s="44">
        <v>-19.459384918212891</v>
      </c>
      <c r="AG45" s="37">
        <v>4.883786678314209</v>
      </c>
      <c r="AH45" s="38" t="s">
        <v>53</v>
      </c>
      <c r="AI45" s="44">
        <v>-18.276914596557617</v>
      </c>
      <c r="AJ45" s="37">
        <v>4.8500027656555176</v>
      </c>
      <c r="AK45" s="38" t="s">
        <v>53</v>
      </c>
      <c r="AL45" s="44" t="s">
        <v>55</v>
      </c>
      <c r="AM45" s="37" t="s">
        <v>55</v>
      </c>
      <c r="AN45" s="38" t="s">
        <v>53</v>
      </c>
      <c r="AO45" s="44" t="s">
        <v>55</v>
      </c>
      <c r="AP45" s="37" t="s">
        <v>55</v>
      </c>
      <c r="AQ45" s="38" t="s">
        <v>53</v>
      </c>
      <c r="AR45" s="44" t="s">
        <v>55</v>
      </c>
      <c r="AS45" s="37" t="s">
        <v>55</v>
      </c>
      <c r="AT45" s="39" t="s">
        <v>53</v>
      </c>
    </row>
    <row r="46" spans="1:46" x14ac:dyDescent="0.25">
      <c r="A46" s="15" t="s">
        <v>158</v>
      </c>
      <c r="B46" s="44">
        <v>483.08204231910014</v>
      </c>
      <c r="C46" s="37">
        <v>1.0320202003569561</v>
      </c>
      <c r="D46" s="38" t="s">
        <v>53</v>
      </c>
      <c r="E46" s="44">
        <v>488.08519124453198</v>
      </c>
      <c r="F46" s="37">
        <v>1.1008630977156715</v>
      </c>
      <c r="G46" s="38" t="s">
        <v>53</v>
      </c>
      <c r="H46" s="44">
        <v>441.26051981828579</v>
      </c>
      <c r="I46" s="37">
        <v>4.7711975801509672</v>
      </c>
      <c r="J46" s="38" t="s">
        <v>53</v>
      </c>
      <c r="K46" s="44">
        <v>447.19127949470732</v>
      </c>
      <c r="L46" s="37">
        <v>5.4962965790951896</v>
      </c>
      <c r="M46" s="38" t="s">
        <v>53</v>
      </c>
      <c r="N46" s="44">
        <v>413.87792770647496</v>
      </c>
      <c r="O46" s="37">
        <v>8.717892053318371</v>
      </c>
      <c r="P46" s="38" t="s">
        <v>53</v>
      </c>
      <c r="Q46" s="44">
        <v>495.34561512603591</v>
      </c>
      <c r="R46" s="37">
        <v>1.2322991646208228</v>
      </c>
      <c r="S46" s="38" t="s">
        <v>53</v>
      </c>
      <c r="T46" s="44">
        <v>502.20059995458416</v>
      </c>
      <c r="U46" s="37">
        <v>1.3125148174228536</v>
      </c>
      <c r="V46" s="38" t="s">
        <v>53</v>
      </c>
      <c r="W46" s="44">
        <v>439.45618940482893</v>
      </c>
      <c r="X46" s="37">
        <v>6.0218233402155716</v>
      </c>
      <c r="Y46" s="38" t="s">
        <v>53</v>
      </c>
      <c r="Z46" s="44">
        <v>464.08148181871479</v>
      </c>
      <c r="AA46" s="37">
        <v>7.343469252794284</v>
      </c>
      <c r="AB46" s="38" t="s">
        <v>53</v>
      </c>
      <c r="AC46" s="44">
        <v>422.40956027234552</v>
      </c>
      <c r="AD46" s="37">
        <v>8.2120684706969449</v>
      </c>
      <c r="AE46" s="38" t="s">
        <v>53</v>
      </c>
      <c r="AF46" s="44">
        <v>12.263572692871094</v>
      </c>
      <c r="AG46" s="37">
        <v>3.8696286678314209</v>
      </c>
      <c r="AH46" s="38" t="s">
        <v>53</v>
      </c>
      <c r="AI46" s="44">
        <v>14.115408897399902</v>
      </c>
      <c r="AJ46" s="37">
        <v>3.914715051651001</v>
      </c>
      <c r="AK46" s="38" t="s">
        <v>53</v>
      </c>
      <c r="AL46" s="44">
        <v>-1.8043304681777954</v>
      </c>
      <c r="AM46" s="37">
        <v>8.4508628845214844</v>
      </c>
      <c r="AN46" s="38" t="s">
        <v>53</v>
      </c>
      <c r="AO46" s="44">
        <v>16.890201568603516</v>
      </c>
      <c r="AP46" s="37">
        <v>9.8247756958007813</v>
      </c>
      <c r="AQ46" s="38" t="s">
        <v>53</v>
      </c>
      <c r="AR46" s="44">
        <v>8.5316324234008789</v>
      </c>
      <c r="AS46" s="37">
        <v>12.483193397521973</v>
      </c>
      <c r="AT46" s="39" t="s">
        <v>53</v>
      </c>
    </row>
    <row r="47" spans="1:46" x14ac:dyDescent="0.25">
      <c r="A47" s="15" t="s">
        <v>159</v>
      </c>
      <c r="B47" s="44">
        <v>481.04232605262382</v>
      </c>
      <c r="C47" s="37">
        <v>2.0200569339734855</v>
      </c>
      <c r="D47" s="38" t="s">
        <v>53</v>
      </c>
      <c r="E47" s="44">
        <v>487.69145437331804</v>
      </c>
      <c r="F47" s="37">
        <v>2.0185849203650408</v>
      </c>
      <c r="G47" s="38" t="s">
        <v>53</v>
      </c>
      <c r="H47" s="44">
        <v>430.04094172914847</v>
      </c>
      <c r="I47" s="37">
        <v>3.9650007288726576</v>
      </c>
      <c r="J47" s="38" t="s">
        <v>53</v>
      </c>
      <c r="K47" s="44">
        <v>461.39496252137309</v>
      </c>
      <c r="L47" s="37">
        <v>9.2559512105156276</v>
      </c>
      <c r="M47" s="38" t="s">
        <v>53</v>
      </c>
      <c r="N47" s="44">
        <v>426.06444652541387</v>
      </c>
      <c r="O47" s="37">
        <v>4.1194150171134805</v>
      </c>
      <c r="P47" s="38" t="s">
        <v>53</v>
      </c>
      <c r="Q47" s="44" t="s">
        <v>55</v>
      </c>
      <c r="R47" s="37" t="s">
        <v>55</v>
      </c>
      <c r="S47" s="38" t="s">
        <v>53</v>
      </c>
      <c r="T47" s="44" t="s">
        <v>55</v>
      </c>
      <c r="U47" s="37" t="s">
        <v>55</v>
      </c>
      <c r="V47" s="38" t="s">
        <v>53</v>
      </c>
      <c r="W47" s="44" t="s">
        <v>55</v>
      </c>
      <c r="X47" s="37" t="s">
        <v>55</v>
      </c>
      <c r="Y47" s="38" t="s">
        <v>53</v>
      </c>
      <c r="Z47" s="44" t="s">
        <v>55</v>
      </c>
      <c r="AA47" s="37" t="s">
        <v>55</v>
      </c>
      <c r="AB47" s="38" t="s">
        <v>53</v>
      </c>
      <c r="AC47" s="44" t="s">
        <v>55</v>
      </c>
      <c r="AD47" s="37" t="s">
        <v>55</v>
      </c>
      <c r="AE47" s="38" t="s">
        <v>53</v>
      </c>
      <c r="AF47" s="44" t="s">
        <v>55</v>
      </c>
      <c r="AG47" s="37" t="s">
        <v>55</v>
      </c>
      <c r="AH47" s="38" t="s">
        <v>53</v>
      </c>
      <c r="AI47" s="44" t="s">
        <v>55</v>
      </c>
      <c r="AJ47" s="37" t="s">
        <v>55</v>
      </c>
      <c r="AK47" s="38" t="s">
        <v>53</v>
      </c>
      <c r="AL47" s="44" t="s">
        <v>55</v>
      </c>
      <c r="AM47" s="37" t="s">
        <v>55</v>
      </c>
      <c r="AN47" s="38" t="s">
        <v>53</v>
      </c>
      <c r="AO47" s="44" t="s">
        <v>55</v>
      </c>
      <c r="AP47" s="37" t="s">
        <v>55</v>
      </c>
      <c r="AQ47" s="38" t="s">
        <v>53</v>
      </c>
      <c r="AR47" s="44" t="s">
        <v>55</v>
      </c>
      <c r="AS47" s="37" t="s">
        <v>55</v>
      </c>
      <c r="AT47" s="39" t="s">
        <v>53</v>
      </c>
    </row>
    <row r="48" spans="1:46" x14ac:dyDescent="0.25">
      <c r="A48" s="15" t="s">
        <v>160</v>
      </c>
      <c r="B48" s="44">
        <v>497.44942352599855</v>
      </c>
      <c r="C48" s="37">
        <v>2.8796522396695732</v>
      </c>
      <c r="D48" s="38" t="s">
        <v>53</v>
      </c>
      <c r="E48" s="44">
        <v>507.0498324848495</v>
      </c>
      <c r="F48" s="37">
        <v>2.7467028950576355</v>
      </c>
      <c r="G48" s="38" t="s">
        <v>53</v>
      </c>
      <c r="H48" s="44">
        <v>441.52555399332982</v>
      </c>
      <c r="I48" s="37">
        <v>6.8685800305873768</v>
      </c>
      <c r="J48" s="38" t="s">
        <v>53</v>
      </c>
      <c r="K48" s="44">
        <v>453.55826692287201</v>
      </c>
      <c r="L48" s="37">
        <v>7.5263769136280176</v>
      </c>
      <c r="M48" s="38" t="s">
        <v>53</v>
      </c>
      <c r="N48" s="44">
        <v>415.86383783662296</v>
      </c>
      <c r="O48" s="37">
        <v>11.322012684952357</v>
      </c>
      <c r="P48" s="38" t="s">
        <v>53</v>
      </c>
      <c r="Q48" s="44">
        <v>505.78522059816532</v>
      </c>
      <c r="R48" s="37">
        <v>3.0247715272734075</v>
      </c>
      <c r="S48" s="38" t="s">
        <v>53</v>
      </c>
      <c r="T48" s="44">
        <v>525.41903838557414</v>
      </c>
      <c r="U48" s="37">
        <v>2.7163106433990474</v>
      </c>
      <c r="V48" s="38" t="s">
        <v>53</v>
      </c>
      <c r="W48" s="44">
        <v>442.5378527653703</v>
      </c>
      <c r="X48" s="37">
        <v>5.8032218470509607</v>
      </c>
      <c r="Y48" s="38" t="s">
        <v>53</v>
      </c>
      <c r="Z48" s="44">
        <v>471.17999575500863</v>
      </c>
      <c r="AA48" s="37">
        <v>6.3510959747519955</v>
      </c>
      <c r="AB48" s="38" t="s">
        <v>53</v>
      </c>
      <c r="AC48" s="44">
        <v>410.00658012785374</v>
      </c>
      <c r="AD48" s="37">
        <v>6.8988481734120306</v>
      </c>
      <c r="AE48" s="38" t="s">
        <v>53</v>
      </c>
      <c r="AF48" s="44">
        <v>8.3357973098754883</v>
      </c>
      <c r="AG48" s="37">
        <v>5.4618716239929199</v>
      </c>
      <c r="AH48" s="38" t="s">
        <v>53</v>
      </c>
      <c r="AI48" s="44">
        <v>18.369205474853516</v>
      </c>
      <c r="AJ48" s="37">
        <v>5.2261958122253418</v>
      </c>
      <c r="AK48" s="38" t="s">
        <v>53</v>
      </c>
      <c r="AL48" s="44">
        <v>1.0122988224029541</v>
      </c>
      <c r="AM48" s="37">
        <v>9.6563539505004883</v>
      </c>
      <c r="AN48" s="38" t="s">
        <v>53</v>
      </c>
      <c r="AO48" s="44">
        <v>17.621728897094727</v>
      </c>
      <c r="AP48" s="37">
        <v>10.458163261413574</v>
      </c>
      <c r="AQ48" s="38" t="s">
        <v>53</v>
      </c>
      <c r="AR48" s="44">
        <v>-5.8572578430175781</v>
      </c>
      <c r="AS48" s="37">
        <v>13.717597007751465</v>
      </c>
      <c r="AT48" s="39" t="s">
        <v>53</v>
      </c>
    </row>
    <row r="49" spans="1:46" x14ac:dyDescent="0.25">
      <c r="A49" s="15" t="s">
        <v>161</v>
      </c>
      <c r="B49" s="44">
        <v>500.50021185924811</v>
      </c>
      <c r="C49" s="37">
        <v>2.443576509851717</v>
      </c>
      <c r="D49" s="38" t="s">
        <v>53</v>
      </c>
      <c r="E49" s="44">
        <v>512.94715769045092</v>
      </c>
      <c r="F49" s="37">
        <v>2.1709457936835994</v>
      </c>
      <c r="G49" s="38" t="s">
        <v>53</v>
      </c>
      <c r="H49" s="44">
        <v>464.9535002694397</v>
      </c>
      <c r="I49" s="37">
        <v>4.1149648102305285</v>
      </c>
      <c r="J49" s="38" t="s">
        <v>53</v>
      </c>
      <c r="K49" s="44">
        <v>470.75535258460599</v>
      </c>
      <c r="L49" s="37">
        <v>4.4739047983639013</v>
      </c>
      <c r="M49" s="38" t="s">
        <v>53</v>
      </c>
      <c r="N49" s="44">
        <v>454.51712383188692</v>
      </c>
      <c r="O49" s="37">
        <v>6.7165947688740264</v>
      </c>
      <c r="P49" s="38" t="s">
        <v>53</v>
      </c>
      <c r="Q49" s="44">
        <v>483.92940514533916</v>
      </c>
      <c r="R49" s="37">
        <v>3.1243223606213251</v>
      </c>
      <c r="S49" s="38" t="s">
        <v>53</v>
      </c>
      <c r="T49" s="44">
        <v>503.39888647839848</v>
      </c>
      <c r="U49" s="37">
        <v>3.1601760439931135</v>
      </c>
      <c r="V49" s="38" t="s">
        <v>53</v>
      </c>
      <c r="W49" s="44">
        <v>451.34124299271502</v>
      </c>
      <c r="X49" s="37">
        <v>4.2893022642316661</v>
      </c>
      <c r="Y49" s="38" t="s">
        <v>53</v>
      </c>
      <c r="Z49" s="44">
        <v>453.28363889865523</v>
      </c>
      <c r="AA49" s="37">
        <v>4.5929471882850965</v>
      </c>
      <c r="AB49" s="38" t="s">
        <v>53</v>
      </c>
      <c r="AC49" s="44">
        <v>447.81151264626152</v>
      </c>
      <c r="AD49" s="37">
        <v>6.2872646927088045</v>
      </c>
      <c r="AE49" s="38" t="s">
        <v>53</v>
      </c>
      <c r="AF49" s="44">
        <v>-16.570806503295898</v>
      </c>
      <c r="AG49" s="37">
        <v>5.3030986785888672</v>
      </c>
      <c r="AH49" s="38" t="s">
        <v>53</v>
      </c>
      <c r="AI49" s="44">
        <v>-9.5482711791992188</v>
      </c>
      <c r="AJ49" s="37">
        <v>5.2048168182373047</v>
      </c>
      <c r="AK49" s="38" t="s">
        <v>53</v>
      </c>
      <c r="AL49" s="44">
        <v>-13.61225700378418</v>
      </c>
      <c r="AM49" s="37">
        <v>6.9080715179443359</v>
      </c>
      <c r="AN49" s="38" t="s">
        <v>53</v>
      </c>
      <c r="AO49" s="44">
        <v>-17.471714019775391</v>
      </c>
      <c r="AP49" s="37">
        <v>7.3144640922546387</v>
      </c>
      <c r="AQ49" s="38" t="s">
        <v>53</v>
      </c>
      <c r="AR49" s="44">
        <v>-6.7056112289428711</v>
      </c>
      <c r="AS49" s="37">
        <v>9.850520133972168</v>
      </c>
      <c r="AT49" s="39" t="s">
        <v>53</v>
      </c>
    </row>
    <row r="50" spans="1:46" x14ac:dyDescent="0.25">
      <c r="A50" s="15" t="s">
        <v>162</v>
      </c>
      <c r="B50" s="44">
        <v>464.19437538739942</v>
      </c>
      <c r="C50" s="37">
        <v>3.5208289861685844</v>
      </c>
      <c r="D50" s="38" t="s">
        <v>53</v>
      </c>
      <c r="E50" s="44">
        <v>465.89223642636944</v>
      </c>
      <c r="F50" s="37">
        <v>3.4841817444468872</v>
      </c>
      <c r="G50" s="38" t="s">
        <v>53</v>
      </c>
      <c r="H50" s="44" t="s">
        <v>56</v>
      </c>
      <c r="I50" s="37" t="s">
        <v>56</v>
      </c>
      <c r="J50" s="38" t="s">
        <v>53</v>
      </c>
      <c r="K50" s="44" t="s">
        <v>56</v>
      </c>
      <c r="L50" s="37" t="s">
        <v>56</v>
      </c>
      <c r="M50" s="38" t="s">
        <v>53</v>
      </c>
      <c r="N50" s="44" t="s">
        <v>56</v>
      </c>
      <c r="O50" s="37" t="s">
        <v>56</v>
      </c>
      <c r="P50" s="38" t="s">
        <v>53</v>
      </c>
      <c r="Q50" s="44">
        <v>465.63166649860943</v>
      </c>
      <c r="R50" s="37">
        <v>2.1712145076624227</v>
      </c>
      <c r="S50" s="38" t="s">
        <v>53</v>
      </c>
      <c r="T50" s="44">
        <v>467.11892671507007</v>
      </c>
      <c r="U50" s="37">
        <v>2.1538763258375293</v>
      </c>
      <c r="V50" s="38" t="s">
        <v>53</v>
      </c>
      <c r="W50" s="44">
        <v>462.45140980673608</v>
      </c>
      <c r="X50" s="37">
        <v>12.653929991085503</v>
      </c>
      <c r="Y50" s="38" t="s">
        <v>53</v>
      </c>
      <c r="Z50" s="44">
        <v>474.25962629185278</v>
      </c>
      <c r="AA50" s="37">
        <v>15.052904922447564</v>
      </c>
      <c r="AB50" s="38" t="s">
        <v>53</v>
      </c>
      <c r="AC50" s="44" t="s">
        <v>56</v>
      </c>
      <c r="AD50" s="37" t="s">
        <v>56</v>
      </c>
      <c r="AE50" s="38" t="s">
        <v>53</v>
      </c>
      <c r="AF50" s="44">
        <v>1.437291145324707</v>
      </c>
      <c r="AG50" s="37">
        <v>5.431464672088623</v>
      </c>
      <c r="AH50" s="38" t="s">
        <v>53</v>
      </c>
      <c r="AI50" s="44">
        <v>1.2266902923583984</v>
      </c>
      <c r="AJ50" s="37">
        <v>5.4008431434631348</v>
      </c>
      <c r="AK50" s="38" t="s">
        <v>53</v>
      </c>
      <c r="AL50" s="44" t="s">
        <v>55</v>
      </c>
      <c r="AM50" s="37" t="s">
        <v>55</v>
      </c>
      <c r="AN50" s="38" t="s">
        <v>53</v>
      </c>
      <c r="AO50" s="44" t="s">
        <v>55</v>
      </c>
      <c r="AP50" s="37" t="s">
        <v>55</v>
      </c>
      <c r="AQ50" s="38" t="s">
        <v>53</v>
      </c>
      <c r="AR50" s="44" t="s">
        <v>55</v>
      </c>
      <c r="AS50" s="37" t="s">
        <v>55</v>
      </c>
      <c r="AT50" s="39" t="s">
        <v>53</v>
      </c>
    </row>
    <row r="51" spans="1:46" x14ac:dyDescent="0.25">
      <c r="A51" s="15" t="s">
        <v>163</v>
      </c>
      <c r="B51" s="44">
        <v>494.18201030836246</v>
      </c>
      <c r="C51" s="37">
        <v>2.2804698143998539</v>
      </c>
      <c r="D51" s="38" t="s">
        <v>53</v>
      </c>
      <c r="E51" s="44">
        <v>499.05398429676916</v>
      </c>
      <c r="F51" s="37">
        <v>2.2218418525038182</v>
      </c>
      <c r="G51" s="38" t="s">
        <v>53</v>
      </c>
      <c r="H51" s="44">
        <v>476.46775532712383</v>
      </c>
      <c r="I51" s="37">
        <v>7.4631555541331478</v>
      </c>
      <c r="J51" s="38" t="s">
        <v>53</v>
      </c>
      <c r="K51" s="44">
        <v>491.90683784071229</v>
      </c>
      <c r="L51" s="37">
        <v>8.4536586486985126</v>
      </c>
      <c r="M51" s="38" t="s">
        <v>53</v>
      </c>
      <c r="N51" s="44">
        <v>457.82481821528393</v>
      </c>
      <c r="O51" s="37">
        <v>9.5267981509303361</v>
      </c>
      <c r="P51" s="38" t="s">
        <v>53</v>
      </c>
      <c r="Q51" s="44">
        <v>503.92810920604546</v>
      </c>
      <c r="R51" s="37">
        <v>2.5825911706252378</v>
      </c>
      <c r="S51" s="38" t="s">
        <v>53</v>
      </c>
      <c r="T51" s="44">
        <v>510.61100634712966</v>
      </c>
      <c r="U51" s="37">
        <v>2.6707707211249847</v>
      </c>
      <c r="V51" s="38" t="s">
        <v>53</v>
      </c>
      <c r="W51" s="44">
        <v>490.65274080042866</v>
      </c>
      <c r="X51" s="37">
        <v>4.2096923193080702</v>
      </c>
      <c r="Y51" s="38" t="s">
        <v>53</v>
      </c>
      <c r="Z51" s="44">
        <v>492.83962814997335</v>
      </c>
      <c r="AA51" s="37">
        <v>5.712887834649079</v>
      </c>
      <c r="AB51" s="38" t="s">
        <v>53</v>
      </c>
      <c r="AC51" s="44">
        <v>487.70796206006429</v>
      </c>
      <c r="AD51" s="37">
        <v>6.9296623144376932</v>
      </c>
      <c r="AE51" s="38" t="s">
        <v>53</v>
      </c>
      <c r="AF51" s="44">
        <v>9.746098518371582</v>
      </c>
      <c r="AG51" s="37">
        <v>4.9255170822143555</v>
      </c>
      <c r="AH51" s="38" t="s">
        <v>53</v>
      </c>
      <c r="AI51" s="44">
        <v>11.557022094726563</v>
      </c>
      <c r="AJ51" s="37">
        <v>4.9457049369812012</v>
      </c>
      <c r="AK51" s="38" t="s">
        <v>53</v>
      </c>
      <c r="AL51" s="44">
        <v>14.184985160827637</v>
      </c>
      <c r="AM51" s="37">
        <v>9.2634010314941406</v>
      </c>
      <c r="AN51" s="38" t="s">
        <v>53</v>
      </c>
      <c r="AO51" s="44">
        <v>0.93279033899307251</v>
      </c>
      <c r="AP51" s="37">
        <v>10.79313850402832</v>
      </c>
      <c r="AQ51" s="38" t="s">
        <v>53</v>
      </c>
      <c r="AR51" s="44">
        <v>29.883144378662109</v>
      </c>
      <c r="AS51" s="37">
        <v>12.295141220092773</v>
      </c>
      <c r="AT51" s="39" t="s">
        <v>53</v>
      </c>
    </row>
    <row r="52" spans="1:46" x14ac:dyDescent="0.25">
      <c r="A52" s="15" t="s">
        <v>228</v>
      </c>
      <c r="B52" s="44">
        <v>499.8268211316655</v>
      </c>
      <c r="C52" s="37">
        <v>3.6539853236097679</v>
      </c>
      <c r="D52" s="38" t="s">
        <v>53</v>
      </c>
      <c r="E52" s="44">
        <v>505.75180424535506</v>
      </c>
      <c r="F52" s="37">
        <v>3.7906813915778184</v>
      </c>
      <c r="G52" s="38" t="s">
        <v>53</v>
      </c>
      <c r="H52" s="44">
        <v>483.97737640987827</v>
      </c>
      <c r="I52" s="37">
        <v>5.7966042572635876</v>
      </c>
      <c r="J52" s="38" t="s">
        <v>53</v>
      </c>
      <c r="K52" s="44">
        <v>483.46740060377965</v>
      </c>
      <c r="L52" s="37">
        <v>6.1679021179262445</v>
      </c>
      <c r="M52" s="38" t="s">
        <v>53</v>
      </c>
      <c r="N52" s="44">
        <v>485.01008933890711</v>
      </c>
      <c r="O52" s="37">
        <v>7.8885613911424173</v>
      </c>
      <c r="P52" s="38" t="s">
        <v>53</v>
      </c>
      <c r="Q52" s="44">
        <v>505.35277105006838</v>
      </c>
      <c r="R52" s="37">
        <v>3.5686731906740112</v>
      </c>
      <c r="S52" s="38" t="s">
        <v>53</v>
      </c>
      <c r="T52" s="44">
        <v>510.0090012987107</v>
      </c>
      <c r="U52" s="37">
        <v>3.5830703788785403</v>
      </c>
      <c r="V52" s="38" t="s">
        <v>53</v>
      </c>
      <c r="W52" s="44">
        <v>503.37468772735531</v>
      </c>
      <c r="X52" s="37">
        <v>6.034114084834278</v>
      </c>
      <c r="Y52" s="38" t="s">
        <v>53</v>
      </c>
      <c r="Z52" s="44">
        <v>511.90490496609777</v>
      </c>
      <c r="AA52" s="37">
        <v>6.0553380779011921</v>
      </c>
      <c r="AB52" s="38" t="s">
        <v>53</v>
      </c>
      <c r="AC52" s="44">
        <v>478.75538047686399</v>
      </c>
      <c r="AD52" s="37">
        <v>8.3207090064452149</v>
      </c>
      <c r="AE52" s="38" t="s">
        <v>53</v>
      </c>
      <c r="AF52" s="44">
        <v>5.5259499549865723</v>
      </c>
      <c r="AG52" s="37">
        <v>6.2030181884765625</v>
      </c>
      <c r="AH52" s="38" t="s">
        <v>53</v>
      </c>
      <c r="AI52" s="44">
        <v>4.2571969032287598</v>
      </c>
      <c r="AJ52" s="37">
        <v>6.292698860168457</v>
      </c>
      <c r="AK52" s="38" t="s">
        <v>53</v>
      </c>
      <c r="AL52" s="44">
        <v>19.397312164306641</v>
      </c>
      <c r="AM52" s="37">
        <v>9.0775299072265625</v>
      </c>
      <c r="AN52" s="38" t="s">
        <v>53</v>
      </c>
      <c r="AO52" s="44">
        <v>28.437503814697266</v>
      </c>
      <c r="AP52" s="37">
        <v>9.3327665328979492</v>
      </c>
      <c r="AQ52" s="38" t="s">
        <v>53</v>
      </c>
      <c r="AR52" s="44">
        <v>-6.2547087669372559</v>
      </c>
      <c r="AS52" s="37">
        <v>11.993915557861328</v>
      </c>
      <c r="AT52" s="39" t="s">
        <v>53</v>
      </c>
    </row>
    <row r="53" spans="1:46" x14ac:dyDescent="0.25">
      <c r="A53" s="15" t="s">
        <v>165</v>
      </c>
      <c r="B53" s="44">
        <v>491.18269606051848</v>
      </c>
      <c r="C53" s="37">
        <v>0.48427734063533351</v>
      </c>
      <c r="D53" s="38" t="s">
        <v>53</v>
      </c>
      <c r="E53" s="44">
        <v>496.28730192294012</v>
      </c>
      <c r="F53" s="37">
        <v>0.48148473054697988</v>
      </c>
      <c r="G53" s="38" t="s">
        <v>53</v>
      </c>
      <c r="H53" s="44">
        <v>454.5262278649742</v>
      </c>
      <c r="I53" s="37">
        <v>1.635717433124912</v>
      </c>
      <c r="J53" s="38" t="s">
        <v>53</v>
      </c>
      <c r="K53" s="44">
        <v>468.34159347122079</v>
      </c>
      <c r="L53" s="37">
        <v>1.725482727082551</v>
      </c>
      <c r="M53" s="38" t="s">
        <v>53</v>
      </c>
      <c r="N53" s="44">
        <v>451.51841533316542</v>
      </c>
      <c r="O53" s="37">
        <v>2.0715157565307338</v>
      </c>
      <c r="P53" s="38" t="s">
        <v>53</v>
      </c>
      <c r="Q53" s="44">
        <v>487.20409265542531</v>
      </c>
      <c r="R53" s="37">
        <v>0.41960028423728579</v>
      </c>
      <c r="S53" s="38" t="s">
        <v>53</v>
      </c>
      <c r="T53" s="44">
        <v>493.63285796153258</v>
      </c>
      <c r="U53" s="37">
        <v>0.43294499039037149</v>
      </c>
      <c r="V53" s="38" t="s">
        <v>53</v>
      </c>
      <c r="W53" s="44">
        <v>452.49340957546241</v>
      </c>
      <c r="X53" s="37">
        <v>1.3421299640164721</v>
      </c>
      <c r="Y53" s="38" t="s">
        <v>53</v>
      </c>
      <c r="Z53" s="44">
        <v>465.643183243924</v>
      </c>
      <c r="AA53" s="37">
        <v>1.6021850574923491</v>
      </c>
      <c r="AB53" s="38" t="s">
        <v>53</v>
      </c>
      <c r="AC53" s="44">
        <v>440.82573087005721</v>
      </c>
      <c r="AD53" s="37">
        <v>2.1361885189333472</v>
      </c>
      <c r="AE53" s="38" t="s">
        <v>53</v>
      </c>
      <c r="AF53" s="44">
        <v>-3.9786033630371094</v>
      </c>
      <c r="AG53" s="37">
        <v>3.5778469700624203</v>
      </c>
      <c r="AH53" s="38" t="s">
        <v>53</v>
      </c>
      <c r="AI53" s="44">
        <v>-1.9364044666290283</v>
      </c>
      <c r="AJ53" s="37">
        <v>3.5790597802291617</v>
      </c>
      <c r="AK53" s="38" t="s">
        <v>53</v>
      </c>
      <c r="AL53" s="44">
        <v>-0.28826984763145447</v>
      </c>
      <c r="AM53" s="37">
        <v>4.1069799562865663</v>
      </c>
      <c r="AN53" s="38" t="s">
        <v>53</v>
      </c>
      <c r="AO53" s="44">
        <v>1.1787164211273193</v>
      </c>
      <c r="AP53" s="37">
        <v>4.2349365520526989</v>
      </c>
      <c r="AQ53" s="38" t="s">
        <v>53</v>
      </c>
      <c r="AR53" s="44">
        <v>-12.34950065612793</v>
      </c>
      <c r="AS53" s="37">
        <v>4.6092167358432761</v>
      </c>
      <c r="AT53" s="39" t="s">
        <v>53</v>
      </c>
    </row>
    <row r="54" spans="1:46" x14ac:dyDescent="0.25">
      <c r="A54" s="15" t="s">
        <v>166</v>
      </c>
      <c r="B54" s="44" t="s">
        <v>55</v>
      </c>
      <c r="C54" s="37" t="s">
        <v>55</v>
      </c>
      <c r="D54" s="38" t="s">
        <v>53</v>
      </c>
      <c r="E54" s="44" t="s">
        <v>55</v>
      </c>
      <c r="F54" s="37" t="s">
        <v>55</v>
      </c>
      <c r="G54" s="38" t="s">
        <v>53</v>
      </c>
      <c r="H54" s="44" t="s">
        <v>55</v>
      </c>
      <c r="I54" s="37" t="s">
        <v>55</v>
      </c>
      <c r="J54" s="38" t="s">
        <v>53</v>
      </c>
      <c r="K54" s="44" t="s">
        <v>55</v>
      </c>
      <c r="L54" s="37" t="s">
        <v>55</v>
      </c>
      <c r="M54" s="38" t="s">
        <v>53</v>
      </c>
      <c r="N54" s="44" t="s">
        <v>55</v>
      </c>
      <c r="O54" s="37" t="s">
        <v>55</v>
      </c>
      <c r="P54" s="38" t="s">
        <v>53</v>
      </c>
      <c r="Q54" s="44">
        <v>487.1259947625523</v>
      </c>
      <c r="R54" s="37">
        <v>0.41476905289764121</v>
      </c>
      <c r="S54" s="38" t="s">
        <v>53</v>
      </c>
      <c r="T54" s="44">
        <v>493.80750364317942</v>
      </c>
      <c r="U54" s="37">
        <v>0.42686509319363891</v>
      </c>
      <c r="V54" s="38" t="s">
        <v>53</v>
      </c>
      <c r="W54" s="44">
        <v>452.02991853082091</v>
      </c>
      <c r="X54" s="37">
        <v>1.3077551673714121</v>
      </c>
      <c r="Y54" s="38" t="s">
        <v>53</v>
      </c>
      <c r="Z54" s="44">
        <v>465.02452556645318</v>
      </c>
      <c r="AA54" s="37">
        <v>1.558037687959428</v>
      </c>
      <c r="AB54" s="38" t="s">
        <v>53</v>
      </c>
      <c r="AC54" s="44">
        <v>440.17643869742392</v>
      </c>
      <c r="AD54" s="37">
        <v>2.0749964196823592</v>
      </c>
      <c r="AE54" s="38" t="s">
        <v>53</v>
      </c>
      <c r="AF54" s="44" t="s">
        <v>55</v>
      </c>
      <c r="AG54" s="37" t="s">
        <v>55</v>
      </c>
      <c r="AH54" s="38" t="s">
        <v>53</v>
      </c>
      <c r="AI54" s="44" t="s">
        <v>55</v>
      </c>
      <c r="AJ54" s="37" t="s">
        <v>55</v>
      </c>
      <c r="AK54" s="38" t="s">
        <v>53</v>
      </c>
      <c r="AL54" s="44" t="s">
        <v>55</v>
      </c>
      <c r="AM54" s="37" t="s">
        <v>55</v>
      </c>
      <c r="AN54" s="38" t="s">
        <v>53</v>
      </c>
      <c r="AO54" s="44" t="s">
        <v>55</v>
      </c>
      <c r="AP54" s="37" t="s">
        <v>55</v>
      </c>
      <c r="AQ54" s="38" t="s">
        <v>53</v>
      </c>
      <c r="AR54" s="44" t="s">
        <v>55</v>
      </c>
      <c r="AS54" s="37" t="s">
        <v>55</v>
      </c>
      <c r="AT54" s="39" t="s">
        <v>53</v>
      </c>
    </row>
    <row r="55" spans="1:46" x14ac:dyDescent="0.25">
      <c r="A55" s="57" t="s">
        <v>211</v>
      </c>
      <c r="B55" s="44"/>
      <c r="C55" s="37"/>
      <c r="D55" s="38"/>
      <c r="E55" s="44"/>
      <c r="F55" s="37"/>
      <c r="G55" s="38"/>
      <c r="H55" s="44"/>
      <c r="I55" s="37"/>
      <c r="J55" s="38"/>
      <c r="K55" s="44"/>
      <c r="L55" s="37"/>
      <c r="M55" s="38"/>
      <c r="N55" s="44"/>
      <c r="O55" s="37"/>
      <c r="P55" s="38"/>
      <c r="Q55" s="44"/>
      <c r="R55" s="37"/>
      <c r="S55" s="38"/>
      <c r="T55" s="44"/>
      <c r="U55" s="37"/>
      <c r="V55" s="38"/>
      <c r="W55" s="44"/>
      <c r="X55" s="37"/>
      <c r="Y55" s="38"/>
      <c r="Z55" s="44"/>
      <c r="AA55" s="37"/>
      <c r="AB55" s="38"/>
      <c r="AC55" s="44"/>
      <c r="AD55" s="37"/>
      <c r="AE55" s="38"/>
      <c r="AF55" s="44"/>
      <c r="AG55" s="66"/>
      <c r="AH55" s="38"/>
      <c r="AI55" s="44"/>
      <c r="AJ55" s="37"/>
      <c r="AK55" s="38"/>
      <c r="AL55" s="44"/>
      <c r="AM55" s="37"/>
      <c r="AN55" s="38"/>
      <c r="AO55" s="44"/>
      <c r="AP55" s="37"/>
      <c r="AQ55" s="38"/>
      <c r="AR55" s="44"/>
      <c r="AS55" s="37"/>
      <c r="AT55" s="39"/>
    </row>
    <row r="56" spans="1:46" x14ac:dyDescent="0.25">
      <c r="A56" s="15" t="s">
        <v>169</v>
      </c>
      <c r="B56" s="44">
        <v>384.81660237996766</v>
      </c>
      <c r="C56" s="37">
        <v>4.0360795455237346</v>
      </c>
      <c r="D56" s="38" t="s">
        <v>53</v>
      </c>
      <c r="E56" s="44">
        <v>388.64226228956795</v>
      </c>
      <c r="F56" s="37">
        <v>3.9627993375907771</v>
      </c>
      <c r="G56" s="38" t="s">
        <v>53</v>
      </c>
      <c r="H56" s="44" t="s">
        <v>56</v>
      </c>
      <c r="I56" s="37" t="s">
        <v>56</v>
      </c>
      <c r="J56" s="38" t="s">
        <v>53</v>
      </c>
      <c r="K56" s="44" t="s">
        <v>56</v>
      </c>
      <c r="L56" s="37" t="s">
        <v>56</v>
      </c>
      <c r="M56" s="38" t="s">
        <v>53</v>
      </c>
      <c r="N56" s="44" t="s">
        <v>56</v>
      </c>
      <c r="O56" s="37" t="s">
        <v>56</v>
      </c>
      <c r="P56" s="38" t="s">
        <v>53</v>
      </c>
      <c r="Q56" s="44">
        <v>405.42936627838083</v>
      </c>
      <c r="R56" s="37">
        <v>1.9222908015158928</v>
      </c>
      <c r="S56" s="38" t="s">
        <v>53</v>
      </c>
      <c r="T56" s="44">
        <v>407.14092007963291</v>
      </c>
      <c r="U56" s="37">
        <v>1.8914199408782266</v>
      </c>
      <c r="V56" s="38" t="s">
        <v>53</v>
      </c>
      <c r="W56" s="44">
        <v>340.30707669887266</v>
      </c>
      <c r="X56" s="37">
        <v>11.290037207846725</v>
      </c>
      <c r="Y56" s="38" t="s">
        <v>53</v>
      </c>
      <c r="Z56" s="44" t="s">
        <v>56</v>
      </c>
      <c r="AA56" s="37" t="s">
        <v>56</v>
      </c>
      <c r="AB56" s="38" t="s">
        <v>53</v>
      </c>
      <c r="AC56" s="44" t="s">
        <v>56</v>
      </c>
      <c r="AD56" s="37" t="s">
        <v>56</v>
      </c>
      <c r="AE56" s="38" t="s">
        <v>53</v>
      </c>
      <c r="AF56" s="44">
        <v>20.612764358520508</v>
      </c>
      <c r="AG56" s="37">
        <v>5.6899509429931641</v>
      </c>
      <c r="AH56" s="38" t="s">
        <v>53</v>
      </c>
      <c r="AI56" s="44">
        <v>18.4986572265625</v>
      </c>
      <c r="AJ56" s="37">
        <v>5.6277570724487305</v>
      </c>
      <c r="AK56" s="38" t="s">
        <v>53</v>
      </c>
      <c r="AL56" s="44" t="s">
        <v>55</v>
      </c>
      <c r="AM56" s="37" t="s">
        <v>55</v>
      </c>
      <c r="AN56" s="38" t="s">
        <v>53</v>
      </c>
      <c r="AO56" s="44" t="s">
        <v>55</v>
      </c>
      <c r="AP56" s="37" t="s">
        <v>55</v>
      </c>
      <c r="AQ56" s="38" t="s">
        <v>53</v>
      </c>
      <c r="AR56" s="44" t="s">
        <v>55</v>
      </c>
      <c r="AS56" s="37" t="s">
        <v>55</v>
      </c>
      <c r="AT56" s="39" t="s">
        <v>53</v>
      </c>
    </row>
    <row r="57" spans="1:46" x14ac:dyDescent="0.25">
      <c r="A57" s="15" t="s">
        <v>170</v>
      </c>
      <c r="B57" s="44">
        <v>398.26087999149905</v>
      </c>
      <c r="C57" s="37">
        <v>4.6335726077878459</v>
      </c>
      <c r="D57" s="38" t="s">
        <v>53</v>
      </c>
      <c r="E57" s="44">
        <v>401.29278141810937</v>
      </c>
      <c r="F57" s="37">
        <v>4.6394210290751516</v>
      </c>
      <c r="G57" s="38" t="s">
        <v>53</v>
      </c>
      <c r="H57" s="44">
        <v>361.77004909507411</v>
      </c>
      <c r="I57" s="37">
        <v>15.217508643957393</v>
      </c>
      <c r="J57" s="38" t="s">
        <v>53</v>
      </c>
      <c r="K57" s="44">
        <v>365.84746812033791</v>
      </c>
      <c r="L57" s="37">
        <v>12.61929884502206</v>
      </c>
      <c r="M57" s="38" t="s">
        <v>53</v>
      </c>
      <c r="N57" s="44">
        <v>355.75538144860377</v>
      </c>
      <c r="O57" s="37">
        <v>26.499485858406505</v>
      </c>
      <c r="P57" s="38" t="s">
        <v>53</v>
      </c>
      <c r="Q57" s="44">
        <v>401.50310880731661</v>
      </c>
      <c r="R57" s="37">
        <v>2.9770426767113269</v>
      </c>
      <c r="S57" s="38" t="s">
        <v>53</v>
      </c>
      <c r="T57" s="44">
        <v>403.79302890804183</v>
      </c>
      <c r="U57" s="37">
        <v>3.0997980045923716</v>
      </c>
      <c r="V57" s="38" t="s">
        <v>53</v>
      </c>
      <c r="W57" s="44">
        <v>405.05108965389172</v>
      </c>
      <c r="X57" s="37">
        <v>7.004348727635656</v>
      </c>
      <c r="Y57" s="38" t="s">
        <v>53</v>
      </c>
      <c r="Z57" s="44">
        <v>414.2499971393388</v>
      </c>
      <c r="AA57" s="37">
        <v>9.3757323852173027</v>
      </c>
      <c r="AB57" s="38" t="s">
        <v>53</v>
      </c>
      <c r="AC57" s="44">
        <v>394.9617394162488</v>
      </c>
      <c r="AD57" s="37">
        <v>7.9936823704319417</v>
      </c>
      <c r="AE57" s="38" t="s">
        <v>53</v>
      </c>
      <c r="AF57" s="44">
        <v>3.2422287464141846</v>
      </c>
      <c r="AG57" s="37">
        <v>6.5362968444824219</v>
      </c>
      <c r="AH57" s="38" t="s">
        <v>53</v>
      </c>
      <c r="AI57" s="44">
        <v>2.5002474784851074</v>
      </c>
      <c r="AJ57" s="37">
        <v>6.5972247123718262</v>
      </c>
      <c r="AK57" s="38" t="s">
        <v>53</v>
      </c>
      <c r="AL57" s="44">
        <v>43.281040191650391</v>
      </c>
      <c r="AM57" s="37">
        <v>17.117940902709961</v>
      </c>
      <c r="AN57" s="38" t="s">
        <v>53</v>
      </c>
      <c r="AO57" s="44">
        <v>48.402530670166016</v>
      </c>
      <c r="AP57" s="37">
        <v>16.11029052734375</v>
      </c>
      <c r="AQ57" s="38" t="s">
        <v>53</v>
      </c>
      <c r="AR57" s="44">
        <v>39.20635986328125</v>
      </c>
      <c r="AS57" s="37">
        <v>27.901830673217773</v>
      </c>
      <c r="AT57" s="39" t="s">
        <v>53</v>
      </c>
    </row>
    <row r="58" spans="1:46" x14ac:dyDescent="0.25">
      <c r="A58" s="15" t="s">
        <v>171</v>
      </c>
      <c r="B58" s="44" t="s">
        <v>55</v>
      </c>
      <c r="C58" s="37" t="s">
        <v>55</v>
      </c>
      <c r="D58" s="38" t="s">
        <v>53</v>
      </c>
      <c r="E58" s="44" t="s">
        <v>55</v>
      </c>
      <c r="F58" s="37" t="s">
        <v>55</v>
      </c>
      <c r="G58" s="38" t="s">
        <v>53</v>
      </c>
      <c r="H58" s="44" t="s">
        <v>55</v>
      </c>
      <c r="I58" s="37" t="s">
        <v>55</v>
      </c>
      <c r="J58" s="38" t="s">
        <v>53</v>
      </c>
      <c r="K58" s="44" t="s">
        <v>55</v>
      </c>
      <c r="L58" s="37" t="s">
        <v>55</v>
      </c>
      <c r="M58" s="38" t="s">
        <v>53</v>
      </c>
      <c r="N58" s="44" t="s">
        <v>55</v>
      </c>
      <c r="O58" s="37" t="s">
        <v>55</v>
      </c>
      <c r="P58" s="38" t="s">
        <v>53</v>
      </c>
      <c r="Q58" s="44">
        <v>389.38833381099158</v>
      </c>
      <c r="R58" s="37">
        <v>2.5058139100861014</v>
      </c>
      <c r="S58" s="38" t="s">
        <v>53</v>
      </c>
      <c r="T58" s="44">
        <v>392.81231421571965</v>
      </c>
      <c r="U58" s="37">
        <v>2.6336611646901709</v>
      </c>
      <c r="V58" s="38" t="s">
        <v>53</v>
      </c>
      <c r="W58" s="44">
        <v>378.76594858713736</v>
      </c>
      <c r="X58" s="37">
        <v>4.1704490560649887</v>
      </c>
      <c r="Y58" s="38" t="s">
        <v>53</v>
      </c>
      <c r="Z58" s="44">
        <v>385.75621945563057</v>
      </c>
      <c r="AA58" s="37">
        <v>5.1580228008497233</v>
      </c>
      <c r="AB58" s="38" t="s">
        <v>53</v>
      </c>
      <c r="AC58" s="44">
        <v>368.95936932466321</v>
      </c>
      <c r="AD58" s="37">
        <v>6.8183131109340547</v>
      </c>
      <c r="AE58" s="38" t="s">
        <v>53</v>
      </c>
      <c r="AF58" s="44" t="s">
        <v>55</v>
      </c>
      <c r="AG58" s="37" t="s">
        <v>55</v>
      </c>
      <c r="AH58" s="38" t="s">
        <v>53</v>
      </c>
      <c r="AI58" s="44" t="s">
        <v>55</v>
      </c>
      <c r="AJ58" s="37" t="s">
        <v>55</v>
      </c>
      <c r="AK58" s="38" t="s">
        <v>53</v>
      </c>
      <c r="AL58" s="44" t="s">
        <v>55</v>
      </c>
      <c r="AM58" s="37" t="s">
        <v>55</v>
      </c>
      <c r="AN58" s="38" t="s">
        <v>53</v>
      </c>
      <c r="AO58" s="44" t="s">
        <v>55</v>
      </c>
      <c r="AP58" s="37" t="s">
        <v>55</v>
      </c>
      <c r="AQ58" s="38" t="s">
        <v>53</v>
      </c>
      <c r="AR58" s="44" t="s">
        <v>55</v>
      </c>
      <c r="AS58" s="37" t="s">
        <v>55</v>
      </c>
      <c r="AT58" s="39" t="s">
        <v>53</v>
      </c>
    </row>
    <row r="59" spans="1:46" x14ac:dyDescent="0.25">
      <c r="A59" s="15" t="s">
        <v>172</v>
      </c>
      <c r="B59" s="44" t="s">
        <v>55</v>
      </c>
      <c r="C59" s="37" t="s">
        <v>55</v>
      </c>
      <c r="D59" s="38" t="s">
        <v>53</v>
      </c>
      <c r="E59" s="44" t="s">
        <v>55</v>
      </c>
      <c r="F59" s="37" t="s">
        <v>55</v>
      </c>
      <c r="G59" s="38" t="s">
        <v>53</v>
      </c>
      <c r="H59" s="44" t="s">
        <v>55</v>
      </c>
      <c r="I59" s="37" t="s">
        <v>55</v>
      </c>
      <c r="J59" s="38" t="s">
        <v>53</v>
      </c>
      <c r="K59" s="44" t="s">
        <v>55</v>
      </c>
      <c r="L59" s="37" t="s">
        <v>55</v>
      </c>
      <c r="M59" s="38" t="s">
        <v>53</v>
      </c>
      <c r="N59" s="44" t="s">
        <v>55</v>
      </c>
      <c r="O59" s="37" t="s">
        <v>55</v>
      </c>
      <c r="P59" s="38" t="s">
        <v>53</v>
      </c>
      <c r="Q59" s="44">
        <v>473.78844693315233</v>
      </c>
      <c r="R59" s="37">
        <v>2.4350607459616236</v>
      </c>
      <c r="S59" s="38" t="s">
        <v>53</v>
      </c>
      <c r="T59" s="44">
        <v>475.3705132303333</v>
      </c>
      <c r="U59" s="37">
        <v>2.4835760424070186</v>
      </c>
      <c r="V59" s="38" t="s">
        <v>53</v>
      </c>
      <c r="W59" s="44">
        <v>456.66068946918824</v>
      </c>
      <c r="X59" s="37">
        <v>7.3187671107747416</v>
      </c>
      <c r="Y59" s="38" t="s">
        <v>53</v>
      </c>
      <c r="Z59" s="44">
        <v>460.92456844551316</v>
      </c>
      <c r="AA59" s="37">
        <v>6.7413715729733674</v>
      </c>
      <c r="AB59" s="38" t="s">
        <v>53</v>
      </c>
      <c r="AC59" s="44">
        <v>446.95797571282105</v>
      </c>
      <c r="AD59" s="37">
        <v>16.3113233200447</v>
      </c>
      <c r="AE59" s="38" t="s">
        <v>53</v>
      </c>
      <c r="AF59" s="44" t="s">
        <v>55</v>
      </c>
      <c r="AG59" s="37" t="s">
        <v>55</v>
      </c>
      <c r="AH59" s="38" t="s">
        <v>53</v>
      </c>
      <c r="AI59" s="44" t="s">
        <v>55</v>
      </c>
      <c r="AJ59" s="37" t="s">
        <v>55</v>
      </c>
      <c r="AK59" s="38" t="s">
        <v>53</v>
      </c>
      <c r="AL59" s="44" t="s">
        <v>55</v>
      </c>
      <c r="AM59" s="37" t="s">
        <v>55</v>
      </c>
      <c r="AN59" s="38" t="s">
        <v>53</v>
      </c>
      <c r="AO59" s="44" t="s">
        <v>55</v>
      </c>
      <c r="AP59" s="37" t="s">
        <v>55</v>
      </c>
      <c r="AQ59" s="38" t="s">
        <v>53</v>
      </c>
      <c r="AR59" s="44" t="s">
        <v>55</v>
      </c>
      <c r="AS59" s="37" t="s">
        <v>55</v>
      </c>
      <c r="AT59" s="39" t="s">
        <v>53</v>
      </c>
    </row>
    <row r="60" spans="1:46" x14ac:dyDescent="0.25">
      <c r="A60" s="15" t="s">
        <v>173</v>
      </c>
      <c r="B60" s="44" t="s">
        <v>55</v>
      </c>
      <c r="C60" s="37" t="s">
        <v>55</v>
      </c>
      <c r="D60" s="38" t="s">
        <v>53</v>
      </c>
      <c r="E60" s="44" t="s">
        <v>55</v>
      </c>
      <c r="F60" s="37" t="s">
        <v>55</v>
      </c>
      <c r="G60" s="38" t="s">
        <v>53</v>
      </c>
      <c r="H60" s="44" t="s">
        <v>55</v>
      </c>
      <c r="I60" s="37" t="s">
        <v>55</v>
      </c>
      <c r="J60" s="38" t="s">
        <v>53</v>
      </c>
      <c r="K60" s="44" t="s">
        <v>55</v>
      </c>
      <c r="L60" s="37" t="s">
        <v>55</v>
      </c>
      <c r="M60" s="38" t="s">
        <v>53</v>
      </c>
      <c r="N60" s="44" t="s">
        <v>55</v>
      </c>
      <c r="O60" s="37" t="s">
        <v>55</v>
      </c>
      <c r="P60" s="38" t="s">
        <v>53</v>
      </c>
      <c r="Q60" s="44">
        <v>402.97782126090317</v>
      </c>
      <c r="R60" s="37">
        <v>2.9250633672032849</v>
      </c>
      <c r="S60" s="38" t="s">
        <v>53</v>
      </c>
      <c r="T60" s="44">
        <v>405.06836025514923</v>
      </c>
      <c r="U60" s="37">
        <v>2.9977070576522404</v>
      </c>
      <c r="V60" s="38" t="s">
        <v>53</v>
      </c>
      <c r="W60" s="44">
        <v>385.65793364376441</v>
      </c>
      <c r="X60" s="37">
        <v>7.7247067757763519</v>
      </c>
      <c r="Y60" s="38" t="s">
        <v>53</v>
      </c>
      <c r="Z60" s="44">
        <v>402.59317211624244</v>
      </c>
      <c r="AA60" s="37">
        <v>10.977967409604261</v>
      </c>
      <c r="AB60" s="38" t="s">
        <v>53</v>
      </c>
      <c r="AC60" s="44">
        <v>368.55649266432209</v>
      </c>
      <c r="AD60" s="37">
        <v>11.149956129024844</v>
      </c>
      <c r="AE60" s="38" t="s">
        <v>53</v>
      </c>
      <c r="AF60" s="44" t="s">
        <v>55</v>
      </c>
      <c r="AG60" s="37" t="s">
        <v>55</v>
      </c>
      <c r="AH60" s="38" t="s">
        <v>53</v>
      </c>
      <c r="AI60" s="44" t="s">
        <v>55</v>
      </c>
      <c r="AJ60" s="37" t="s">
        <v>55</v>
      </c>
      <c r="AK60" s="38" t="s">
        <v>53</v>
      </c>
      <c r="AL60" s="44" t="s">
        <v>55</v>
      </c>
      <c r="AM60" s="37" t="s">
        <v>55</v>
      </c>
      <c r="AN60" s="38" t="s">
        <v>53</v>
      </c>
      <c r="AO60" s="44" t="s">
        <v>55</v>
      </c>
      <c r="AP60" s="37" t="s">
        <v>55</v>
      </c>
      <c r="AQ60" s="38" t="s">
        <v>53</v>
      </c>
      <c r="AR60" s="44" t="s">
        <v>55</v>
      </c>
      <c r="AS60" s="37" t="s">
        <v>55</v>
      </c>
      <c r="AT60" s="39" t="s">
        <v>53</v>
      </c>
    </row>
    <row r="61" spans="1:46" x14ac:dyDescent="0.25">
      <c r="A61" s="15" t="s">
        <v>174</v>
      </c>
      <c r="B61" s="44">
        <v>411.75492751248504</v>
      </c>
      <c r="C61" s="37">
        <v>2.7278021012114868</v>
      </c>
      <c r="D61" s="38" t="s">
        <v>53</v>
      </c>
      <c r="E61" s="44">
        <v>415.73463856582276</v>
      </c>
      <c r="F61" s="37">
        <v>2.6779123227876287</v>
      </c>
      <c r="G61" s="38" t="s">
        <v>53</v>
      </c>
      <c r="H61" s="44">
        <v>317.0850075579537</v>
      </c>
      <c r="I61" s="37">
        <v>13.498826860687908</v>
      </c>
      <c r="J61" s="38" t="s">
        <v>53</v>
      </c>
      <c r="K61" s="44">
        <v>321.05374731705092</v>
      </c>
      <c r="L61" s="37">
        <v>18.667664752294716</v>
      </c>
      <c r="M61" s="38" t="s">
        <v>53</v>
      </c>
      <c r="N61" s="44">
        <v>309.72370782704576</v>
      </c>
      <c r="O61" s="37">
        <v>18.635435725412702</v>
      </c>
      <c r="P61" s="38" t="s">
        <v>53</v>
      </c>
      <c r="Q61" s="44">
        <v>412.87331668524951</v>
      </c>
      <c r="R61" s="37">
        <v>2.1109821806103208</v>
      </c>
      <c r="S61" s="38" t="s">
        <v>53</v>
      </c>
      <c r="T61" s="44">
        <v>417.68731509798857</v>
      </c>
      <c r="U61" s="37">
        <v>2.0632328769309258</v>
      </c>
      <c r="V61" s="38" t="s">
        <v>53</v>
      </c>
      <c r="W61" s="44">
        <v>333.77842910436397</v>
      </c>
      <c r="X61" s="37">
        <v>10.954553674602222</v>
      </c>
      <c r="Y61" s="38" t="s">
        <v>53</v>
      </c>
      <c r="Z61" s="44">
        <v>331.98440685886368</v>
      </c>
      <c r="AA61" s="37">
        <v>13.374676257042065</v>
      </c>
      <c r="AB61" s="38" t="s">
        <v>53</v>
      </c>
      <c r="AC61" s="44" t="s">
        <v>56</v>
      </c>
      <c r="AD61" s="37" t="s">
        <v>56</v>
      </c>
      <c r="AE61" s="38" t="s">
        <v>53</v>
      </c>
      <c r="AF61" s="44">
        <v>1.1183891296386719</v>
      </c>
      <c r="AG61" s="37">
        <v>4.9282398223876953</v>
      </c>
      <c r="AH61" s="38" t="s">
        <v>53</v>
      </c>
      <c r="AI61" s="44">
        <v>1.95267653465271</v>
      </c>
      <c r="AJ61" s="37">
        <v>4.8804244995117188</v>
      </c>
      <c r="AK61" s="38" t="s">
        <v>53</v>
      </c>
      <c r="AL61" s="44">
        <v>16.693422317504883</v>
      </c>
      <c r="AM61" s="37">
        <v>17.737276077270508</v>
      </c>
      <c r="AN61" s="38" t="s">
        <v>53</v>
      </c>
      <c r="AO61" s="44">
        <v>10.930659294128418</v>
      </c>
      <c r="AP61" s="37">
        <v>23.232608795166016</v>
      </c>
      <c r="AQ61" s="38" t="s">
        <v>53</v>
      </c>
      <c r="AR61" s="44" t="s">
        <v>55</v>
      </c>
      <c r="AS61" s="37" t="s">
        <v>55</v>
      </c>
      <c r="AT61" s="39" t="s">
        <v>53</v>
      </c>
    </row>
    <row r="62" spans="1:46" x14ac:dyDescent="0.25">
      <c r="A62" s="15" t="s">
        <v>175</v>
      </c>
      <c r="B62" s="44" t="s">
        <v>55</v>
      </c>
      <c r="C62" s="37" t="s">
        <v>55</v>
      </c>
      <c r="D62" s="38" t="s">
        <v>53</v>
      </c>
      <c r="E62" s="44" t="s">
        <v>55</v>
      </c>
      <c r="F62" s="37" t="s">
        <v>55</v>
      </c>
      <c r="G62" s="38" t="s">
        <v>53</v>
      </c>
      <c r="H62" s="44" t="s">
        <v>55</v>
      </c>
      <c r="I62" s="37" t="s">
        <v>55</v>
      </c>
      <c r="J62" s="38" t="s">
        <v>53</v>
      </c>
      <c r="K62" s="44" t="s">
        <v>55</v>
      </c>
      <c r="L62" s="37" t="s">
        <v>55</v>
      </c>
      <c r="M62" s="38" t="s">
        <v>53</v>
      </c>
      <c r="N62" s="44" t="s">
        <v>55</v>
      </c>
      <c r="O62" s="37" t="s">
        <v>55</v>
      </c>
      <c r="P62" s="38" t="s">
        <v>53</v>
      </c>
      <c r="Q62" s="44">
        <v>408.06994401933429</v>
      </c>
      <c r="R62" s="37">
        <v>0.89776623671988476</v>
      </c>
      <c r="S62" s="38" t="s">
        <v>53</v>
      </c>
      <c r="T62" s="44">
        <v>403.05533459540447</v>
      </c>
      <c r="U62" s="37">
        <v>1.023912551187304</v>
      </c>
      <c r="V62" s="38" t="s">
        <v>53</v>
      </c>
      <c r="W62" s="44">
        <v>475.76181371233338</v>
      </c>
      <c r="X62" s="37">
        <v>4.040388853942213</v>
      </c>
      <c r="Y62" s="38" t="s">
        <v>53</v>
      </c>
      <c r="Z62" s="44">
        <v>460.01075143185972</v>
      </c>
      <c r="AA62" s="37">
        <v>6.7603011180722836</v>
      </c>
      <c r="AB62" s="38" t="s">
        <v>53</v>
      </c>
      <c r="AC62" s="44">
        <v>484.70413464149209</v>
      </c>
      <c r="AD62" s="37">
        <v>5.3843202293147536</v>
      </c>
      <c r="AE62" s="38" t="s">
        <v>53</v>
      </c>
      <c r="AF62" s="44" t="s">
        <v>55</v>
      </c>
      <c r="AG62" s="37" t="s">
        <v>55</v>
      </c>
      <c r="AH62" s="38" t="s">
        <v>53</v>
      </c>
      <c r="AI62" s="44" t="s">
        <v>55</v>
      </c>
      <c r="AJ62" s="37" t="s">
        <v>55</v>
      </c>
      <c r="AK62" s="38" t="s">
        <v>53</v>
      </c>
      <c r="AL62" s="44" t="s">
        <v>55</v>
      </c>
      <c r="AM62" s="37" t="s">
        <v>55</v>
      </c>
      <c r="AN62" s="38" t="s">
        <v>53</v>
      </c>
      <c r="AO62" s="44" t="s">
        <v>55</v>
      </c>
      <c r="AP62" s="37" t="s">
        <v>55</v>
      </c>
      <c r="AQ62" s="38" t="s">
        <v>53</v>
      </c>
      <c r="AR62" s="44" t="s">
        <v>55</v>
      </c>
      <c r="AS62" s="37" t="s">
        <v>55</v>
      </c>
      <c r="AT62" s="39" t="s">
        <v>53</v>
      </c>
    </row>
    <row r="63" spans="1:46" x14ac:dyDescent="0.25">
      <c r="A63" s="15" t="s">
        <v>176</v>
      </c>
      <c r="B63" s="44" t="s">
        <v>55</v>
      </c>
      <c r="C63" s="37" t="s">
        <v>55</v>
      </c>
      <c r="D63" s="38" t="s">
        <v>53</v>
      </c>
      <c r="E63" s="44" t="s">
        <v>55</v>
      </c>
      <c r="F63" s="37" t="s">
        <v>55</v>
      </c>
      <c r="G63" s="38" t="s">
        <v>53</v>
      </c>
      <c r="H63" s="44" t="s">
        <v>55</v>
      </c>
      <c r="I63" s="37" t="s">
        <v>55</v>
      </c>
      <c r="J63" s="38" t="s">
        <v>53</v>
      </c>
      <c r="K63" s="44" t="s">
        <v>55</v>
      </c>
      <c r="L63" s="37" t="s">
        <v>55</v>
      </c>
      <c r="M63" s="38" t="s">
        <v>53</v>
      </c>
      <c r="N63" s="44" t="s">
        <v>55</v>
      </c>
      <c r="O63" s="37" t="s">
        <v>55</v>
      </c>
      <c r="P63" s="38" t="s">
        <v>53</v>
      </c>
      <c r="Q63" s="44">
        <v>555.23624358750749</v>
      </c>
      <c r="R63" s="37">
        <v>2.7451959179360865</v>
      </c>
      <c r="S63" s="38" t="s">
        <v>53</v>
      </c>
      <c r="T63" s="44">
        <v>555.93044448510716</v>
      </c>
      <c r="U63" s="37">
        <v>2.7020166437429096</v>
      </c>
      <c r="V63" s="38" t="s">
        <v>53</v>
      </c>
      <c r="W63" s="44" t="s">
        <v>56</v>
      </c>
      <c r="X63" s="37" t="s">
        <v>56</v>
      </c>
      <c r="Y63" s="38" t="s">
        <v>53</v>
      </c>
      <c r="Z63" s="44" t="s">
        <v>56</v>
      </c>
      <c r="AA63" s="37" t="s">
        <v>56</v>
      </c>
      <c r="AB63" s="38" t="s">
        <v>53</v>
      </c>
      <c r="AC63" s="44" t="s">
        <v>56</v>
      </c>
      <c r="AD63" s="37" t="s">
        <v>56</v>
      </c>
      <c r="AE63" s="38" t="s">
        <v>53</v>
      </c>
      <c r="AF63" s="44" t="s">
        <v>55</v>
      </c>
      <c r="AG63" s="37" t="s">
        <v>55</v>
      </c>
      <c r="AH63" s="38" t="s">
        <v>53</v>
      </c>
      <c r="AI63" s="44" t="s">
        <v>55</v>
      </c>
      <c r="AJ63" s="37" t="s">
        <v>55</v>
      </c>
      <c r="AK63" s="38" t="s">
        <v>53</v>
      </c>
      <c r="AL63" s="44" t="s">
        <v>55</v>
      </c>
      <c r="AM63" s="37" t="s">
        <v>55</v>
      </c>
      <c r="AN63" s="38" t="s">
        <v>53</v>
      </c>
      <c r="AO63" s="44" t="s">
        <v>55</v>
      </c>
      <c r="AP63" s="37" t="s">
        <v>55</v>
      </c>
      <c r="AQ63" s="38" t="s">
        <v>53</v>
      </c>
      <c r="AR63" s="44" t="s">
        <v>55</v>
      </c>
      <c r="AS63" s="37" t="s">
        <v>55</v>
      </c>
      <c r="AT63" s="39" t="s">
        <v>53</v>
      </c>
    </row>
    <row r="64" spans="1:46" x14ac:dyDescent="0.25">
      <c r="A64" s="15" t="s">
        <v>177</v>
      </c>
      <c r="B64" s="44">
        <v>429.08108695953456</v>
      </c>
      <c r="C64" s="37">
        <v>6.681256630630525</v>
      </c>
      <c r="D64" s="38" t="s">
        <v>53</v>
      </c>
      <c r="E64" s="44">
        <v>433.41667722655524</v>
      </c>
      <c r="F64" s="37">
        <v>6.6605853561324979</v>
      </c>
      <c r="G64" s="38" t="s">
        <v>53</v>
      </c>
      <c r="H64" s="44" t="s">
        <v>56</v>
      </c>
      <c r="I64" s="37" t="s">
        <v>56</v>
      </c>
      <c r="J64" s="38" t="s">
        <v>53</v>
      </c>
      <c r="K64" s="44" t="s">
        <v>56</v>
      </c>
      <c r="L64" s="37" t="s">
        <v>56</v>
      </c>
      <c r="M64" s="38" t="s">
        <v>53</v>
      </c>
      <c r="N64" s="44" t="s">
        <v>56</v>
      </c>
      <c r="O64" s="37" t="s">
        <v>56</v>
      </c>
      <c r="P64" s="38" t="s">
        <v>53</v>
      </c>
      <c r="Q64" s="44">
        <v>419.84400596424894</v>
      </c>
      <c r="R64" s="37">
        <v>3.9125771223795494</v>
      </c>
      <c r="S64" s="38" t="s">
        <v>53</v>
      </c>
      <c r="T64" s="44">
        <v>425.12568595497163</v>
      </c>
      <c r="U64" s="37">
        <v>3.7737910181925569</v>
      </c>
      <c r="V64" s="38" t="s">
        <v>53</v>
      </c>
      <c r="W64" s="44">
        <v>383.40194260817452</v>
      </c>
      <c r="X64" s="37">
        <v>13.018117854195298</v>
      </c>
      <c r="Y64" s="38" t="s">
        <v>53</v>
      </c>
      <c r="Z64" s="44" t="s">
        <v>56</v>
      </c>
      <c r="AA64" s="37" t="s">
        <v>56</v>
      </c>
      <c r="AB64" s="38" t="s">
        <v>53</v>
      </c>
      <c r="AC64" s="44" t="s">
        <v>56</v>
      </c>
      <c r="AD64" s="37" t="s">
        <v>56</v>
      </c>
      <c r="AE64" s="38" t="s">
        <v>53</v>
      </c>
      <c r="AF64" s="44">
        <v>-9.2370805740356445</v>
      </c>
      <c r="AG64" s="37">
        <v>8.5051660537719727</v>
      </c>
      <c r="AH64" s="38" t="s">
        <v>53</v>
      </c>
      <c r="AI64" s="44">
        <v>-8.2909908294677734</v>
      </c>
      <c r="AJ64" s="37">
        <v>8.4258708953857422</v>
      </c>
      <c r="AK64" s="38" t="s">
        <v>53</v>
      </c>
      <c r="AL64" s="44" t="s">
        <v>55</v>
      </c>
      <c r="AM64" s="37" t="s">
        <v>55</v>
      </c>
      <c r="AN64" s="38" t="s">
        <v>53</v>
      </c>
      <c r="AO64" s="44" t="s">
        <v>55</v>
      </c>
      <c r="AP64" s="37" t="s">
        <v>55</v>
      </c>
      <c r="AQ64" s="38" t="s">
        <v>53</v>
      </c>
      <c r="AR64" s="44" t="s">
        <v>55</v>
      </c>
      <c r="AS64" s="37" t="s">
        <v>55</v>
      </c>
      <c r="AT64" s="39" t="s">
        <v>53</v>
      </c>
    </row>
    <row r="65" spans="1:46" x14ac:dyDescent="0.25">
      <c r="A65" s="15" t="s">
        <v>178</v>
      </c>
      <c r="B65" s="44">
        <v>442.58090387291054</v>
      </c>
      <c r="C65" s="37">
        <v>3.1700209996121753</v>
      </c>
      <c r="D65" s="38" t="s">
        <v>53</v>
      </c>
      <c r="E65" s="44">
        <v>444.61910614052198</v>
      </c>
      <c r="F65" s="37">
        <v>3.083354033472042</v>
      </c>
      <c r="G65" s="38" t="s">
        <v>53</v>
      </c>
      <c r="H65" s="44">
        <v>427.29356023832111</v>
      </c>
      <c r="I65" s="37">
        <v>7.4513353917828988</v>
      </c>
      <c r="J65" s="38" t="s">
        <v>53</v>
      </c>
      <c r="K65" s="44">
        <v>418.97079365013064</v>
      </c>
      <c r="L65" s="37">
        <v>11.486450745755963</v>
      </c>
      <c r="M65" s="38" t="s">
        <v>53</v>
      </c>
      <c r="N65" s="44">
        <v>433.68805357174369</v>
      </c>
      <c r="O65" s="37">
        <v>8.355518620697838</v>
      </c>
      <c r="P65" s="38" t="s">
        <v>53</v>
      </c>
      <c r="Q65" s="44">
        <v>426.49822500736076</v>
      </c>
      <c r="R65" s="37">
        <v>3.4203070197491883</v>
      </c>
      <c r="S65" s="38" t="s">
        <v>53</v>
      </c>
      <c r="T65" s="44">
        <v>429.9695726738853</v>
      </c>
      <c r="U65" s="37">
        <v>3.5193436290556739</v>
      </c>
      <c r="V65" s="38" t="s">
        <v>53</v>
      </c>
      <c r="W65" s="44">
        <v>406.84129470185405</v>
      </c>
      <c r="X65" s="37">
        <v>4.8221596571812277</v>
      </c>
      <c r="Y65" s="38" t="s">
        <v>53</v>
      </c>
      <c r="Z65" s="44">
        <v>408.11050353424815</v>
      </c>
      <c r="AA65" s="37">
        <v>4.6736230043268598</v>
      </c>
      <c r="AB65" s="38" t="s">
        <v>53</v>
      </c>
      <c r="AC65" s="44">
        <v>404.1778084425203</v>
      </c>
      <c r="AD65" s="37">
        <v>8.8207172878583844</v>
      </c>
      <c r="AE65" s="38" t="s">
        <v>53</v>
      </c>
      <c r="AF65" s="44">
        <v>-16.082679748535156</v>
      </c>
      <c r="AG65" s="37">
        <v>5.8427677154541016</v>
      </c>
      <c r="AH65" s="38" t="s">
        <v>53</v>
      </c>
      <c r="AI65" s="44">
        <v>-14.649533271789551</v>
      </c>
      <c r="AJ65" s="37">
        <v>5.8551902770996094</v>
      </c>
      <c r="AK65" s="38" t="s">
        <v>53</v>
      </c>
      <c r="AL65" s="44">
        <v>-20.452264785766602</v>
      </c>
      <c r="AM65" s="37">
        <v>9.5480899810791016</v>
      </c>
      <c r="AN65" s="38" t="s">
        <v>53</v>
      </c>
      <c r="AO65" s="44">
        <v>-10.86029052734375</v>
      </c>
      <c r="AP65" s="37">
        <v>12.89076042175293</v>
      </c>
      <c r="AQ65" s="38" t="s">
        <v>53</v>
      </c>
      <c r="AR65" s="44">
        <v>-29.510244369506836</v>
      </c>
      <c r="AS65" s="37">
        <v>12.649511337280273</v>
      </c>
      <c r="AT65" s="39" t="s">
        <v>53</v>
      </c>
    </row>
    <row r="66" spans="1:46" x14ac:dyDescent="0.25">
      <c r="A66" s="15" t="s">
        <v>179</v>
      </c>
      <c r="B66" s="44">
        <v>475.74888637866638</v>
      </c>
      <c r="C66" s="37">
        <v>2.8706581320610094</v>
      </c>
      <c r="D66" s="38" t="s">
        <v>53</v>
      </c>
      <c r="E66" s="44">
        <v>478.52824678319251</v>
      </c>
      <c r="F66" s="37">
        <v>2.894809973657225</v>
      </c>
      <c r="G66" s="38" t="s">
        <v>53</v>
      </c>
      <c r="H66" s="44">
        <v>460.70015331201967</v>
      </c>
      <c r="I66" s="37">
        <v>5.3498376600915876</v>
      </c>
      <c r="J66" s="38" t="s">
        <v>53</v>
      </c>
      <c r="K66" s="44">
        <v>465.13894380641051</v>
      </c>
      <c r="L66" s="37">
        <v>5.5175338887832241</v>
      </c>
      <c r="M66" s="38" t="s">
        <v>53</v>
      </c>
      <c r="N66" s="44">
        <v>451.668557463436</v>
      </c>
      <c r="O66" s="37">
        <v>8.4218612130941128</v>
      </c>
      <c r="P66" s="38" t="s">
        <v>53</v>
      </c>
      <c r="Q66" s="44">
        <v>478.98915239507591</v>
      </c>
      <c r="R66" s="37">
        <v>2.6685131126062482</v>
      </c>
      <c r="S66" s="38" t="s">
        <v>53</v>
      </c>
      <c r="T66" s="44">
        <v>481.09930194308873</v>
      </c>
      <c r="U66" s="37">
        <v>2.6138834017297996</v>
      </c>
      <c r="V66" s="38" t="s">
        <v>53</v>
      </c>
      <c r="W66" s="44">
        <v>471.4609245577268</v>
      </c>
      <c r="X66" s="37">
        <v>5.5047985205570358</v>
      </c>
      <c r="Y66" s="38" t="s">
        <v>53</v>
      </c>
      <c r="Z66" s="44">
        <v>472.79779805926057</v>
      </c>
      <c r="AA66" s="37">
        <v>5.7161799521977086</v>
      </c>
      <c r="AB66" s="38" t="s">
        <v>53</v>
      </c>
      <c r="AC66" s="44">
        <v>463.78587121927353</v>
      </c>
      <c r="AD66" s="37">
        <v>11.788967493873962</v>
      </c>
      <c r="AE66" s="38" t="s">
        <v>53</v>
      </c>
      <c r="AF66" s="44">
        <v>3.2402660846710205</v>
      </c>
      <c r="AG66" s="37">
        <v>5.2680206298828125</v>
      </c>
      <c r="AH66" s="38" t="s">
        <v>53</v>
      </c>
      <c r="AI66" s="44">
        <v>2.5710551738739014</v>
      </c>
      <c r="AJ66" s="37">
        <v>5.2538280487060547</v>
      </c>
      <c r="AK66" s="38" t="s">
        <v>53</v>
      </c>
      <c r="AL66" s="44">
        <v>10.760770797729492</v>
      </c>
      <c r="AM66" s="37">
        <v>8.4447603225708008</v>
      </c>
      <c r="AN66" s="38" t="s">
        <v>53</v>
      </c>
      <c r="AO66" s="44">
        <v>7.6588544845581055</v>
      </c>
      <c r="AP66" s="37">
        <v>8.6895503997802734</v>
      </c>
      <c r="AQ66" s="38" t="s">
        <v>53</v>
      </c>
      <c r="AR66" s="44">
        <v>12.117313385009766</v>
      </c>
      <c r="AS66" s="37">
        <v>14.909658432006836</v>
      </c>
      <c r="AT66" s="39" t="s">
        <v>53</v>
      </c>
    </row>
    <row r="67" spans="1:46" x14ac:dyDescent="0.25">
      <c r="A67" s="15" t="s">
        <v>180</v>
      </c>
      <c r="B67" s="44" t="s">
        <v>55</v>
      </c>
      <c r="C67" s="37" t="s">
        <v>55</v>
      </c>
      <c r="D67" s="38" t="s">
        <v>53</v>
      </c>
      <c r="E67" s="44" t="s">
        <v>55</v>
      </c>
      <c r="F67" s="37" t="s">
        <v>55</v>
      </c>
      <c r="G67" s="38" t="s">
        <v>53</v>
      </c>
      <c r="H67" s="44" t="s">
        <v>55</v>
      </c>
      <c r="I67" s="37" t="s">
        <v>55</v>
      </c>
      <c r="J67" s="38" t="s">
        <v>53</v>
      </c>
      <c r="K67" s="44" t="s">
        <v>55</v>
      </c>
      <c r="L67" s="37" t="s">
        <v>55</v>
      </c>
      <c r="M67" s="38" t="s">
        <v>53</v>
      </c>
      <c r="N67" s="44" t="s">
        <v>55</v>
      </c>
      <c r="O67" s="37" t="s">
        <v>55</v>
      </c>
      <c r="P67" s="38" t="s">
        <v>53</v>
      </c>
      <c r="Q67" s="44">
        <v>424.3582472168186</v>
      </c>
      <c r="R67" s="37">
        <v>1.3684262455127574</v>
      </c>
      <c r="S67" s="38" t="s">
        <v>53</v>
      </c>
      <c r="T67" s="44">
        <v>425.75098848206346</v>
      </c>
      <c r="U67" s="37">
        <v>1.3752496541767181</v>
      </c>
      <c r="V67" s="38" t="s">
        <v>53</v>
      </c>
      <c r="W67" s="44">
        <v>430.11146096387239</v>
      </c>
      <c r="X67" s="37">
        <v>3.9651388967310552</v>
      </c>
      <c r="Y67" s="38" t="s">
        <v>53</v>
      </c>
      <c r="Z67" s="44">
        <v>419.62038500031258</v>
      </c>
      <c r="AA67" s="37">
        <v>6.3930935078984934</v>
      </c>
      <c r="AB67" s="38" t="s">
        <v>53</v>
      </c>
      <c r="AC67" s="44">
        <v>435.81509041196114</v>
      </c>
      <c r="AD67" s="37">
        <v>5.3945538143819975</v>
      </c>
      <c r="AE67" s="38" t="s">
        <v>53</v>
      </c>
      <c r="AF67" s="44" t="s">
        <v>55</v>
      </c>
      <c r="AG67" s="37" t="s">
        <v>55</v>
      </c>
      <c r="AH67" s="38" t="s">
        <v>53</v>
      </c>
      <c r="AI67" s="44" t="s">
        <v>55</v>
      </c>
      <c r="AJ67" s="37" t="s">
        <v>55</v>
      </c>
      <c r="AK67" s="38" t="s">
        <v>53</v>
      </c>
      <c r="AL67" s="44" t="s">
        <v>55</v>
      </c>
      <c r="AM67" s="37" t="s">
        <v>55</v>
      </c>
      <c r="AN67" s="38" t="s">
        <v>53</v>
      </c>
      <c r="AO67" s="44" t="s">
        <v>55</v>
      </c>
      <c r="AP67" s="37" t="s">
        <v>55</v>
      </c>
      <c r="AQ67" s="38" t="s">
        <v>53</v>
      </c>
      <c r="AR67" s="44" t="s">
        <v>55</v>
      </c>
      <c r="AS67" s="37" t="s">
        <v>55</v>
      </c>
      <c r="AT67" s="39" t="s">
        <v>53</v>
      </c>
    </row>
    <row r="68" spans="1:46" x14ac:dyDescent="0.25">
      <c r="A68" s="15" t="s">
        <v>181</v>
      </c>
      <c r="B68" s="44" t="s">
        <v>55</v>
      </c>
      <c r="C68" s="37" t="s">
        <v>55</v>
      </c>
      <c r="D68" s="38" t="s">
        <v>53</v>
      </c>
      <c r="E68" s="44" t="s">
        <v>55</v>
      </c>
      <c r="F68" s="37" t="s">
        <v>55</v>
      </c>
      <c r="G68" s="38" t="s">
        <v>53</v>
      </c>
      <c r="H68" s="44" t="s">
        <v>55</v>
      </c>
      <c r="I68" s="37" t="s">
        <v>55</v>
      </c>
      <c r="J68" s="38" t="s">
        <v>53</v>
      </c>
      <c r="K68" s="44" t="s">
        <v>55</v>
      </c>
      <c r="L68" s="37" t="s">
        <v>55</v>
      </c>
      <c r="M68" s="38" t="s">
        <v>53</v>
      </c>
      <c r="N68" s="44" t="s">
        <v>55</v>
      </c>
      <c r="O68" s="37" t="s">
        <v>55</v>
      </c>
      <c r="P68" s="38" t="s">
        <v>53</v>
      </c>
      <c r="Q68" s="44">
        <v>341.62562074396402</v>
      </c>
      <c r="R68" s="37">
        <v>2.8637438186871429</v>
      </c>
      <c r="S68" s="38" t="s">
        <v>53</v>
      </c>
      <c r="T68" s="44">
        <v>346.56327698254552</v>
      </c>
      <c r="U68" s="37">
        <v>2.7201645824831062</v>
      </c>
      <c r="V68" s="38" t="s">
        <v>53</v>
      </c>
      <c r="W68" s="44">
        <v>322.45072463937441</v>
      </c>
      <c r="X68" s="37">
        <v>11.230844368290061</v>
      </c>
      <c r="Y68" s="38" t="s">
        <v>53</v>
      </c>
      <c r="Z68" s="44">
        <v>323.02329078594448</v>
      </c>
      <c r="AA68" s="37">
        <v>10.415539875826035</v>
      </c>
      <c r="AB68" s="38" t="s">
        <v>53</v>
      </c>
      <c r="AC68" s="44">
        <v>321.75266961134048</v>
      </c>
      <c r="AD68" s="37">
        <v>16.236985563465392</v>
      </c>
      <c r="AE68" s="38" t="s">
        <v>53</v>
      </c>
      <c r="AF68" s="44" t="s">
        <v>55</v>
      </c>
      <c r="AG68" s="37" t="s">
        <v>55</v>
      </c>
      <c r="AH68" s="38" t="s">
        <v>53</v>
      </c>
      <c r="AI68" s="44" t="s">
        <v>55</v>
      </c>
      <c r="AJ68" s="37" t="s">
        <v>55</v>
      </c>
      <c r="AK68" s="38" t="s">
        <v>53</v>
      </c>
      <c r="AL68" s="44" t="s">
        <v>55</v>
      </c>
      <c r="AM68" s="37" t="s">
        <v>55</v>
      </c>
      <c r="AN68" s="38" t="s">
        <v>53</v>
      </c>
      <c r="AO68" s="44" t="s">
        <v>55</v>
      </c>
      <c r="AP68" s="37" t="s">
        <v>55</v>
      </c>
      <c r="AQ68" s="38" t="s">
        <v>53</v>
      </c>
      <c r="AR68" s="44" t="s">
        <v>55</v>
      </c>
      <c r="AS68" s="37" t="s">
        <v>55</v>
      </c>
      <c r="AT68" s="39" t="s">
        <v>53</v>
      </c>
    </row>
    <row r="69" spans="1:46" x14ac:dyDescent="0.25">
      <c r="A69" s="15" t="s">
        <v>182</v>
      </c>
      <c r="B69" s="44">
        <v>374.25984206263257</v>
      </c>
      <c r="C69" s="37">
        <v>2.88632125295574</v>
      </c>
      <c r="D69" s="38" t="s">
        <v>53</v>
      </c>
      <c r="E69" s="44">
        <v>378.02493958364585</v>
      </c>
      <c r="F69" s="37">
        <v>2.8017994873611158</v>
      </c>
      <c r="G69" s="38" t="s">
        <v>53</v>
      </c>
      <c r="H69" s="44">
        <v>392.63983344211846</v>
      </c>
      <c r="I69" s="37">
        <v>11.12143597308418</v>
      </c>
      <c r="J69" s="38" t="s">
        <v>53</v>
      </c>
      <c r="K69" s="44">
        <v>392.90973591109059</v>
      </c>
      <c r="L69" s="37">
        <v>10.709976318380976</v>
      </c>
      <c r="M69" s="38" t="s">
        <v>53</v>
      </c>
      <c r="N69" s="44" t="s">
        <v>56</v>
      </c>
      <c r="O69" s="37" t="s">
        <v>56</v>
      </c>
      <c r="P69" s="38" t="s">
        <v>53</v>
      </c>
      <c r="Q69" s="44">
        <v>379.75254064634555</v>
      </c>
      <c r="R69" s="37">
        <v>2.1613326019945704</v>
      </c>
      <c r="S69" s="38" t="s">
        <v>53</v>
      </c>
      <c r="T69" s="44">
        <v>383.96548728003103</v>
      </c>
      <c r="U69" s="37">
        <v>2.1227240230702038</v>
      </c>
      <c r="V69" s="38" t="s">
        <v>53</v>
      </c>
      <c r="W69" s="44">
        <v>332.63120321858423</v>
      </c>
      <c r="X69" s="37">
        <v>11.380558049998118</v>
      </c>
      <c r="Y69" s="38" t="s">
        <v>53</v>
      </c>
      <c r="Z69" s="44">
        <v>328.06667122618956</v>
      </c>
      <c r="AA69" s="37">
        <v>15.262939474967105</v>
      </c>
      <c r="AB69" s="38" t="s">
        <v>53</v>
      </c>
      <c r="AC69" s="44" t="s">
        <v>56</v>
      </c>
      <c r="AD69" s="37" t="s">
        <v>56</v>
      </c>
      <c r="AE69" s="38" t="s">
        <v>53</v>
      </c>
      <c r="AF69" s="44">
        <v>5.4926986694335938</v>
      </c>
      <c r="AG69" s="37">
        <v>5.0391077995300293</v>
      </c>
      <c r="AH69" s="38" t="s">
        <v>53</v>
      </c>
      <c r="AI69" s="44">
        <v>5.9405474662780762</v>
      </c>
      <c r="AJ69" s="37">
        <v>4.9745793342590332</v>
      </c>
      <c r="AK69" s="38" t="s">
        <v>53</v>
      </c>
      <c r="AL69" s="44">
        <v>-60.008628845214844</v>
      </c>
      <c r="AM69" s="37">
        <v>16.297050476074219</v>
      </c>
      <c r="AN69" s="38" t="s">
        <v>53</v>
      </c>
      <c r="AO69" s="44">
        <v>-64.843063354492188</v>
      </c>
      <c r="AP69" s="37">
        <v>18.975017547607422</v>
      </c>
      <c r="AQ69" s="38" t="s">
        <v>53</v>
      </c>
      <c r="AR69" s="44" t="s">
        <v>55</v>
      </c>
      <c r="AS69" s="37" t="s">
        <v>55</v>
      </c>
      <c r="AT69" s="39" t="s">
        <v>53</v>
      </c>
    </row>
    <row r="70" spans="1:46" x14ac:dyDescent="0.25">
      <c r="A70" s="15" t="s">
        <v>229</v>
      </c>
      <c r="B70" s="44">
        <v>533.15126802471059</v>
      </c>
      <c r="C70" s="37">
        <v>2.1173592832066324</v>
      </c>
      <c r="D70" s="38" t="s">
        <v>53</v>
      </c>
      <c r="E70" s="44">
        <v>535.31621753138393</v>
      </c>
      <c r="F70" s="37">
        <v>2.6745423822861798</v>
      </c>
      <c r="G70" s="38" t="s">
        <v>53</v>
      </c>
      <c r="H70" s="44">
        <v>530.84668573440808</v>
      </c>
      <c r="I70" s="37">
        <v>3.3844629215569606</v>
      </c>
      <c r="J70" s="38" t="s">
        <v>53</v>
      </c>
      <c r="K70" s="44">
        <v>543.16729949704813</v>
      </c>
      <c r="L70" s="37">
        <v>3.2022845286756163</v>
      </c>
      <c r="M70" s="38" t="s">
        <v>53</v>
      </c>
      <c r="N70" s="44">
        <v>511.82311279890837</v>
      </c>
      <c r="O70" s="37">
        <v>5.4829079116599315</v>
      </c>
      <c r="P70" s="38" t="s">
        <v>53</v>
      </c>
      <c r="Q70" s="44">
        <v>524.28311715195014</v>
      </c>
      <c r="R70" s="37">
        <v>2.7317094257236767</v>
      </c>
      <c r="S70" s="38" t="s">
        <v>53</v>
      </c>
      <c r="T70" s="44">
        <v>529.05516038361827</v>
      </c>
      <c r="U70" s="37">
        <v>2.8875191614180689</v>
      </c>
      <c r="V70" s="38" t="s">
        <v>53</v>
      </c>
      <c r="W70" s="44">
        <v>522.08927115491201</v>
      </c>
      <c r="X70" s="37">
        <v>4.6649425498891643</v>
      </c>
      <c r="Y70" s="38" t="s">
        <v>53</v>
      </c>
      <c r="Z70" s="44">
        <v>532.62351748124138</v>
      </c>
      <c r="AA70" s="37">
        <v>4.307202056885763</v>
      </c>
      <c r="AB70" s="38" t="s">
        <v>53</v>
      </c>
      <c r="AC70" s="44">
        <v>501.53445084317582</v>
      </c>
      <c r="AD70" s="37">
        <v>6.9277175982311165</v>
      </c>
      <c r="AE70" s="38" t="s">
        <v>53</v>
      </c>
      <c r="AF70" s="44">
        <v>-8.8681507110595703</v>
      </c>
      <c r="AG70" s="37">
        <v>4.9331374168395996</v>
      </c>
      <c r="AH70" s="38" t="s">
        <v>53</v>
      </c>
      <c r="AI70" s="44">
        <v>-6.2610573768615723</v>
      </c>
      <c r="AJ70" s="37">
        <v>5.2802786827087402</v>
      </c>
      <c r="AK70" s="38" t="s">
        <v>53</v>
      </c>
      <c r="AL70" s="44">
        <v>-8.7574148178100586</v>
      </c>
      <c r="AM70" s="37">
        <v>6.7532715797424316</v>
      </c>
      <c r="AN70" s="38" t="s">
        <v>53</v>
      </c>
      <c r="AO70" s="44">
        <v>-10.543782234191895</v>
      </c>
      <c r="AP70" s="37">
        <v>6.418489933013916</v>
      </c>
      <c r="AQ70" s="38" t="s">
        <v>53</v>
      </c>
      <c r="AR70" s="44">
        <v>-10.288661956787109</v>
      </c>
      <c r="AS70" s="37">
        <v>9.5103073120117188</v>
      </c>
      <c r="AT70" s="39" t="s">
        <v>53</v>
      </c>
    </row>
    <row r="71" spans="1:46" x14ac:dyDescent="0.25">
      <c r="A71" s="15" t="s">
        <v>183</v>
      </c>
      <c r="B71" s="44">
        <v>401.70519570522958</v>
      </c>
      <c r="C71" s="37">
        <v>3.7352226972122926</v>
      </c>
      <c r="D71" s="38" t="s">
        <v>53</v>
      </c>
      <c r="E71" s="44">
        <v>402.54848215654903</v>
      </c>
      <c r="F71" s="37">
        <v>3.7044618915719871</v>
      </c>
      <c r="G71" s="38" t="s">
        <v>53</v>
      </c>
      <c r="H71" s="44" t="s">
        <v>56</v>
      </c>
      <c r="I71" s="37" t="s">
        <v>56</v>
      </c>
      <c r="J71" s="38" t="s">
        <v>53</v>
      </c>
      <c r="K71" s="44" t="s">
        <v>55</v>
      </c>
      <c r="L71" s="37" t="s">
        <v>55</v>
      </c>
      <c r="M71" s="38" t="s">
        <v>53</v>
      </c>
      <c r="N71" s="44" t="s">
        <v>56</v>
      </c>
      <c r="O71" s="37" t="s">
        <v>56</v>
      </c>
      <c r="P71" s="38" t="s">
        <v>53</v>
      </c>
      <c r="Q71" s="44">
        <v>370.96538184622591</v>
      </c>
      <c r="R71" s="37">
        <v>2.5590979987987481</v>
      </c>
      <c r="S71" s="38" t="s">
        <v>53</v>
      </c>
      <c r="T71" s="44">
        <v>372.66433856228559</v>
      </c>
      <c r="U71" s="37">
        <v>2.636830489537525</v>
      </c>
      <c r="V71" s="38" t="s">
        <v>53</v>
      </c>
      <c r="W71" s="44">
        <v>275.57463329929982</v>
      </c>
      <c r="X71" s="37">
        <v>16.024780363863126</v>
      </c>
      <c r="Y71" s="38" t="s">
        <v>53</v>
      </c>
      <c r="Z71" s="44" t="s">
        <v>56</v>
      </c>
      <c r="AA71" s="37" t="s">
        <v>56</v>
      </c>
      <c r="AB71" s="38" t="s">
        <v>53</v>
      </c>
      <c r="AC71" s="44" t="s">
        <v>56</v>
      </c>
      <c r="AD71" s="37" t="s">
        <v>56</v>
      </c>
      <c r="AE71" s="38" t="s">
        <v>53</v>
      </c>
      <c r="AF71" s="44">
        <v>-30.739814758300781</v>
      </c>
      <c r="AG71" s="37">
        <v>5.7350912094116211</v>
      </c>
      <c r="AH71" s="38" t="s">
        <v>53</v>
      </c>
      <c r="AI71" s="44">
        <v>-29.884143829345703</v>
      </c>
      <c r="AJ71" s="37">
        <v>5.7503314018249512</v>
      </c>
      <c r="AK71" s="38" t="s">
        <v>53</v>
      </c>
      <c r="AL71" s="44" t="s">
        <v>55</v>
      </c>
      <c r="AM71" s="37" t="s">
        <v>55</v>
      </c>
      <c r="AN71" s="38" t="s">
        <v>53</v>
      </c>
      <c r="AO71" s="44" t="s">
        <v>55</v>
      </c>
      <c r="AP71" s="37" t="s">
        <v>55</v>
      </c>
      <c r="AQ71" s="38" t="s">
        <v>53</v>
      </c>
      <c r="AR71" s="44" t="s">
        <v>55</v>
      </c>
      <c r="AS71" s="37" t="s">
        <v>55</v>
      </c>
      <c r="AT71" s="39" t="s">
        <v>53</v>
      </c>
    </row>
    <row r="72" spans="1:46" x14ac:dyDescent="0.25">
      <c r="A72" s="15" t="s">
        <v>184</v>
      </c>
      <c r="B72" s="44">
        <v>405.00931740164879</v>
      </c>
      <c r="C72" s="37">
        <v>3.3077342888321306</v>
      </c>
      <c r="D72" s="38" t="s">
        <v>53</v>
      </c>
      <c r="E72" s="44">
        <v>407.17046143583661</v>
      </c>
      <c r="F72" s="37">
        <v>3.1096769996383098</v>
      </c>
      <c r="G72" s="38" t="s">
        <v>53</v>
      </c>
      <c r="H72" s="44">
        <v>418.46229415405236</v>
      </c>
      <c r="I72" s="37">
        <v>5.7478602946275439</v>
      </c>
      <c r="J72" s="38" t="s">
        <v>53</v>
      </c>
      <c r="K72" s="44">
        <v>420.43409295907799</v>
      </c>
      <c r="L72" s="37">
        <v>6.5429504571131494</v>
      </c>
      <c r="M72" s="38" t="s">
        <v>53</v>
      </c>
      <c r="N72" s="44">
        <v>412.13907906733158</v>
      </c>
      <c r="O72" s="37">
        <v>8.6449929276714741</v>
      </c>
      <c r="P72" s="38" t="s">
        <v>53</v>
      </c>
      <c r="Q72" s="44">
        <v>419.0636607101942</v>
      </c>
      <c r="R72" s="37">
        <v>2.9350356824013657</v>
      </c>
      <c r="S72" s="38" t="s">
        <v>53</v>
      </c>
      <c r="T72" s="44">
        <v>420.75965730712926</v>
      </c>
      <c r="U72" s="37">
        <v>2.7283243934055279</v>
      </c>
      <c r="V72" s="38" t="s">
        <v>53</v>
      </c>
      <c r="W72" s="44">
        <v>433.25282108456526</v>
      </c>
      <c r="X72" s="37">
        <v>4.5222598644377765</v>
      </c>
      <c r="Y72" s="38" t="s">
        <v>53</v>
      </c>
      <c r="Z72" s="44">
        <v>432.8015623437521</v>
      </c>
      <c r="AA72" s="37">
        <v>4.9636993405838217</v>
      </c>
      <c r="AB72" s="38" t="s">
        <v>53</v>
      </c>
      <c r="AC72" s="44">
        <v>433.82534997244142</v>
      </c>
      <c r="AD72" s="37">
        <v>6.1332876224574608</v>
      </c>
      <c r="AE72" s="38" t="s">
        <v>53</v>
      </c>
      <c r="AF72" s="44">
        <v>14.054343223571777</v>
      </c>
      <c r="AG72" s="37">
        <v>5.652073860168457</v>
      </c>
      <c r="AH72" s="38" t="s">
        <v>53</v>
      </c>
      <c r="AI72" s="44">
        <v>13.58919620513916</v>
      </c>
      <c r="AJ72" s="37">
        <v>5.4317808151245117</v>
      </c>
      <c r="AK72" s="38" t="s">
        <v>53</v>
      </c>
      <c r="AL72" s="44">
        <v>14.79052734375</v>
      </c>
      <c r="AM72" s="37">
        <v>8.1165962219238281</v>
      </c>
      <c r="AN72" s="38" t="s">
        <v>53</v>
      </c>
      <c r="AO72" s="44">
        <v>12.367469787597656</v>
      </c>
      <c r="AP72" s="37">
        <v>8.9352626800537109</v>
      </c>
      <c r="AQ72" s="38" t="s">
        <v>53</v>
      </c>
      <c r="AR72" s="44">
        <v>21.686271667480469</v>
      </c>
      <c r="AS72" s="37">
        <v>11.168864250183105</v>
      </c>
      <c r="AT72" s="39" t="s">
        <v>53</v>
      </c>
    </row>
    <row r="73" spans="1:46" x14ac:dyDescent="0.25">
      <c r="A73" s="15" t="s">
        <v>185</v>
      </c>
      <c r="B73" s="44">
        <v>390.41007653685517</v>
      </c>
      <c r="C73" s="37">
        <v>3.0724317294624641</v>
      </c>
      <c r="D73" s="38" t="s">
        <v>53</v>
      </c>
      <c r="E73" s="44">
        <v>390.07435835182906</v>
      </c>
      <c r="F73" s="37">
        <v>3.1754948444022104</v>
      </c>
      <c r="G73" s="38" t="s">
        <v>53</v>
      </c>
      <c r="H73" s="44">
        <v>396.39230860563725</v>
      </c>
      <c r="I73" s="37">
        <v>9.7435746210144512</v>
      </c>
      <c r="J73" s="38" t="s">
        <v>53</v>
      </c>
      <c r="K73" s="44">
        <v>414.76415368974062</v>
      </c>
      <c r="L73" s="37">
        <v>12.124854145044367</v>
      </c>
      <c r="M73" s="38" t="s">
        <v>53</v>
      </c>
      <c r="N73" s="44">
        <v>365.98384989427859</v>
      </c>
      <c r="O73" s="37">
        <v>8.8785892939994469</v>
      </c>
      <c r="P73" s="38" t="s">
        <v>53</v>
      </c>
      <c r="Q73" s="44">
        <v>386.90927469955631</v>
      </c>
      <c r="R73" s="37">
        <v>1.4605218931337096</v>
      </c>
      <c r="S73" s="38" t="s">
        <v>53</v>
      </c>
      <c r="T73" s="44">
        <v>388.62813441877745</v>
      </c>
      <c r="U73" s="37">
        <v>1.5366598301310364</v>
      </c>
      <c r="V73" s="38" t="s">
        <v>53</v>
      </c>
      <c r="W73" s="44">
        <v>377.38390380212491</v>
      </c>
      <c r="X73" s="37">
        <v>2.7890969266208065</v>
      </c>
      <c r="Y73" s="38" t="s">
        <v>53</v>
      </c>
      <c r="Z73" s="44">
        <v>388.83169975346573</v>
      </c>
      <c r="AA73" s="37">
        <v>3.9952461290351176</v>
      </c>
      <c r="AB73" s="38" t="s">
        <v>53</v>
      </c>
      <c r="AC73" s="44">
        <v>365.52677799489635</v>
      </c>
      <c r="AD73" s="37">
        <v>3.733614356429054</v>
      </c>
      <c r="AE73" s="38" t="s">
        <v>53</v>
      </c>
      <c r="AF73" s="44">
        <v>-3.5008018016815186</v>
      </c>
      <c r="AG73" s="37">
        <v>4.8952383995056152</v>
      </c>
      <c r="AH73" s="38" t="s">
        <v>53</v>
      </c>
      <c r="AI73" s="44">
        <v>-1.4462239742279053</v>
      </c>
      <c r="AJ73" s="37">
        <v>4.9835219383239746</v>
      </c>
      <c r="AK73" s="38" t="s">
        <v>53</v>
      </c>
      <c r="AL73" s="44">
        <v>-19.008405685424805</v>
      </c>
      <c r="AM73" s="37">
        <v>10.728779792785645</v>
      </c>
      <c r="AN73" s="38" t="s">
        <v>53</v>
      </c>
      <c r="AO73" s="44">
        <v>-25.932453155517578</v>
      </c>
      <c r="AP73" s="37">
        <v>13.242525100708008</v>
      </c>
      <c r="AQ73" s="38" t="s">
        <v>53</v>
      </c>
      <c r="AR73" s="44">
        <v>-0.45707190036773682</v>
      </c>
      <c r="AS73" s="37">
        <v>10.25473690032959</v>
      </c>
      <c r="AT73" s="39" t="s">
        <v>53</v>
      </c>
    </row>
    <row r="74" spans="1:46" x14ac:dyDescent="0.25">
      <c r="A74" s="15" t="s">
        <v>186</v>
      </c>
      <c r="B74" s="44" t="s">
        <v>55</v>
      </c>
      <c r="C74" s="37" t="s">
        <v>55</v>
      </c>
      <c r="D74" s="38" t="s">
        <v>53</v>
      </c>
      <c r="E74" s="44" t="s">
        <v>55</v>
      </c>
      <c r="F74" s="37" t="s">
        <v>55</v>
      </c>
      <c r="G74" s="38" t="s">
        <v>53</v>
      </c>
      <c r="H74" s="44" t="s">
        <v>55</v>
      </c>
      <c r="I74" s="37" t="s">
        <v>55</v>
      </c>
      <c r="J74" s="38" t="s">
        <v>53</v>
      </c>
      <c r="K74" s="44" t="s">
        <v>55</v>
      </c>
      <c r="L74" s="37" t="s">
        <v>55</v>
      </c>
      <c r="M74" s="38" t="s">
        <v>53</v>
      </c>
      <c r="N74" s="44" t="s">
        <v>55</v>
      </c>
      <c r="O74" s="37" t="s">
        <v>55</v>
      </c>
      <c r="P74" s="38" t="s">
        <v>53</v>
      </c>
      <c r="Q74" s="44">
        <v>353.06543254045846</v>
      </c>
      <c r="R74" s="37">
        <v>1.1403396791265359</v>
      </c>
      <c r="S74" s="38" t="s">
        <v>53</v>
      </c>
      <c r="T74" s="44">
        <v>354.51579992235611</v>
      </c>
      <c r="U74" s="37">
        <v>1.1395350506508843</v>
      </c>
      <c r="V74" s="38" t="s">
        <v>53</v>
      </c>
      <c r="W74" s="44">
        <v>332.55598680712495</v>
      </c>
      <c r="X74" s="37">
        <v>8.2628967098884445</v>
      </c>
      <c r="Y74" s="38" t="s">
        <v>53</v>
      </c>
      <c r="Z74" s="44">
        <v>338.53311387871076</v>
      </c>
      <c r="AA74" s="37">
        <v>9.2689306377371814</v>
      </c>
      <c r="AB74" s="38" t="s">
        <v>53</v>
      </c>
      <c r="AC74" s="44" t="s">
        <v>56</v>
      </c>
      <c r="AD74" s="37" t="s">
        <v>56</v>
      </c>
      <c r="AE74" s="38" t="s">
        <v>53</v>
      </c>
      <c r="AF74" s="44" t="s">
        <v>55</v>
      </c>
      <c r="AG74" s="37" t="s">
        <v>55</v>
      </c>
      <c r="AH74" s="38" t="s">
        <v>53</v>
      </c>
      <c r="AI74" s="44" t="s">
        <v>55</v>
      </c>
      <c r="AJ74" s="37" t="s">
        <v>55</v>
      </c>
      <c r="AK74" s="38" t="s">
        <v>53</v>
      </c>
      <c r="AL74" s="44" t="s">
        <v>55</v>
      </c>
      <c r="AM74" s="37" t="s">
        <v>55</v>
      </c>
      <c r="AN74" s="38" t="s">
        <v>53</v>
      </c>
      <c r="AO74" s="44" t="s">
        <v>55</v>
      </c>
      <c r="AP74" s="37" t="s">
        <v>55</v>
      </c>
      <c r="AQ74" s="38" t="s">
        <v>53</v>
      </c>
      <c r="AR74" s="44" t="s">
        <v>55</v>
      </c>
      <c r="AS74" s="37" t="s">
        <v>55</v>
      </c>
      <c r="AT74" s="39" t="s">
        <v>53</v>
      </c>
    </row>
    <row r="75" spans="1:46" x14ac:dyDescent="0.25">
      <c r="A75" s="15" t="s">
        <v>187</v>
      </c>
      <c r="B75" s="44" t="s">
        <v>55</v>
      </c>
      <c r="C75" s="37" t="s">
        <v>55</v>
      </c>
      <c r="D75" s="38" t="s">
        <v>53</v>
      </c>
      <c r="E75" s="44" t="s">
        <v>55</v>
      </c>
      <c r="F75" s="37" t="s">
        <v>55</v>
      </c>
      <c r="G75" s="38" t="s">
        <v>53</v>
      </c>
      <c r="H75" s="44" t="s">
        <v>55</v>
      </c>
      <c r="I75" s="37" t="s">
        <v>55</v>
      </c>
      <c r="J75" s="38" t="s">
        <v>53</v>
      </c>
      <c r="K75" s="44" t="s">
        <v>55</v>
      </c>
      <c r="L75" s="37" t="s">
        <v>55</v>
      </c>
      <c r="M75" s="38" t="s">
        <v>53</v>
      </c>
      <c r="N75" s="44" t="s">
        <v>55</v>
      </c>
      <c r="O75" s="37" t="s">
        <v>55</v>
      </c>
      <c r="P75" s="38" t="s">
        <v>53</v>
      </c>
      <c r="Q75" s="44">
        <v>353.35531643001087</v>
      </c>
      <c r="R75" s="37">
        <v>4.3179906254746898</v>
      </c>
      <c r="S75" s="38" t="s">
        <v>53</v>
      </c>
      <c r="T75" s="44">
        <v>363.83209814688718</v>
      </c>
      <c r="U75" s="37">
        <v>4.3636271604031158</v>
      </c>
      <c r="V75" s="38" t="s">
        <v>53</v>
      </c>
      <c r="W75" s="44">
        <v>312.84535875641717</v>
      </c>
      <c r="X75" s="37">
        <v>8.3838015554793728</v>
      </c>
      <c r="Y75" s="38" t="s">
        <v>53</v>
      </c>
      <c r="Z75" s="44">
        <v>306.07138246405987</v>
      </c>
      <c r="AA75" s="37">
        <v>13.053265880584956</v>
      </c>
      <c r="AB75" s="38" t="s">
        <v>53</v>
      </c>
      <c r="AC75" s="44">
        <v>316.43157348436239</v>
      </c>
      <c r="AD75" s="37">
        <v>9.3232100030808667</v>
      </c>
      <c r="AE75" s="38" t="s">
        <v>53</v>
      </c>
      <c r="AF75" s="44" t="s">
        <v>55</v>
      </c>
      <c r="AG75" s="37" t="s">
        <v>55</v>
      </c>
      <c r="AH75" s="38" t="s">
        <v>53</v>
      </c>
      <c r="AI75" s="44" t="s">
        <v>55</v>
      </c>
      <c r="AJ75" s="37" t="s">
        <v>55</v>
      </c>
      <c r="AK75" s="38" t="s">
        <v>53</v>
      </c>
      <c r="AL75" s="44" t="s">
        <v>55</v>
      </c>
      <c r="AM75" s="37" t="s">
        <v>55</v>
      </c>
      <c r="AN75" s="38" t="s">
        <v>53</v>
      </c>
      <c r="AO75" s="44" t="s">
        <v>55</v>
      </c>
      <c r="AP75" s="37" t="s">
        <v>55</v>
      </c>
      <c r="AQ75" s="38" t="s">
        <v>53</v>
      </c>
      <c r="AR75" s="44" t="s">
        <v>55</v>
      </c>
      <c r="AS75" s="37" t="s">
        <v>55</v>
      </c>
      <c r="AT75" s="39" t="s">
        <v>53</v>
      </c>
    </row>
    <row r="76" spans="1:46" x14ac:dyDescent="0.25">
      <c r="A76" s="15" t="s">
        <v>188</v>
      </c>
      <c r="B76" s="44">
        <v>486.63534930495183</v>
      </c>
      <c r="C76" s="37">
        <v>0.89183690427234763</v>
      </c>
      <c r="D76" s="38" t="s">
        <v>53</v>
      </c>
      <c r="E76" s="44">
        <v>482.1856496607885</v>
      </c>
      <c r="F76" s="37">
        <v>2.0220162448839276</v>
      </c>
      <c r="G76" s="38" t="s">
        <v>53</v>
      </c>
      <c r="H76" s="44">
        <v>489.47049845876666</v>
      </c>
      <c r="I76" s="37">
        <v>1.0299075209758639</v>
      </c>
      <c r="J76" s="38" t="s">
        <v>53</v>
      </c>
      <c r="K76" s="44">
        <v>489.12519199903227</v>
      </c>
      <c r="L76" s="37">
        <v>1.299210052827366</v>
      </c>
      <c r="M76" s="38" t="s">
        <v>53</v>
      </c>
      <c r="N76" s="44">
        <v>490.69450510648943</v>
      </c>
      <c r="O76" s="37">
        <v>2.1915899298025283</v>
      </c>
      <c r="P76" s="38" t="s">
        <v>53</v>
      </c>
      <c r="Q76" s="44">
        <v>525.11616894822509</v>
      </c>
      <c r="R76" s="37">
        <v>1.2271468603492528</v>
      </c>
      <c r="S76" s="38" t="s">
        <v>53</v>
      </c>
      <c r="T76" s="44">
        <v>511.8137054369115</v>
      </c>
      <c r="U76" s="37">
        <v>2.1734582625342154</v>
      </c>
      <c r="V76" s="38" t="s">
        <v>53</v>
      </c>
      <c r="W76" s="44">
        <v>533.34990365678721</v>
      </c>
      <c r="X76" s="37">
        <v>1.7838480973453394</v>
      </c>
      <c r="Y76" s="38" t="s">
        <v>53</v>
      </c>
      <c r="Z76" s="44">
        <v>528.32655618778142</v>
      </c>
      <c r="AA76" s="37">
        <v>2.53361662743787</v>
      </c>
      <c r="AB76" s="38" t="s">
        <v>53</v>
      </c>
      <c r="AC76" s="44">
        <v>540.43659624751967</v>
      </c>
      <c r="AD76" s="37">
        <v>2.7820596143963638</v>
      </c>
      <c r="AE76" s="38" t="s">
        <v>53</v>
      </c>
      <c r="AF76" s="44">
        <v>38.480819702148438</v>
      </c>
      <c r="AG76" s="37">
        <v>3.8329703807830811</v>
      </c>
      <c r="AH76" s="38" t="s">
        <v>53</v>
      </c>
      <c r="AI76" s="44">
        <v>29.628055572509766</v>
      </c>
      <c r="AJ76" s="37">
        <v>4.6046576499938965</v>
      </c>
      <c r="AK76" s="38" t="s">
        <v>53</v>
      </c>
      <c r="AL76" s="44">
        <v>43.879405975341797</v>
      </c>
      <c r="AM76" s="37">
        <v>4.0783848762512207</v>
      </c>
      <c r="AN76" s="38" t="s">
        <v>53</v>
      </c>
      <c r="AO76" s="44">
        <v>39.201362609863281</v>
      </c>
      <c r="AP76" s="37">
        <v>4.5274229049682617</v>
      </c>
      <c r="AQ76" s="38" t="s">
        <v>53</v>
      </c>
      <c r="AR76" s="44">
        <v>49.742092132568359</v>
      </c>
      <c r="AS76" s="37">
        <v>4.9933276176452637</v>
      </c>
      <c r="AT76" s="39" t="s">
        <v>53</v>
      </c>
    </row>
    <row r="77" spans="1:46" x14ac:dyDescent="0.25">
      <c r="A77" s="15" t="s">
        <v>189</v>
      </c>
      <c r="B77" s="44">
        <v>413.81204363905408</v>
      </c>
      <c r="C77" s="37">
        <v>2.8554458491258843</v>
      </c>
      <c r="D77" s="38" t="s">
        <v>53</v>
      </c>
      <c r="E77" s="44">
        <v>414.77987188945082</v>
      </c>
      <c r="F77" s="37">
        <v>2.830552433487354</v>
      </c>
      <c r="G77" s="38" t="s">
        <v>53</v>
      </c>
      <c r="H77" s="44">
        <v>399.07876257113412</v>
      </c>
      <c r="I77" s="37">
        <v>10.638989162526684</v>
      </c>
      <c r="J77" s="38" t="s">
        <v>53</v>
      </c>
      <c r="K77" s="44">
        <v>404.69519491977337</v>
      </c>
      <c r="L77" s="37">
        <v>10.488688420289161</v>
      </c>
      <c r="M77" s="38" t="s">
        <v>53</v>
      </c>
      <c r="N77" s="44" t="s">
        <v>56</v>
      </c>
      <c r="O77" s="37" t="s">
        <v>56</v>
      </c>
      <c r="P77" s="38" t="s">
        <v>53</v>
      </c>
      <c r="Q77" s="44">
        <v>414.97951420628556</v>
      </c>
      <c r="R77" s="37">
        <v>2.8678316557625401</v>
      </c>
      <c r="S77" s="38" t="s">
        <v>53</v>
      </c>
      <c r="T77" s="44">
        <v>417.44728644157914</v>
      </c>
      <c r="U77" s="37">
        <v>2.8335111843044913</v>
      </c>
      <c r="V77" s="38" t="s">
        <v>53</v>
      </c>
      <c r="W77" s="44">
        <v>409.8391526369943</v>
      </c>
      <c r="X77" s="37">
        <v>16.722978527312076</v>
      </c>
      <c r="Y77" s="38" t="s">
        <v>53</v>
      </c>
      <c r="Z77" s="44">
        <v>413.35357128622775</v>
      </c>
      <c r="AA77" s="37">
        <v>13.042383911809431</v>
      </c>
      <c r="AB77" s="38" t="s">
        <v>53</v>
      </c>
      <c r="AC77" s="44" t="s">
        <v>56</v>
      </c>
      <c r="AD77" s="37" t="s">
        <v>56</v>
      </c>
      <c r="AE77" s="38" t="s">
        <v>53</v>
      </c>
      <c r="AF77" s="44">
        <v>1.1674705743789673</v>
      </c>
      <c r="AG77" s="37">
        <v>5.3636207580566406</v>
      </c>
      <c r="AH77" s="38" t="s">
        <v>53</v>
      </c>
      <c r="AI77" s="44">
        <v>2.667414665222168</v>
      </c>
      <c r="AJ77" s="37">
        <v>5.3320927619934082</v>
      </c>
      <c r="AK77" s="38" t="s">
        <v>53</v>
      </c>
      <c r="AL77" s="44">
        <v>10.760390281677246</v>
      </c>
      <c r="AM77" s="37">
        <v>20.130487442016602</v>
      </c>
      <c r="AN77" s="38" t="s">
        <v>53</v>
      </c>
      <c r="AO77" s="44">
        <v>8.6583766937255859</v>
      </c>
      <c r="AP77" s="37">
        <v>17.102828979492188</v>
      </c>
      <c r="AQ77" s="38" t="s">
        <v>53</v>
      </c>
      <c r="AR77" s="44" t="s">
        <v>55</v>
      </c>
      <c r="AS77" s="37" t="s">
        <v>55</v>
      </c>
      <c r="AT77" s="39" t="s">
        <v>53</v>
      </c>
    </row>
    <row r="78" spans="1:46" x14ac:dyDescent="0.25">
      <c r="A78" s="15" t="s">
        <v>190</v>
      </c>
      <c r="B78" s="44">
        <v>442.05233719817255</v>
      </c>
      <c r="C78" s="37">
        <v>1.5845567339071003</v>
      </c>
      <c r="D78" s="38" t="s">
        <v>53</v>
      </c>
      <c r="E78" s="44">
        <v>445.77223415724393</v>
      </c>
      <c r="F78" s="37">
        <v>1.6817557984882978</v>
      </c>
      <c r="G78" s="38" t="s">
        <v>53</v>
      </c>
      <c r="H78" s="44">
        <v>447.64345797549379</v>
      </c>
      <c r="I78" s="37">
        <v>13.628446235079309</v>
      </c>
      <c r="J78" s="38" t="s">
        <v>53</v>
      </c>
      <c r="K78" s="44" t="s">
        <v>56</v>
      </c>
      <c r="L78" s="37" t="s">
        <v>56</v>
      </c>
      <c r="M78" s="38" t="s">
        <v>53</v>
      </c>
      <c r="N78" s="44">
        <v>446.95969359554124</v>
      </c>
      <c r="O78" s="37">
        <v>15.317158724102541</v>
      </c>
      <c r="P78" s="38" t="s">
        <v>53</v>
      </c>
      <c r="Q78" s="44">
        <v>448.23476010986792</v>
      </c>
      <c r="R78" s="37">
        <v>1.7298503962909231</v>
      </c>
      <c r="S78" s="38" t="s">
        <v>53</v>
      </c>
      <c r="T78" s="44">
        <v>452.36952479826272</v>
      </c>
      <c r="U78" s="37">
        <v>1.7982560813825137</v>
      </c>
      <c r="V78" s="38" t="s">
        <v>53</v>
      </c>
      <c r="W78" s="44">
        <v>451.14131453978729</v>
      </c>
      <c r="X78" s="37">
        <v>6.7910412059092469</v>
      </c>
      <c r="Y78" s="38" t="s">
        <v>53</v>
      </c>
      <c r="Z78" s="44">
        <v>432.88183096960148</v>
      </c>
      <c r="AA78" s="37">
        <v>16.332418101630825</v>
      </c>
      <c r="AB78" s="38" t="s">
        <v>53</v>
      </c>
      <c r="AC78" s="44">
        <v>457.02317280835661</v>
      </c>
      <c r="AD78" s="37">
        <v>8.2877231919989605</v>
      </c>
      <c r="AE78" s="38" t="s">
        <v>53</v>
      </c>
      <c r="AF78" s="44">
        <v>6.1824231147766113</v>
      </c>
      <c r="AG78" s="37">
        <v>4.2300829887390137</v>
      </c>
      <c r="AH78" s="38" t="s">
        <v>53</v>
      </c>
      <c r="AI78" s="44">
        <v>6.5972905158996582</v>
      </c>
      <c r="AJ78" s="37">
        <v>4.2956290245056152</v>
      </c>
      <c r="AK78" s="38" t="s">
        <v>53</v>
      </c>
      <c r="AL78" s="44">
        <v>3.497856616973877</v>
      </c>
      <c r="AM78" s="37">
        <v>15.628281593322754</v>
      </c>
      <c r="AN78" s="38" t="s">
        <v>53</v>
      </c>
      <c r="AO78" s="44" t="s">
        <v>55</v>
      </c>
      <c r="AP78" s="37" t="s">
        <v>55</v>
      </c>
      <c r="AQ78" s="38" t="s">
        <v>53</v>
      </c>
      <c r="AR78" s="44">
        <v>10.063479423522949</v>
      </c>
      <c r="AS78" s="37">
        <v>17.767726898193359</v>
      </c>
      <c r="AT78" s="39" t="s">
        <v>53</v>
      </c>
    </row>
    <row r="79" spans="1:46" x14ac:dyDescent="0.25">
      <c r="A79" s="15" t="s">
        <v>191</v>
      </c>
      <c r="B79" s="44">
        <v>388.07769525825449</v>
      </c>
      <c r="C79" s="37">
        <v>2.834070948481644</v>
      </c>
      <c r="D79" s="38" t="s">
        <v>53</v>
      </c>
      <c r="E79" s="44">
        <v>388.53837315566398</v>
      </c>
      <c r="F79" s="37">
        <v>2.8040348630192238</v>
      </c>
      <c r="G79" s="38" t="s">
        <v>53</v>
      </c>
      <c r="H79" s="44">
        <v>449.15557230126637</v>
      </c>
      <c r="I79" s="37">
        <v>11.076552523705923</v>
      </c>
      <c r="J79" s="38" t="s">
        <v>53</v>
      </c>
      <c r="K79" s="44">
        <v>449.61738847682682</v>
      </c>
      <c r="L79" s="37">
        <v>14.625963189451058</v>
      </c>
      <c r="M79" s="38" t="s">
        <v>53</v>
      </c>
      <c r="N79" s="44" t="s">
        <v>56</v>
      </c>
      <c r="O79" s="37" t="s">
        <v>56</v>
      </c>
      <c r="P79" s="38" t="s">
        <v>53</v>
      </c>
      <c r="Q79" s="44">
        <v>423.99296573788729</v>
      </c>
      <c r="R79" s="37">
        <v>2.4447523026874407</v>
      </c>
      <c r="S79" s="38" t="s">
        <v>53</v>
      </c>
      <c r="T79" s="44">
        <v>427.7633938859135</v>
      </c>
      <c r="U79" s="37">
        <v>2.3858587771142927</v>
      </c>
      <c r="V79" s="38" t="s">
        <v>53</v>
      </c>
      <c r="W79" s="44">
        <v>427.68437528918844</v>
      </c>
      <c r="X79" s="37">
        <v>13.789564617636124</v>
      </c>
      <c r="Y79" s="38" t="s">
        <v>53</v>
      </c>
      <c r="Z79" s="44">
        <v>432.64478190492667</v>
      </c>
      <c r="AA79" s="37">
        <v>14.35181408846738</v>
      </c>
      <c r="AB79" s="38" t="s">
        <v>53</v>
      </c>
      <c r="AC79" s="44" t="s">
        <v>56</v>
      </c>
      <c r="AD79" s="37" t="s">
        <v>56</v>
      </c>
      <c r="AE79" s="38" t="s">
        <v>53</v>
      </c>
      <c r="AF79" s="44">
        <v>35.915271759033203</v>
      </c>
      <c r="AG79" s="37">
        <v>5.1380124092102051</v>
      </c>
      <c r="AH79" s="38" t="s">
        <v>53</v>
      </c>
      <c r="AI79" s="44">
        <v>39.225021362304688</v>
      </c>
      <c r="AJ79" s="37">
        <v>5.093656063079834</v>
      </c>
      <c r="AK79" s="38" t="s">
        <v>53</v>
      </c>
      <c r="AL79" s="44">
        <v>-21.471197128295898</v>
      </c>
      <c r="AM79" s="37">
        <v>18.034204483032227</v>
      </c>
      <c r="AN79" s="38" t="s">
        <v>53</v>
      </c>
      <c r="AO79" s="44">
        <v>-16.972606658935547</v>
      </c>
      <c r="AP79" s="37">
        <v>20.791435241699219</v>
      </c>
      <c r="AQ79" s="38" t="s">
        <v>53</v>
      </c>
      <c r="AR79" s="44" t="s">
        <v>55</v>
      </c>
      <c r="AS79" s="37" t="s">
        <v>55</v>
      </c>
      <c r="AT79" s="39" t="s">
        <v>53</v>
      </c>
    </row>
    <row r="80" spans="1:46" x14ac:dyDescent="0.25">
      <c r="A80" s="15" t="s">
        <v>192</v>
      </c>
      <c r="B80" s="44">
        <v>407.54776948663914</v>
      </c>
      <c r="C80" s="37">
        <v>1.7164858556375695</v>
      </c>
      <c r="D80" s="38" t="s">
        <v>53</v>
      </c>
      <c r="E80" s="44">
        <v>408.42567637706691</v>
      </c>
      <c r="F80" s="37">
        <v>1.6801021396295508</v>
      </c>
      <c r="G80" s="38" t="s">
        <v>53</v>
      </c>
      <c r="H80" s="44">
        <v>415.27984647266959</v>
      </c>
      <c r="I80" s="37">
        <v>6.8100331578310849</v>
      </c>
      <c r="J80" s="38" t="s">
        <v>53</v>
      </c>
      <c r="K80" s="44">
        <v>432.74142476693117</v>
      </c>
      <c r="L80" s="37">
        <v>10.139889462613217</v>
      </c>
      <c r="M80" s="38" t="s">
        <v>53</v>
      </c>
      <c r="N80" s="44">
        <v>404.43523581498562</v>
      </c>
      <c r="O80" s="37">
        <v>8.9404905912802057</v>
      </c>
      <c r="P80" s="38" t="s">
        <v>53</v>
      </c>
      <c r="Q80" s="44">
        <v>421.05757319802069</v>
      </c>
      <c r="R80" s="37">
        <v>1.0549402601205202</v>
      </c>
      <c r="S80" s="38" t="s">
        <v>53</v>
      </c>
      <c r="T80" s="44">
        <v>421.64205199624257</v>
      </c>
      <c r="U80" s="37">
        <v>1.1408298324670065</v>
      </c>
      <c r="V80" s="38" t="s">
        <v>53</v>
      </c>
      <c r="W80" s="44">
        <v>429.2342547374314</v>
      </c>
      <c r="X80" s="37">
        <v>4.4804415560226198</v>
      </c>
      <c r="Y80" s="38" t="s">
        <v>53</v>
      </c>
      <c r="Z80" s="44">
        <v>438.04873830924254</v>
      </c>
      <c r="AA80" s="37">
        <v>6.5046436670247481</v>
      </c>
      <c r="AB80" s="38" t="s">
        <v>53</v>
      </c>
      <c r="AC80" s="44">
        <v>414.85002847852115</v>
      </c>
      <c r="AD80" s="37">
        <v>6.5087538116046746</v>
      </c>
      <c r="AE80" s="38" t="s">
        <v>53</v>
      </c>
      <c r="AF80" s="44">
        <v>13.509803771972656</v>
      </c>
      <c r="AG80" s="37">
        <v>4.0558133125305176</v>
      </c>
      <c r="AH80" s="38" t="s">
        <v>53</v>
      </c>
      <c r="AI80" s="44">
        <v>13.216375350952148</v>
      </c>
      <c r="AJ80" s="37">
        <v>4.0638203620910645</v>
      </c>
      <c r="AK80" s="38" t="s">
        <v>53</v>
      </c>
      <c r="AL80" s="44">
        <v>13.954408645629883</v>
      </c>
      <c r="AM80" s="37">
        <v>8.8792629241943359</v>
      </c>
      <c r="AN80" s="38" t="s">
        <v>53</v>
      </c>
      <c r="AO80" s="44">
        <v>5.3073134422302246</v>
      </c>
      <c r="AP80" s="37">
        <v>12.550622940063477</v>
      </c>
      <c r="AQ80" s="38" t="s">
        <v>53</v>
      </c>
      <c r="AR80" s="44">
        <v>10.414793014526367</v>
      </c>
      <c r="AS80" s="37">
        <v>11.605457305908203</v>
      </c>
      <c r="AT80" s="39" t="s">
        <v>53</v>
      </c>
    </row>
    <row r="81" spans="1:46" x14ac:dyDescent="0.25">
      <c r="A81" s="15" t="s">
        <v>193</v>
      </c>
      <c r="B81" s="44" t="s">
        <v>55</v>
      </c>
      <c r="C81" s="37" t="s">
        <v>55</v>
      </c>
      <c r="D81" s="38" t="s">
        <v>53</v>
      </c>
      <c r="E81" s="44" t="s">
        <v>55</v>
      </c>
      <c r="F81" s="37" t="s">
        <v>55</v>
      </c>
      <c r="G81" s="38" t="s">
        <v>53</v>
      </c>
      <c r="H81" s="44" t="s">
        <v>55</v>
      </c>
      <c r="I81" s="37" t="s">
        <v>55</v>
      </c>
      <c r="J81" s="38" t="s">
        <v>53</v>
      </c>
      <c r="K81" s="44" t="s">
        <v>55</v>
      </c>
      <c r="L81" s="37" t="s">
        <v>55</v>
      </c>
      <c r="M81" s="38" t="s">
        <v>53</v>
      </c>
      <c r="N81" s="44" t="s">
        <v>55</v>
      </c>
      <c r="O81" s="37" t="s">
        <v>55</v>
      </c>
      <c r="P81" s="38" t="s">
        <v>53</v>
      </c>
      <c r="Q81" s="44">
        <v>359.3878862166863</v>
      </c>
      <c r="R81" s="37">
        <v>3.1261445659520315</v>
      </c>
      <c r="S81" s="38" t="s">
        <v>53</v>
      </c>
      <c r="T81" s="44">
        <v>361.02198956093025</v>
      </c>
      <c r="U81" s="37">
        <v>3.170090660135096</v>
      </c>
      <c r="V81" s="38" t="s">
        <v>53</v>
      </c>
      <c r="W81" s="44">
        <v>305.44217362035812</v>
      </c>
      <c r="X81" s="37">
        <v>10.957089669461165</v>
      </c>
      <c r="Y81" s="38" t="s">
        <v>53</v>
      </c>
      <c r="Z81" s="44" t="s">
        <v>56</v>
      </c>
      <c r="AA81" s="37" t="s">
        <v>56</v>
      </c>
      <c r="AB81" s="38" t="s">
        <v>53</v>
      </c>
      <c r="AC81" s="44" t="s">
        <v>56</v>
      </c>
      <c r="AD81" s="37" t="s">
        <v>56</v>
      </c>
      <c r="AE81" s="38" t="s">
        <v>53</v>
      </c>
      <c r="AF81" s="44" t="s">
        <v>55</v>
      </c>
      <c r="AG81" s="37" t="s">
        <v>55</v>
      </c>
      <c r="AH81" s="38" t="s">
        <v>53</v>
      </c>
      <c r="AI81" s="44" t="s">
        <v>55</v>
      </c>
      <c r="AJ81" s="37" t="s">
        <v>55</v>
      </c>
      <c r="AK81" s="38" t="s">
        <v>53</v>
      </c>
      <c r="AL81" s="44" t="s">
        <v>55</v>
      </c>
      <c r="AM81" s="37" t="s">
        <v>55</v>
      </c>
      <c r="AN81" s="38" t="s">
        <v>53</v>
      </c>
      <c r="AO81" s="44" t="s">
        <v>55</v>
      </c>
      <c r="AP81" s="37" t="s">
        <v>55</v>
      </c>
      <c r="AQ81" s="38" t="s">
        <v>53</v>
      </c>
      <c r="AR81" s="44" t="s">
        <v>55</v>
      </c>
      <c r="AS81" s="37" t="s">
        <v>55</v>
      </c>
      <c r="AT81" s="39" t="s">
        <v>53</v>
      </c>
    </row>
    <row r="82" spans="1:46" x14ac:dyDescent="0.25">
      <c r="A82" s="15" t="s">
        <v>194</v>
      </c>
      <c r="B82" s="44" t="s">
        <v>55</v>
      </c>
      <c r="C82" s="37" t="s">
        <v>55</v>
      </c>
      <c r="D82" s="38" t="s">
        <v>53</v>
      </c>
      <c r="E82" s="44" t="s">
        <v>55</v>
      </c>
      <c r="F82" s="37" t="s">
        <v>55</v>
      </c>
      <c r="G82" s="38" t="s">
        <v>53</v>
      </c>
      <c r="H82" s="44" t="s">
        <v>55</v>
      </c>
      <c r="I82" s="37" t="s">
        <v>55</v>
      </c>
      <c r="J82" s="38" t="s">
        <v>53</v>
      </c>
      <c r="K82" s="44" t="s">
        <v>55</v>
      </c>
      <c r="L82" s="37" t="s">
        <v>55</v>
      </c>
      <c r="M82" s="38" t="s">
        <v>53</v>
      </c>
      <c r="N82" s="44" t="s">
        <v>55</v>
      </c>
      <c r="O82" s="37" t="s">
        <v>55</v>
      </c>
      <c r="P82" s="38" t="s">
        <v>53</v>
      </c>
      <c r="Q82" s="44">
        <v>392.66776940308341</v>
      </c>
      <c r="R82" s="37">
        <v>1.1040482297536116</v>
      </c>
      <c r="S82" s="38" t="s">
        <v>53</v>
      </c>
      <c r="T82" s="44">
        <v>396.75617104628009</v>
      </c>
      <c r="U82" s="37">
        <v>1.1890538913168109</v>
      </c>
      <c r="V82" s="38" t="s">
        <v>53</v>
      </c>
      <c r="W82" s="44">
        <v>369.17107689534146</v>
      </c>
      <c r="X82" s="37">
        <v>14.081824472013539</v>
      </c>
      <c r="Y82" s="38" t="s">
        <v>53</v>
      </c>
      <c r="Z82" s="44">
        <v>371.80556015614673</v>
      </c>
      <c r="AA82" s="37">
        <v>17.188532540758807</v>
      </c>
      <c r="AB82" s="38" t="s">
        <v>53</v>
      </c>
      <c r="AC82" s="44" t="s">
        <v>56</v>
      </c>
      <c r="AD82" s="37" t="s">
        <v>56</v>
      </c>
      <c r="AE82" s="38" t="s">
        <v>53</v>
      </c>
      <c r="AF82" s="44" t="s">
        <v>55</v>
      </c>
      <c r="AG82" s="37" t="s">
        <v>55</v>
      </c>
      <c r="AH82" s="38" t="s">
        <v>53</v>
      </c>
      <c r="AI82" s="44" t="s">
        <v>55</v>
      </c>
      <c r="AJ82" s="37" t="s">
        <v>55</v>
      </c>
      <c r="AK82" s="38" t="s">
        <v>53</v>
      </c>
      <c r="AL82" s="44" t="s">
        <v>55</v>
      </c>
      <c r="AM82" s="37" t="s">
        <v>55</v>
      </c>
      <c r="AN82" s="38" t="s">
        <v>53</v>
      </c>
      <c r="AO82" s="44" t="s">
        <v>55</v>
      </c>
      <c r="AP82" s="37" t="s">
        <v>55</v>
      </c>
      <c r="AQ82" s="38" t="s">
        <v>53</v>
      </c>
      <c r="AR82" s="44" t="s">
        <v>55</v>
      </c>
      <c r="AS82" s="37" t="s">
        <v>55</v>
      </c>
      <c r="AT82" s="39" t="s">
        <v>53</v>
      </c>
    </row>
    <row r="83" spans="1:46" x14ac:dyDescent="0.25">
      <c r="A83" s="15" t="s">
        <v>195</v>
      </c>
      <c r="B83" s="44">
        <v>370.72730053829014</v>
      </c>
      <c r="C83" s="37">
        <v>6.5412124835121928</v>
      </c>
      <c r="D83" s="38" t="s">
        <v>53</v>
      </c>
      <c r="E83" s="44">
        <v>382.26606089864077</v>
      </c>
      <c r="F83" s="37">
        <v>5.6131478480438082</v>
      </c>
      <c r="G83" s="38" t="s">
        <v>53</v>
      </c>
      <c r="H83" s="44">
        <v>350.36044737894656</v>
      </c>
      <c r="I83" s="37">
        <v>26.812047316812972</v>
      </c>
      <c r="J83" s="38" t="s">
        <v>53</v>
      </c>
      <c r="K83" s="44">
        <v>397.55189324322311</v>
      </c>
      <c r="L83" s="37">
        <v>28.761582481581513</v>
      </c>
      <c r="M83" s="38" t="s">
        <v>53</v>
      </c>
      <c r="N83" s="44">
        <v>324.17756998554916</v>
      </c>
      <c r="O83" s="37">
        <v>32.589067591412537</v>
      </c>
      <c r="P83" s="38" t="s">
        <v>53</v>
      </c>
      <c r="Q83" s="44">
        <v>376.97131666197612</v>
      </c>
      <c r="R83" s="37">
        <v>2.9540306895980062</v>
      </c>
      <c r="S83" s="38" t="s">
        <v>53</v>
      </c>
      <c r="T83" s="44">
        <v>380.60278246434757</v>
      </c>
      <c r="U83" s="37">
        <v>2.8663696955680673</v>
      </c>
      <c r="V83" s="38" t="s">
        <v>53</v>
      </c>
      <c r="W83" s="44">
        <v>408.2546060456969</v>
      </c>
      <c r="X83" s="37">
        <v>10.073202278862624</v>
      </c>
      <c r="Y83" s="38" t="s">
        <v>53</v>
      </c>
      <c r="Z83" s="44">
        <v>374.91045325307778</v>
      </c>
      <c r="AA83" s="37">
        <v>14.317951944789847</v>
      </c>
      <c r="AB83" s="38" t="s">
        <v>53</v>
      </c>
      <c r="AC83" s="44">
        <v>426.1227369964202</v>
      </c>
      <c r="AD83" s="37">
        <v>12.061511203826711</v>
      </c>
      <c r="AE83" s="38" t="s">
        <v>53</v>
      </c>
      <c r="AF83" s="44">
        <v>6.244016170501709</v>
      </c>
      <c r="AG83" s="37">
        <v>7.9940075874328613</v>
      </c>
      <c r="AH83" s="38" t="s">
        <v>53</v>
      </c>
      <c r="AI83" s="44">
        <v>-1.6632784605026245</v>
      </c>
      <c r="AJ83" s="37">
        <v>7.2189960479736328</v>
      </c>
      <c r="AK83" s="38" t="s">
        <v>53</v>
      </c>
      <c r="AL83" s="44">
        <v>57.894157409667969</v>
      </c>
      <c r="AM83" s="37">
        <v>28.857334136962891</v>
      </c>
      <c r="AN83" s="38" t="s">
        <v>53</v>
      </c>
      <c r="AO83" s="44">
        <v>-22.641439437866211</v>
      </c>
      <c r="AP83" s="37">
        <v>32.320625305175781</v>
      </c>
      <c r="AQ83" s="38" t="s">
        <v>53</v>
      </c>
      <c r="AR83" s="44">
        <v>101.94516754150391</v>
      </c>
      <c r="AS83" s="37">
        <v>34.927322387695313</v>
      </c>
      <c r="AT83" s="39" t="s">
        <v>53</v>
      </c>
    </row>
    <row r="84" spans="1:46" x14ac:dyDescent="0.25">
      <c r="A84" s="15" t="s">
        <v>196</v>
      </c>
      <c r="B84" s="44">
        <v>369.69576026268101</v>
      </c>
      <c r="C84" s="37">
        <v>3.9514080087084942</v>
      </c>
      <c r="D84" s="38" t="s">
        <v>53</v>
      </c>
      <c r="E84" s="44">
        <v>373.97446112748918</v>
      </c>
      <c r="F84" s="37">
        <v>3.9366363090352308</v>
      </c>
      <c r="G84" s="38" t="s">
        <v>53</v>
      </c>
      <c r="H84" s="44" t="s">
        <v>56</v>
      </c>
      <c r="I84" s="37" t="s">
        <v>56</v>
      </c>
      <c r="J84" s="38" t="s">
        <v>53</v>
      </c>
      <c r="K84" s="44" t="s">
        <v>56</v>
      </c>
      <c r="L84" s="37" t="s">
        <v>56</v>
      </c>
      <c r="M84" s="38" t="s">
        <v>53</v>
      </c>
      <c r="N84" s="44" t="s">
        <v>56</v>
      </c>
      <c r="O84" s="37" t="s">
        <v>56</v>
      </c>
      <c r="P84" s="38" t="s">
        <v>53</v>
      </c>
      <c r="Q84" s="44">
        <v>400.51370593416982</v>
      </c>
      <c r="R84" s="37">
        <v>2.9626550884012524</v>
      </c>
      <c r="S84" s="38" t="s">
        <v>53</v>
      </c>
      <c r="T84" s="44">
        <v>402.57782218642313</v>
      </c>
      <c r="U84" s="37">
        <v>2.9410344407300428</v>
      </c>
      <c r="V84" s="38" t="s">
        <v>53</v>
      </c>
      <c r="W84" s="44" t="s">
        <v>56</v>
      </c>
      <c r="X84" s="37" t="s">
        <v>56</v>
      </c>
      <c r="Y84" s="38" t="s">
        <v>53</v>
      </c>
      <c r="Z84" s="44" t="s">
        <v>56</v>
      </c>
      <c r="AA84" s="37" t="s">
        <v>56</v>
      </c>
      <c r="AB84" s="38" t="s">
        <v>53</v>
      </c>
      <c r="AC84" s="44" t="s">
        <v>56</v>
      </c>
      <c r="AD84" s="37" t="s">
        <v>56</v>
      </c>
      <c r="AE84" s="38" t="s">
        <v>53</v>
      </c>
      <c r="AF84" s="44">
        <v>30.81794548034668</v>
      </c>
      <c r="AG84" s="37">
        <v>6.064763069152832</v>
      </c>
      <c r="AH84" s="38" t="s">
        <v>53</v>
      </c>
      <c r="AI84" s="44">
        <v>28.603361129760742</v>
      </c>
      <c r="AJ84" s="37">
        <v>6.0446000099182129</v>
      </c>
      <c r="AK84" s="38" t="s">
        <v>53</v>
      </c>
      <c r="AL84" s="44" t="s">
        <v>55</v>
      </c>
      <c r="AM84" s="37" t="s">
        <v>55</v>
      </c>
      <c r="AN84" s="38" t="s">
        <v>53</v>
      </c>
      <c r="AO84" s="44" t="s">
        <v>55</v>
      </c>
      <c r="AP84" s="37" t="s">
        <v>55</v>
      </c>
      <c r="AQ84" s="38" t="s">
        <v>53</v>
      </c>
      <c r="AR84" s="44" t="s">
        <v>55</v>
      </c>
      <c r="AS84" s="37" t="s">
        <v>55</v>
      </c>
      <c r="AT84" s="39" t="s">
        <v>53</v>
      </c>
    </row>
    <row r="85" spans="1:46" x14ac:dyDescent="0.25">
      <c r="A85" s="15" t="s">
        <v>197</v>
      </c>
      <c r="B85" s="44" t="s">
        <v>55</v>
      </c>
      <c r="C85" s="37" t="s">
        <v>55</v>
      </c>
      <c r="D85" s="38" t="s">
        <v>53</v>
      </c>
      <c r="E85" s="44" t="s">
        <v>55</v>
      </c>
      <c r="F85" s="37" t="s">
        <v>55</v>
      </c>
      <c r="G85" s="38" t="s">
        <v>53</v>
      </c>
      <c r="H85" s="44" t="s">
        <v>55</v>
      </c>
      <c r="I85" s="37" t="s">
        <v>55</v>
      </c>
      <c r="J85" s="38" t="s">
        <v>53</v>
      </c>
      <c r="K85" s="44" t="s">
        <v>55</v>
      </c>
      <c r="L85" s="37" t="s">
        <v>55</v>
      </c>
      <c r="M85" s="38" t="s">
        <v>53</v>
      </c>
      <c r="N85" s="44" t="s">
        <v>55</v>
      </c>
      <c r="O85" s="37" t="s">
        <v>55</v>
      </c>
      <c r="P85" s="38" t="s">
        <v>53</v>
      </c>
      <c r="Q85" s="44">
        <v>339.69158997901422</v>
      </c>
      <c r="R85" s="37">
        <v>3.289619243395852</v>
      </c>
      <c r="S85" s="38" t="s">
        <v>53</v>
      </c>
      <c r="T85" s="44">
        <v>343.75556295055151</v>
      </c>
      <c r="U85" s="37">
        <v>3.304952717601112</v>
      </c>
      <c r="V85" s="38" t="s">
        <v>53</v>
      </c>
      <c r="W85" s="44">
        <v>273.92828787391545</v>
      </c>
      <c r="X85" s="37">
        <v>12.807206015985596</v>
      </c>
      <c r="Y85" s="38" t="s">
        <v>53</v>
      </c>
      <c r="Z85" s="44" t="s">
        <v>56</v>
      </c>
      <c r="AA85" s="37" t="s">
        <v>56</v>
      </c>
      <c r="AB85" s="38" t="s">
        <v>53</v>
      </c>
      <c r="AC85" s="44">
        <v>260.67288289517063</v>
      </c>
      <c r="AD85" s="37">
        <v>14.390066002563886</v>
      </c>
      <c r="AE85" s="38" t="s">
        <v>53</v>
      </c>
      <c r="AF85" s="44" t="s">
        <v>55</v>
      </c>
      <c r="AG85" s="37" t="s">
        <v>55</v>
      </c>
      <c r="AH85" s="38" t="s">
        <v>53</v>
      </c>
      <c r="AI85" s="44" t="s">
        <v>55</v>
      </c>
      <c r="AJ85" s="37" t="s">
        <v>55</v>
      </c>
      <c r="AK85" s="38" t="s">
        <v>53</v>
      </c>
      <c r="AL85" s="44" t="s">
        <v>55</v>
      </c>
      <c r="AM85" s="37" t="s">
        <v>55</v>
      </c>
      <c r="AN85" s="38" t="s">
        <v>53</v>
      </c>
      <c r="AO85" s="44" t="s">
        <v>55</v>
      </c>
      <c r="AP85" s="37" t="s">
        <v>55</v>
      </c>
      <c r="AQ85" s="38" t="s">
        <v>53</v>
      </c>
      <c r="AR85" s="44" t="s">
        <v>55</v>
      </c>
      <c r="AS85" s="37" t="s">
        <v>55</v>
      </c>
      <c r="AT85" s="39" t="s">
        <v>53</v>
      </c>
    </row>
    <row r="86" spans="1:46" x14ac:dyDescent="0.25">
      <c r="A86" s="15" t="s">
        <v>198</v>
      </c>
      <c r="B86" s="44">
        <v>371.71603058283171</v>
      </c>
      <c r="C86" s="37">
        <v>0.76453147694746215</v>
      </c>
      <c r="D86" s="38" t="s">
        <v>53</v>
      </c>
      <c r="E86" s="44">
        <v>331.34258002719446</v>
      </c>
      <c r="F86" s="37">
        <v>1.2522991216440684</v>
      </c>
      <c r="G86" s="38" t="s">
        <v>53</v>
      </c>
      <c r="H86" s="44">
        <v>428.78039800526153</v>
      </c>
      <c r="I86" s="37">
        <v>1.4371710312486967</v>
      </c>
      <c r="J86" s="38" t="s">
        <v>53</v>
      </c>
      <c r="K86" s="44">
        <v>391.92670555199032</v>
      </c>
      <c r="L86" s="37">
        <v>2.3470945394797438</v>
      </c>
      <c r="M86" s="38" t="s">
        <v>53</v>
      </c>
      <c r="N86" s="44">
        <v>456.63694967535861</v>
      </c>
      <c r="O86" s="37">
        <v>2.0840737894278987</v>
      </c>
      <c r="P86" s="38" t="s">
        <v>53</v>
      </c>
      <c r="Q86" s="44">
        <v>407.09179209025712</v>
      </c>
      <c r="R86" s="37">
        <v>0.76875072835014302</v>
      </c>
      <c r="S86" s="38" t="s">
        <v>53</v>
      </c>
      <c r="T86" s="44">
        <v>368.38399381597105</v>
      </c>
      <c r="U86" s="37">
        <v>1.284457285628819</v>
      </c>
      <c r="V86" s="38" t="s">
        <v>53</v>
      </c>
      <c r="W86" s="44">
        <v>445.0821507880496</v>
      </c>
      <c r="X86" s="37">
        <v>1.1513848028363451</v>
      </c>
      <c r="Y86" s="38" t="s">
        <v>53</v>
      </c>
      <c r="Z86" s="44">
        <v>423.49362961028004</v>
      </c>
      <c r="AA86" s="37">
        <v>2.5738376668052645</v>
      </c>
      <c r="AB86" s="38" t="s">
        <v>53</v>
      </c>
      <c r="AC86" s="44">
        <v>454.28544035140715</v>
      </c>
      <c r="AD86" s="37">
        <v>1.3872499056916412</v>
      </c>
      <c r="AE86" s="38" t="s">
        <v>53</v>
      </c>
      <c r="AF86" s="44">
        <v>35.375762939453125</v>
      </c>
      <c r="AG86" s="37">
        <v>3.6831896305084229</v>
      </c>
      <c r="AH86" s="38" t="s">
        <v>53</v>
      </c>
      <c r="AI86" s="44">
        <v>37.041412353515625</v>
      </c>
      <c r="AJ86" s="37">
        <v>3.9507572650909424</v>
      </c>
      <c r="AK86" s="38" t="s">
        <v>53</v>
      </c>
      <c r="AL86" s="44">
        <v>16.301752090454102</v>
      </c>
      <c r="AM86" s="37">
        <v>3.9725995063781738</v>
      </c>
      <c r="AN86" s="38" t="s">
        <v>53</v>
      </c>
      <c r="AO86" s="44">
        <v>31.566923141479492</v>
      </c>
      <c r="AP86" s="37">
        <v>4.9521603584289551</v>
      </c>
      <c r="AQ86" s="38" t="s">
        <v>53</v>
      </c>
      <c r="AR86" s="44">
        <v>-2.3515093326568604</v>
      </c>
      <c r="AS86" s="37">
        <v>4.319516658782959</v>
      </c>
      <c r="AT86" s="39" t="s">
        <v>53</v>
      </c>
    </row>
    <row r="87" spans="1:46" x14ac:dyDescent="0.25">
      <c r="A87" s="15" t="s">
        <v>199</v>
      </c>
      <c r="B87" s="44">
        <v>424.45832836062277</v>
      </c>
      <c r="C87" s="37">
        <v>4.094563743887857</v>
      </c>
      <c r="D87" s="38" t="s">
        <v>53</v>
      </c>
      <c r="E87" s="44">
        <v>425.52182773233199</v>
      </c>
      <c r="F87" s="37">
        <v>4.0232100123973566</v>
      </c>
      <c r="G87" s="38" t="s">
        <v>53</v>
      </c>
      <c r="H87" s="44" t="s">
        <v>56</v>
      </c>
      <c r="I87" s="37" t="s">
        <v>56</v>
      </c>
      <c r="J87" s="38" t="s">
        <v>53</v>
      </c>
      <c r="K87" s="44" t="s">
        <v>56</v>
      </c>
      <c r="L87" s="37" t="s">
        <v>56</v>
      </c>
      <c r="M87" s="38" t="s">
        <v>53</v>
      </c>
      <c r="N87" s="44" t="s">
        <v>56</v>
      </c>
      <c r="O87" s="37" t="s">
        <v>56</v>
      </c>
      <c r="P87" s="38" t="s">
        <v>53</v>
      </c>
      <c r="Q87" s="44">
        <v>427.70314585064472</v>
      </c>
      <c r="R87" s="37">
        <v>5.1403766474893215</v>
      </c>
      <c r="S87" s="38" t="s">
        <v>53</v>
      </c>
      <c r="T87" s="44">
        <v>430.51287962997799</v>
      </c>
      <c r="U87" s="37">
        <v>5.3214738291316674</v>
      </c>
      <c r="V87" s="38" t="s">
        <v>53</v>
      </c>
      <c r="W87" s="44" t="s">
        <v>56</v>
      </c>
      <c r="X87" s="37" t="s">
        <v>56</v>
      </c>
      <c r="Y87" s="38" t="s">
        <v>53</v>
      </c>
      <c r="Z87" s="44" t="s">
        <v>56</v>
      </c>
      <c r="AA87" s="37" t="s">
        <v>56</v>
      </c>
      <c r="AB87" s="38" t="s">
        <v>53</v>
      </c>
      <c r="AC87" s="44" t="s">
        <v>56</v>
      </c>
      <c r="AD87" s="37" t="s">
        <v>56</v>
      </c>
      <c r="AE87" s="38" t="s">
        <v>53</v>
      </c>
      <c r="AF87" s="44">
        <v>3.2448174953460693</v>
      </c>
      <c r="AG87" s="37">
        <v>7.4551544189453125</v>
      </c>
      <c r="AH87" s="38" t="s">
        <v>53</v>
      </c>
      <c r="AI87" s="44">
        <v>4.9910516738891602</v>
      </c>
      <c r="AJ87" s="37">
        <v>7.5428576469421387</v>
      </c>
      <c r="AK87" s="38" t="s">
        <v>53</v>
      </c>
      <c r="AL87" s="44" t="s">
        <v>55</v>
      </c>
      <c r="AM87" s="37" t="s">
        <v>55</v>
      </c>
      <c r="AN87" s="38" t="s">
        <v>53</v>
      </c>
      <c r="AO87" s="44" t="s">
        <v>55</v>
      </c>
      <c r="AP87" s="37" t="s">
        <v>55</v>
      </c>
      <c r="AQ87" s="38" t="s">
        <v>53</v>
      </c>
      <c r="AR87" s="44" t="s">
        <v>55</v>
      </c>
      <c r="AS87" s="37" t="s">
        <v>55</v>
      </c>
      <c r="AT87" s="39" t="s">
        <v>53</v>
      </c>
    </row>
    <row r="88" spans="1:46" x14ac:dyDescent="0.25">
      <c r="A88" s="15" t="s">
        <v>200</v>
      </c>
      <c r="B88" s="44">
        <v>459.39592932747274</v>
      </c>
      <c r="C88" s="37">
        <v>3.3360960261689554</v>
      </c>
      <c r="D88" s="38" t="s">
        <v>53</v>
      </c>
      <c r="E88" s="44">
        <v>463.93866389733461</v>
      </c>
      <c r="F88" s="37">
        <v>3.2238312645062654</v>
      </c>
      <c r="G88" s="38" t="s">
        <v>53</v>
      </c>
      <c r="H88" s="44">
        <v>438.89823925659641</v>
      </c>
      <c r="I88" s="37">
        <v>7.0368319671579389</v>
      </c>
      <c r="J88" s="38" t="s">
        <v>53</v>
      </c>
      <c r="K88" s="44">
        <v>435.21431692872829</v>
      </c>
      <c r="L88" s="37">
        <v>9.4062950588332779</v>
      </c>
      <c r="M88" s="38" t="s">
        <v>53</v>
      </c>
      <c r="N88" s="44">
        <v>444.33639166413082</v>
      </c>
      <c r="O88" s="37">
        <v>7.1205679352226854</v>
      </c>
      <c r="P88" s="38" t="s">
        <v>53</v>
      </c>
      <c r="Q88" s="44">
        <v>478.50193399494424</v>
      </c>
      <c r="R88" s="37">
        <v>3.0756873941827951</v>
      </c>
      <c r="S88" s="38" t="s">
        <v>53</v>
      </c>
      <c r="T88" s="44">
        <v>479.57449655602295</v>
      </c>
      <c r="U88" s="37">
        <v>3.0623485891692028</v>
      </c>
      <c r="V88" s="38" t="s">
        <v>53</v>
      </c>
      <c r="W88" s="44">
        <v>478.06718604904273</v>
      </c>
      <c r="X88" s="37">
        <v>6.3179402696418556</v>
      </c>
      <c r="Y88" s="38" t="s">
        <v>53</v>
      </c>
      <c r="Z88" s="44">
        <v>491.2308166143228</v>
      </c>
      <c r="AA88" s="37">
        <v>6.9258360664271805</v>
      </c>
      <c r="AB88" s="38" t="s">
        <v>53</v>
      </c>
      <c r="AC88" s="44">
        <v>457.0825139498192</v>
      </c>
      <c r="AD88" s="37">
        <v>8.3590416135784373</v>
      </c>
      <c r="AE88" s="38" t="s">
        <v>53</v>
      </c>
      <c r="AF88" s="44">
        <v>19.10600471496582</v>
      </c>
      <c r="AG88" s="37">
        <v>5.7428030967712402</v>
      </c>
      <c r="AH88" s="38" t="s">
        <v>53</v>
      </c>
      <c r="AI88" s="44">
        <v>15.635832786560059</v>
      </c>
      <c r="AJ88" s="37">
        <v>5.6711082458496094</v>
      </c>
      <c r="AK88" s="38" t="s">
        <v>53</v>
      </c>
      <c r="AL88" s="44">
        <v>39.1689453125</v>
      </c>
      <c r="AM88" s="37">
        <v>10.090776443481445</v>
      </c>
      <c r="AN88" s="38" t="s">
        <v>53</v>
      </c>
      <c r="AO88" s="44">
        <v>56.016498565673828</v>
      </c>
      <c r="AP88" s="37">
        <v>12.199835777282715</v>
      </c>
      <c r="AQ88" s="38" t="s">
        <v>53</v>
      </c>
      <c r="AR88" s="44">
        <v>12.746122360229492</v>
      </c>
      <c r="AS88" s="37">
        <v>11.531108856201172</v>
      </c>
      <c r="AT88" s="39" t="s">
        <v>53</v>
      </c>
    </row>
    <row r="89" spans="1:46" x14ac:dyDescent="0.25">
      <c r="A89" s="15" t="s">
        <v>201</v>
      </c>
      <c r="B89" s="44" t="s">
        <v>55</v>
      </c>
      <c r="C89" s="37" t="s">
        <v>55</v>
      </c>
      <c r="D89" s="38" t="s">
        <v>53</v>
      </c>
      <c r="E89" s="44" t="s">
        <v>55</v>
      </c>
      <c r="F89" s="37" t="s">
        <v>55</v>
      </c>
      <c r="G89" s="38" t="s">
        <v>53</v>
      </c>
      <c r="H89" s="44" t="s">
        <v>55</v>
      </c>
      <c r="I89" s="37" t="s">
        <v>55</v>
      </c>
      <c r="J89" s="38" t="s">
        <v>53</v>
      </c>
      <c r="K89" s="44" t="s">
        <v>55</v>
      </c>
      <c r="L89" s="37" t="s">
        <v>55</v>
      </c>
      <c r="M89" s="38" t="s">
        <v>53</v>
      </c>
      <c r="N89" s="44" t="s">
        <v>55</v>
      </c>
      <c r="O89" s="37" t="s">
        <v>55</v>
      </c>
      <c r="P89" s="38" t="s">
        <v>53</v>
      </c>
      <c r="Q89" s="44">
        <v>399.15165857859211</v>
      </c>
      <c r="R89" s="37">
        <v>2.9594642973637537</v>
      </c>
      <c r="S89" s="38" t="s">
        <v>53</v>
      </c>
      <c r="T89" s="44">
        <v>399.74335397143011</v>
      </c>
      <c r="U89" s="37">
        <v>3.0516496135738338</v>
      </c>
      <c r="V89" s="38" t="s">
        <v>53</v>
      </c>
      <c r="W89" s="44">
        <v>435.60421735245865</v>
      </c>
      <c r="X89" s="37">
        <v>4.6590717937846318</v>
      </c>
      <c r="Y89" s="38" t="s">
        <v>53</v>
      </c>
      <c r="Z89" s="44">
        <v>434.80553292816387</v>
      </c>
      <c r="AA89" s="37">
        <v>5.7025186729812694</v>
      </c>
      <c r="AB89" s="38" t="s">
        <v>53</v>
      </c>
      <c r="AC89" s="44">
        <v>436.54390885352245</v>
      </c>
      <c r="AD89" s="37">
        <v>6.2203051650972796</v>
      </c>
      <c r="AE89" s="38" t="s">
        <v>53</v>
      </c>
      <c r="AF89" s="44" t="s">
        <v>55</v>
      </c>
      <c r="AG89" s="37" t="s">
        <v>55</v>
      </c>
      <c r="AH89" s="38" t="s">
        <v>53</v>
      </c>
      <c r="AI89" s="44" t="s">
        <v>55</v>
      </c>
      <c r="AJ89" s="37" t="s">
        <v>55</v>
      </c>
      <c r="AK89" s="38" t="s">
        <v>53</v>
      </c>
      <c r="AL89" s="44" t="s">
        <v>55</v>
      </c>
      <c r="AM89" s="37" t="s">
        <v>55</v>
      </c>
      <c r="AN89" s="38" t="s">
        <v>53</v>
      </c>
      <c r="AO89" s="44" t="s">
        <v>55</v>
      </c>
      <c r="AP89" s="37" t="s">
        <v>55</v>
      </c>
      <c r="AQ89" s="38" t="s">
        <v>53</v>
      </c>
      <c r="AR89" s="44" t="s">
        <v>55</v>
      </c>
      <c r="AS89" s="37" t="s">
        <v>55</v>
      </c>
      <c r="AT89" s="39" t="s">
        <v>53</v>
      </c>
    </row>
    <row r="90" spans="1:46" x14ac:dyDescent="0.25">
      <c r="A90" s="15" t="s">
        <v>202</v>
      </c>
      <c r="B90" s="44">
        <v>442.01670125731573</v>
      </c>
      <c r="C90" s="37">
        <v>2.4332490204643107</v>
      </c>
      <c r="D90" s="38" t="s">
        <v>53</v>
      </c>
      <c r="E90" s="44">
        <v>442.02191124878232</v>
      </c>
      <c r="F90" s="37">
        <v>2.4289455488586444</v>
      </c>
      <c r="G90" s="38" t="s">
        <v>53</v>
      </c>
      <c r="H90" s="44">
        <v>456.93949581151878</v>
      </c>
      <c r="I90" s="37">
        <v>4.805448368478098</v>
      </c>
      <c r="J90" s="38" t="s">
        <v>53</v>
      </c>
      <c r="K90" s="44">
        <v>465.66350990854482</v>
      </c>
      <c r="L90" s="37">
        <v>6.7944881862264337</v>
      </c>
      <c r="M90" s="38" t="s">
        <v>53</v>
      </c>
      <c r="N90" s="44">
        <v>446.46273851701147</v>
      </c>
      <c r="O90" s="37">
        <v>7.2993318545739578</v>
      </c>
      <c r="P90" s="38" t="s">
        <v>53</v>
      </c>
      <c r="Q90" s="44">
        <v>439.46634120605881</v>
      </c>
      <c r="R90" s="37">
        <v>3.2736101591296811</v>
      </c>
      <c r="S90" s="38" t="s">
        <v>53</v>
      </c>
      <c r="T90" s="44">
        <v>440.77873218522973</v>
      </c>
      <c r="U90" s="37">
        <v>3.1380342081762023</v>
      </c>
      <c r="V90" s="38" t="s">
        <v>53</v>
      </c>
      <c r="W90" s="44">
        <v>447.371415227922</v>
      </c>
      <c r="X90" s="37">
        <v>6.7971651987930368</v>
      </c>
      <c r="Y90" s="38" t="s">
        <v>53</v>
      </c>
      <c r="Z90" s="44">
        <v>447.14571763756567</v>
      </c>
      <c r="AA90" s="37">
        <v>7.2970923364460676</v>
      </c>
      <c r="AB90" s="38" t="s">
        <v>53</v>
      </c>
      <c r="AC90" s="44">
        <v>449.17239850393867</v>
      </c>
      <c r="AD90" s="37">
        <v>13.530122051316448</v>
      </c>
      <c r="AE90" s="38" t="s">
        <v>53</v>
      </c>
      <c r="AF90" s="44">
        <v>-2.5503599643707275</v>
      </c>
      <c r="AG90" s="37">
        <v>5.3877291679382324</v>
      </c>
      <c r="AH90" s="38" t="s">
        <v>53</v>
      </c>
      <c r="AI90" s="44">
        <v>-1.2431790828704834</v>
      </c>
      <c r="AJ90" s="37">
        <v>5.3044729232788086</v>
      </c>
      <c r="AK90" s="38" t="s">
        <v>53</v>
      </c>
      <c r="AL90" s="44">
        <v>-9.5680809020996094</v>
      </c>
      <c r="AM90" s="37">
        <v>9.0379304885864258</v>
      </c>
      <c r="AN90" s="38" t="s">
        <v>53</v>
      </c>
      <c r="AO90" s="44">
        <v>-18.517791748046875</v>
      </c>
      <c r="AP90" s="37">
        <v>10.573695182800293</v>
      </c>
      <c r="AQ90" s="38" t="s">
        <v>53</v>
      </c>
      <c r="AR90" s="44">
        <v>2.7096600532531738</v>
      </c>
      <c r="AS90" s="37">
        <v>15.771329879760742</v>
      </c>
      <c r="AT90" s="39" t="s">
        <v>53</v>
      </c>
    </row>
    <row r="91" spans="1:46" x14ac:dyDescent="0.25">
      <c r="A91" s="15" t="s">
        <v>203</v>
      </c>
      <c r="B91" s="44">
        <v>525.89651673706419</v>
      </c>
      <c r="C91" s="37">
        <v>1.0559491263048093</v>
      </c>
      <c r="D91" s="38" t="s">
        <v>53</v>
      </c>
      <c r="E91" s="44">
        <v>526.48708894179526</v>
      </c>
      <c r="F91" s="37">
        <v>1.2460594661677307</v>
      </c>
      <c r="G91" s="38" t="s">
        <v>53</v>
      </c>
      <c r="H91" s="44">
        <v>528.65520424139709</v>
      </c>
      <c r="I91" s="37">
        <v>4.2717352010712952</v>
      </c>
      <c r="J91" s="38" t="s">
        <v>53</v>
      </c>
      <c r="K91" s="44">
        <v>543.71819192730709</v>
      </c>
      <c r="L91" s="37">
        <v>6.4436495628038255</v>
      </c>
      <c r="M91" s="38" t="s">
        <v>53</v>
      </c>
      <c r="N91" s="44">
        <v>521.14816068579933</v>
      </c>
      <c r="O91" s="37">
        <v>4.9402322483306769</v>
      </c>
      <c r="P91" s="38" t="s">
        <v>53</v>
      </c>
      <c r="Q91" s="44">
        <v>549.46470779446076</v>
      </c>
      <c r="R91" s="37">
        <v>1.5872142620010428</v>
      </c>
      <c r="S91" s="38" t="s">
        <v>53</v>
      </c>
      <c r="T91" s="44">
        <v>545.9076379450288</v>
      </c>
      <c r="U91" s="37">
        <v>1.5127493141497477</v>
      </c>
      <c r="V91" s="38" t="s">
        <v>53</v>
      </c>
      <c r="W91" s="44">
        <v>564.86925218741635</v>
      </c>
      <c r="X91" s="37">
        <v>4.2816683302510512</v>
      </c>
      <c r="Y91" s="38" t="s">
        <v>53</v>
      </c>
      <c r="Z91" s="44">
        <v>586.79843287596725</v>
      </c>
      <c r="AA91" s="37">
        <v>3.9899756412379763</v>
      </c>
      <c r="AB91" s="38" t="s">
        <v>53</v>
      </c>
      <c r="AC91" s="44">
        <v>554.22293473288607</v>
      </c>
      <c r="AD91" s="37">
        <v>6.0195204357421108</v>
      </c>
      <c r="AE91" s="38" t="s">
        <v>53</v>
      </c>
      <c r="AF91" s="44">
        <v>23.568191528320313</v>
      </c>
      <c r="AG91" s="37">
        <v>4.0030837059020996</v>
      </c>
      <c r="AH91" s="38" t="s">
        <v>53</v>
      </c>
      <c r="AI91" s="44">
        <v>19.420549392700195</v>
      </c>
      <c r="AJ91" s="37">
        <v>4.0288305282592773</v>
      </c>
      <c r="AK91" s="38" t="s">
        <v>53</v>
      </c>
      <c r="AL91" s="44">
        <v>36.214046478271484</v>
      </c>
      <c r="AM91" s="37">
        <v>6.9979143142700195</v>
      </c>
      <c r="AN91" s="38" t="s">
        <v>53</v>
      </c>
      <c r="AO91" s="44">
        <v>43.080242156982422</v>
      </c>
      <c r="AP91" s="37">
        <v>8.3564901351928711</v>
      </c>
      <c r="AQ91" s="38" t="s">
        <v>53</v>
      </c>
      <c r="AR91" s="44">
        <v>33.074775695800781</v>
      </c>
      <c r="AS91" s="37">
        <v>8.5458126068115234</v>
      </c>
      <c r="AT91" s="39" t="s">
        <v>53</v>
      </c>
    </row>
    <row r="92" spans="1:46" x14ac:dyDescent="0.25">
      <c r="A92" s="15" t="s">
        <v>204</v>
      </c>
      <c r="B92" s="44">
        <v>495.24046542904171</v>
      </c>
      <c r="C92" s="37">
        <v>2.5960570128558147</v>
      </c>
      <c r="D92" s="38" t="s">
        <v>53</v>
      </c>
      <c r="E92" s="44">
        <v>496.83157479803049</v>
      </c>
      <c r="F92" s="37">
        <v>2.5445282995257115</v>
      </c>
      <c r="G92" s="38" t="s">
        <v>53</v>
      </c>
      <c r="H92" s="44" t="s">
        <v>56</v>
      </c>
      <c r="I92" s="37" t="s">
        <v>56</v>
      </c>
      <c r="J92" s="38" t="s">
        <v>53</v>
      </c>
      <c r="K92" s="44" t="s">
        <v>56</v>
      </c>
      <c r="L92" s="37" t="s">
        <v>56</v>
      </c>
      <c r="M92" s="38" t="s">
        <v>53</v>
      </c>
      <c r="N92" s="44" t="s">
        <v>56</v>
      </c>
      <c r="O92" s="37" t="s">
        <v>56</v>
      </c>
      <c r="P92" s="38" t="s">
        <v>53</v>
      </c>
      <c r="Q92" s="44">
        <v>502.60114690242108</v>
      </c>
      <c r="R92" s="37">
        <v>2.8384187251273278</v>
      </c>
      <c r="S92" s="38" t="s">
        <v>53</v>
      </c>
      <c r="T92" s="44">
        <v>504.48075940652717</v>
      </c>
      <c r="U92" s="37">
        <v>2.824697368988573</v>
      </c>
      <c r="V92" s="38" t="s">
        <v>53</v>
      </c>
      <c r="W92" s="44">
        <v>428.04487761685442</v>
      </c>
      <c r="X92" s="37">
        <v>49.080504143053027</v>
      </c>
      <c r="Y92" s="38" t="s">
        <v>53</v>
      </c>
      <c r="Z92" s="44" t="s">
        <v>56</v>
      </c>
      <c r="AA92" s="37" t="s">
        <v>56</v>
      </c>
      <c r="AB92" s="38" t="s">
        <v>53</v>
      </c>
      <c r="AC92" s="44" t="s">
        <v>56</v>
      </c>
      <c r="AD92" s="37" t="s">
        <v>56</v>
      </c>
      <c r="AE92" s="38" t="s">
        <v>53</v>
      </c>
      <c r="AF92" s="44">
        <v>7.3606815338134766</v>
      </c>
      <c r="AG92" s="37">
        <v>5.2140707969665527</v>
      </c>
      <c r="AH92" s="38" t="s">
        <v>53</v>
      </c>
      <c r="AI92" s="44">
        <v>7.6491847038269043</v>
      </c>
      <c r="AJ92" s="37">
        <v>5.1811137199401855</v>
      </c>
      <c r="AK92" s="38" t="s">
        <v>53</v>
      </c>
      <c r="AL92" s="44" t="s">
        <v>55</v>
      </c>
      <c r="AM92" s="37" t="s">
        <v>55</v>
      </c>
      <c r="AN92" s="38" t="s">
        <v>53</v>
      </c>
      <c r="AO92" s="44" t="s">
        <v>55</v>
      </c>
      <c r="AP92" s="37" t="s">
        <v>55</v>
      </c>
      <c r="AQ92" s="38" t="s">
        <v>53</v>
      </c>
      <c r="AR92" s="44" t="s">
        <v>55</v>
      </c>
      <c r="AS92" s="37" t="s">
        <v>55</v>
      </c>
      <c r="AT92" s="39" t="s">
        <v>53</v>
      </c>
    </row>
    <row r="93" spans="1:46" x14ac:dyDescent="0.25">
      <c r="A93" s="15" t="s">
        <v>205</v>
      </c>
      <c r="B93" s="44">
        <v>421.37441418058955</v>
      </c>
      <c r="C93" s="37">
        <v>2.6403560600552471</v>
      </c>
      <c r="D93" s="38" t="s">
        <v>53</v>
      </c>
      <c r="E93" s="44">
        <v>421.44383665202861</v>
      </c>
      <c r="F93" s="37">
        <v>2.6380658546271945</v>
      </c>
      <c r="G93" s="38" t="s">
        <v>53</v>
      </c>
      <c r="H93" s="44" t="s">
        <v>55</v>
      </c>
      <c r="I93" s="37" t="s">
        <v>55</v>
      </c>
      <c r="J93" s="38" t="s">
        <v>53</v>
      </c>
      <c r="K93" s="44" t="s">
        <v>55</v>
      </c>
      <c r="L93" s="37" t="s">
        <v>55</v>
      </c>
      <c r="M93" s="38" t="s">
        <v>53</v>
      </c>
      <c r="N93" s="44" t="s">
        <v>55</v>
      </c>
      <c r="O93" s="37" t="s">
        <v>55</v>
      </c>
      <c r="P93" s="38" t="s">
        <v>53</v>
      </c>
      <c r="Q93" s="44">
        <v>392.88864098808062</v>
      </c>
      <c r="R93" s="37">
        <v>3.2315830871040934</v>
      </c>
      <c r="S93" s="38" t="s">
        <v>53</v>
      </c>
      <c r="T93" s="44">
        <v>394.28246775835669</v>
      </c>
      <c r="U93" s="37">
        <v>3.2140320947391383</v>
      </c>
      <c r="V93" s="38" t="s">
        <v>53</v>
      </c>
      <c r="W93" s="44">
        <v>355.92352697187187</v>
      </c>
      <c r="X93" s="37">
        <v>20.012165176888651</v>
      </c>
      <c r="Y93" s="38" t="s">
        <v>53</v>
      </c>
      <c r="Z93" s="44">
        <v>347.91107392438232</v>
      </c>
      <c r="AA93" s="37">
        <v>15.48936879171999</v>
      </c>
      <c r="AB93" s="38" t="s">
        <v>53</v>
      </c>
      <c r="AC93" s="44" t="s">
        <v>56</v>
      </c>
      <c r="AD93" s="37" t="s">
        <v>56</v>
      </c>
      <c r="AE93" s="38" t="s">
        <v>53</v>
      </c>
      <c r="AF93" s="44">
        <v>-28.485773086547852</v>
      </c>
      <c r="AG93" s="37">
        <v>5.4593963623046875</v>
      </c>
      <c r="AH93" s="38" t="s">
        <v>53</v>
      </c>
      <c r="AI93" s="44">
        <v>-27.161369323730469</v>
      </c>
      <c r="AJ93" s="37">
        <v>5.4479165077209473</v>
      </c>
      <c r="AK93" s="38" t="s">
        <v>53</v>
      </c>
      <c r="AL93" s="44" t="s">
        <v>55</v>
      </c>
      <c r="AM93" s="37" t="s">
        <v>55</v>
      </c>
      <c r="AN93" s="38" t="s">
        <v>53</v>
      </c>
      <c r="AO93" s="44" t="s">
        <v>55</v>
      </c>
      <c r="AP93" s="37" t="s">
        <v>55</v>
      </c>
      <c r="AQ93" s="38" t="s">
        <v>53</v>
      </c>
      <c r="AR93" s="44" t="s">
        <v>55</v>
      </c>
      <c r="AS93" s="37" t="s">
        <v>55</v>
      </c>
      <c r="AT93" s="39" t="s">
        <v>53</v>
      </c>
    </row>
    <row r="94" spans="1:46" x14ac:dyDescent="0.25">
      <c r="A94" s="15" t="s">
        <v>206</v>
      </c>
      <c r="B94" s="44" t="s">
        <v>55</v>
      </c>
      <c r="C94" s="37" t="s">
        <v>55</v>
      </c>
      <c r="D94" s="38" t="s">
        <v>53</v>
      </c>
      <c r="E94" s="44" t="s">
        <v>55</v>
      </c>
      <c r="F94" s="37" t="s">
        <v>55</v>
      </c>
      <c r="G94" s="38" t="s">
        <v>53</v>
      </c>
      <c r="H94" s="44" t="s">
        <v>55</v>
      </c>
      <c r="I94" s="37" t="s">
        <v>55</v>
      </c>
      <c r="J94" s="38" t="s">
        <v>53</v>
      </c>
      <c r="K94" s="44" t="s">
        <v>55</v>
      </c>
      <c r="L94" s="37" t="s">
        <v>55</v>
      </c>
      <c r="M94" s="38" t="s">
        <v>53</v>
      </c>
      <c r="N94" s="44" t="s">
        <v>55</v>
      </c>
      <c r="O94" s="37" t="s">
        <v>55</v>
      </c>
      <c r="P94" s="38" t="s">
        <v>53</v>
      </c>
      <c r="Q94" s="44">
        <v>465.95014814029156</v>
      </c>
      <c r="R94" s="37">
        <v>3.4991248958448176</v>
      </c>
      <c r="S94" s="38" t="s">
        <v>53</v>
      </c>
      <c r="T94" s="44">
        <v>468.42008997705665</v>
      </c>
      <c r="U94" s="37">
        <v>3.3877760732677493</v>
      </c>
      <c r="V94" s="38" t="s">
        <v>53</v>
      </c>
      <c r="W94" s="44">
        <v>443.3318490664563</v>
      </c>
      <c r="X94" s="37">
        <v>9.9422310149511972</v>
      </c>
      <c r="Y94" s="38" t="s">
        <v>53</v>
      </c>
      <c r="Z94" s="44">
        <v>456.11045185048124</v>
      </c>
      <c r="AA94" s="37">
        <v>11.744193668325314</v>
      </c>
      <c r="AB94" s="38" t="s">
        <v>53</v>
      </c>
      <c r="AC94" s="44">
        <v>418.57642364839103</v>
      </c>
      <c r="AD94" s="37">
        <v>18.676134518252013</v>
      </c>
      <c r="AE94" s="38" t="s">
        <v>53</v>
      </c>
      <c r="AF94" s="44" t="s">
        <v>55</v>
      </c>
      <c r="AG94" s="37" t="s">
        <v>55</v>
      </c>
      <c r="AH94" s="38" t="s">
        <v>53</v>
      </c>
      <c r="AI94" s="44" t="s">
        <v>55</v>
      </c>
      <c r="AJ94" s="37" t="s">
        <v>55</v>
      </c>
      <c r="AK94" s="38" t="s">
        <v>53</v>
      </c>
      <c r="AL94" s="44" t="s">
        <v>55</v>
      </c>
      <c r="AM94" s="37" t="s">
        <v>55</v>
      </c>
      <c r="AN94" s="38" t="s">
        <v>53</v>
      </c>
      <c r="AO94" s="44" t="s">
        <v>55</v>
      </c>
      <c r="AP94" s="37" t="s">
        <v>55</v>
      </c>
      <c r="AQ94" s="38" t="s">
        <v>53</v>
      </c>
      <c r="AR94" s="44" t="s">
        <v>55</v>
      </c>
      <c r="AS94" s="37" t="s">
        <v>55</v>
      </c>
      <c r="AT94" s="39" t="s">
        <v>53</v>
      </c>
    </row>
    <row r="95" spans="1:46" x14ac:dyDescent="0.25">
      <c r="A95" s="15" t="s">
        <v>207</v>
      </c>
      <c r="B95" s="44" t="s">
        <v>55</v>
      </c>
      <c r="C95" s="37" t="s">
        <v>55</v>
      </c>
      <c r="D95" s="38" t="s">
        <v>53</v>
      </c>
      <c r="E95" s="44" t="s">
        <v>55</v>
      </c>
      <c r="F95" s="37" t="s">
        <v>55</v>
      </c>
      <c r="G95" s="38" t="s">
        <v>53</v>
      </c>
      <c r="H95" s="44" t="s">
        <v>55</v>
      </c>
      <c r="I95" s="37" t="s">
        <v>55</v>
      </c>
      <c r="J95" s="38" t="s">
        <v>53</v>
      </c>
      <c r="K95" s="44" t="s">
        <v>55</v>
      </c>
      <c r="L95" s="37" t="s">
        <v>55</v>
      </c>
      <c r="M95" s="38" t="s">
        <v>53</v>
      </c>
      <c r="N95" s="44" t="s">
        <v>55</v>
      </c>
      <c r="O95" s="37" t="s">
        <v>55</v>
      </c>
      <c r="P95" s="38" t="s">
        <v>53</v>
      </c>
      <c r="Q95" s="44">
        <v>431.78176943111998</v>
      </c>
      <c r="R95" s="37">
        <v>2.3022042105700575</v>
      </c>
      <c r="S95" s="38" t="s">
        <v>53</v>
      </c>
      <c r="T95" s="44">
        <v>385.84573114441508</v>
      </c>
      <c r="U95" s="37">
        <v>1.979488349641414</v>
      </c>
      <c r="V95" s="38" t="s">
        <v>53</v>
      </c>
      <c r="W95" s="44">
        <v>476.42608076078068</v>
      </c>
      <c r="X95" s="37">
        <v>2.6790803994020735</v>
      </c>
      <c r="Y95" s="38" t="s">
        <v>53</v>
      </c>
      <c r="Z95" s="44">
        <v>465.49699449563099</v>
      </c>
      <c r="AA95" s="37">
        <v>2.6206931027071523</v>
      </c>
      <c r="AB95" s="38" t="s">
        <v>53</v>
      </c>
      <c r="AC95" s="44">
        <v>484.11489108746929</v>
      </c>
      <c r="AD95" s="37">
        <v>3.368600892314308</v>
      </c>
      <c r="AE95" s="38" t="s">
        <v>53</v>
      </c>
      <c r="AF95" s="44" t="s">
        <v>55</v>
      </c>
      <c r="AG95" s="37" t="s">
        <v>55</v>
      </c>
      <c r="AH95" s="38" t="s">
        <v>53</v>
      </c>
      <c r="AI95" s="44" t="s">
        <v>55</v>
      </c>
      <c r="AJ95" s="37" t="s">
        <v>55</v>
      </c>
      <c r="AK95" s="38" t="s">
        <v>53</v>
      </c>
      <c r="AL95" s="44" t="s">
        <v>55</v>
      </c>
      <c r="AM95" s="37" t="s">
        <v>55</v>
      </c>
      <c r="AN95" s="38" t="s">
        <v>53</v>
      </c>
      <c r="AO95" s="44" t="s">
        <v>55</v>
      </c>
      <c r="AP95" s="37" t="s">
        <v>55</v>
      </c>
      <c r="AQ95" s="38" t="s">
        <v>53</v>
      </c>
      <c r="AR95" s="44" t="s">
        <v>55</v>
      </c>
      <c r="AS95" s="37" t="s">
        <v>55</v>
      </c>
      <c r="AT95" s="39" t="s">
        <v>53</v>
      </c>
    </row>
    <row r="96" spans="1:46" x14ac:dyDescent="0.25">
      <c r="A96" s="15" t="s">
        <v>208</v>
      </c>
      <c r="B96" s="44">
        <v>425.81335865198429</v>
      </c>
      <c r="C96" s="37">
        <v>2.6044427485368669</v>
      </c>
      <c r="D96" s="38" t="s">
        <v>53</v>
      </c>
      <c r="E96" s="44">
        <v>427.37587048708065</v>
      </c>
      <c r="F96" s="37">
        <v>2.5567170484294617</v>
      </c>
      <c r="G96" s="38" t="s">
        <v>53</v>
      </c>
      <c r="H96" s="44">
        <v>412.07349113435777</v>
      </c>
      <c r="I96" s="37">
        <v>36.133436969819165</v>
      </c>
      <c r="J96" s="38" t="s">
        <v>53</v>
      </c>
      <c r="K96" s="44" t="s">
        <v>56</v>
      </c>
      <c r="L96" s="37" t="s">
        <v>56</v>
      </c>
      <c r="M96" s="38" t="s">
        <v>53</v>
      </c>
      <c r="N96" s="44" t="s">
        <v>56</v>
      </c>
      <c r="O96" s="37" t="s">
        <v>56</v>
      </c>
      <c r="P96" s="38" t="s">
        <v>53</v>
      </c>
      <c r="Q96" s="44">
        <v>427.1176181983505</v>
      </c>
      <c r="R96" s="37">
        <v>2.7619914282729479</v>
      </c>
      <c r="S96" s="38" t="s">
        <v>53</v>
      </c>
      <c r="T96" s="44">
        <v>429.27142426035954</v>
      </c>
      <c r="U96" s="37">
        <v>2.7419177308025415</v>
      </c>
      <c r="V96" s="38" t="s">
        <v>53</v>
      </c>
      <c r="W96" s="44">
        <v>401.62482133364864</v>
      </c>
      <c r="X96" s="37">
        <v>18.605239628365535</v>
      </c>
      <c r="Y96" s="38" t="s">
        <v>53</v>
      </c>
      <c r="Z96" s="44">
        <v>398.9216399263251</v>
      </c>
      <c r="AA96" s="37">
        <v>19.355802209286434</v>
      </c>
      <c r="AB96" s="38" t="s">
        <v>53</v>
      </c>
      <c r="AC96" s="44">
        <v>404.26857077456964</v>
      </c>
      <c r="AD96" s="37">
        <v>31.430368228680511</v>
      </c>
      <c r="AE96" s="38" t="s">
        <v>53</v>
      </c>
      <c r="AF96" s="44">
        <v>1.3042595386505127</v>
      </c>
      <c r="AG96" s="37">
        <v>5.1770763397216797</v>
      </c>
      <c r="AH96" s="38" t="s">
        <v>53</v>
      </c>
      <c r="AI96" s="44">
        <v>1.8955538272857666</v>
      </c>
      <c r="AJ96" s="37">
        <v>5.1425008773803711</v>
      </c>
      <c r="AK96" s="38" t="s">
        <v>53</v>
      </c>
      <c r="AL96" s="44">
        <v>-10.44866943359375</v>
      </c>
      <c r="AM96" s="37">
        <v>40.794246673583984</v>
      </c>
      <c r="AN96" s="38" t="s">
        <v>53</v>
      </c>
      <c r="AO96" s="44" t="s">
        <v>55</v>
      </c>
      <c r="AP96" s="37" t="s">
        <v>55</v>
      </c>
      <c r="AQ96" s="38" t="s">
        <v>53</v>
      </c>
      <c r="AR96" s="44" t="s">
        <v>55</v>
      </c>
      <c r="AS96" s="37" t="s">
        <v>55</v>
      </c>
      <c r="AT96" s="39" t="s">
        <v>53</v>
      </c>
    </row>
    <row r="97" spans="1:46" ht="13.8" thickBot="1" x14ac:dyDescent="0.3">
      <c r="A97" s="18" t="s">
        <v>209</v>
      </c>
      <c r="B97" s="45" t="s">
        <v>55</v>
      </c>
      <c r="C97" s="41" t="s">
        <v>55</v>
      </c>
      <c r="D97" s="42" t="s">
        <v>53</v>
      </c>
      <c r="E97" s="45" t="s">
        <v>55</v>
      </c>
      <c r="F97" s="41" t="s">
        <v>55</v>
      </c>
      <c r="G97" s="42" t="s">
        <v>53</v>
      </c>
      <c r="H97" s="45" t="s">
        <v>55</v>
      </c>
      <c r="I97" s="41" t="s">
        <v>55</v>
      </c>
      <c r="J97" s="42" t="s">
        <v>53</v>
      </c>
      <c r="K97" s="45" t="s">
        <v>55</v>
      </c>
      <c r="L97" s="41" t="s">
        <v>55</v>
      </c>
      <c r="M97" s="42" t="s">
        <v>53</v>
      </c>
      <c r="N97" s="45" t="s">
        <v>55</v>
      </c>
      <c r="O97" s="41" t="s">
        <v>55</v>
      </c>
      <c r="P97" s="42" t="s">
        <v>53</v>
      </c>
      <c r="Q97" s="45" t="s">
        <v>55</v>
      </c>
      <c r="R97" s="41" t="s">
        <v>55</v>
      </c>
      <c r="S97" s="42" t="s">
        <v>53</v>
      </c>
      <c r="T97" s="45" t="s">
        <v>55</v>
      </c>
      <c r="U97" s="41" t="s">
        <v>55</v>
      </c>
      <c r="V97" s="42" t="s">
        <v>53</v>
      </c>
      <c r="W97" s="45" t="s">
        <v>55</v>
      </c>
      <c r="X97" s="41" t="s">
        <v>55</v>
      </c>
      <c r="Y97" s="42" t="s">
        <v>53</v>
      </c>
      <c r="Z97" s="45" t="s">
        <v>55</v>
      </c>
      <c r="AA97" s="41" t="s">
        <v>55</v>
      </c>
      <c r="AB97" s="42" t="s">
        <v>53</v>
      </c>
      <c r="AC97" s="45" t="s">
        <v>55</v>
      </c>
      <c r="AD97" s="41" t="s">
        <v>55</v>
      </c>
      <c r="AE97" s="42" t="s">
        <v>53</v>
      </c>
      <c r="AF97" s="45" t="s">
        <v>55</v>
      </c>
      <c r="AG97" s="41" t="s">
        <v>55</v>
      </c>
      <c r="AH97" s="42" t="s">
        <v>53</v>
      </c>
      <c r="AI97" s="45" t="s">
        <v>55</v>
      </c>
      <c r="AJ97" s="41" t="s">
        <v>55</v>
      </c>
      <c r="AK97" s="42" t="s">
        <v>53</v>
      </c>
      <c r="AL97" s="45" t="s">
        <v>55</v>
      </c>
      <c r="AM97" s="41" t="s">
        <v>55</v>
      </c>
      <c r="AN97" s="42" t="s">
        <v>53</v>
      </c>
      <c r="AO97" s="45" t="s">
        <v>55</v>
      </c>
      <c r="AP97" s="41" t="s">
        <v>55</v>
      </c>
      <c r="AQ97" s="42" t="s">
        <v>53</v>
      </c>
      <c r="AR97" s="45" t="s">
        <v>55</v>
      </c>
      <c r="AS97" s="41" t="s">
        <v>55</v>
      </c>
      <c r="AT97" s="43" t="s">
        <v>53</v>
      </c>
    </row>
    <row r="98" spans="1:46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</row>
    <row r="99" spans="1:46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46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46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4" spans="1:46" x14ac:dyDescent="0.25">
      <c r="A104" t="s">
        <v>220</v>
      </c>
    </row>
    <row r="105" spans="1:46" ht="12.75" customHeight="1" x14ac:dyDescent="0.25">
      <c r="A105" s="33" t="s">
        <v>116</v>
      </c>
      <c r="B105" s="33"/>
      <c r="C105" s="33"/>
      <c r="D105" s="33"/>
      <c r="E105" s="33"/>
      <c r="F105" s="33"/>
      <c r="G105" s="33"/>
      <c r="H105" s="33"/>
      <c r="I105" s="33"/>
      <c r="J105" s="33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</row>
    <row r="106" spans="1:46" x14ac:dyDescent="0.25">
      <c r="A106" t="s">
        <v>78</v>
      </c>
    </row>
    <row r="107" spans="1:46" x14ac:dyDescent="0.25">
      <c r="A107" s="27" t="s">
        <v>212</v>
      </c>
    </row>
  </sheetData>
  <mergeCells count="19">
    <mergeCell ref="B11:AE11"/>
    <mergeCell ref="AF11:AT12"/>
    <mergeCell ref="AO13:AQ13"/>
    <mergeCell ref="AR13:AT13"/>
    <mergeCell ref="B13:D13"/>
    <mergeCell ref="H13:J13"/>
    <mergeCell ref="K13:M13"/>
    <mergeCell ref="N13:P13"/>
    <mergeCell ref="Q13:S13"/>
    <mergeCell ref="W13:Y13"/>
    <mergeCell ref="E13:G13"/>
    <mergeCell ref="T13:V13"/>
    <mergeCell ref="AI13:AK13"/>
    <mergeCell ref="Z13:AB13"/>
    <mergeCell ref="AC13:AE13"/>
    <mergeCell ref="AF13:AH13"/>
    <mergeCell ref="AL13:AN13"/>
    <mergeCell ref="B12:P12"/>
    <mergeCell ref="Q12:AE12"/>
  </mergeCells>
  <conditionalFormatting sqref="AF16:AF97">
    <cfRule type="expression" dxfId="4" priority="5">
      <formula>ABS(AF16/AG16)&gt;1.96</formula>
    </cfRule>
  </conditionalFormatting>
  <conditionalFormatting sqref="AI16:AI97">
    <cfRule type="expression" dxfId="3" priority="4">
      <formula>ABS(AI16/AJ16)&gt;1.96</formula>
    </cfRule>
  </conditionalFormatting>
  <conditionalFormatting sqref="AL16:AL97">
    <cfRule type="expression" dxfId="2" priority="3">
      <formula>ABS(AL16/AM16)&gt;1.96</formula>
    </cfRule>
  </conditionalFormatting>
  <conditionalFormatting sqref="AO16:AO97">
    <cfRule type="expression" dxfId="1" priority="2">
      <formula>ABS(AO16/AP16)&gt;1.96</formula>
    </cfRule>
  </conditionalFormatting>
  <conditionalFormatting sqref="AR16:AR97">
    <cfRule type="expression" dxfId="0" priority="1">
      <formula>ABS(AR16/AS16)&gt;1.96</formula>
    </cfRule>
  </conditionalFormatting>
  <hyperlinks>
    <hyperlink ref="A1" r:id="rId1" display="https://doi.org/10.1787/b5fd1b8f-en"/>
    <hyperlink ref="A4" r:id="rId2"/>
  </hyperlinks>
  <pageMargins left="0.7" right="0.7" top="0.75" bottom="0.75" header="0.3" footer="0.3"/>
  <pageSetup paperSize="9" orientation="portrait" r:id="rId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08"/>
  <sheetViews>
    <sheetView showGridLines="0" zoomScale="80" zoomScaleNormal="80" workbookViewId="0"/>
  </sheetViews>
  <sheetFormatPr defaultRowHeight="13.2" x14ac:dyDescent="0.25"/>
  <cols>
    <col min="1" max="1" width="28.33203125" customWidth="1"/>
    <col min="2" max="3" width="9" customWidth="1"/>
    <col min="4" max="4" width="2.44140625" customWidth="1"/>
    <col min="5" max="6" width="9" customWidth="1"/>
    <col min="7" max="7" width="2.44140625" customWidth="1"/>
    <col min="8" max="9" width="9" customWidth="1"/>
    <col min="10" max="10" width="2.44140625" customWidth="1"/>
    <col min="11" max="12" width="9" customWidth="1"/>
    <col min="13" max="13" width="2.44140625" customWidth="1"/>
    <col min="14" max="15" width="9" customWidth="1"/>
    <col min="16" max="16" width="2.44140625" customWidth="1"/>
    <col min="17" max="18" width="9" customWidth="1"/>
    <col min="19" max="19" width="2.44140625" customWidth="1"/>
  </cols>
  <sheetData>
    <row r="1" spans="1:21" s="115" customFormat="1" x14ac:dyDescent="0.25">
      <c r="A1" s="116" t="s">
        <v>232</v>
      </c>
    </row>
    <row r="2" spans="1:21" s="115" customFormat="1" x14ac:dyDescent="0.25">
      <c r="A2" s="115" t="s">
        <v>233</v>
      </c>
      <c r="B2" s="115" t="s">
        <v>234</v>
      </c>
    </row>
    <row r="3" spans="1:21" s="115" customFormat="1" x14ac:dyDescent="0.25">
      <c r="A3" s="115" t="s">
        <v>235</v>
      </c>
    </row>
    <row r="4" spans="1:21" s="115" customFormat="1" x14ac:dyDescent="0.25">
      <c r="A4" s="116" t="s">
        <v>236</v>
      </c>
    </row>
    <row r="5" spans="1:21" s="115" customFormat="1" x14ac:dyDescent="0.25"/>
    <row r="6" spans="1:21" x14ac:dyDescent="0.25">
      <c r="A6" s="2" t="s">
        <v>127</v>
      </c>
      <c r="B6" s="1"/>
      <c r="C6" s="1"/>
      <c r="D6" s="1"/>
      <c r="E6" s="1"/>
      <c r="F6" s="1"/>
      <c r="G6" s="1"/>
      <c r="H6" s="1"/>
      <c r="J6" s="4"/>
      <c r="M6" s="1"/>
      <c r="N6" s="1"/>
      <c r="S6" s="1"/>
      <c r="U6" s="21"/>
    </row>
    <row r="7" spans="1:21" x14ac:dyDescent="0.25">
      <c r="A7" s="6" t="s">
        <v>32</v>
      </c>
      <c r="B7" s="6"/>
      <c r="C7" s="2"/>
      <c r="D7" s="6"/>
      <c r="E7" s="6"/>
      <c r="F7" s="2"/>
      <c r="G7" s="6"/>
      <c r="H7" s="6"/>
      <c r="I7" s="6"/>
      <c r="J7" s="21"/>
      <c r="K7" s="6"/>
      <c r="L7" s="6"/>
      <c r="M7" s="6"/>
      <c r="N7" s="6"/>
      <c r="O7" s="6"/>
      <c r="P7" s="6"/>
      <c r="Q7" s="6"/>
      <c r="R7" s="6"/>
      <c r="S7" s="6"/>
    </row>
    <row r="8" spans="1:21" x14ac:dyDescent="0.25">
      <c r="A8" s="28" t="s">
        <v>27</v>
      </c>
      <c r="B8" s="7"/>
      <c r="C8" s="7"/>
      <c r="D8" s="7"/>
      <c r="E8" s="7"/>
      <c r="F8" s="26"/>
      <c r="G8" s="7"/>
    </row>
    <row r="9" spans="1:21" x14ac:dyDescent="0.25">
      <c r="A9" s="7"/>
      <c r="B9" s="7"/>
      <c r="C9" s="7"/>
      <c r="D9" s="7"/>
      <c r="E9" s="7"/>
      <c r="F9" s="7"/>
      <c r="G9" s="7"/>
    </row>
    <row r="10" spans="1:21" x14ac:dyDescent="0.25">
      <c r="A10" s="7"/>
      <c r="B10" s="7"/>
      <c r="C10" s="7"/>
      <c r="D10" s="7"/>
      <c r="E10" s="7"/>
      <c r="F10" s="7"/>
      <c r="G10" s="7"/>
    </row>
    <row r="11" spans="1:21" ht="13.8" thickBot="1" x14ac:dyDescent="0.3">
      <c r="A11" s="2"/>
      <c r="B11" s="2"/>
      <c r="C11" s="2"/>
      <c r="D11" s="2"/>
      <c r="E11" s="2"/>
      <c r="F11" s="2"/>
      <c r="G11" s="2"/>
    </row>
    <row r="12" spans="1:21" ht="47.25" customHeight="1" x14ac:dyDescent="0.25">
      <c r="A12" s="8"/>
      <c r="B12" s="85" t="s">
        <v>8</v>
      </c>
      <c r="C12" s="86"/>
      <c r="D12" s="87"/>
      <c r="E12" s="85" t="s">
        <v>33</v>
      </c>
      <c r="F12" s="86"/>
      <c r="G12" s="101"/>
    </row>
    <row r="13" spans="1:21" ht="75.75" customHeight="1" x14ac:dyDescent="0.25">
      <c r="A13" s="9"/>
      <c r="B13" s="88"/>
      <c r="C13" s="89"/>
      <c r="D13" s="90"/>
      <c r="E13" s="88"/>
      <c r="F13" s="89"/>
      <c r="G13" s="114"/>
    </row>
    <row r="14" spans="1:21" ht="26.4" x14ac:dyDescent="0.25">
      <c r="A14" s="10"/>
      <c r="B14" s="11" t="s">
        <v>0</v>
      </c>
      <c r="C14" s="12" t="s">
        <v>1</v>
      </c>
      <c r="D14" s="13" t="s">
        <v>2</v>
      </c>
      <c r="E14" s="11" t="s">
        <v>10</v>
      </c>
      <c r="F14" s="12" t="s">
        <v>1</v>
      </c>
      <c r="G14" s="14" t="s">
        <v>2</v>
      </c>
    </row>
    <row r="15" spans="1:21" ht="13.5" customHeight="1" x14ac:dyDescent="0.25">
      <c r="A15" s="51" t="s">
        <v>210</v>
      </c>
      <c r="B15" s="52"/>
      <c r="C15" s="53"/>
      <c r="D15" s="54"/>
      <c r="E15" s="52"/>
      <c r="F15" s="53"/>
      <c r="G15" s="56"/>
    </row>
    <row r="16" spans="1:21" x14ac:dyDescent="0.25">
      <c r="A16" s="15" t="s">
        <v>130</v>
      </c>
      <c r="B16" s="36">
        <v>27.70876328155763</v>
      </c>
      <c r="C16" s="37">
        <v>0.84465675737519963</v>
      </c>
      <c r="D16" s="38" t="s">
        <v>53</v>
      </c>
      <c r="E16" s="16">
        <v>0.33871608972549438</v>
      </c>
      <c r="F16" s="17">
        <v>7.9923419090688671E-3</v>
      </c>
      <c r="G16" s="39" t="s">
        <v>53</v>
      </c>
    </row>
    <row r="17" spans="1:7" x14ac:dyDescent="0.25">
      <c r="A17" s="15" t="s">
        <v>131</v>
      </c>
      <c r="B17" s="36">
        <v>22.686235321470399</v>
      </c>
      <c r="C17" s="37">
        <v>1.1527352979062462</v>
      </c>
      <c r="D17" s="38" t="s">
        <v>53</v>
      </c>
      <c r="E17" s="16" t="s">
        <v>55</v>
      </c>
      <c r="F17" s="17" t="s">
        <v>55</v>
      </c>
      <c r="G17" s="39" t="s">
        <v>53</v>
      </c>
    </row>
    <row r="18" spans="1:7" x14ac:dyDescent="0.25">
      <c r="A18" s="15" t="s">
        <v>132</v>
      </c>
      <c r="B18" s="36">
        <v>18.059454688726909</v>
      </c>
      <c r="C18" s="37">
        <v>0.85847510420573059</v>
      </c>
      <c r="D18" s="38" t="s">
        <v>53</v>
      </c>
      <c r="E18" s="16">
        <v>0.41860869526863098</v>
      </c>
      <c r="F18" s="17">
        <v>1.3097562711883844E-2</v>
      </c>
      <c r="G18" s="39" t="s">
        <v>53</v>
      </c>
    </row>
    <row r="19" spans="1:7" x14ac:dyDescent="0.25">
      <c r="A19" s="15" t="s">
        <v>133</v>
      </c>
      <c r="B19" s="36">
        <v>34.969966286453818</v>
      </c>
      <c r="C19" s="37">
        <v>1.4227690605278804</v>
      </c>
      <c r="D19" s="38" t="s">
        <v>53</v>
      </c>
      <c r="E19" s="16">
        <v>0.37636846303939819</v>
      </c>
      <c r="F19" s="17">
        <v>9.8456593606962971E-3</v>
      </c>
      <c r="G19" s="39" t="s">
        <v>53</v>
      </c>
    </row>
    <row r="20" spans="1:7" x14ac:dyDescent="0.25">
      <c r="A20" s="15" t="s">
        <v>134</v>
      </c>
      <c r="B20" s="36">
        <v>3.3908614801180597</v>
      </c>
      <c r="C20" s="37">
        <v>0.38959486833610874</v>
      </c>
      <c r="D20" s="38" t="s">
        <v>53</v>
      </c>
      <c r="E20" s="16">
        <v>0.6033170223236084</v>
      </c>
      <c r="F20" s="17">
        <v>3.0207275046186376E-2</v>
      </c>
      <c r="G20" s="39" t="s">
        <v>53</v>
      </c>
    </row>
    <row r="21" spans="1:7" x14ac:dyDescent="0.25">
      <c r="A21" s="15" t="s">
        <v>135</v>
      </c>
      <c r="B21" s="36">
        <v>0.55659208363787993</v>
      </c>
      <c r="C21" s="37">
        <v>0.12058001255994841</v>
      </c>
      <c r="D21" s="38" t="s">
        <v>53</v>
      </c>
      <c r="E21" s="16">
        <v>0.85489815473556519</v>
      </c>
      <c r="F21" s="17">
        <v>2.6487303536796816E-2</v>
      </c>
      <c r="G21" s="39" t="s">
        <v>53</v>
      </c>
    </row>
    <row r="22" spans="1:7" x14ac:dyDescent="0.25">
      <c r="A22" s="15" t="s">
        <v>136</v>
      </c>
      <c r="B22" s="36">
        <v>4.1464036037107297</v>
      </c>
      <c r="C22" s="37">
        <v>0.38608926670904103</v>
      </c>
      <c r="D22" s="38" t="s">
        <v>53</v>
      </c>
      <c r="E22" s="16">
        <v>0.54141712188720703</v>
      </c>
      <c r="F22" s="17">
        <v>2.2008999921008011E-2</v>
      </c>
      <c r="G22" s="39" t="s">
        <v>53</v>
      </c>
    </row>
    <row r="23" spans="1:7" x14ac:dyDescent="0.25">
      <c r="A23" s="15" t="s">
        <v>137</v>
      </c>
      <c r="B23" s="36">
        <v>10.653250682536131</v>
      </c>
      <c r="C23" s="37">
        <v>0.438296984314206</v>
      </c>
      <c r="D23" s="38" t="s">
        <v>53</v>
      </c>
      <c r="E23" s="16">
        <v>0.48973971605300898</v>
      </c>
      <c r="F23" s="17">
        <v>1.6130558457899551E-2</v>
      </c>
      <c r="G23" s="39" t="s">
        <v>53</v>
      </c>
    </row>
    <row r="24" spans="1:7" x14ac:dyDescent="0.25">
      <c r="A24" s="15" t="s">
        <v>138</v>
      </c>
      <c r="B24" s="36">
        <v>10.392582509365699</v>
      </c>
      <c r="C24" s="37">
        <v>0.46505302845390067</v>
      </c>
      <c r="D24" s="38" t="s">
        <v>53</v>
      </c>
      <c r="E24" s="16">
        <v>0.48183509707450872</v>
      </c>
      <c r="F24" s="17">
        <v>1.4798139788798483E-2</v>
      </c>
      <c r="G24" s="39" t="s">
        <v>53</v>
      </c>
    </row>
    <row r="25" spans="1:7" x14ac:dyDescent="0.25">
      <c r="A25" s="15" t="s">
        <v>139</v>
      </c>
      <c r="B25" s="36">
        <v>5.7757806421643902</v>
      </c>
      <c r="C25" s="37">
        <v>0.47656616025151088</v>
      </c>
      <c r="D25" s="38" t="s">
        <v>53</v>
      </c>
      <c r="E25" s="16">
        <v>0.4910772442817688</v>
      </c>
      <c r="F25" s="17">
        <v>2.0921826252737096E-2</v>
      </c>
      <c r="G25" s="39" t="s">
        <v>53</v>
      </c>
    </row>
    <row r="26" spans="1:7" x14ac:dyDescent="0.25">
      <c r="A26" s="15" t="s">
        <v>140</v>
      </c>
      <c r="B26" s="36">
        <v>14.292398074125421</v>
      </c>
      <c r="C26" s="37">
        <v>0.93597142687811641</v>
      </c>
      <c r="D26" s="38" t="s">
        <v>53</v>
      </c>
      <c r="E26" s="16">
        <v>0.4323718249797821</v>
      </c>
      <c r="F26" s="17">
        <v>2.0621671965269015E-2</v>
      </c>
      <c r="G26" s="39" t="s">
        <v>53</v>
      </c>
    </row>
    <row r="27" spans="1:7" x14ac:dyDescent="0.25">
      <c r="A27" s="15" t="s">
        <v>141</v>
      </c>
      <c r="B27" s="36">
        <v>22.168807967597882</v>
      </c>
      <c r="C27" s="37">
        <v>1.1487898067601798</v>
      </c>
      <c r="D27" s="38" t="s">
        <v>53</v>
      </c>
      <c r="E27" s="16">
        <v>0.33204719424247742</v>
      </c>
      <c r="F27" s="17">
        <v>1.4513575527073001E-2</v>
      </c>
      <c r="G27" s="39" t="s">
        <v>53</v>
      </c>
    </row>
    <row r="28" spans="1:7" x14ac:dyDescent="0.25">
      <c r="A28" s="15" t="s">
        <v>142</v>
      </c>
      <c r="B28" s="36">
        <v>11.69610290505079</v>
      </c>
      <c r="C28" s="37">
        <v>0.66265154560738204</v>
      </c>
      <c r="D28" s="38" t="s">
        <v>53</v>
      </c>
      <c r="E28" s="16">
        <v>0.3297666609287262</v>
      </c>
      <c r="F28" s="17">
        <v>1.6711612841207871E-2</v>
      </c>
      <c r="G28" s="39" t="s">
        <v>53</v>
      </c>
    </row>
    <row r="29" spans="1:7" x14ac:dyDescent="0.25">
      <c r="A29" s="15" t="s">
        <v>143</v>
      </c>
      <c r="B29" s="36">
        <v>2.5521960850758401</v>
      </c>
      <c r="C29" s="37">
        <v>0.30831545416996642</v>
      </c>
      <c r="D29" s="38" t="s">
        <v>53</v>
      </c>
      <c r="E29" s="16">
        <v>0.53144735097885132</v>
      </c>
      <c r="F29" s="17">
        <v>4.0751125656157419E-2</v>
      </c>
      <c r="G29" s="39" t="s">
        <v>53</v>
      </c>
    </row>
    <row r="30" spans="1:7" x14ac:dyDescent="0.25">
      <c r="A30" s="15" t="s">
        <v>144</v>
      </c>
      <c r="B30" s="36">
        <v>5.5922790641216604</v>
      </c>
      <c r="C30" s="37">
        <v>0.40139673553959726</v>
      </c>
      <c r="D30" s="38" t="s">
        <v>53</v>
      </c>
      <c r="E30" s="16">
        <v>0.40160781145095831</v>
      </c>
      <c r="F30" s="17">
        <v>4.4036370450917205E-2</v>
      </c>
      <c r="G30" s="39" t="s">
        <v>53</v>
      </c>
    </row>
    <row r="31" spans="1:7" x14ac:dyDescent="0.25">
      <c r="A31" s="15" t="s">
        <v>145</v>
      </c>
      <c r="B31" s="36">
        <v>17.860838929942929</v>
      </c>
      <c r="C31" s="37">
        <v>0.91486176844457701</v>
      </c>
      <c r="D31" s="38" t="s">
        <v>53</v>
      </c>
      <c r="E31" s="16">
        <v>0.26213201880455023</v>
      </c>
      <c r="F31" s="17">
        <v>1.72192052370898E-2</v>
      </c>
      <c r="G31" s="39" t="s">
        <v>53</v>
      </c>
    </row>
    <row r="32" spans="1:7" x14ac:dyDescent="0.25">
      <c r="A32" s="15" t="s">
        <v>146</v>
      </c>
      <c r="B32" s="36">
        <v>16.416253414977149</v>
      </c>
      <c r="C32" s="37">
        <v>1.0738364165803722</v>
      </c>
      <c r="D32" s="38" t="s">
        <v>53</v>
      </c>
      <c r="E32" s="16">
        <v>0.38997623324394232</v>
      </c>
      <c r="F32" s="17">
        <v>1.8265643631837285E-2</v>
      </c>
      <c r="G32" s="39" t="s">
        <v>53</v>
      </c>
    </row>
    <row r="33" spans="1:7" x14ac:dyDescent="0.25">
      <c r="A33" s="15" t="s">
        <v>147</v>
      </c>
      <c r="B33" s="36">
        <v>10.025087167799541</v>
      </c>
      <c r="C33" s="37">
        <v>0.4917084931015509</v>
      </c>
      <c r="D33" s="38" t="s">
        <v>53</v>
      </c>
      <c r="E33" s="16">
        <v>0.41356930136680597</v>
      </c>
      <c r="F33" s="17">
        <v>1.801583078208626E-2</v>
      </c>
      <c r="G33" s="39" t="s">
        <v>53</v>
      </c>
    </row>
    <row r="34" spans="1:7" x14ac:dyDescent="0.25">
      <c r="A34" s="15" t="s">
        <v>148</v>
      </c>
      <c r="B34" s="36">
        <v>0.62269075696213994</v>
      </c>
      <c r="C34" s="37">
        <v>0.13447373995918133</v>
      </c>
      <c r="D34" s="38" t="s">
        <v>53</v>
      </c>
      <c r="E34" s="16" t="s">
        <v>128</v>
      </c>
      <c r="F34" s="17" t="s">
        <v>128</v>
      </c>
      <c r="G34" s="39" t="s">
        <v>53</v>
      </c>
    </row>
    <row r="35" spans="1:7" x14ac:dyDescent="0.25">
      <c r="A35" s="15" t="s">
        <v>149</v>
      </c>
      <c r="B35" s="36">
        <v>0.16599464463225999</v>
      </c>
      <c r="C35" s="37">
        <v>8.9871829952017257E-2</v>
      </c>
      <c r="D35" s="38" t="s">
        <v>53</v>
      </c>
      <c r="E35" s="16">
        <v>0</v>
      </c>
      <c r="F35" s="17" t="s">
        <v>56</v>
      </c>
      <c r="G35" s="39" t="s">
        <v>53</v>
      </c>
    </row>
    <row r="36" spans="1:7" x14ac:dyDescent="0.25">
      <c r="A36" s="15" t="s">
        <v>150</v>
      </c>
      <c r="B36" s="36">
        <v>4.4397198134590603</v>
      </c>
      <c r="C36" s="37">
        <v>0.33685609843229053</v>
      </c>
      <c r="D36" s="38" t="s">
        <v>53</v>
      </c>
      <c r="E36" s="16">
        <v>0.6078033447265625</v>
      </c>
      <c r="F36" s="17">
        <v>3.4959381656383258E-2</v>
      </c>
      <c r="G36" s="39" t="s">
        <v>53</v>
      </c>
    </row>
    <row r="37" spans="1:7" x14ac:dyDescent="0.25">
      <c r="A37" s="15" t="s">
        <v>151</v>
      </c>
      <c r="B37" s="36">
        <v>1.5599249777116999</v>
      </c>
      <c r="C37" s="37">
        <v>0.13051569969861895</v>
      </c>
      <c r="D37" s="38" t="s">
        <v>53</v>
      </c>
      <c r="E37" s="16">
        <v>0.78751957416534424</v>
      </c>
      <c r="F37" s="17">
        <v>1.3790288252311014E-2</v>
      </c>
      <c r="G37" s="39" t="s">
        <v>53</v>
      </c>
    </row>
    <row r="38" spans="1:7" x14ac:dyDescent="0.25">
      <c r="A38" s="15" t="s">
        <v>152</v>
      </c>
      <c r="B38" s="36">
        <v>54.87180939703277</v>
      </c>
      <c r="C38" s="37">
        <v>0.64370888429344009</v>
      </c>
      <c r="D38" s="38" t="s">
        <v>53</v>
      </c>
      <c r="E38" s="16">
        <v>0.15498483180999759</v>
      </c>
      <c r="F38" s="17">
        <v>5.922136112525656E-3</v>
      </c>
      <c r="G38" s="39" t="s">
        <v>53</v>
      </c>
    </row>
    <row r="39" spans="1:7" x14ac:dyDescent="0.25">
      <c r="A39" s="15" t="s">
        <v>153</v>
      </c>
      <c r="B39" s="36">
        <v>1.56142115515159</v>
      </c>
      <c r="C39" s="37">
        <v>0.26845505611360826</v>
      </c>
      <c r="D39" s="38" t="s">
        <v>53</v>
      </c>
      <c r="E39" s="16">
        <v>0.81076836585998535</v>
      </c>
      <c r="F39" s="17">
        <v>2.790811117117625E-2</v>
      </c>
      <c r="G39" s="39" t="s">
        <v>53</v>
      </c>
    </row>
    <row r="40" spans="1:7" x14ac:dyDescent="0.25">
      <c r="A40" s="15" t="s">
        <v>226</v>
      </c>
      <c r="B40" s="36">
        <v>13.767365553432789</v>
      </c>
      <c r="C40" s="37">
        <v>1.1613432186534565</v>
      </c>
      <c r="D40" s="38" t="s">
        <v>53</v>
      </c>
      <c r="E40" s="16">
        <v>0.44191810488700872</v>
      </c>
      <c r="F40" s="17">
        <v>2.3159939507499647E-2</v>
      </c>
      <c r="G40" s="39" t="s">
        <v>53</v>
      </c>
    </row>
    <row r="41" spans="1:7" x14ac:dyDescent="0.25">
      <c r="A41" s="15" t="s">
        <v>154</v>
      </c>
      <c r="B41" s="36">
        <v>26.459841142840613</v>
      </c>
      <c r="C41" s="37">
        <v>1.3482097436076308</v>
      </c>
      <c r="D41" s="38" t="s">
        <v>53</v>
      </c>
      <c r="E41" s="16">
        <v>0.32021573185920721</v>
      </c>
      <c r="F41" s="17">
        <v>1.3462879971585328E-2</v>
      </c>
      <c r="G41" s="39" t="s">
        <v>53</v>
      </c>
    </row>
    <row r="42" spans="1:7" x14ac:dyDescent="0.25">
      <c r="A42" s="15" t="s">
        <v>155</v>
      </c>
      <c r="B42" s="36">
        <v>12.39989609171765</v>
      </c>
      <c r="C42" s="37">
        <v>0.77280409093371216</v>
      </c>
      <c r="D42" s="38" t="s">
        <v>53</v>
      </c>
      <c r="E42" s="16">
        <v>0.35514923930168152</v>
      </c>
      <c r="F42" s="17">
        <v>1.4475226278137574E-2</v>
      </c>
      <c r="G42" s="39" t="s">
        <v>53</v>
      </c>
    </row>
    <row r="43" spans="1:7" x14ac:dyDescent="0.25">
      <c r="A43" s="15" t="s">
        <v>156</v>
      </c>
      <c r="B43" s="36">
        <v>0.64312078856707999</v>
      </c>
      <c r="C43" s="37">
        <v>0.19031100288588151</v>
      </c>
      <c r="D43" s="38" t="s">
        <v>53</v>
      </c>
      <c r="E43" s="16">
        <v>0</v>
      </c>
      <c r="F43" s="17" t="s">
        <v>56</v>
      </c>
      <c r="G43" s="39" t="s">
        <v>53</v>
      </c>
    </row>
    <row r="44" spans="1:7" x14ac:dyDescent="0.25">
      <c r="A44" s="15" t="s">
        <v>227</v>
      </c>
      <c r="B44" s="36">
        <v>6.9632335887591799</v>
      </c>
      <c r="C44" s="37">
        <v>0.57149006614731868</v>
      </c>
      <c r="D44" s="38" t="s">
        <v>53</v>
      </c>
      <c r="E44" s="16">
        <v>0.48109826445579529</v>
      </c>
      <c r="F44" s="17">
        <v>2.2338587225052779E-2</v>
      </c>
      <c r="G44" s="39" t="s">
        <v>53</v>
      </c>
    </row>
    <row r="45" spans="1:7" x14ac:dyDescent="0.25">
      <c r="A45" s="15" t="s">
        <v>157</v>
      </c>
      <c r="B45" s="36">
        <v>1.18853098725919</v>
      </c>
      <c r="C45" s="37">
        <v>0.16842230016552609</v>
      </c>
      <c r="D45" s="38" t="s">
        <v>53</v>
      </c>
      <c r="E45" s="16">
        <v>0.83469527959823608</v>
      </c>
      <c r="F45" s="17">
        <v>1.8473312962990023E-2</v>
      </c>
      <c r="G45" s="39" t="s">
        <v>53</v>
      </c>
    </row>
    <row r="46" spans="1:7" x14ac:dyDescent="0.25">
      <c r="A46" s="15" t="s">
        <v>158</v>
      </c>
      <c r="B46" s="36">
        <v>8.8801416636658708</v>
      </c>
      <c r="C46" s="37">
        <v>0.31167440261340096</v>
      </c>
      <c r="D46" s="38" t="s">
        <v>53</v>
      </c>
      <c r="E46" s="16">
        <v>0.43303832411766052</v>
      </c>
      <c r="F46" s="17">
        <v>4.4021559391110597E-2</v>
      </c>
      <c r="G46" s="39" t="s">
        <v>53</v>
      </c>
    </row>
    <row r="47" spans="1:7" x14ac:dyDescent="0.25">
      <c r="A47" s="15" t="s">
        <v>159</v>
      </c>
      <c r="B47" s="36">
        <v>12.188161728613951</v>
      </c>
      <c r="C47" s="37">
        <v>0.47645498721799551</v>
      </c>
      <c r="D47" s="38" t="s">
        <v>53</v>
      </c>
      <c r="E47" s="16">
        <v>0.38045233488082891</v>
      </c>
      <c r="F47" s="17">
        <v>1.1548162436646726E-2</v>
      </c>
      <c r="G47" s="39" t="s">
        <v>53</v>
      </c>
    </row>
    <row r="48" spans="1:7" x14ac:dyDescent="0.25">
      <c r="A48" s="15" t="s">
        <v>160</v>
      </c>
      <c r="B48" s="36">
        <v>20.473115864425338</v>
      </c>
      <c r="C48" s="37">
        <v>1.3408865697378713</v>
      </c>
      <c r="D48" s="38" t="s">
        <v>53</v>
      </c>
      <c r="E48" s="16">
        <v>0.39100012183189392</v>
      </c>
      <c r="F48" s="17">
        <v>1.5630274948639784E-2</v>
      </c>
      <c r="G48" s="39" t="s">
        <v>53</v>
      </c>
    </row>
    <row r="49" spans="1:7" x14ac:dyDescent="0.25">
      <c r="A49" s="15" t="s">
        <v>161</v>
      </c>
      <c r="B49" s="36">
        <v>33.868233035169411</v>
      </c>
      <c r="C49" s="37">
        <v>1.4103551478288376</v>
      </c>
      <c r="D49" s="38" t="s">
        <v>53</v>
      </c>
      <c r="E49" s="16">
        <v>0.23718495666980741</v>
      </c>
      <c r="F49" s="17">
        <v>1.6001410130236832E-2</v>
      </c>
      <c r="G49" s="39" t="s">
        <v>53</v>
      </c>
    </row>
    <row r="50" spans="1:7" x14ac:dyDescent="0.25">
      <c r="A50" s="15" t="s">
        <v>162</v>
      </c>
      <c r="B50" s="36">
        <v>0.85430183715388996</v>
      </c>
      <c r="C50" s="37">
        <v>0.14058186011809648</v>
      </c>
      <c r="D50" s="38" t="s">
        <v>53</v>
      </c>
      <c r="E50" s="16">
        <v>0.76750952005386353</v>
      </c>
      <c r="F50" s="17">
        <v>3.5262783564978833E-2</v>
      </c>
      <c r="G50" s="39" t="s">
        <v>53</v>
      </c>
    </row>
    <row r="51" spans="1:7" x14ac:dyDescent="0.25">
      <c r="A51" s="15" t="s">
        <v>163</v>
      </c>
      <c r="B51" s="36">
        <v>19.760951782508652</v>
      </c>
      <c r="C51" s="37">
        <v>1.1769923779338967</v>
      </c>
      <c r="D51" s="38" t="s">
        <v>53</v>
      </c>
      <c r="E51" s="16">
        <v>0.45448744297027588</v>
      </c>
      <c r="F51" s="17">
        <v>1.4295076934944168E-2</v>
      </c>
      <c r="G51" s="39" t="s">
        <v>53</v>
      </c>
    </row>
    <row r="52" spans="1:7" x14ac:dyDescent="0.25">
      <c r="A52" s="15" t="s">
        <v>228</v>
      </c>
      <c r="B52" s="36">
        <v>23.012325770304379</v>
      </c>
      <c r="C52" s="37">
        <v>1.519881538268582</v>
      </c>
      <c r="D52" s="38" t="s">
        <v>53</v>
      </c>
      <c r="E52" s="16">
        <v>0.43340632319450378</v>
      </c>
      <c r="F52" s="17">
        <v>1.6702270490906446E-2</v>
      </c>
      <c r="G52" s="39" t="s">
        <v>53</v>
      </c>
    </row>
    <row r="53" spans="1:7" x14ac:dyDescent="0.25">
      <c r="A53" s="15" t="s">
        <v>164</v>
      </c>
      <c r="B53" s="36">
        <v>13.04390904777839</v>
      </c>
      <c r="C53" s="37">
        <v>0.13102265205554489</v>
      </c>
      <c r="D53" s="38" t="s">
        <v>53</v>
      </c>
      <c r="E53" s="16">
        <v>0.44514650745051249</v>
      </c>
      <c r="F53" s="17">
        <v>3.7372416312301E-3</v>
      </c>
      <c r="G53" s="39" t="s">
        <v>53</v>
      </c>
    </row>
    <row r="54" spans="1:7" x14ac:dyDescent="0.25">
      <c r="A54" s="57" t="s">
        <v>211</v>
      </c>
      <c r="B54" s="36"/>
      <c r="C54" s="37"/>
      <c r="D54" s="38"/>
      <c r="E54" s="16"/>
      <c r="F54" s="17"/>
      <c r="G54" s="39"/>
    </row>
    <row r="55" spans="1:7" x14ac:dyDescent="0.25">
      <c r="A55" s="15" t="s">
        <v>169</v>
      </c>
      <c r="B55" s="36">
        <v>0.62059781455420004</v>
      </c>
      <c r="C55" s="37">
        <v>0.12271048399013314</v>
      </c>
      <c r="D55" s="38" t="s">
        <v>53</v>
      </c>
      <c r="E55" s="16">
        <v>0.87605375051498413</v>
      </c>
      <c r="F55" s="17">
        <v>1.9841944754896861E-2</v>
      </c>
      <c r="G55" s="39" t="s">
        <v>53</v>
      </c>
    </row>
    <row r="56" spans="1:7" x14ac:dyDescent="0.25">
      <c r="A56" s="15" t="s">
        <v>170</v>
      </c>
      <c r="B56" s="36">
        <v>4.5581922113720896</v>
      </c>
      <c r="C56" s="37">
        <v>0.3258858226592739</v>
      </c>
      <c r="D56" s="38" t="s">
        <v>53</v>
      </c>
      <c r="E56" s="16">
        <v>0.58792072534561157</v>
      </c>
      <c r="F56" s="17">
        <v>2.1483640676778212E-2</v>
      </c>
      <c r="G56" s="39" t="s">
        <v>53</v>
      </c>
    </row>
    <row r="57" spans="1:7" x14ac:dyDescent="0.25">
      <c r="A57" s="15" t="s">
        <v>171</v>
      </c>
      <c r="B57" s="36">
        <v>5.2006981077612595</v>
      </c>
      <c r="C57" s="37">
        <v>0.37027052060356908</v>
      </c>
      <c r="D57" s="38" t="s">
        <v>53</v>
      </c>
      <c r="E57" s="16">
        <v>0.36674255132675171</v>
      </c>
      <c r="F57" s="17">
        <v>2.7494113020681232E-2</v>
      </c>
      <c r="G57" s="39" t="s">
        <v>53</v>
      </c>
    </row>
    <row r="58" spans="1:7" x14ac:dyDescent="0.25">
      <c r="A58" s="15" t="s">
        <v>172</v>
      </c>
      <c r="B58" s="36">
        <v>4.1471741637499493</v>
      </c>
      <c r="C58" s="37">
        <v>0.3187600924711777</v>
      </c>
      <c r="D58" s="38" t="s">
        <v>53</v>
      </c>
      <c r="E58" s="16">
        <v>0.41731229424476618</v>
      </c>
      <c r="F58" s="17">
        <v>1.9282629275371988E-2</v>
      </c>
      <c r="G58" s="39" t="s">
        <v>53</v>
      </c>
    </row>
    <row r="59" spans="1:7" x14ac:dyDescent="0.25">
      <c r="A59" s="15" t="s">
        <v>173</v>
      </c>
      <c r="B59" s="36">
        <v>2.8167785120561701</v>
      </c>
      <c r="C59" s="37">
        <v>0.32525593627930094</v>
      </c>
      <c r="D59" s="38" t="s">
        <v>53</v>
      </c>
      <c r="E59" s="16">
        <v>0.46560278534889221</v>
      </c>
      <c r="F59" s="17">
        <v>3.5507728808258074E-2</v>
      </c>
      <c r="G59" s="39" t="s">
        <v>53</v>
      </c>
    </row>
    <row r="60" spans="1:7" x14ac:dyDescent="0.25">
      <c r="A60" s="15" t="s">
        <v>174</v>
      </c>
      <c r="B60" s="36">
        <v>0.60093706095619004</v>
      </c>
      <c r="C60" s="37">
        <v>9.1503247379800104E-2</v>
      </c>
      <c r="D60" s="38" t="s">
        <v>53</v>
      </c>
      <c r="E60" s="16">
        <v>0.92040419578552246</v>
      </c>
      <c r="F60" s="17">
        <v>1.3954163569790986E-2</v>
      </c>
      <c r="G60" s="39" t="s">
        <v>53</v>
      </c>
    </row>
    <row r="61" spans="1:7" x14ac:dyDescent="0.25">
      <c r="A61" s="15" t="s">
        <v>175</v>
      </c>
      <c r="B61" s="36">
        <v>8.1815056453733295</v>
      </c>
      <c r="C61" s="37">
        <v>0.28326741362616487</v>
      </c>
      <c r="D61" s="38" t="s">
        <v>53</v>
      </c>
      <c r="E61" s="16">
        <v>0.51726841926574707</v>
      </c>
      <c r="F61" s="17">
        <v>1.9707786047879351E-2</v>
      </c>
      <c r="G61" s="39" t="s">
        <v>53</v>
      </c>
    </row>
    <row r="62" spans="1:7" x14ac:dyDescent="0.25">
      <c r="A62" s="15" t="s">
        <v>176</v>
      </c>
      <c r="B62" s="36">
        <v>0.15768377421082</v>
      </c>
      <c r="C62" s="37">
        <v>6.2805617268880135E-2</v>
      </c>
      <c r="D62" s="38" t="s">
        <v>53</v>
      </c>
      <c r="E62" s="16">
        <v>0</v>
      </c>
      <c r="F62" s="17" t="s">
        <v>56</v>
      </c>
      <c r="G62" s="39" t="s">
        <v>53</v>
      </c>
    </row>
    <row r="63" spans="1:7" x14ac:dyDescent="0.25">
      <c r="A63" s="15" t="s">
        <v>177</v>
      </c>
      <c r="B63" s="36">
        <v>1.1491597012677</v>
      </c>
      <c r="C63" s="37">
        <v>0.16216895878777934</v>
      </c>
      <c r="D63" s="38" t="s">
        <v>53</v>
      </c>
      <c r="E63" s="16">
        <v>0.79179954528808594</v>
      </c>
      <c r="F63" s="17">
        <v>2.9814859309749919E-2</v>
      </c>
      <c r="G63" s="39" t="s">
        <v>53</v>
      </c>
    </row>
    <row r="64" spans="1:7" x14ac:dyDescent="0.25">
      <c r="A64" s="15" t="s">
        <v>178</v>
      </c>
      <c r="B64" s="36">
        <v>10.01996666433617</v>
      </c>
      <c r="C64" s="37">
        <v>0.67284872877412782</v>
      </c>
      <c r="D64" s="38" t="s">
        <v>53</v>
      </c>
      <c r="E64" s="16">
        <v>0.41559889912605291</v>
      </c>
      <c r="F64" s="17">
        <v>1.6585158848639592E-2</v>
      </c>
      <c r="G64" s="39" t="s">
        <v>53</v>
      </c>
    </row>
    <row r="65" spans="1:7" x14ac:dyDescent="0.25">
      <c r="A65" s="15" t="s">
        <v>179</v>
      </c>
      <c r="B65" s="36">
        <v>9.0899092610287795</v>
      </c>
      <c r="C65" s="37">
        <v>0.48598879590199862</v>
      </c>
      <c r="D65" s="38" t="s">
        <v>53</v>
      </c>
      <c r="E65" s="16">
        <v>0.31906801462173462</v>
      </c>
      <c r="F65" s="17">
        <v>1.6291250941295972E-2</v>
      </c>
      <c r="G65" s="39" t="s">
        <v>53</v>
      </c>
    </row>
    <row r="66" spans="1:7" x14ac:dyDescent="0.25">
      <c r="A66" s="15" t="s">
        <v>180</v>
      </c>
      <c r="B66" s="36">
        <v>14.787024402440979</v>
      </c>
      <c r="C66" s="37">
        <v>0.51722412147373786</v>
      </c>
      <c r="D66" s="38" t="s">
        <v>53</v>
      </c>
      <c r="E66" s="16">
        <v>0.34189289808273321</v>
      </c>
      <c r="F66" s="17">
        <v>2.0700080395800038E-2</v>
      </c>
      <c r="G66" s="39" t="s">
        <v>53</v>
      </c>
    </row>
    <row r="67" spans="1:7" x14ac:dyDescent="0.25">
      <c r="A67" s="15" t="s">
        <v>181</v>
      </c>
      <c r="B67" s="36">
        <v>2.92205315239196</v>
      </c>
      <c r="C67" s="37">
        <v>0.26890329558328008</v>
      </c>
      <c r="D67" s="38" t="s">
        <v>53</v>
      </c>
      <c r="E67" s="16">
        <v>0.60599488019943237</v>
      </c>
      <c r="F67" s="17">
        <v>3.2890555606715978E-2</v>
      </c>
      <c r="G67" s="39" t="s">
        <v>53</v>
      </c>
    </row>
    <row r="68" spans="1:7" x14ac:dyDescent="0.25">
      <c r="A68" s="15" t="s">
        <v>182</v>
      </c>
      <c r="B68" s="36">
        <v>1.36463088083532</v>
      </c>
      <c r="C68" s="37">
        <v>0.19590177383249022</v>
      </c>
      <c r="D68" s="38" t="s">
        <v>53</v>
      </c>
      <c r="E68" s="16">
        <v>0.77377098798751831</v>
      </c>
      <c r="F68" s="17">
        <v>3.1009314663226255E-2</v>
      </c>
      <c r="G68" s="39" t="s">
        <v>53</v>
      </c>
    </row>
    <row r="69" spans="1:7" x14ac:dyDescent="0.25">
      <c r="A69" s="15" t="s">
        <v>229</v>
      </c>
      <c r="B69" s="36">
        <v>37.911634723302051</v>
      </c>
      <c r="C69" s="37">
        <v>1.3286600569122331</v>
      </c>
      <c r="D69" s="38" t="s">
        <v>53</v>
      </c>
      <c r="E69" s="16">
        <v>0.1843201816082001</v>
      </c>
      <c r="F69" s="17">
        <v>1.0346574721037333E-2</v>
      </c>
      <c r="G69" s="39" t="s">
        <v>53</v>
      </c>
    </row>
    <row r="70" spans="1:7" x14ac:dyDescent="0.25">
      <c r="A70" s="15" t="s">
        <v>183</v>
      </c>
      <c r="B70" s="36">
        <v>0.25111855353339002</v>
      </c>
      <c r="C70" s="37">
        <v>6.652373962470863E-2</v>
      </c>
      <c r="D70" s="38" t="s">
        <v>53</v>
      </c>
      <c r="E70" s="16">
        <v>0.94777226448059082</v>
      </c>
      <c r="F70" s="17">
        <v>1.311677988811274E-2</v>
      </c>
      <c r="G70" s="39" t="s">
        <v>53</v>
      </c>
    </row>
    <row r="71" spans="1:7" x14ac:dyDescent="0.25">
      <c r="A71" s="15" t="s">
        <v>184</v>
      </c>
      <c r="B71" s="36">
        <v>11.560156863178021</v>
      </c>
      <c r="C71" s="37">
        <v>0.53282256980001497</v>
      </c>
      <c r="D71" s="38" t="s">
        <v>53</v>
      </c>
      <c r="E71" s="16">
        <v>0.37924617528915411</v>
      </c>
      <c r="F71" s="17">
        <v>1.5081722935865332E-2</v>
      </c>
      <c r="G71" s="39" t="s">
        <v>53</v>
      </c>
    </row>
    <row r="72" spans="1:7" x14ac:dyDescent="0.25">
      <c r="A72" s="15" t="s">
        <v>185</v>
      </c>
      <c r="B72" s="36">
        <v>8.2053827048399288</v>
      </c>
      <c r="C72" s="37">
        <v>0.44928776108302504</v>
      </c>
      <c r="D72" s="38" t="s">
        <v>53</v>
      </c>
      <c r="E72" s="16">
        <v>0.47546979784965521</v>
      </c>
      <c r="F72" s="17">
        <v>1.8779943275246208E-2</v>
      </c>
      <c r="G72" s="39" t="s">
        <v>53</v>
      </c>
    </row>
    <row r="73" spans="1:7" x14ac:dyDescent="0.25">
      <c r="A73" s="15" t="s">
        <v>186</v>
      </c>
      <c r="B73" s="36">
        <v>1.14746077693674</v>
      </c>
      <c r="C73" s="37">
        <v>0.19367278405325103</v>
      </c>
      <c r="D73" s="38" t="s">
        <v>53</v>
      </c>
      <c r="E73" s="16">
        <v>0.66098135709762573</v>
      </c>
      <c r="F73" s="17">
        <v>1.7669365293693846E-2</v>
      </c>
      <c r="G73" s="39" t="s">
        <v>53</v>
      </c>
    </row>
    <row r="74" spans="1:7" x14ac:dyDescent="0.25">
      <c r="A74" s="15" t="s">
        <v>187</v>
      </c>
      <c r="B74" s="36">
        <v>5.9837011847694299</v>
      </c>
      <c r="C74" s="37">
        <v>0.46419035772446388</v>
      </c>
      <c r="D74" s="38" t="s">
        <v>53</v>
      </c>
      <c r="E74" s="16">
        <v>0.50444608926773071</v>
      </c>
      <c r="F74" s="17">
        <v>2.0948028346229202E-2</v>
      </c>
      <c r="G74" s="39" t="s">
        <v>53</v>
      </c>
    </row>
    <row r="75" spans="1:7" x14ac:dyDescent="0.25">
      <c r="A75" s="15" t="s">
        <v>188</v>
      </c>
      <c r="B75" s="36">
        <v>62.874218024546593</v>
      </c>
      <c r="C75" s="37">
        <v>0.67146253797098432</v>
      </c>
      <c r="D75" s="38" t="s">
        <v>53</v>
      </c>
      <c r="E75" s="16">
        <v>9.9204972386360196E-2</v>
      </c>
      <c r="F75" s="17">
        <v>6.1904187291112155E-3</v>
      </c>
      <c r="G75" s="39" t="s">
        <v>53</v>
      </c>
    </row>
    <row r="76" spans="1:7" x14ac:dyDescent="0.25">
      <c r="A76" s="15" t="s">
        <v>189</v>
      </c>
      <c r="B76" s="36">
        <v>1.64809151960093</v>
      </c>
      <c r="C76" s="37">
        <v>0.22052586057016099</v>
      </c>
      <c r="D76" s="38" t="s">
        <v>53</v>
      </c>
      <c r="E76" s="16">
        <v>0.71757453680038452</v>
      </c>
      <c r="F76" s="17">
        <v>3.2528001024644877E-2</v>
      </c>
      <c r="G76" s="39" t="s">
        <v>53</v>
      </c>
    </row>
    <row r="77" spans="1:7" x14ac:dyDescent="0.25">
      <c r="A77" s="15" t="s">
        <v>190</v>
      </c>
      <c r="B77" s="36">
        <v>8.7884460025211002</v>
      </c>
      <c r="C77" s="37">
        <v>0.43858351153635072</v>
      </c>
      <c r="D77" s="38" t="s">
        <v>53</v>
      </c>
      <c r="E77" s="16">
        <v>0.46783733367919922</v>
      </c>
      <c r="F77" s="17">
        <v>2.4368024152019652E-2</v>
      </c>
      <c r="G77" s="39" t="s">
        <v>53</v>
      </c>
    </row>
    <row r="78" spans="1:7" x14ac:dyDescent="0.25">
      <c r="A78" s="15" t="s">
        <v>191</v>
      </c>
      <c r="B78" s="36">
        <v>1.44652346304573</v>
      </c>
      <c r="C78" s="37">
        <v>0.16410339723422637</v>
      </c>
      <c r="D78" s="38" t="s">
        <v>53</v>
      </c>
      <c r="E78" s="16">
        <v>0.7290458083152771</v>
      </c>
      <c r="F78" s="17">
        <v>2.4112330212622393E-2</v>
      </c>
      <c r="G78" s="39" t="s">
        <v>53</v>
      </c>
    </row>
    <row r="79" spans="1:7" x14ac:dyDescent="0.25">
      <c r="A79" s="15" t="s">
        <v>192</v>
      </c>
      <c r="B79" s="36">
        <v>5.7995230908142004</v>
      </c>
      <c r="C79" s="37">
        <v>0.29347800153195563</v>
      </c>
      <c r="D79" s="38" t="s">
        <v>53</v>
      </c>
      <c r="E79" s="16">
        <v>0.31195682287216192</v>
      </c>
      <c r="F79" s="17">
        <v>2.0720644822043884E-2</v>
      </c>
      <c r="G79" s="39" t="s">
        <v>53</v>
      </c>
    </row>
    <row r="80" spans="1:7" x14ac:dyDescent="0.25">
      <c r="A80" s="15" t="s">
        <v>193</v>
      </c>
      <c r="B80" s="36">
        <v>0.78286569411312001</v>
      </c>
      <c r="C80" s="37">
        <v>0.10751898920898106</v>
      </c>
      <c r="D80" s="38" t="s">
        <v>53</v>
      </c>
      <c r="E80" s="16">
        <v>0.7636452317237854</v>
      </c>
      <c r="F80" s="17">
        <v>2.9686020361444968E-2</v>
      </c>
      <c r="G80" s="39" t="s">
        <v>53</v>
      </c>
    </row>
    <row r="81" spans="1:7" x14ac:dyDescent="0.25">
      <c r="A81" s="15" t="s">
        <v>194</v>
      </c>
      <c r="B81" s="36">
        <v>1.6242813171113197</v>
      </c>
      <c r="C81" s="37">
        <v>0.22955526457296968</v>
      </c>
      <c r="D81" s="38" t="s">
        <v>53</v>
      </c>
      <c r="E81" s="16">
        <v>0.50357884168624878</v>
      </c>
      <c r="F81" s="17">
        <v>0.12005576594311583</v>
      </c>
      <c r="G81" s="39" t="s">
        <v>53</v>
      </c>
    </row>
    <row r="82" spans="1:7" x14ac:dyDescent="0.25">
      <c r="A82" s="15" t="s">
        <v>195</v>
      </c>
      <c r="B82" s="36">
        <v>5.9699964313614702</v>
      </c>
      <c r="C82" s="37">
        <v>0.73436898142229357</v>
      </c>
      <c r="D82" s="38" t="s">
        <v>53</v>
      </c>
      <c r="E82" s="16">
        <v>0.5711512565612793</v>
      </c>
      <c r="F82" s="17">
        <v>2.6761855948757237E-2</v>
      </c>
      <c r="G82" s="39" t="s">
        <v>53</v>
      </c>
    </row>
    <row r="83" spans="1:7" x14ac:dyDescent="0.25">
      <c r="A83" s="15" t="s">
        <v>196</v>
      </c>
      <c r="B83" s="36">
        <v>0.49027879925130002</v>
      </c>
      <c r="C83" s="37">
        <v>9.9801677578820164E-2</v>
      </c>
      <c r="D83" s="38" t="s">
        <v>53</v>
      </c>
      <c r="E83" s="16">
        <v>0</v>
      </c>
      <c r="F83" s="17" t="s">
        <v>56</v>
      </c>
      <c r="G83" s="39" t="s">
        <v>53</v>
      </c>
    </row>
    <row r="84" spans="1:7" x14ac:dyDescent="0.25">
      <c r="A84" s="15" t="s">
        <v>197</v>
      </c>
      <c r="B84" s="36">
        <v>1.0367394553478</v>
      </c>
      <c r="C84" s="37">
        <v>0.15659271343211417</v>
      </c>
      <c r="D84" s="38" t="s">
        <v>53</v>
      </c>
      <c r="E84" s="16">
        <v>0.70375484228134155</v>
      </c>
      <c r="F84" s="17">
        <v>3.6880231900375059E-2</v>
      </c>
      <c r="G84" s="39" t="s">
        <v>53</v>
      </c>
    </row>
    <row r="85" spans="1:7" x14ac:dyDescent="0.25">
      <c r="A85" s="15" t="s">
        <v>198</v>
      </c>
      <c r="B85" s="36">
        <v>56.805347904173566</v>
      </c>
      <c r="C85" s="37">
        <v>0.36922238395152129</v>
      </c>
      <c r="D85" s="38" t="s">
        <v>53</v>
      </c>
      <c r="E85" s="16">
        <v>0.215410977602005</v>
      </c>
      <c r="F85" s="17">
        <v>4.0997419255005933E-3</v>
      </c>
      <c r="G85" s="39" t="s">
        <v>53</v>
      </c>
    </row>
    <row r="86" spans="1:7" x14ac:dyDescent="0.25">
      <c r="A86" s="15" t="s">
        <v>199</v>
      </c>
      <c r="B86" s="36">
        <v>0.78033112696899998</v>
      </c>
      <c r="C86" s="37">
        <v>0.17564163445411793</v>
      </c>
      <c r="D86" s="38" t="s">
        <v>54</v>
      </c>
      <c r="E86" s="16">
        <v>0</v>
      </c>
      <c r="F86" s="17" t="s">
        <v>56</v>
      </c>
      <c r="G86" s="39" t="s">
        <v>53</v>
      </c>
    </row>
    <row r="87" spans="1:7" x14ac:dyDescent="0.25">
      <c r="A87" s="15" t="s">
        <v>200</v>
      </c>
      <c r="B87" s="36">
        <v>5.7706009253634898</v>
      </c>
      <c r="C87" s="37">
        <v>0.30960017898992509</v>
      </c>
      <c r="D87" s="38" t="s">
        <v>53</v>
      </c>
      <c r="E87" s="16">
        <v>0.4139285683631897</v>
      </c>
      <c r="F87" s="17">
        <v>1.6661795391087857E-2</v>
      </c>
      <c r="G87" s="39" t="s">
        <v>53</v>
      </c>
    </row>
    <row r="88" spans="1:7" x14ac:dyDescent="0.25">
      <c r="A88" s="15" t="s">
        <v>201</v>
      </c>
      <c r="B88" s="36">
        <v>11.867438614087</v>
      </c>
      <c r="C88" s="37">
        <v>1.0844814315091</v>
      </c>
      <c r="D88" s="38" t="s">
        <v>53</v>
      </c>
      <c r="E88" s="16">
        <v>0.51714801788330078</v>
      </c>
      <c r="F88" s="17">
        <v>2.1135609767720363E-2</v>
      </c>
      <c r="G88" s="39" t="s">
        <v>53</v>
      </c>
    </row>
    <row r="89" spans="1:7" x14ac:dyDescent="0.25">
      <c r="A89" s="15" t="s">
        <v>202</v>
      </c>
      <c r="B89" s="36">
        <v>9.32128952538792</v>
      </c>
      <c r="C89" s="37">
        <v>0.41176693146583127</v>
      </c>
      <c r="D89" s="38" t="s">
        <v>53</v>
      </c>
      <c r="E89" s="16">
        <v>0.31924211978912348</v>
      </c>
      <c r="F89" s="17">
        <v>1.7854934708789783E-2</v>
      </c>
      <c r="G89" s="39" t="s">
        <v>53</v>
      </c>
    </row>
    <row r="90" spans="1:7" x14ac:dyDescent="0.25">
      <c r="A90" s="15" t="s">
        <v>203</v>
      </c>
      <c r="B90" s="36">
        <v>24.818877754096949</v>
      </c>
      <c r="C90" s="37">
        <v>0.66661225468237328</v>
      </c>
      <c r="D90" s="38" t="s">
        <v>53</v>
      </c>
      <c r="E90" s="16">
        <v>0.22629879415035251</v>
      </c>
      <c r="F90" s="17">
        <v>2.0964209383283874E-2</v>
      </c>
      <c r="G90" s="39" t="s">
        <v>53</v>
      </c>
    </row>
    <row r="91" spans="1:7" x14ac:dyDescent="0.25">
      <c r="A91" s="15" t="s">
        <v>204</v>
      </c>
      <c r="B91" s="36">
        <v>0.70330202002704001</v>
      </c>
      <c r="C91" s="37">
        <v>0.1735356080053608</v>
      </c>
      <c r="D91" s="38" t="s">
        <v>53</v>
      </c>
      <c r="E91" s="16">
        <v>0.82984548807144165</v>
      </c>
      <c r="F91" s="17">
        <v>2.8178780952136835E-2</v>
      </c>
      <c r="G91" s="39" t="s">
        <v>53</v>
      </c>
    </row>
    <row r="92" spans="1:7" x14ac:dyDescent="0.25">
      <c r="A92" s="15" t="s">
        <v>205</v>
      </c>
      <c r="B92" s="36">
        <v>1.0713659373244</v>
      </c>
      <c r="C92" s="37">
        <v>0.43149317383496427</v>
      </c>
      <c r="D92" s="38" t="s">
        <v>53</v>
      </c>
      <c r="E92" s="16">
        <v>0.87872731685638428</v>
      </c>
      <c r="F92" s="17">
        <v>2.3610311656641542E-2</v>
      </c>
      <c r="G92" s="39" t="s">
        <v>53</v>
      </c>
    </row>
    <row r="93" spans="1:7" x14ac:dyDescent="0.25">
      <c r="A93" s="15" t="s">
        <v>206</v>
      </c>
      <c r="B93" s="36">
        <v>2.3149360382116497</v>
      </c>
      <c r="C93" s="37">
        <v>0.2182451411281752</v>
      </c>
      <c r="D93" s="38" t="s">
        <v>53</v>
      </c>
      <c r="E93" s="16">
        <v>0.55769610404968262</v>
      </c>
      <c r="F93" s="17">
        <v>2.988824238001038E-2</v>
      </c>
      <c r="G93" s="39" t="s">
        <v>53</v>
      </c>
    </row>
    <row r="94" spans="1:7" x14ac:dyDescent="0.25">
      <c r="A94" s="15" t="s">
        <v>207</v>
      </c>
      <c r="B94" s="36">
        <v>55.781255228227387</v>
      </c>
      <c r="C94" s="37">
        <v>0.78306140903694166</v>
      </c>
      <c r="D94" s="38" t="s">
        <v>53</v>
      </c>
      <c r="E94" s="16">
        <v>0.3010329008102417</v>
      </c>
      <c r="F94" s="17">
        <v>6.6342239953415087E-3</v>
      </c>
      <c r="G94" s="39" t="s">
        <v>53</v>
      </c>
    </row>
    <row r="95" spans="1:7" x14ac:dyDescent="0.25">
      <c r="A95" s="15" t="s">
        <v>208</v>
      </c>
      <c r="B95" s="36">
        <v>1.2698266694508</v>
      </c>
      <c r="C95" s="37">
        <v>0.18673082341050887</v>
      </c>
      <c r="D95" s="38" t="s">
        <v>53</v>
      </c>
      <c r="E95" s="16">
        <v>0.7476048469543457</v>
      </c>
      <c r="F95" s="17">
        <v>3.1026014639105082E-2</v>
      </c>
      <c r="G95" s="39" t="s">
        <v>53</v>
      </c>
    </row>
    <row r="96" spans="1:7" ht="13.8" thickBot="1" x14ac:dyDescent="0.3">
      <c r="A96" s="18" t="s">
        <v>209</v>
      </c>
      <c r="B96" s="40">
        <v>6.2539118959410001E-2</v>
      </c>
      <c r="C96" s="41">
        <v>3.114434172733371E-2</v>
      </c>
      <c r="D96" s="42" t="s">
        <v>53</v>
      </c>
      <c r="E96" s="19">
        <v>0</v>
      </c>
      <c r="F96" s="20" t="s">
        <v>56</v>
      </c>
      <c r="G96" s="43" t="s">
        <v>53</v>
      </c>
    </row>
    <row r="97" spans="1:19" x14ac:dyDescent="0.25">
      <c r="A97" s="2"/>
      <c r="B97" s="2"/>
      <c r="C97" s="2"/>
      <c r="D97" s="2"/>
      <c r="E97" s="2"/>
      <c r="F97" s="2"/>
      <c r="G97" s="2"/>
    </row>
    <row r="98" spans="1:19" x14ac:dyDescent="0.25">
      <c r="A98" s="2"/>
      <c r="B98" s="2"/>
      <c r="C98" s="2"/>
      <c r="D98" s="2"/>
      <c r="E98" s="2"/>
      <c r="F98" s="2"/>
      <c r="G98" s="2"/>
    </row>
    <row r="99" spans="1:19" x14ac:dyDescent="0.25">
      <c r="A99" s="2"/>
      <c r="B99" s="2"/>
      <c r="C99" s="2"/>
      <c r="D99" s="2"/>
      <c r="E99" s="2"/>
      <c r="F99" s="2"/>
      <c r="G99" s="2"/>
    </row>
    <row r="100" spans="1:19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</row>
    <row r="101" spans="1:19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</row>
    <row r="104" spans="1:19" x14ac:dyDescent="0.25">
      <c r="A104" t="s">
        <v>219</v>
      </c>
    </row>
    <row r="105" spans="1:19" x14ac:dyDescent="0.25">
      <c r="A105" s="33" t="s">
        <v>116</v>
      </c>
      <c r="B105" s="33"/>
      <c r="C105" s="33"/>
      <c r="D105" s="33"/>
    </row>
    <row r="106" spans="1:19" x14ac:dyDescent="0.25">
      <c r="A106" s="27" t="s">
        <v>97</v>
      </c>
    </row>
    <row r="107" spans="1:19" x14ac:dyDescent="0.25">
      <c r="A107" t="s">
        <v>78</v>
      </c>
    </row>
    <row r="108" spans="1:19" x14ac:dyDescent="0.25">
      <c r="A108" s="27" t="s">
        <v>212</v>
      </c>
    </row>
  </sheetData>
  <mergeCells count="2">
    <mergeCell ref="B12:D13"/>
    <mergeCell ref="E12:G13"/>
  </mergeCells>
  <hyperlinks>
    <hyperlink ref="A1" r:id="rId1" display="https://doi.org/10.1787/b5fd1b8f-en"/>
    <hyperlink ref="A4" r:id="rId2"/>
  </hyperlinks>
  <pageMargins left="0.7" right="0.7" top="0.75" bottom="0.75" header="0.3" footer="0.3"/>
  <pageSetup paperSize="9" orientation="portrait"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2536316F5763344A11F3E9E2AA69978" ma:contentTypeVersion="" ma:contentTypeDescription="Create a new document." ma:contentTypeScope="" ma:versionID="8de032a9172470e7dd11a86ccb2eea82">
  <xsd:schema xmlns:xsd="http://www.w3.org/2001/XMLSchema" xmlns:xs="http://www.w3.org/2001/XMLSchema" xmlns:p="http://schemas.microsoft.com/office/2006/metadata/properties" xmlns:ns2="d2ab8eed-794c-4dae-abdc-edd99f56379b" xmlns:ns3="3D72D9FF-5AFA-4718-A0DC-C752FA647307" targetNamespace="http://schemas.microsoft.com/office/2006/metadata/properties" ma:root="true" ma:fieldsID="79fd4425dc4a32e9f5b03209d69257cc" ns2:_="" ns3:_="">
    <xsd:import namespace="d2ab8eed-794c-4dae-abdc-edd99f56379b"/>
    <xsd:import namespace="3D72D9FF-5AFA-4718-A0DC-C752FA64730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Volume"/>
                <xsd:element ref="ns3:Topic"/>
                <xsd:element ref="ns3:File_x0020_type0"/>
                <xsd:element ref="ns2:LastSharedByUser" minOccurs="0"/>
                <xsd:element ref="ns2:LastSharedByTime" minOccurs="0"/>
                <xsd:element ref="ns3:MediaServiceMetadata" minOccurs="0"/>
                <xsd:element ref="ns3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2ab8eed-794c-4dae-abdc-edd99f56379b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  <xsd:element name="LastSharedByUser" ma:index="13" nillable="true" ma:displayName="Last Shared By User" ma:description="" ma:internalName="LastSharedByUser" ma:readOnly="true">
      <xsd:simpleType>
        <xsd:restriction base="dms:Note">
          <xsd:maxLength value="255"/>
        </xsd:restriction>
      </xsd:simpleType>
    </xsd:element>
    <xsd:element name="LastSharedByTime" ma:index="14" nillable="true" ma:displayName="Last Shared By Time" ma:description="" ma:internalName="LastSharedByTime" ma:readOnly="tru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72D9FF-5AFA-4718-A0DC-C752FA647307" elementFormDefault="qualified">
    <xsd:import namespace="http://schemas.microsoft.com/office/2006/documentManagement/types"/>
    <xsd:import namespace="http://schemas.microsoft.com/office/infopath/2007/PartnerControls"/>
    <xsd:element name="Volume" ma:index="10" ma:displayName="Pub section" ma:format="RadioButtons" ma:internalName="Volume">
      <xsd:simpleType>
        <xsd:restriction base="dms:Choice">
          <xsd:enumeration value="A. Important Docs."/>
          <xsd:enumeration value="B. Volume I: Student performance in reading, mathematics and science"/>
          <xsd:enumeration value="C. Volume II: Equity in Education"/>
          <xsd:enumeration value="D. Volume III: School climate"/>
          <xsd:enumeration value="E. Volume IV: Financial literacy"/>
          <xsd:enumeration value="F. Volume V: School organisation, including school resources"/>
          <xsd:enumeration value="G. Volume VI: Global Competence"/>
          <xsd:enumeration value="H. Annexes"/>
          <xsd:enumeration value="I. Front Matter"/>
          <xsd:enumeration value="J. Country Notes"/>
        </xsd:restriction>
      </xsd:simpleType>
    </xsd:element>
    <xsd:element name="Topic" ma:index="11" ma:displayName="Topic" ma:format="Dropdown" ma:internalName="Topic">
      <xsd:simpleType>
        <xsd:restriction base="dms:Choice">
          <xsd:enumeration value="Chapter 1"/>
          <xsd:enumeration value="Chapter 2"/>
          <xsd:enumeration value="Chapter 3"/>
          <xsd:enumeration value="Chapter 4"/>
          <xsd:enumeration value="Chapter 5"/>
          <xsd:enumeration value="Chapter 6"/>
          <xsd:enumeration value="Chapter 7"/>
          <xsd:enumeration value="Chapter 8"/>
          <xsd:enumeration value="Chapter 9"/>
          <xsd:enumeration value="Chapter 10"/>
          <xsd:enumeration value="Chapter 11"/>
          <xsd:enumeration value="Chapter 12"/>
          <xsd:enumeration value="Chapter 13"/>
          <xsd:enumeration value="Chapter 14"/>
          <xsd:enumeration value="Chapter 15"/>
          <xsd:enumeration value="Specific Annex"/>
          <xsd:enumeration value="Other"/>
          <xsd:enumeration value="Old"/>
        </xsd:restriction>
      </xsd:simpleType>
    </xsd:element>
    <xsd:element name="File_x0020_type0" ma:index="12" ma:displayName="File type" ma:format="RadioButtons" ma:internalName="File_x0020_type0">
      <xsd:simpleType>
        <xsd:restriction base="dms:Choice">
          <xsd:enumeration value="Text"/>
          <xsd:enumeration value="Tables"/>
          <xsd:enumeration value="Figures"/>
        </xsd:restriction>
      </xsd:simpleType>
    </xsd:element>
    <xsd:element name="MediaServiceMetadata" ma:index="15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6" nillable="true" ma:displayName="MediaServiceFastMetadata" ma:description="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le_x0020_type0 xmlns="3D72D9FF-5AFA-4718-A0DC-C752FA647307">Tables</File_x0020_type0>
    <Volume xmlns="3D72D9FF-5AFA-4718-A0DC-C752FA647307">C. Volume II: Equity in Education</Volume>
    <Topic xmlns="3D72D9FF-5AFA-4718-A0DC-C752FA647307">Chapter 9</Topic>
  </documentManagement>
</p:properties>
</file>

<file path=customXml/itemProps1.xml><?xml version="1.0" encoding="utf-8"?>
<ds:datastoreItem xmlns:ds="http://schemas.openxmlformats.org/officeDocument/2006/customXml" ds:itemID="{0AFF0631-59DA-4900-B6D2-D8BCFCF753D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2ab8eed-794c-4dae-abdc-edd99f56379b"/>
    <ds:schemaRef ds:uri="3D72D9FF-5AFA-4718-A0DC-C752FA64730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63C7944-8367-41BD-9080-70C59E3EBFD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C5CA000-C02C-4433-B939-EA164C7E7E53}">
  <ds:schemaRefs>
    <ds:schemaRef ds:uri="3D72D9FF-5AFA-4718-A0DC-C752FA647307"/>
    <ds:schemaRef ds:uri="http://purl.org/dc/elements/1.1/"/>
    <ds:schemaRef ds:uri="http://schemas.microsoft.com/office/2006/metadata/properties"/>
    <ds:schemaRef ds:uri="d2ab8eed-794c-4dae-abdc-edd99f56379b"/>
    <ds:schemaRef ds:uri="http://www.w3.org/XML/1998/namespace"/>
    <ds:schemaRef ds:uri="http://schemas.microsoft.com/office/infopath/2007/PartnerControls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TOC</vt:lpstr>
      <vt:lpstr>Table II.B1.9.1</vt:lpstr>
      <vt:lpstr>Table II.B1.9.2</vt:lpstr>
      <vt:lpstr>Table II.B1.9.3</vt:lpstr>
      <vt:lpstr>Table II.B1.9.4</vt:lpstr>
      <vt:lpstr>Table II.B1.9.5</vt:lpstr>
      <vt:lpstr>Table II.B1.9.6</vt:lpstr>
      <vt:lpstr>Table II.B1.9.7</vt:lpstr>
      <vt:lpstr>Table II.B1.9.8</vt:lpstr>
      <vt:lpstr>Table II.B1.9.9</vt:lpstr>
      <vt:lpstr>Table II.B1.9.10</vt:lpstr>
      <vt:lpstr>Table II.B1.9.11</vt:lpstr>
    </vt:vector>
  </TitlesOfParts>
  <Company>OECD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OECD</dc:creator>
  <cp:lastModifiedBy>SIMMONS Margaret</cp:lastModifiedBy>
  <dcterms:created xsi:type="dcterms:W3CDTF">2019-06-12T15:32:59Z</dcterms:created>
  <dcterms:modified xsi:type="dcterms:W3CDTF">2019-12-02T11:20:26Z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0x01010092536316F5763344A11F3E9E2AA69978</vt:lpwstr>
  </property>
</Properties>
</file>